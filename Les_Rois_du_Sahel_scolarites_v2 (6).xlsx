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almata Marthe\Documents\Les rois du sahel\"/>
    </mc:Choice>
  </mc:AlternateContent>
  <xr:revisionPtr revIDLastSave="0" documentId="13_ncr:1_{53B7D382-6B52-4CFE-BFBC-3D8E0F1A358E}" xr6:coauthVersionLast="47" xr6:coauthVersionMax="47" xr10:uidLastSave="{00000000-0000-0000-0000-000000000000}"/>
  <bookViews>
    <workbookView xWindow="-110" yWindow="-110" windowWidth="19420" windowHeight="10300" tabRatio="500" firstSheet="0" activeTab="0" xr2:uid="{00000000-000D-0000-FFFF-FFFF00000000}"/>
  </bookViews>
  <sheets>
    <sheet name="Paramètres" sheetId="1" r:id="rId1"/>
    <sheet name="Classe Petite section" sheetId="8" r:id="rId100"/>
    <sheet name="Classe Grande section" sheetId="9" r:id="rId101"/>
    <sheet name="Classe CI" sheetId="10" r:id="rId102"/>
    <sheet name="Classe CP" sheetId="11" r:id="rId103"/>
    <sheet name="Classe CE1" sheetId="12" r:id="rId104"/>
    <sheet name="Classe CE2" sheetId="13" r:id="rId105"/>
    <sheet name="Classe CM1" sheetId="14" r:id="rId106"/>
    <sheet name="Classe CM2" sheetId="15" r:id="rId107"/>
    <sheet name="Classe 6e" sheetId="16" r:id="rId108"/>
    <sheet name="Classe 5e" sheetId="17" r:id="rId109"/>
    <sheet name="Classe 4e" sheetId="18" r:id="rId110"/>
    <sheet name="Classe 3e" sheetId="19" r:id="rId111"/>
    <sheet name="Classe 2nde" sheetId="20" r:id="rId112"/>
    <sheet name="Classe 1ère A" sheetId="21" r:id="rId113"/>
    <sheet name="Classe 1ère D" sheetId="22" r:id="rId114"/>
    <sheet name="Classe Terminale A" sheetId="23" r:id="rId115"/>
    <sheet name="Classe Terminale D" sheetId="24" r:id="rId116"/>
    <sheet name="Liste des élèves" sheetId="2" r:id="rId2" state="hidden"/>
    <sheet name="Récapitulatif par classe" sheetId="3" r:id="rId3"/>
    <sheet name="Statistiques élèves" sheetId="4" r:id="rId4"/>
    <sheet name="Tableau de bord" sheetId="5" r:id="rId5"/>
    <sheet name="Reçu de paiement" sheetId="6" r:id="rId6"/>
    <sheet name="Suivi des impayés" sheetId="7" r:id="rId7"/>
  </sheets>
  <definedNames>
    <definedName name="_xlnm._FilterDatabase" localSheetId="18" hidden="1">'Liste des élèves'!$A$3:$T$1363</definedName>
    <definedName name="_xlnm.Print_Titles" localSheetId="18">'Liste des élèves'!$1:$3</definedName>
    <definedName name="_xlnm.Print_Titles" localSheetId="1">'Classe Petite section'!$1:$3</definedName>
    <definedName name="_xlnm.Print_Titles" localSheetId="2">'Classe Grande section'!$1:$3</definedName>
    <definedName name="_xlnm.Print_Titles" localSheetId="3">'Classe CI'!$1:$3</definedName>
    <definedName name="_xlnm.Print_Titles" localSheetId="4">'Classe CP'!$1:$3</definedName>
    <definedName name="_xlnm.Print_Titles" localSheetId="5">'Classe CE1'!$1:$3</definedName>
    <definedName name="_xlnm.Print_Titles" localSheetId="6">'Classe CE2'!$1:$3</definedName>
    <definedName name="_xlnm.Print_Titles" localSheetId="7">'Classe CM1'!$1:$3</definedName>
    <definedName name="_xlnm.Print_Titles" localSheetId="8">'Classe CM2'!$1:$3</definedName>
    <definedName name="_xlnm.Print_Titles" localSheetId="9">'Classe 6e'!$1:$3</definedName>
    <definedName name="_xlnm.Print_Titles" localSheetId="10">'Classe 5e'!$1:$3</definedName>
    <definedName name="_xlnm.Print_Titles" localSheetId="11">'Classe 4e'!$1:$3</definedName>
    <definedName name="_xlnm.Print_Titles" localSheetId="12">'Classe 3e'!$1:$3</definedName>
    <definedName name="_xlnm.Print_Titles" localSheetId="13">'Classe 2nde'!$1:$3</definedName>
    <definedName name="_xlnm.Print_Titles" localSheetId="14">'Classe 1ère A'!$1:$3</definedName>
    <definedName name="_xlnm.Print_Titles" localSheetId="15">'Classe 1ère D'!$1:$3</definedName>
    <definedName name="_xlnm.Print_Titles" localSheetId="16">'Classe Terminale A'!$1:$3</definedName>
    <definedName name="_xlnm.Print_Titles" localSheetId="17">'Classe Terminale D'!$1:$3</definedName>
    <definedName name="_xlnm.Print_Area" localSheetId="22">'Reçu de paiement'!$A$1:$E$33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4" authorId="0" shapeId="0" xr:uid="{00000000-0006-0000-0000-000001000000}">
      <text>
        <r>
          <rPr>
            <sz val="10"/>
            <rFont val="Arial"/>
            <family val="2"/>
          </rPr>
          <t>Montant appliqué automatiquement à chaque élève selon sa classe.
Par défaut identique pour tous ; ajustez librement par niveau.</t>
        </r>
      </text>
    </comment>
  </commentList>
</comments>
</file>

<file path=xl/sharedStrings.xml><?xml version="1.0" encoding="utf-8"?>
<sst xmlns="http://schemas.openxmlformats.org/spreadsheetml/2006/main" count="211" uniqueCount="115">
  <si>
    <t>LES ROIS DU SAHEL</t>
  </si>
  <si>
    <t>Discipline · Travail · Succès  —  Gestion des scolarités</t>
  </si>
  <si>
    <t>Nom de l'établissement</t>
  </si>
  <si>
    <t>École Les Rois du Sahel</t>
  </si>
  <si>
    <t>Adresse</t>
  </si>
  <si>
    <t>Ville / Pays</t>
  </si>
  <si>
    <t>Niamey, Niger</t>
  </si>
  <si>
    <t>Téléphone</t>
  </si>
  <si>
    <t>E-mail</t>
  </si>
  <si>
    <t>Directeur / Directrice</t>
  </si>
  <si>
    <t>Année scolaire</t>
  </si>
  <si>
    <t>2025-2026</t>
  </si>
  <si>
    <t>Devise</t>
  </si>
  <si>
    <t>FCFA</t>
  </si>
  <si>
    <t>Tableau des scolarités (modifiable par classe) :</t>
  </si>
  <si>
    <t>Classe</t>
  </si>
  <si>
    <t>Cycle</t>
  </si>
  <si>
    <t>Scolarité annuelle</t>
  </si>
  <si>
    <t>Petite section</t>
  </si>
  <si>
    <t>Maternelle</t>
  </si>
  <si>
    <t>Moyenne section</t>
  </si>
  <si>
    <t>Grande section</t>
  </si>
  <si>
    <t>CP</t>
  </si>
  <si>
    <t>Primaire</t>
  </si>
  <si>
    <t>CE1</t>
  </si>
  <si>
    <t>CE2</t>
  </si>
  <si>
    <t>CM1</t>
  </si>
  <si>
    <t>CM2</t>
  </si>
  <si>
    <t>6e</t>
  </si>
  <si>
    <t>Collège</t>
  </si>
  <si>
    <t>5e</t>
  </si>
  <si>
    <t>4e</t>
  </si>
  <si>
    <t>3e</t>
  </si>
  <si>
    <t>2nde</t>
  </si>
  <si>
    <t>Lycée</t>
  </si>
  <si>
    <t>1ère</t>
  </si>
  <si>
    <t>Terminale</t>
  </si>
  <si>
    <t>Mode d'emploi :
• Cellules JAUNES = à remplir. Ne modifiez pas les colonnes calculées (grises).
• N'insérez pas de ligne/colonne dans les tableaux (préserve les formules).
• Saisissez les élèves dans « Liste des élèves » : récap, tableau de bord, reçus et alertes se mettent à jour seuls.
• Onglet « Reçu de paiement » : tapez un matricule pour éditer/imprimer le reçu.</t>
  </si>
  <si>
    <t>REGISTRE DES ÉLÈVES &amp; SUIVI DES PAIEMENTS PAR TRANCHES</t>
  </si>
  <si>
    <t>Renseignez les cellules jaunes. Colonnes grises = calcul automatique. Menu déroulant pour la classe et le sexe.</t>
  </si>
  <si>
    <t>Matricule</t>
  </si>
  <si>
    <t>Nom</t>
  </si>
  <si>
    <t>Prénom(s)</t>
  </si>
  <si>
    <t>Nom complet</t>
  </si>
  <si>
    <t>Sexe</t>
  </si>
  <si>
    <t>Date de naissance</t>
  </si>
  <si>
    <t>Nom du tuteur</t>
  </si>
  <si>
    <t>Scolarité due</t>
  </si>
  <si>
    <t>Tranche 1</t>
  </si>
  <si>
    <t>Tranche 2</t>
  </si>
  <si>
    <t>Tranche 3</t>
  </si>
  <si>
    <t>Total payé</t>
  </si>
  <si>
    <t>Reste à payer</t>
  </si>
  <si>
    <t>Statut</t>
  </si>
  <si>
    <t>2025-001</t>
  </si>
  <si>
    <t>DAOUDA</t>
  </si>
  <si>
    <t>Falmata</t>
  </si>
  <si>
    <t>F</t>
  </si>
  <si>
    <t>2015-09-14</t>
  </si>
  <si>
    <t>+227 90 00 00 00</t>
  </si>
  <si>
    <t>RÉCAPITULATIF PAR CLASSE</t>
  </si>
  <si>
    <t>Effectifs et recouvrement par niveau — mise à jour automatique</t>
  </si>
  <si>
    <t>Classe / Cycle</t>
  </si>
  <si>
    <t>Effectif</t>
  </si>
  <si>
    <t>Total dû</t>
  </si>
  <si>
    <t>Total encaissé</t>
  </si>
  <si>
    <t>Reste à recouvrer</t>
  </si>
  <si>
    <t>Élèves en retard</t>
  </si>
  <si>
    <t>— Maternelle —</t>
  </si>
  <si>
    <t>— Primaire —</t>
  </si>
  <si>
    <t>— Collège —</t>
  </si>
  <si>
    <t>— Lycée —</t>
  </si>
  <si>
    <t>TOTAL ÉCOLE</t>
  </si>
  <si>
    <t>STATISTIQUES DES ÉLÈVES PAR CLASSE</t>
  </si>
  <si>
    <t>Effectifs, filles / garçons et paiements en retard — mise à jour automatique</t>
  </si>
  <si>
    <t>Données graphiques</t>
  </si>
  <si>
    <t>Garçons</t>
  </si>
  <si>
    <t>Filles</t>
  </si>
  <si>
    <t>% Filles</t>
  </si>
  <si>
    <t>Répartition</t>
  </si>
  <si>
    <t>TABLEAU DE BORD — ENSEMBLE DE L'ÉCOLE</t>
  </si>
  <si>
    <t>Indicateurs clés, alertes et graphiques de suivi</t>
  </si>
  <si>
    <t>Par cycle</t>
  </si>
  <si>
    <t>Effectif total</t>
  </si>
  <si>
    <t>Encaissé</t>
  </si>
  <si>
    <t>Reste</t>
  </si>
  <si>
    <t>Total dû (scolarités)</t>
  </si>
  <si>
    <t>Taux de recouvrement</t>
  </si>
  <si>
    <t>Élèves soldés</t>
  </si>
  <si>
    <t>État des paiements</t>
  </si>
  <si>
    <t>État</t>
  </si>
  <si>
    <t>Nombre</t>
  </si>
  <si>
    <t>Soldés</t>
  </si>
  <si>
    <t>En retard</t>
  </si>
  <si>
    <t>ÉCOLE LES ROIS DU SAHEL</t>
  </si>
  <si>
    <t>Discipline · Travail · Succès</t>
  </si>
  <si>
    <t>REÇU DE PAIEMENT DE SCOLARITÉ</t>
  </si>
  <si>
    <t>Matricule de l'élève :</t>
  </si>
  <si>
    <t>Année scolaire :</t>
  </si>
  <si>
    <t>(tapez un matricule existant de l'onglet Liste des élèves)</t>
  </si>
  <si>
    <t>Nom et prénom(s)</t>
  </si>
  <si>
    <t>Tranche 1 versée</t>
  </si>
  <si>
    <t>Tranche 2 versée</t>
  </si>
  <si>
    <t>Tranche 3 versée</t>
  </si>
  <si>
    <t>TOTAL PAYÉ</t>
  </si>
  <si>
    <t>RESTE À PAYER</t>
  </si>
  <si>
    <t>Fait à Niamey, le : ______________</t>
  </si>
  <si>
    <t>Signature &amp; cachet de l'établissement :</t>
  </si>
  <si>
    <t>Pour enregistrer ce reçu en PDF :
Excel bureau → Fichier ▸ Enregistrer sous / Exporter ▸ PDF  (seul le reçu s'imprime).
Excel Web → Fichier ▸ Exporter ▸ Télécharger au format PDF.
Astuce : changez le matricule (case jaune) pour éditer le reçu de n'importe quel élève.</t>
  </si>
  <si>
    <t>SUIVI DES IMPAYÉS — PARENTS EN RETARD</t>
  </si>
  <si>
    <t>Astuce : cliquez sur le filtre de la colonne « Statut » et masquez les cellules vides pour n'afficher que les retards.</t>
  </si>
  <si>
    <t>2025-002</t>
  </si>
  <si>
    <t>Arimi</t>
  </si>
  <si>
    <t>M</t>
  </si>
  <si>
    <t>Daouda Marthé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</si>
</sst>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FCFA&quot;"/>
    <numFmt numFmtId="165" formatCode="0.0%"/>
    <numFmt numFmtId="166" formatCode="dd/mm/yyyy"/>
  </numFmts>
  <fonts count="28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i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1E6B3A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b/>
      <sz val="15"/>
      <color rgb="FFFFFFFF"/>
      <name val="Arial"/>
      <charset val="1"/>
    </font>
    <font>
      <i/>
      <sz val="9"/>
      <color rgb="FFFFFFFF"/>
      <name val="Arial"/>
      <charset val="1"/>
    </font>
    <font>
      <i/>
      <sz val="10"/>
      <color rgb="FF808080"/>
      <name val="Arial"/>
      <charset val="1"/>
    </font>
    <font>
      <b/>
      <i/>
      <sz val="9"/>
      <color rgb="FFFFFFFF"/>
      <name val="Arial"/>
      <charset val="1"/>
    </font>
    <font>
      <b/>
      <sz val="9"/>
      <color rgb="FF1E6B3A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000000"/>
      <name val="Arial"/>
      <charset val="1"/>
    </font>
    <font>
      <b/>
      <sz val="13"/>
      <color rgb="FF1F3864"/>
      <name val="Arial"/>
      <charset val="1"/>
    </font>
    <font>
      <b/>
      <sz val="13"/>
      <color rgb="FF1E6B3A"/>
      <name val="Arial"/>
      <charset val="1"/>
    </font>
    <font>
      <b/>
      <sz val="13"/>
      <color rgb="FFC00000"/>
      <name val="Arial"/>
      <charset val="1"/>
    </font>
    <font>
      <b/>
      <sz val="12"/>
      <color rgb="FFFFFFFF"/>
      <name val="Arial"/>
      <charset val="1"/>
    </font>
    <font>
      <b/>
      <sz val="15"/>
      <color rgb="FF7A1F1F"/>
      <name val="Arial"/>
      <charset val="1"/>
    </font>
    <font>
      <i/>
      <sz val="9"/>
      <color rgb="FF1E6B3A"/>
      <name val="Arial"/>
      <charset val="1"/>
    </font>
    <font>
      <b/>
      <sz val="11"/>
      <color rgb="FF0000FF"/>
      <name val="Arial"/>
      <charset val="1"/>
    </font>
    <font>
      <i/>
      <sz val="8"/>
      <color rgb="FF808080"/>
      <name val="Arial"/>
      <charset val="1"/>
    </font>
    <font>
      <sz val="11"/>
      <color rgb="FF000000"/>
      <name val="Arial"/>
      <charset val="1"/>
    </font>
    <font>
      <b/>
      <sz val="11"/>
      <color rgb="FF7A1F1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7A1F1F"/>
        <bgColor rgb="FF800000"/>
      </patternFill>
    </fill>
    <fill>
      <patternFill patternType="solid">
        <fgColor rgb="FFE9F1EC"/>
        <bgColor rgb="FFEDF0F5"/>
      </patternFill>
    </fill>
    <fill>
      <patternFill patternType="solid">
        <fgColor rgb="FF1E6B3A"/>
        <bgColor rgb="FF006100"/>
      </patternFill>
    </fill>
    <fill>
      <patternFill patternType="solid">
        <fgColor rgb="FFFFF7DE"/>
        <bgColor rgb="FFF4F5F7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6F8FB"/>
      </patternFill>
    </fill>
    <fill>
      <patternFill patternType="solid">
        <fgColor rgb="FFF6F8FB"/>
        <bgColor rgb="FFF4F5F7"/>
      </patternFill>
    </fill>
    <fill>
      <patternFill patternType="solid">
        <fgColor rgb="FFF4F5F7"/>
        <bgColor rgb="FFF6F8FB"/>
      </patternFill>
    </fill>
    <fill>
      <patternFill patternType="solid">
        <fgColor rgb="FFEDF0F5"/>
        <bgColor rgb="FFE9F1EC"/>
      </patternFill>
    </fill>
    <fill>
      <patternFill patternType="solid">
        <fgColor rgb="FFC00000"/>
        <bgColor rgb="FF9C0006"/>
      </patternFill>
    </fill>
  </fills>
  <borders count="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/>
      <right/>
      <top/>
      <bottom style="dashed">
        <color rgb="FF80808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7" fillId="10" borderId="1" xfId="0" applyFont="1" applyFill="1" applyBorder="1" applyAlignment="1">
      <alignment horizontal="left" vertical="center"/>
    </xf>
    <xf numFmtId="0" fontId="5" fillId="0" borderId="0" xfId="0" applyFont="1"/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164" fontId="12" fillId="9" borderId="1" xfId="0" applyNumberFormat="1" applyFont="1" applyFill="1" applyBorder="1" applyAlignment="1">
      <alignment horizontal="right" vertical="center"/>
    </xf>
    <xf numFmtId="164" fontId="12" fillId="0" borderId="1" xfId="0" applyNumberFormat="1" applyFont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right" vertical="center"/>
    </xf>
    <xf numFmtId="0" fontId="0" fillId="8" borderId="1" xfId="0" applyFill="1" applyBorder="1" applyAlignment="1">
      <alignment horizontal="center" vertical="center" wrapText="1"/>
    </xf>
    <xf numFmtId="164" fontId="0" fillId="8" borderId="1" xfId="0" applyNumberForma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0" fontId="14" fillId="0" borderId="0" xfId="0" applyFont="1"/>
    <xf numFmtId="0" fontId="15" fillId="6" borderId="1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0" fillId="0" borderId="1" xfId="0" applyBorder="1"/>
    <xf numFmtId="165" fontId="0" fillId="7" borderId="1" xfId="0" applyNumberFormat="1" applyFill="1" applyBorder="1" applyAlignment="1">
      <alignment horizontal="center" vertical="center" wrapText="1"/>
    </xf>
    <xf numFmtId="165" fontId="0" fillId="8" borderId="1" xfId="0" applyNumberForma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right" vertical="center"/>
    </xf>
    <xf numFmtId="164" fontId="18" fillId="0" borderId="1" xfId="0" applyNumberFormat="1" applyFont="1" applyBorder="1" applyAlignment="1">
      <alignment horizontal="right" vertical="center"/>
    </xf>
    <xf numFmtId="164" fontId="0" fillId="0" borderId="1" xfId="0" applyNumberFormat="1" applyBorder="1"/>
    <xf numFmtId="164" fontId="19" fillId="0" borderId="1" xfId="0" applyNumberFormat="1" applyFont="1" applyBorder="1" applyAlignment="1">
      <alignment horizontal="right" vertical="center"/>
    </xf>
    <xf numFmtId="164" fontId="20" fillId="0" borderId="1" xfId="0" applyNumberFormat="1" applyFont="1" applyBorder="1" applyAlignment="1">
      <alignment horizontal="right" vertical="center"/>
    </xf>
    <xf numFmtId="165" fontId="18" fillId="0" borderId="1" xfId="0" applyNumberFormat="1" applyFont="1" applyBorder="1" applyAlignment="1">
      <alignment horizontal="right" vertical="center"/>
    </xf>
    <xf numFmtId="3" fontId="19" fillId="0" borderId="1" xfId="0" applyNumberFormat="1" applyFont="1" applyBorder="1" applyAlignment="1">
      <alignment horizontal="right" vertical="center"/>
    </xf>
    <xf numFmtId="3" fontId="20" fillId="0" borderId="1" xfId="0" applyNumberFormat="1" applyFont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24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left" vertical="center"/>
    </xf>
    <xf numFmtId="0" fontId="7" fillId="0" borderId="0" xfId="0" applyFont="1"/>
    <xf numFmtId="164" fontId="7" fillId="8" borderId="1" xfId="0" applyNumberFormat="1" applyFont="1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4" fontId="12" fillId="0" borderId="1" xfId="0" applyNumberFormat="1" applyFont="1" applyBorder="1" applyAlignment="1">
      <alignment horizontal="left" vertical="center"/>
    </xf>
    <xf numFmtId="0" fontId="10" fillId="2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8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13" fillId="4" borderId="0" xfId="0" applyFont="1" applyFill="1" applyAlignment="1">
      <alignment horizontal="left" vertical="center" indent="1"/>
    </xf>
    <xf numFmtId="0" fontId="17" fillId="10" borderId="1" xfId="0" applyFont="1" applyFill="1" applyBorder="1" applyAlignment="1">
      <alignment horizontal="left" vertical="center"/>
    </xf>
    <xf numFmtId="0" fontId="21" fillId="0" borderId="0" xfId="0" applyFont="1" applyAlignment="1">
      <alignment horizontal="center" vertical="center" wrapText="1"/>
    </xf>
    <xf numFmtId="0" fontId="8" fillId="8" borderId="1" xfId="0" applyFont="1" applyFill="1" applyBorder="1" applyAlignment="1">
      <alignment vertical="top" wrapText="1"/>
    </xf>
    <xf numFmtId="164" fontId="26" fillId="0" borderId="2" xfId="0" applyNumberFormat="1" applyFont="1" applyBorder="1" applyAlignment="1">
      <alignment horizontal="right" vertical="center"/>
    </xf>
    <xf numFmtId="164" fontId="27" fillId="0" borderId="2" xfId="0" applyNumberFormat="1" applyFont="1" applyBorder="1" applyAlignment="1">
      <alignment horizontal="right" vertical="center"/>
    </xf>
    <xf numFmtId="0" fontId="26" fillId="0" borderId="2" xfId="0" applyFont="1" applyBorder="1" applyAlignment="1">
      <alignment horizontal="left" vertical="center"/>
    </xf>
    <xf numFmtId="0" fontId="7" fillId="0" borderId="0" xfId="0" applyFont="1"/>
    <xf numFmtId="0" fontId="2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0" fillId="6" borderId="0" xfId="0" applyFont="1" applyFill="1" applyAlignment="1">
      <alignment horizontal="center" vertical="center" wrapText="1"/>
    </xf>
    <xf numFmtId="0" fontId="25" fillId="0" borderId="0" xfId="0" applyFont="1"/>
    <xf numFmtId="0" fontId="10" fillId="11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left" vertical="center" indent="1"/>
    </xf>
    <xf numFmtId="0" fontId="25" fillId="0" borderId="0" xfId="0" applyFont="1" applyAlignment="1">
      <alignment horizontal="left" vertical="center"/>
    </xf>
    <xf numFmtId="166" applyNumberFormat="1" fontId="7" fillId="0" borderId="1" xfId="0" applyFont="1" applyBorder="1" applyAlignment="1">
      <alignment horizontal="center" vertical="center" wrapText="1"/>
    </xf>
    <xf numFmtId="166" applyNumberFormat="1" fontId="7" fillId="9" borderId="1" xfId="0" applyFont="1" applyFill="1" applyBorder="1" applyAlignment="1">
      <alignment horizontal="center" vertical="center" wrapText="1"/>
    </xf>
    <xf numFmtId="166" applyNumberFormat="1" fontId="7" fillId="8" borderId="1" xfId="0" applyFont="1" applyFill="1" applyBorder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/>
    </xf>
    <xf numFmtId="0" fontId="25" fillId="0" borderId="3" xfId="0" applyFont="1" applyBorder="1" applyAlignment="1">
      <alignment horizontal="center" vertical="center"/>
    </xf>
    <xf numFmtId="0" fontId="26" fillId="7" borderId="1" xfId="0" applyFont="1" applyFill="1" applyBorder="1" applyAlignment="1">
      <alignment horizontal="left" vertical="center" indent="1"/>
    </xf>
    <xf numFmtId="0" fontId="17" fillId="10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11">
    <dxf>
      <font>
        <b/>
        <sz val="10"/>
        <color rgb="FF9C0006"/>
        <name val="Arial"/>
        <charset val="1"/>
      </font>
    </dxf>
    <dxf>
      <fill>
        <patternFill>
          <bgColor rgb="FFC6EFCE"/>
        </patternFill>
      </fill>
    </dxf>
    <dxf>
      <fill>
        <patternFill>
          <bgColor rgb="FFFFF7DE"/>
        </patternFill>
      </fill>
    </dxf>
    <dxf>
      <font>
        <b/>
        <sz val="11"/>
        <color rgb="FF9C0006"/>
        <name val="Arial"/>
        <charset val="1"/>
      </font>
      <fill>
        <patternFill>
          <bgColor rgb="FFFBD5D5"/>
        </patternFill>
      </fill>
    </dxf>
    <dxf>
      <font>
        <b/>
        <sz val="13"/>
        <color rgb="FF9C0006"/>
        <name val="Arial"/>
        <charset val="1"/>
      </font>
      <fill>
        <patternFill>
          <bgColor rgb="FFFBD5D5"/>
        </patternFill>
      </fill>
    </dxf>
    <dxf>
      <font>
        <b/>
        <sz val="12"/>
        <color rgb="FFFFFFFF"/>
        <name val="Arial"/>
        <charset val="1"/>
      </font>
      <fill>
        <patternFill>
          <bgColor rgb="FF1E6B3A"/>
        </patternFill>
      </fill>
    </dxf>
    <dxf>
      <font>
        <b/>
        <sz val="12"/>
        <color rgb="FFFFFFFF"/>
        <name val="Arial"/>
        <charset val="1"/>
      </font>
      <fill>
        <patternFill>
          <bgColor rgb="FFC00000"/>
        </patternFill>
      </fill>
    </dxf>
    <dxf>
      <font>
        <b/>
        <sz val="10"/>
        <color rgb="FF9C0006"/>
        <name val="Arial"/>
        <charset val="1"/>
      </font>
      <fill>
        <patternFill>
          <bgColor rgb="FFFBD5D5"/>
        </patternFill>
      </fill>
    </dxf>
    <dxf>
      <font>
        <b/>
        <sz val="10"/>
        <color rgb="FF9C0006"/>
        <name val="Arial"/>
        <charset val="1"/>
      </font>
      <fill>
        <patternFill>
          <bgColor rgb="FFFBD5D5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B8860B"/>
      <rgbColor rgb="FF800080"/>
      <rgbColor rgb="FF138D75"/>
      <rgbColor rgb="FFD9D9D9"/>
      <rgbColor rgb="FF808080"/>
      <rgbColor rgb="FF9999FF"/>
      <rgbColor rgb="FF6C3483"/>
      <rgbColor rgb="FFFFF7DE"/>
      <rgbColor rgb="FFE9F1EC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1E6B3A"/>
      <rgbColor rgb="FF0000FF"/>
      <rgbColor rgb="FF00CCFF"/>
      <rgbColor rgb="FFEDF0F5"/>
      <rgbColor rgb="FFC6EFCE"/>
      <rgbColor rgb="FFF4F5F7"/>
      <rgbColor rgb="FFF6F8FB"/>
      <rgbColor rgb="FFFF99CC"/>
      <rgbColor rgb="FFCC99FF"/>
      <rgbColor rgb="FFFBD5D5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7A1F1F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00" Type="http://schemas.openxmlformats.org/officeDocument/2006/relationships/worksheet" Target="worksheets/sheet8.xml"/><Relationship Id="rId101" Type="http://schemas.openxmlformats.org/officeDocument/2006/relationships/worksheet" Target="worksheets/sheet9.xml"/><Relationship Id="rId102" Type="http://schemas.openxmlformats.org/officeDocument/2006/relationships/worksheet" Target="worksheets/sheet10.xml"/><Relationship Id="rId103" Type="http://schemas.openxmlformats.org/officeDocument/2006/relationships/worksheet" Target="worksheets/sheet11.xml"/><Relationship Id="rId104" Type="http://schemas.openxmlformats.org/officeDocument/2006/relationships/worksheet" Target="worksheets/sheet12.xml"/><Relationship Id="rId105" Type="http://schemas.openxmlformats.org/officeDocument/2006/relationships/worksheet" Target="worksheets/sheet13.xml"/><Relationship Id="rId106" Type="http://schemas.openxmlformats.org/officeDocument/2006/relationships/worksheet" Target="worksheets/sheet14.xml"/><Relationship Id="rId107" Type="http://schemas.openxmlformats.org/officeDocument/2006/relationships/worksheet" Target="worksheets/sheet15.xml"/><Relationship Id="rId108" Type="http://schemas.openxmlformats.org/officeDocument/2006/relationships/worksheet" Target="worksheets/sheet16.xml"/><Relationship Id="rId109" Type="http://schemas.openxmlformats.org/officeDocument/2006/relationships/worksheet" Target="worksheets/sheet17.xml"/><Relationship Id="rId110" Type="http://schemas.openxmlformats.org/officeDocument/2006/relationships/worksheet" Target="worksheets/sheet18.xml"/><Relationship Id="rId111" Type="http://schemas.openxmlformats.org/officeDocument/2006/relationships/worksheet" Target="worksheets/sheet19.xml"/><Relationship Id="rId112" Type="http://schemas.openxmlformats.org/officeDocument/2006/relationships/worksheet" Target="worksheets/sheet20.xml"/><Relationship Id="rId113" Type="http://schemas.openxmlformats.org/officeDocument/2006/relationships/worksheet" Target="worksheets/sheet21.xml"/><Relationship Id="rId114" Type="http://schemas.openxmlformats.org/officeDocument/2006/relationships/worksheet" Target="worksheets/sheet22.xml"/><Relationship Id="rId115" Type="http://schemas.openxmlformats.org/officeDocument/2006/relationships/worksheet" Target="worksheets/sheet23.xml"/><Relationship Id="rId116" Type="http://schemas.openxmlformats.org/officeDocument/2006/relationships/worksheet" Target="worksheets/sheet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Effectif par classe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'Statistiques élèves'!$H$3</c:f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'Statistiques élèves'!$G$4:$G$20</c:f>
            </c:strRef>
          </c:cat>
          <c:val>
            <c:numRef>
              <c:f>'Statistiques élèves'!$H$4:$H$20</c:f>
            </c:numRef>
          </c:val>
          <c:extLst>
            <c:ext xmlns:c16="http://schemas.microsoft.com/office/drawing/2014/chart" uri="{C3380CC4-5D6E-409C-BE32-E72D297353CC}">
              <c16:uniqueId val="{00000000-3DE9-4077-BFE1-5587DAC8C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610052"/>
        <c:axId val="51680017"/>
      </c:barChart>
      <c:catAx>
        <c:axId val="366100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1680017"/>
        <c:crosses val="autoZero"/>
        <c:auto val="1"/>
        <c:lblAlgn val="ctr"/>
        <c:lblOffset val="100"/>
        <c:noMultiLvlLbl val="0"/>
      </c:catAx>
      <c:valAx>
        <c:axId val="516800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66100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Filles / Garçons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'Statistiques élèves'!$M$3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319-4ECC-A5F4-F57208874BC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319-4ECC-A5F4-F57208874BC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19-4ECC-A5F4-F57208874BC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19-4ECC-A5F4-F57208874B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'Statistiques élèves'!$L$4:$L$5</c:f>
              <c:strCache>
                <c:ptCount val="2"/>
                <c:pt idx="0">
                  <c:v>Garçons</c:v>
                </c:pt>
                <c:pt idx="1">
                  <c:v>Filles</c:v>
                </c:pt>
              </c:strCache>
            </c:strRef>
          </c:cat>
          <c:val>
            <c:numRef>
              <c:f>'Statistiques élèves'!$M$4:$M$5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19-4ECC-A5F4-F57208874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Recouvrement par cycle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bord'!$F$3</c:f>
              <c:strCache>
                <c:ptCount val="1"/>
                <c:pt idx="0">
                  <c:v>Encaissé</c:v>
                </c:pt>
              </c:strCache>
            </c:strRef>
          </c:tx>
          <c:spPr>
            <a:solidFill>
              <a:srgbClr val="1E6B3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bord'!$E$4:$E$7</c:f>
              <c:strCache>
                <c:ptCount val="4"/>
                <c:pt idx="0">
                  <c:v>Maternelle</c:v>
                </c:pt>
                <c:pt idx="1">
                  <c:v>Primaire</c:v>
                </c:pt>
                <c:pt idx="2">
                  <c:v>Collège</c:v>
                </c:pt>
                <c:pt idx="3">
                  <c:v>Lycée</c:v>
                </c:pt>
              </c:strCache>
            </c:strRef>
          </c:cat>
          <c:val>
            <c:numRef>
              <c:f>'Tableau de bord'!$F$4:$F$7</c:f>
              <c:numCache>
                <c:formatCode>#\ ##0" FCFA"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150000</c:v>
                </c:pt>
                <c:pt idx="3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7-4BCC-8CC3-D166F53094E4}"/>
            </c:ext>
          </c:extLst>
        </c:ser>
        <c:ser>
          <c:idx val="1"/>
          <c:order val="1"/>
          <c:tx>
            <c:strRef>
              <c:f>'Tableau de bord'!$G$3</c:f>
              <c:strCache>
                <c:ptCount val="1"/>
                <c:pt idx="0">
                  <c:v>Reste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bord'!$E$4:$E$7</c:f>
              <c:strCache>
                <c:ptCount val="4"/>
                <c:pt idx="0">
                  <c:v>Maternelle</c:v>
                </c:pt>
                <c:pt idx="1">
                  <c:v>Primaire</c:v>
                </c:pt>
                <c:pt idx="2">
                  <c:v>Collège</c:v>
                </c:pt>
                <c:pt idx="3">
                  <c:v>Lycée</c:v>
                </c:pt>
              </c:strCache>
            </c:strRef>
          </c:cat>
          <c:val>
            <c:numRef>
              <c:f>'Tableau de bord'!$G$4:$G$7</c:f>
              <c:numCache>
                <c:formatCode>#\ ##0" FCFA"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17-4BCC-8CC3-D166F5309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069207"/>
        <c:axId val="69831798"/>
      </c:barChart>
      <c:catAx>
        <c:axId val="82069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9831798"/>
        <c:crosses val="autoZero"/>
        <c:auto val="1"/>
        <c:lblAlgn val="ctr"/>
        <c:lblOffset val="100"/>
        <c:noMultiLvlLbl val="0"/>
      </c:catAx>
      <c:valAx>
        <c:axId val="6983179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20692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Élèves soldés vs en retard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'Tableau de bord'!$F$9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37A-49A7-81B7-0BF990B21BA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37A-49A7-81B7-0BF990B21BA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7A-49A7-81B7-0BF990B21BA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7A-49A7-81B7-0BF990B21B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bord'!$E$10:$E$11</c:f>
              <c:strCache>
                <c:ptCount val="2"/>
                <c:pt idx="0">
                  <c:v>Soldés</c:v>
                </c:pt>
                <c:pt idx="1">
                  <c:v>En retard</c:v>
                </c:pt>
              </c:strCache>
            </c:strRef>
          </c:cat>
          <c:val>
            <c:numRef>
              <c:f>'Tableau de bord'!$F$10:$F$11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7A-49A7-81B7-0BF990B21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41083</xdr:colOff>
      <xdr:row>1</xdr:row>
      <xdr:rowOff>237360</xdr:rowOff>
    </xdr:from>
    <xdr:to>
      <xdr:col>7</xdr:col>
      <xdr:colOff>66467</xdr:colOff>
      <xdr:row>7</xdr:row>
      <xdr:rowOff>132030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F32FDCE7-BEF6-8C66-AAB4-33A0E5820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2667" y="564291"/>
          <a:ext cx="1232513" cy="11961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6</xdr:col>
      <xdr:colOff>0</xdr:colOff>
      <xdr:row>41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26</xdr:row>
      <xdr:rowOff>0</xdr:rowOff>
    </xdr:from>
    <xdr:to>
      <xdr:col>10</xdr:col>
      <xdr:colOff>138240</xdr:colOff>
      <xdr:row>41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4</xdr:col>
      <xdr:colOff>128340</xdr:colOff>
      <xdr:row>27</xdr:row>
      <xdr:rowOff>22320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12</xdr:row>
      <xdr:rowOff>0</xdr:rowOff>
    </xdr:from>
    <xdr:to>
      <xdr:col>9</xdr:col>
      <xdr:colOff>419100</xdr:colOff>
      <xdr:row>27</xdr:row>
      <xdr:rowOff>22320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110000</xdr:colOff>
      <xdr:row>0</xdr:row>
      <xdr:rowOff>30000</xdr:rowOff>
    </xdr:from>
    <xdr:ext cx="700000" cy="685000"/>
    <xdr:pic>
      <xdr:nvPicPr>
        <xdr:cNvPr id="2" name="Logo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0000" cy="685000"/>
        </a:xfrm>
        <a:prstGeom prst="rect">
          <a:avLst/>
        </a:prstGeom>
      </xdr:spPr>
    </xdr:pic>
    <xdr:clientData/>
  </xdr:oneCellAnchor>
  <xdr:oneCellAnchor>
    <xdr:from>
      <xdr:col>1</xdr:col>
      <xdr:colOff>110000</xdr:colOff>
      <xdr:row>17</xdr:row>
      <xdr:rowOff>30000</xdr:rowOff>
    </xdr:from>
    <xdr:ext cx="700000" cy="685000"/>
    <xdr:pic>
      <xdr:nvPicPr>
        <xdr:cNvPr id="3" name="Logo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0000" cy="68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A1F1F"/>
  </sheetPr>
  <dimension ref="A1:D38"/>
  <sheetViews>
    <sheetView showGridLines="0" tabSelected="1" zoomScale="101" zoomScaleNormal="100" workbookViewId="0">
      <selection activeCell="L11" sqref="L11"/>
    </sheetView>
  </sheetViews>
  <sheetFormatPr baseColWidth="10" defaultColWidth="8.6328125" defaultRowHeight="14.5" x14ac:dyDescent="0.35"/>
  <cols>
    <col min="1" max="1" width="22" customWidth="1"/>
    <col min="2" max="2" width="14" customWidth="1"/>
    <col min="3" max="3" width="28.6328125" customWidth="1"/>
    <col min="4" max="4" width="20" customWidth="1"/>
    <col min="5" max="5" width="4" customWidth="1"/>
  </cols>
  <sheetData>
    <row r="1" spans="1:4" ht="25.5" customHeight="1" x14ac:dyDescent="0.35">
      <c r="A1" s="58" t="s">
        <v>0</v>
      </c>
      <c r="B1" s="58"/>
      <c r="C1" s="58"/>
      <c r="D1" s="58"/>
    </row>
    <row r="2" spans="1:4" ht="25.5" customHeight="1" x14ac:dyDescent="0.35">
      <c r="A2" s="58"/>
      <c r="B2" s="58"/>
      <c r="C2" s="58"/>
      <c r="D2" s="58"/>
    </row>
    <row r="3" spans="1:4" ht="19.5" customHeight="1" x14ac:dyDescent="0.35">
      <c r="A3" s="59" t="s">
        <v>1</v>
      </c>
      <c r="B3" s="59"/>
      <c r="C3" s="59"/>
      <c r="D3" s="59"/>
    </row>
    <row r="5" spans="1:4" x14ac:dyDescent="0.35">
      <c r="A5" s="55" t="s">
        <v>2</v>
      </c>
      <c r="B5" s="55"/>
      <c r="C5" s="56" t="s">
        <v>3</v>
      </c>
      <c r="D5" s="56"/>
    </row>
    <row r="6" spans="1:4" x14ac:dyDescent="0.35">
      <c r="A6" s="55" t="s">
        <v>4</v>
      </c>
      <c r="B6" s="55"/>
      <c r="C6" s="56"/>
      <c r="D6" s="56"/>
    </row>
    <row r="7" spans="1:4" x14ac:dyDescent="0.35">
      <c r="A7" s="55" t="s">
        <v>5</v>
      </c>
      <c r="B7" s="55"/>
      <c r="C7" s="56" t="s">
        <v>6</v>
      </c>
      <c r="D7" s="56"/>
    </row>
    <row r="8" spans="1:4" x14ac:dyDescent="0.35">
      <c r="A8" s="55" t="s">
        <v>7</v>
      </c>
      <c r="B8" s="55"/>
      <c r="C8" s="56"/>
      <c r="D8" s="56"/>
    </row>
    <row r="9" spans="1:4" x14ac:dyDescent="0.35">
      <c r="A9" s="55" t="s">
        <v>8</v>
      </c>
      <c r="B9" s="55"/>
      <c r="C9" s="56"/>
      <c r="D9" s="56"/>
    </row>
    <row r="10" spans="1:4" x14ac:dyDescent="0.35">
      <c r="A10" s="55" t="s">
        <v>9</v>
      </c>
      <c r="B10" s="55"/>
      <c r="C10" s="56"/>
      <c r="D10" s="56"/>
    </row>
    <row r="11" spans="1:4" x14ac:dyDescent="0.35">
      <c r="A11" s="55" t="s">
        <v>10</v>
      </c>
      <c r="B11" s="55"/>
      <c r="C11" s="56" t="s">
        <v>11</v>
      </c>
      <c r="D11" s="56"/>
    </row>
    <row r="12" spans="1:4" x14ac:dyDescent="0.35">
      <c r="A12" s="55" t="s">
        <v>12</v>
      </c>
      <c r="B12" s="55"/>
      <c r="C12" s="56" t="s">
        <v>13</v>
      </c>
      <c r="D12" s="56"/>
    </row>
    <row r="13" spans="1:4">
      <c r="A13" s="2" t="inlineStr">
        <is>
          <t>Tableau des scolarités et frais d'inscription (modifiable par classe) :</t>
        </is>
      </c>
    </row>
    <row r="14" spans="1:4">
      <c r="A14" s="3" t="inlineStr">
        <is>
          <t>Classe</t>
        </is>
      </c>
      <c r="B14" s="3" t="inlineStr">
        <is>
          <t>Cycle</t>
        </is>
      </c>
      <c r="C14" s="3" t="inlineStr">
        <is>
          <t>Scolarité annuelle</t>
        </is>
      </c>
      <c r="D14" s="3" t="inlineStr">
        <is>
          <t>Frais d'inscription</t>
        </is>
      </c>
    </row>
    <row r="15" spans="1:4">
      <c r="A15" s="4" t="inlineStr">
        <is>
          <t>Petite section</t>
        </is>
      </c>
      <c r="B15" s="5" t="inlineStr">
        <is>
          <t>Maternelle</t>
        </is>
      </c>
      <c r="C15" s="6">
        <v>150000</v>
      </c>
      <c r="D15" s="6">
        <v>1000</v>
      </c>
    </row>
    <row r="16" spans="1:4">
      <c r="A16" s="7" t="inlineStr">
        <is>
          <t>Grande section</t>
        </is>
      </c>
      <c r="B16" s="8" t="inlineStr">
        <is>
          <t>Maternelle</t>
        </is>
      </c>
      <c r="C16" s="6">
        <v>150000</v>
      </c>
      <c r="D16" s="6">
        <v>1000</v>
      </c>
    </row>
    <row r="17" spans="1:4">
      <c r="A17" s="4" t="inlineStr">
        <is>
          <t>CI</t>
        </is>
      </c>
      <c r="B17" s="5" t="inlineStr">
        <is>
          <t>Primaire</t>
        </is>
      </c>
      <c r="C17" s="6">
        <v>150000</v>
      </c>
      <c r="D17" s="6">
        <v>1000</v>
      </c>
    </row>
    <row r="18" spans="1:4">
      <c r="A18" s="7" t="inlineStr">
        <is>
          <t>CP</t>
        </is>
      </c>
      <c r="B18" s="8" t="inlineStr">
        <is>
          <t>Primaire</t>
        </is>
      </c>
      <c r="C18" s="6">
        <v>150000</v>
      </c>
      <c r="D18" s="6">
        <v>1000</v>
      </c>
    </row>
    <row r="19" spans="1:4">
      <c r="A19" s="4" t="inlineStr">
        <is>
          <t>CE1</t>
        </is>
      </c>
      <c r="B19" s="5" t="inlineStr">
        <is>
          <t>Primaire</t>
        </is>
      </c>
      <c r="C19" s="6">
        <v>150000</v>
      </c>
      <c r="D19" s="6">
        <v>1000</v>
      </c>
    </row>
    <row r="20" spans="1:4">
      <c r="A20" s="7" t="inlineStr">
        <is>
          <t>CE2</t>
        </is>
      </c>
      <c r="B20" s="8" t="inlineStr">
        <is>
          <t>Primaire</t>
        </is>
      </c>
      <c r="C20" s="6">
        <v>150000</v>
      </c>
      <c r="D20" s="6">
        <v>1000</v>
      </c>
    </row>
    <row r="21" spans="1:4">
      <c r="A21" s="4" t="inlineStr">
        <is>
          <t>CM1</t>
        </is>
      </c>
      <c r="B21" s="5" t="inlineStr">
        <is>
          <t>Primaire</t>
        </is>
      </c>
      <c r="C21" s="6">
        <v>150000</v>
      </c>
      <c r="D21" s="6">
        <v>1000</v>
      </c>
    </row>
    <row r="22" spans="1:4">
      <c r="A22" s="7" t="inlineStr">
        <is>
          <t>CM2</t>
        </is>
      </c>
      <c r="B22" s="8" t="inlineStr">
        <is>
          <t>Primaire</t>
        </is>
      </c>
      <c r="C22" s="6">
        <v>150000</v>
      </c>
      <c r="D22" s="6">
        <v>1000</v>
      </c>
    </row>
    <row r="23" spans="1:4">
      <c r="A23" s="4" t="inlineStr">
        <is>
          <t>6e</t>
        </is>
      </c>
      <c r="B23" s="5" t="inlineStr">
        <is>
          <t>Collège</t>
        </is>
      </c>
      <c r="C23" s="6">
        <v>150000</v>
      </c>
      <c r="D23" s="6">
        <v>3000</v>
      </c>
    </row>
    <row r="24" spans="1:4">
      <c r="A24" s="7" t="inlineStr">
        <is>
          <t>5e</t>
        </is>
      </c>
      <c r="B24" s="8" t="inlineStr">
        <is>
          <t>Collège</t>
        </is>
      </c>
      <c r="C24" s="6">
        <v>150000</v>
      </c>
      <c r="D24" s="6">
        <v>3000</v>
      </c>
    </row>
    <row r="25" spans="1:4">
      <c r="A25" s="4" t="inlineStr">
        <is>
          <t>4e</t>
        </is>
      </c>
      <c r="B25" s="5" t="inlineStr">
        <is>
          <t>Collège</t>
        </is>
      </c>
      <c r="C25" s="6">
        <v>150000</v>
      </c>
      <c r="D25" s="6">
        <v>3000</v>
      </c>
    </row>
    <row r="26" spans="1:4">
      <c r="A26" s="7" t="inlineStr">
        <is>
          <t>3e</t>
        </is>
      </c>
      <c r="B26" s="8" t="inlineStr">
        <is>
          <t>Collège</t>
        </is>
      </c>
      <c r="C26" s="6">
        <v>150000</v>
      </c>
      <c r="D26" s="6">
        <v>3000</v>
      </c>
    </row>
    <row r="27" spans="1:4">
      <c r="A27" s="4" t="inlineStr">
        <is>
          <t>2nde</t>
        </is>
      </c>
      <c r="B27" s="5" t="inlineStr">
        <is>
          <t>Lycée</t>
        </is>
      </c>
      <c r="C27" s="6">
        <v>150000</v>
      </c>
      <c r="D27" s="6">
        <v>3000</v>
      </c>
    </row>
    <row r="28" spans="1:4">
      <c r="A28" s="7" t="inlineStr">
        <is>
          <t>1ère A</t>
        </is>
      </c>
      <c r="B28" s="8" t="inlineStr">
        <is>
          <t>Lycée</t>
        </is>
      </c>
      <c r="C28" s="6">
        <v>150000</v>
      </c>
      <c r="D28" s="6">
        <v>3000</v>
      </c>
    </row>
    <row r="29" spans="1:4">
      <c r="A29" s="4" t="inlineStr">
        <is>
          <t>1ère D</t>
        </is>
      </c>
      <c r="B29" s="5" t="inlineStr">
        <is>
          <t>Lycée</t>
        </is>
      </c>
      <c r="C29" s="6">
        <v>150000</v>
      </c>
      <c r="D29" s="6">
        <v>3000</v>
      </c>
    </row>
    <row r="30" spans="1:4">
      <c r="A30" s="7" t="inlineStr">
        <is>
          <t>Terminale A</t>
        </is>
      </c>
      <c r="B30" s="8" t="inlineStr">
        <is>
          <t>Lycée</t>
        </is>
      </c>
      <c r="C30" s="6">
        <v>150000</v>
      </c>
      <c r="D30" s="6">
        <v>3000</v>
      </c>
    </row>
    <row r="31" spans="1:4">
      <c r="A31" s="4" t="inlineStr">
        <is>
          <t>Terminale D</t>
        </is>
      </c>
      <c r="B31" s="5" t="inlineStr">
        <is>
          <t>Lycée</t>
        </is>
      </c>
      <c r="C31" s="6">
        <v>150000</v>
      </c>
      <c r="D31" s="6">
        <v>3000</v>
      </c>
    </row>
    <row r="33" spans="1:4" ht="15" customHeight="1">
      <c r="A33" s="57" t="inlineStr">
        <is>
          <t xml:space="preserve">Mode d'emploi :
• Cellules JAUNES = montants à saisir. Ne modifiez pas les colonnes calculées (grises).
• N'insérez pas de ligne/colonne dans les tableaux (préserve les formules).
• Saisissez les élèves dans la feuille de leur classe (onglets « Classe … », 80 élèves maximum par classe).
• « Liste des élèves » est un registre général automatique (lecture seule) : récap, tableau de bord et impayés s'en servent.
• Onglet « Reçu de paiement » : tapez un matricule ; 2 reçus (parent + souche) s'impriment sur une feuille A4.</t>
        </is>
      </c>
      <c r="B33" s="57"/>
      <c r="C33" s="57"/>
      <c r="D33" s="57"/>
    </row>
    <row r="34" spans="1:4">
      <c r="A34" s="57"/>
      <c r="B34" s="57"/>
      <c r="C34" s="57"/>
      <c r="D34" s="57"/>
    </row>
    <row r="35" spans="1:4">
      <c r="A35" s="57"/>
      <c r="B35" s="57"/>
      <c r="C35" s="57"/>
      <c r="D35" s="57"/>
    </row>
    <row r="36" spans="1:4">
      <c r="A36" s="57"/>
      <c r="B36" s="57"/>
      <c r="C36" s="57"/>
      <c r="D36" s="57"/>
    </row>
    <row r="37" spans="1:4">
      <c r="A37" s="57"/>
      <c r="B37" s="57"/>
      <c r="C37" s="57"/>
      <c r="D37" s="57"/>
    </row>
    <row r="38" spans="1:4">
      <c r="A38" s="57"/>
      <c r="B38" s="57"/>
      <c r="C38" s="57"/>
      <c r="D38" s="57"/>
    </row>
  </sheetData>
  <mergeCells count="19">
    <mergeCell ref="A1:D2"/>
    <mergeCell ref="A3:D3"/>
    <mergeCell ref="A5:B5"/>
    <mergeCell ref="C5:D5"/>
    <mergeCell ref="A6:B6"/>
    <mergeCell ref="C6:D6"/>
    <mergeCell ref="A7:B7"/>
    <mergeCell ref="C7:D7"/>
    <mergeCell ref="A8:B8"/>
    <mergeCell ref="C8:D8"/>
    <mergeCell ref="A12:B12"/>
    <mergeCell ref="C12:D12"/>
    <mergeCell ref="A33:D38"/>
    <mergeCell ref="A9:B9"/>
    <mergeCell ref="C9:D9"/>
    <mergeCell ref="A10:B10"/>
    <mergeCell ref="C10:D10"/>
    <mergeCell ref="A11:B11"/>
    <mergeCell ref="C11:D11"/>
  </mergeCells>
  <dataValidations count="1">
    <dataValidation type="list" allowBlank="1" sqref="C11" xr:uid="{00000000-0002-0000-0000-000000000000}">
      <formula1>"2024-2025,2025-2026,2026-2027,2027-2028,2028-2029,2029-2030"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3864"/>
    <pageSetUpPr fitToPage="1"/>
  </sheetPr>
  <dimension ref="A1:T1363"/>
  <sheetViews>
    <sheetView showGridLines="0" zoomScale="95" zoomScaleNormal="10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26" customWidth="1"/>
    <col min="5" max="5" width="14" customWidth="1"/>
    <col min="6" max="6" width="12" customWidth="1"/>
    <col min="7" max="7" width="7" customWidth="1"/>
    <col min="8" max="8" width="14" customWidth="1"/>
    <col min="9" max="9" width="18" customWidth="1"/>
    <col min="10" max="10" width="16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6" customWidth="1"/>
    <col min="19" max="19" width="16" customWidth="1"/>
    <col min="20" max="20" width="16" customWidth="1"/>
  </cols>
  <sheetData>
    <row r="1" ht="27.75" customHeight="1">
      <c r="A1" s="53" t="inlineStr">
        <is>
          <t>REGISTRE GÉNÉRAL DES ÉLÈVES — LECTURE SEULE</t>
        </is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ht="18" customHeight="1">
      <c r="A2" s="54" t="inlineStr">
        <is>
          <t>Cette feuille se remplit automatiquement à partir des feuilles « Classe … ». La saisie se fait dans la feuille de chaque classe, pas ici.</t>
        </is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Nom complet</t>
        </is>
      </c>
      <c r="E3" s="3" t="inlineStr">
        <is>
          <t>Classe</t>
        </is>
      </c>
      <c r="F3" s="3" t="inlineStr">
        <is>
          <t>Cycle</t>
        </is>
      </c>
      <c r="G3" s="3" t="inlineStr">
        <is>
          <t>Sexe</t>
        </is>
      </c>
      <c r="H3" s="3" t="inlineStr">
        <is>
          <t>Date de naissance</t>
        </is>
      </c>
      <c r="I3" s="3" t="inlineStr">
        <is>
          <t>Nom du tuteur</t>
        </is>
      </c>
      <c r="J3" s="3" t="inlineStr">
        <is>
          <t>Téléphone</t>
        </is>
      </c>
      <c r="K3" s="3" t="inlineStr">
        <is>
          <t>Scolarité due</t>
        </is>
      </c>
      <c r="L3" s="3" t="inlineStr">
        <is>
          <t>Tranche 1</t>
        </is>
      </c>
      <c r="M3" s="3" t="inlineStr">
        <is>
          <t>Tranche 2</t>
        </is>
      </c>
      <c r="N3" s="3" t="inlineStr">
        <is>
          <t>Tranche 3</t>
        </is>
      </c>
      <c r="O3" s="3" t="inlineStr">
        <is>
          <t>Total payé</t>
        </is>
      </c>
      <c r="P3" s="3" t="inlineStr">
        <is>
          <t>Reste à payer</t>
        </is>
      </c>
      <c r="Q3" s="3" t="inlineStr">
        <is>
          <t>Statut</t>
        </is>
      </c>
      <c r="R3" s="3" t="inlineStr">
        <is>
          <t>Inscription due</t>
        </is>
      </c>
      <c r="S3" s="3" t="inlineStr">
        <is>
          <t>Inscription payée</t>
        </is>
      </c>
      <c r="T3" s="3" t="inlineStr">
        <is>
          <t>Reste inscription</t>
        </is>
      </c>
    </row>
    <row r="4">
      <c r="A4" s="20" t="str">
        <f>IF('Classe Petite section'!$B4="","",IF('Classe Petite section'!A4="","",'Classe Petite section'!A4))</f>
        <v/>
      </c>
      <c r="B4" s="20" t="str">
        <f>IF('Classe Petite section'!$B4="","",IF('Classe Petite section'!B4="","",'Classe Petite section'!B4))</f>
        <v/>
      </c>
      <c r="C4" s="20" t="str">
        <f>IF('Classe Petite section'!$B4="","",IF('Classe Petite section'!C4="","",'Classe Petite section'!C4))</f>
        <v/>
      </c>
      <c r="D4" s="20" t="str">
        <f>IF($B4="","",C4&amp;" "&amp;B4&amp;" - "&amp;E4)</f>
        <v/>
      </c>
      <c r="E4" s="21" t="str">
        <f>IF($B4="","",Paramètres!$A$15)</f>
        <v/>
      </c>
      <c r="F4" s="21" t="str">
        <f>IF($B4="","",Paramètres!$B$15)</f>
        <v/>
      </c>
      <c r="G4" s="21" t="str">
        <f>IF('Classe Petite section'!$B4="","",IF('Classe Petite section'!D4="","",'Classe Petite section'!D4))</f>
        <v/>
      </c>
      <c r="H4" s="77" t="str">
        <f>IF('Classe Petite section'!$B4="","",IF('Classe Petite section'!E4="","",'Classe Petite section'!E4))</f>
        <v/>
      </c>
      <c r="I4" s="20" t="str">
        <f>IF('Classe Petite section'!$B4="","",IF('Classe Petite section'!F4="","",'Classe Petite section'!F4))</f>
        <v/>
      </c>
      <c r="J4" s="20" t="str">
        <f>IF('Classe Petite section'!$B4="","",IF('Classe Petite section'!G4="","",'Classe Petite section'!G4))</f>
        <v/>
      </c>
      <c r="K4" s="51" t="str">
        <f>IF('Classe Petite section'!$B4="","",N('Classe Petite section'!H4))</f>
        <v/>
      </c>
      <c r="L4" s="51" t="str">
        <f>IF('Classe Petite section'!$B4="","",N('Classe Petite section'!I4))</f>
        <v/>
      </c>
      <c r="M4" s="51" t="str">
        <f>IF('Classe Petite section'!$B4="","",N('Classe Petite section'!J4))</f>
        <v/>
      </c>
      <c r="N4" s="51" t="str">
        <f>IF('Classe Petite section'!$B4="","",N('Classe Petite section'!K4))</f>
        <v/>
      </c>
      <c r="O4" s="51" t="str">
        <f>IF('Classe Petite section'!$B4="","",N('Classe Petite section'!L4))</f>
        <v/>
      </c>
      <c r="P4" s="51" t="str">
        <f>IF('Classe Petite section'!$B4="","",N('Classe Petite section'!M4))</f>
        <v/>
      </c>
      <c r="Q4" s="21" t="str">
        <f>IF('Classe Petite section'!$B4="","",IF('Classe Petite section'!Q4="","",'Classe Petite section'!Q4))</f>
        <v/>
      </c>
      <c r="R4" s="51" t="str">
        <f>IF('Classe Petite section'!$B4="","",N('Classe Petite section'!N4))</f>
        <v/>
      </c>
      <c r="S4" s="51" t="str">
        <f>IF('Classe Petite section'!$B4="","",N('Classe Petite section'!O4))</f>
        <v/>
      </c>
      <c r="T4" s="51" t="str">
        <f>IF('Classe Petite section'!$B4="","",N('Classe Petite section'!P4))</f>
        <v/>
      </c>
    </row>
    <row r="5">
      <c r="A5" s="16" t="str">
        <f>IF('Classe Petite section'!$B5="","",IF('Classe Petite section'!A5="","",'Classe Petite section'!A5))</f>
        <v/>
      </c>
      <c r="B5" s="16" t="str">
        <f>IF('Classe Petite section'!$B5="","",IF('Classe Petite section'!B5="","",'Classe Petite section'!B5))</f>
        <v/>
      </c>
      <c r="C5" s="16" t="str">
        <f>IF('Classe Petite section'!$B5="","",IF('Classe Petite section'!C5="","",'Classe Petite section'!C5))</f>
        <v/>
      </c>
      <c r="D5" s="16" t="str">
        <f>IF($B5="","",C5&amp;" "&amp;B5&amp;" - "&amp;E5)</f>
        <v/>
      </c>
      <c r="E5" s="17" t="str">
        <f>IF($B5="","",Paramètres!$A$15)</f>
        <v/>
      </c>
      <c r="F5" s="17" t="str">
        <f>IF($B5="","",Paramètres!$B$15)</f>
        <v/>
      </c>
      <c r="G5" s="17" t="str">
        <f>IF('Classe Petite section'!$B5="","",IF('Classe Petite section'!D5="","",'Classe Petite section'!D5))</f>
        <v/>
      </c>
      <c r="H5" s="78" t="str">
        <f>IF('Classe Petite section'!$B5="","",IF('Classe Petite section'!E5="","",'Classe Petite section'!E5))</f>
        <v/>
      </c>
      <c r="I5" s="16" t="str">
        <f>IF('Classe Petite section'!$B5="","",IF('Classe Petite section'!F5="","",'Classe Petite section'!F5))</f>
        <v/>
      </c>
      <c r="J5" s="16" t="str">
        <f>IF('Classe Petite section'!$B5="","",IF('Classe Petite section'!G5="","",'Classe Petite section'!G5))</f>
        <v/>
      </c>
      <c r="K5" s="18" t="str">
        <f>IF('Classe Petite section'!$B5="","",N('Classe Petite section'!H5))</f>
        <v/>
      </c>
      <c r="L5" s="18" t="str">
        <f>IF('Classe Petite section'!$B5="","",N('Classe Petite section'!I5))</f>
        <v/>
      </c>
      <c r="M5" s="18" t="str">
        <f>IF('Classe Petite section'!$B5="","",N('Classe Petite section'!J5))</f>
        <v/>
      </c>
      <c r="N5" s="18" t="str">
        <f>IF('Classe Petite section'!$B5="","",N('Classe Petite section'!K5))</f>
        <v/>
      </c>
      <c r="O5" s="18" t="str">
        <f>IF('Classe Petite section'!$B5="","",N('Classe Petite section'!L5))</f>
        <v/>
      </c>
      <c r="P5" s="18" t="str">
        <f>IF('Classe Petite section'!$B5="","",N('Classe Petite section'!M5))</f>
        <v/>
      </c>
      <c r="Q5" s="17" t="str">
        <f>IF('Classe Petite section'!$B5="","",IF('Classe Petite section'!Q5="","",'Classe Petite section'!Q5))</f>
        <v/>
      </c>
      <c r="R5" s="18" t="str">
        <f>IF('Classe Petite section'!$B5="","",N('Classe Petite section'!N5))</f>
        <v/>
      </c>
      <c r="S5" s="18" t="str">
        <f>IF('Classe Petite section'!$B5="","",N('Classe Petite section'!O5))</f>
        <v/>
      </c>
      <c r="T5" s="18" t="str">
        <f>IF('Classe Petite section'!$B5="","",N('Classe Petite section'!P5))</f>
        <v/>
      </c>
    </row>
    <row r="6">
      <c r="A6" s="20" t="str">
        <f>IF('Classe Petite section'!$B6="","",IF('Classe Petite section'!A6="","",'Classe Petite section'!A6))</f>
        <v/>
      </c>
      <c r="B6" s="20" t="str">
        <f>IF('Classe Petite section'!$B6="","",IF('Classe Petite section'!B6="","",'Classe Petite section'!B6))</f>
        <v/>
      </c>
      <c r="C6" s="20" t="str">
        <f>IF('Classe Petite section'!$B6="","",IF('Classe Petite section'!C6="","",'Classe Petite section'!C6))</f>
        <v/>
      </c>
      <c r="D6" s="20" t="str">
        <f>IF($B6="","",C6&amp;" "&amp;B6&amp;" - "&amp;E6)</f>
        <v/>
      </c>
      <c r="E6" s="21" t="str">
        <f>IF($B6="","",Paramètres!$A$15)</f>
        <v/>
      </c>
      <c r="F6" s="21" t="str">
        <f>IF($B6="","",Paramètres!$B$15)</f>
        <v/>
      </c>
      <c r="G6" s="21" t="str">
        <f>IF('Classe Petite section'!$B6="","",IF('Classe Petite section'!D6="","",'Classe Petite section'!D6))</f>
        <v/>
      </c>
      <c r="H6" s="77" t="str">
        <f>IF('Classe Petite section'!$B6="","",IF('Classe Petite section'!E6="","",'Classe Petite section'!E6))</f>
        <v/>
      </c>
      <c r="I6" s="20" t="str">
        <f>IF('Classe Petite section'!$B6="","",IF('Classe Petite section'!F6="","",'Classe Petite section'!F6))</f>
        <v/>
      </c>
      <c r="J6" s="20" t="str">
        <f>IF('Classe Petite section'!$B6="","",IF('Classe Petite section'!G6="","",'Classe Petite section'!G6))</f>
        <v/>
      </c>
      <c r="K6" s="51" t="str">
        <f>IF('Classe Petite section'!$B6="","",N('Classe Petite section'!H6))</f>
        <v/>
      </c>
      <c r="L6" s="51" t="str">
        <f>IF('Classe Petite section'!$B6="","",N('Classe Petite section'!I6))</f>
        <v/>
      </c>
      <c r="M6" s="51" t="str">
        <f>IF('Classe Petite section'!$B6="","",N('Classe Petite section'!J6))</f>
        <v/>
      </c>
      <c r="N6" s="51" t="str">
        <f>IF('Classe Petite section'!$B6="","",N('Classe Petite section'!K6))</f>
        <v/>
      </c>
      <c r="O6" s="51" t="str">
        <f>IF('Classe Petite section'!$B6="","",N('Classe Petite section'!L6))</f>
        <v/>
      </c>
      <c r="P6" s="51" t="str">
        <f>IF('Classe Petite section'!$B6="","",N('Classe Petite section'!M6))</f>
        <v/>
      </c>
      <c r="Q6" s="21" t="str">
        <f>IF('Classe Petite section'!$B6="","",IF('Classe Petite section'!Q6="","",'Classe Petite section'!Q6))</f>
        <v/>
      </c>
      <c r="R6" s="51" t="str">
        <f>IF('Classe Petite section'!$B6="","",N('Classe Petite section'!N6))</f>
        <v/>
      </c>
      <c r="S6" s="51" t="str">
        <f>IF('Classe Petite section'!$B6="","",N('Classe Petite section'!O6))</f>
        <v/>
      </c>
      <c r="T6" s="51" t="str">
        <f>IF('Classe Petite section'!$B6="","",N('Classe Petite section'!P6))</f>
        <v/>
      </c>
    </row>
    <row r="7">
      <c r="A7" s="16" t="str">
        <f>IF('Classe Petite section'!$B7="","",IF('Classe Petite section'!A7="","",'Classe Petite section'!A7))</f>
        <v/>
      </c>
      <c r="B7" s="16" t="str">
        <f>IF('Classe Petite section'!$B7="","",IF('Classe Petite section'!B7="","",'Classe Petite section'!B7))</f>
        <v/>
      </c>
      <c r="C7" s="16" t="str">
        <f>IF('Classe Petite section'!$B7="","",IF('Classe Petite section'!C7="","",'Classe Petite section'!C7))</f>
        <v/>
      </c>
      <c r="D7" s="16" t="str">
        <f>IF($B7="","",C7&amp;" "&amp;B7&amp;" - "&amp;E7)</f>
        <v/>
      </c>
      <c r="E7" s="17" t="str">
        <f>IF($B7="","",Paramètres!$A$15)</f>
        <v/>
      </c>
      <c r="F7" s="17" t="str">
        <f>IF($B7="","",Paramètres!$B$15)</f>
        <v/>
      </c>
      <c r="G7" s="17" t="str">
        <f>IF('Classe Petite section'!$B7="","",IF('Classe Petite section'!D7="","",'Classe Petite section'!D7))</f>
        <v/>
      </c>
      <c r="H7" s="78" t="str">
        <f>IF('Classe Petite section'!$B7="","",IF('Classe Petite section'!E7="","",'Classe Petite section'!E7))</f>
        <v/>
      </c>
      <c r="I7" s="16" t="str">
        <f>IF('Classe Petite section'!$B7="","",IF('Classe Petite section'!F7="","",'Classe Petite section'!F7))</f>
        <v/>
      </c>
      <c r="J7" s="16" t="str">
        <f>IF('Classe Petite section'!$B7="","",IF('Classe Petite section'!G7="","",'Classe Petite section'!G7))</f>
        <v/>
      </c>
      <c r="K7" s="18" t="str">
        <f>IF('Classe Petite section'!$B7="","",N('Classe Petite section'!H7))</f>
        <v/>
      </c>
      <c r="L7" s="18" t="str">
        <f>IF('Classe Petite section'!$B7="","",N('Classe Petite section'!I7))</f>
        <v/>
      </c>
      <c r="M7" s="18" t="str">
        <f>IF('Classe Petite section'!$B7="","",N('Classe Petite section'!J7))</f>
        <v/>
      </c>
      <c r="N7" s="18" t="str">
        <f>IF('Classe Petite section'!$B7="","",N('Classe Petite section'!K7))</f>
        <v/>
      </c>
      <c r="O7" s="18" t="str">
        <f>IF('Classe Petite section'!$B7="","",N('Classe Petite section'!L7))</f>
        <v/>
      </c>
      <c r="P7" s="18" t="str">
        <f>IF('Classe Petite section'!$B7="","",N('Classe Petite section'!M7))</f>
        <v/>
      </c>
      <c r="Q7" s="17" t="str">
        <f>IF('Classe Petite section'!$B7="","",IF('Classe Petite section'!Q7="","",'Classe Petite section'!Q7))</f>
        <v/>
      </c>
      <c r="R7" s="18" t="str">
        <f>IF('Classe Petite section'!$B7="","",N('Classe Petite section'!N7))</f>
        <v/>
      </c>
      <c r="S7" s="18" t="str">
        <f>IF('Classe Petite section'!$B7="","",N('Classe Petite section'!O7))</f>
        <v/>
      </c>
      <c r="T7" s="18" t="str">
        <f>IF('Classe Petite section'!$B7="","",N('Classe Petite section'!P7))</f>
        <v/>
      </c>
    </row>
    <row r="8">
      <c r="A8" s="20" t="str">
        <f>IF('Classe Petite section'!$B8="","",IF('Classe Petite section'!A8="","",'Classe Petite section'!A8))</f>
        <v/>
      </c>
      <c r="B8" s="20" t="str">
        <f>IF('Classe Petite section'!$B8="","",IF('Classe Petite section'!B8="","",'Classe Petite section'!B8))</f>
        <v/>
      </c>
      <c r="C8" s="20" t="str">
        <f>IF('Classe Petite section'!$B8="","",IF('Classe Petite section'!C8="","",'Classe Petite section'!C8))</f>
        <v/>
      </c>
      <c r="D8" s="20" t="str">
        <f>IF($B8="","",C8&amp;" "&amp;B8&amp;" - "&amp;E8)</f>
        <v/>
      </c>
      <c r="E8" s="21" t="str">
        <f>IF($B8="","",Paramètres!$A$15)</f>
        <v/>
      </c>
      <c r="F8" s="21" t="str">
        <f>IF($B8="","",Paramètres!$B$15)</f>
        <v/>
      </c>
      <c r="G8" s="21" t="str">
        <f>IF('Classe Petite section'!$B8="","",IF('Classe Petite section'!D8="","",'Classe Petite section'!D8))</f>
        <v/>
      </c>
      <c r="H8" s="77" t="str">
        <f>IF('Classe Petite section'!$B8="","",IF('Classe Petite section'!E8="","",'Classe Petite section'!E8))</f>
        <v/>
      </c>
      <c r="I8" s="20" t="str">
        <f>IF('Classe Petite section'!$B8="","",IF('Classe Petite section'!F8="","",'Classe Petite section'!F8))</f>
        <v/>
      </c>
      <c r="J8" s="20" t="str">
        <f>IF('Classe Petite section'!$B8="","",IF('Classe Petite section'!G8="","",'Classe Petite section'!G8))</f>
        <v/>
      </c>
      <c r="K8" s="51" t="str">
        <f>IF('Classe Petite section'!$B8="","",N('Classe Petite section'!H8))</f>
        <v/>
      </c>
      <c r="L8" s="51" t="str">
        <f>IF('Classe Petite section'!$B8="","",N('Classe Petite section'!I8))</f>
        <v/>
      </c>
      <c r="M8" s="51" t="str">
        <f>IF('Classe Petite section'!$B8="","",N('Classe Petite section'!J8))</f>
        <v/>
      </c>
      <c r="N8" s="51" t="str">
        <f>IF('Classe Petite section'!$B8="","",N('Classe Petite section'!K8))</f>
        <v/>
      </c>
      <c r="O8" s="51" t="str">
        <f>IF('Classe Petite section'!$B8="","",N('Classe Petite section'!L8))</f>
        <v/>
      </c>
      <c r="P8" s="51" t="str">
        <f>IF('Classe Petite section'!$B8="","",N('Classe Petite section'!M8))</f>
        <v/>
      </c>
      <c r="Q8" s="21" t="str">
        <f>IF('Classe Petite section'!$B8="","",IF('Classe Petite section'!Q8="","",'Classe Petite section'!Q8))</f>
        <v/>
      </c>
      <c r="R8" s="51" t="str">
        <f>IF('Classe Petite section'!$B8="","",N('Classe Petite section'!N8))</f>
        <v/>
      </c>
      <c r="S8" s="51" t="str">
        <f>IF('Classe Petite section'!$B8="","",N('Classe Petite section'!O8))</f>
        <v/>
      </c>
      <c r="T8" s="51" t="str">
        <f>IF('Classe Petite section'!$B8="","",N('Classe Petite section'!P8))</f>
        <v/>
      </c>
    </row>
    <row r="9">
      <c r="A9" s="16" t="str">
        <f>IF('Classe Petite section'!$B9="","",IF('Classe Petite section'!A9="","",'Classe Petite section'!A9))</f>
        <v/>
      </c>
      <c r="B9" s="16" t="str">
        <f>IF('Classe Petite section'!$B9="","",IF('Classe Petite section'!B9="","",'Classe Petite section'!B9))</f>
        <v/>
      </c>
      <c r="C9" s="16" t="str">
        <f>IF('Classe Petite section'!$B9="","",IF('Classe Petite section'!C9="","",'Classe Petite section'!C9))</f>
        <v/>
      </c>
      <c r="D9" s="16" t="str">
        <f>IF($B9="","",C9&amp;" "&amp;B9&amp;" - "&amp;E9)</f>
        <v/>
      </c>
      <c r="E9" s="17" t="str">
        <f>IF($B9="","",Paramètres!$A$15)</f>
        <v/>
      </c>
      <c r="F9" s="17" t="str">
        <f>IF($B9="","",Paramètres!$B$15)</f>
        <v/>
      </c>
      <c r="G9" s="17" t="str">
        <f>IF('Classe Petite section'!$B9="","",IF('Classe Petite section'!D9="","",'Classe Petite section'!D9))</f>
        <v/>
      </c>
      <c r="H9" s="78" t="str">
        <f>IF('Classe Petite section'!$B9="","",IF('Classe Petite section'!E9="","",'Classe Petite section'!E9))</f>
        <v/>
      </c>
      <c r="I9" s="16" t="str">
        <f>IF('Classe Petite section'!$B9="","",IF('Classe Petite section'!F9="","",'Classe Petite section'!F9))</f>
        <v/>
      </c>
      <c r="J9" s="16" t="str">
        <f>IF('Classe Petite section'!$B9="","",IF('Classe Petite section'!G9="","",'Classe Petite section'!G9))</f>
        <v/>
      </c>
      <c r="K9" s="18" t="str">
        <f>IF('Classe Petite section'!$B9="","",N('Classe Petite section'!H9))</f>
        <v/>
      </c>
      <c r="L9" s="18" t="str">
        <f>IF('Classe Petite section'!$B9="","",N('Classe Petite section'!I9))</f>
        <v/>
      </c>
      <c r="M9" s="18" t="str">
        <f>IF('Classe Petite section'!$B9="","",N('Classe Petite section'!J9))</f>
        <v/>
      </c>
      <c r="N9" s="18" t="str">
        <f>IF('Classe Petite section'!$B9="","",N('Classe Petite section'!K9))</f>
        <v/>
      </c>
      <c r="O9" s="18" t="str">
        <f>IF('Classe Petite section'!$B9="","",N('Classe Petite section'!L9))</f>
        <v/>
      </c>
      <c r="P9" s="18" t="str">
        <f>IF('Classe Petite section'!$B9="","",N('Classe Petite section'!M9))</f>
        <v/>
      </c>
      <c r="Q9" s="17" t="str">
        <f>IF('Classe Petite section'!$B9="","",IF('Classe Petite section'!Q9="","",'Classe Petite section'!Q9))</f>
        <v/>
      </c>
      <c r="R9" s="18" t="str">
        <f>IF('Classe Petite section'!$B9="","",N('Classe Petite section'!N9))</f>
        <v/>
      </c>
      <c r="S9" s="18" t="str">
        <f>IF('Classe Petite section'!$B9="","",N('Classe Petite section'!O9))</f>
        <v/>
      </c>
      <c r="T9" s="18" t="str">
        <f>IF('Classe Petite section'!$B9="","",N('Classe Petite section'!P9))</f>
        <v/>
      </c>
    </row>
    <row r="10">
      <c r="A10" s="20" t="str">
        <f>IF('Classe Petite section'!$B10="","",IF('Classe Petite section'!A10="","",'Classe Petite section'!A10))</f>
        <v/>
      </c>
      <c r="B10" s="20" t="str">
        <f>IF('Classe Petite section'!$B10="","",IF('Classe Petite section'!B10="","",'Classe Petite section'!B10))</f>
        <v/>
      </c>
      <c r="C10" s="20" t="str">
        <f>IF('Classe Petite section'!$B10="","",IF('Classe Petite section'!C10="","",'Classe Petite section'!C10))</f>
        <v/>
      </c>
      <c r="D10" s="20" t="str">
        <f>IF($B10="","",C10&amp;" "&amp;B10&amp;" - "&amp;E10)</f>
        <v/>
      </c>
      <c r="E10" s="21" t="str">
        <f>IF($B10="","",Paramètres!$A$15)</f>
        <v/>
      </c>
      <c r="F10" s="21" t="str">
        <f>IF($B10="","",Paramètres!$B$15)</f>
        <v/>
      </c>
      <c r="G10" s="21" t="str">
        <f>IF('Classe Petite section'!$B10="","",IF('Classe Petite section'!D10="","",'Classe Petite section'!D10))</f>
        <v/>
      </c>
      <c r="H10" s="77" t="str">
        <f>IF('Classe Petite section'!$B10="","",IF('Classe Petite section'!E10="","",'Classe Petite section'!E10))</f>
        <v/>
      </c>
      <c r="I10" s="20" t="str">
        <f>IF('Classe Petite section'!$B10="","",IF('Classe Petite section'!F10="","",'Classe Petite section'!F10))</f>
        <v/>
      </c>
      <c r="J10" s="20" t="str">
        <f>IF('Classe Petite section'!$B10="","",IF('Classe Petite section'!G10="","",'Classe Petite section'!G10))</f>
        <v/>
      </c>
      <c r="K10" s="51" t="str">
        <f>IF('Classe Petite section'!$B10="","",N('Classe Petite section'!H10))</f>
        <v/>
      </c>
      <c r="L10" s="51" t="str">
        <f>IF('Classe Petite section'!$B10="","",N('Classe Petite section'!I10))</f>
        <v/>
      </c>
      <c r="M10" s="51" t="str">
        <f>IF('Classe Petite section'!$B10="","",N('Classe Petite section'!J10))</f>
        <v/>
      </c>
      <c r="N10" s="51" t="str">
        <f>IF('Classe Petite section'!$B10="","",N('Classe Petite section'!K10))</f>
        <v/>
      </c>
      <c r="O10" s="51" t="str">
        <f>IF('Classe Petite section'!$B10="","",N('Classe Petite section'!L10))</f>
        <v/>
      </c>
      <c r="P10" s="51" t="str">
        <f>IF('Classe Petite section'!$B10="","",N('Classe Petite section'!M10))</f>
        <v/>
      </c>
      <c r="Q10" s="21" t="str">
        <f>IF('Classe Petite section'!$B10="","",IF('Classe Petite section'!Q10="","",'Classe Petite section'!Q10))</f>
        <v/>
      </c>
      <c r="R10" s="51" t="str">
        <f>IF('Classe Petite section'!$B10="","",N('Classe Petite section'!N10))</f>
        <v/>
      </c>
      <c r="S10" s="51" t="str">
        <f>IF('Classe Petite section'!$B10="","",N('Classe Petite section'!O10))</f>
        <v/>
      </c>
      <c r="T10" s="51" t="str">
        <f>IF('Classe Petite section'!$B10="","",N('Classe Petite section'!P10))</f>
        <v/>
      </c>
    </row>
    <row r="11">
      <c r="A11" s="16" t="str">
        <f>IF('Classe Petite section'!$B11="","",IF('Classe Petite section'!A11="","",'Classe Petite section'!A11))</f>
        <v/>
      </c>
      <c r="B11" s="16" t="str">
        <f>IF('Classe Petite section'!$B11="","",IF('Classe Petite section'!B11="","",'Classe Petite section'!B11))</f>
        <v/>
      </c>
      <c r="C11" s="16" t="str">
        <f>IF('Classe Petite section'!$B11="","",IF('Classe Petite section'!C11="","",'Classe Petite section'!C11))</f>
        <v/>
      </c>
      <c r="D11" s="16" t="str">
        <f>IF($B11="","",C11&amp;" "&amp;B11&amp;" - "&amp;E11)</f>
        <v/>
      </c>
      <c r="E11" s="17" t="str">
        <f>IF($B11="","",Paramètres!$A$15)</f>
        <v/>
      </c>
      <c r="F11" s="17" t="str">
        <f>IF($B11="","",Paramètres!$B$15)</f>
        <v/>
      </c>
      <c r="G11" s="17" t="str">
        <f>IF('Classe Petite section'!$B11="","",IF('Classe Petite section'!D11="","",'Classe Petite section'!D11))</f>
        <v/>
      </c>
      <c r="H11" s="78" t="str">
        <f>IF('Classe Petite section'!$B11="","",IF('Classe Petite section'!E11="","",'Classe Petite section'!E11))</f>
        <v/>
      </c>
      <c r="I11" s="16" t="str">
        <f>IF('Classe Petite section'!$B11="","",IF('Classe Petite section'!F11="","",'Classe Petite section'!F11))</f>
        <v/>
      </c>
      <c r="J11" s="16" t="str">
        <f>IF('Classe Petite section'!$B11="","",IF('Classe Petite section'!G11="","",'Classe Petite section'!G11))</f>
        <v/>
      </c>
      <c r="K11" s="18" t="str">
        <f>IF('Classe Petite section'!$B11="","",N('Classe Petite section'!H11))</f>
        <v/>
      </c>
      <c r="L11" s="18" t="str">
        <f>IF('Classe Petite section'!$B11="","",N('Classe Petite section'!I11))</f>
        <v/>
      </c>
      <c r="M11" s="18" t="str">
        <f>IF('Classe Petite section'!$B11="","",N('Classe Petite section'!J11))</f>
        <v/>
      </c>
      <c r="N11" s="18" t="str">
        <f>IF('Classe Petite section'!$B11="","",N('Classe Petite section'!K11))</f>
        <v/>
      </c>
      <c r="O11" s="18" t="str">
        <f>IF('Classe Petite section'!$B11="","",N('Classe Petite section'!L11))</f>
        <v/>
      </c>
      <c r="P11" s="18" t="str">
        <f>IF('Classe Petite section'!$B11="","",N('Classe Petite section'!M11))</f>
        <v/>
      </c>
      <c r="Q11" s="17" t="str">
        <f>IF('Classe Petite section'!$B11="","",IF('Classe Petite section'!Q11="","",'Classe Petite section'!Q11))</f>
        <v/>
      </c>
      <c r="R11" s="18" t="str">
        <f>IF('Classe Petite section'!$B11="","",N('Classe Petite section'!N11))</f>
        <v/>
      </c>
      <c r="S11" s="18" t="str">
        <f>IF('Classe Petite section'!$B11="","",N('Classe Petite section'!O11))</f>
        <v/>
      </c>
      <c r="T11" s="18" t="str">
        <f>IF('Classe Petite section'!$B11="","",N('Classe Petite section'!P11))</f>
        <v/>
      </c>
    </row>
    <row r="12">
      <c r="A12" s="20" t="str">
        <f>IF('Classe Petite section'!$B12="","",IF('Classe Petite section'!A12="","",'Classe Petite section'!A12))</f>
        <v/>
      </c>
      <c r="B12" s="20" t="str">
        <f>IF('Classe Petite section'!$B12="","",IF('Classe Petite section'!B12="","",'Classe Petite section'!B12))</f>
        <v/>
      </c>
      <c r="C12" s="20" t="str">
        <f>IF('Classe Petite section'!$B12="","",IF('Classe Petite section'!C12="","",'Classe Petite section'!C12))</f>
        <v/>
      </c>
      <c r="D12" s="20" t="str">
        <f>IF($B12="","",C12&amp;" "&amp;B12&amp;" - "&amp;E12)</f>
        <v/>
      </c>
      <c r="E12" s="21" t="str">
        <f>IF($B12="","",Paramètres!$A$15)</f>
        <v/>
      </c>
      <c r="F12" s="21" t="str">
        <f>IF($B12="","",Paramètres!$B$15)</f>
        <v/>
      </c>
      <c r="G12" s="21" t="str">
        <f>IF('Classe Petite section'!$B12="","",IF('Classe Petite section'!D12="","",'Classe Petite section'!D12))</f>
        <v/>
      </c>
      <c r="H12" s="77" t="str">
        <f>IF('Classe Petite section'!$B12="","",IF('Classe Petite section'!E12="","",'Classe Petite section'!E12))</f>
        <v/>
      </c>
      <c r="I12" s="20" t="str">
        <f>IF('Classe Petite section'!$B12="","",IF('Classe Petite section'!F12="","",'Classe Petite section'!F12))</f>
        <v/>
      </c>
      <c r="J12" s="20" t="str">
        <f>IF('Classe Petite section'!$B12="","",IF('Classe Petite section'!G12="","",'Classe Petite section'!G12))</f>
        <v/>
      </c>
      <c r="K12" s="51" t="str">
        <f>IF('Classe Petite section'!$B12="","",N('Classe Petite section'!H12))</f>
        <v/>
      </c>
      <c r="L12" s="51" t="str">
        <f>IF('Classe Petite section'!$B12="","",N('Classe Petite section'!I12))</f>
        <v/>
      </c>
      <c r="M12" s="51" t="str">
        <f>IF('Classe Petite section'!$B12="","",N('Classe Petite section'!J12))</f>
        <v/>
      </c>
      <c r="N12" s="51" t="str">
        <f>IF('Classe Petite section'!$B12="","",N('Classe Petite section'!K12))</f>
        <v/>
      </c>
      <c r="O12" s="51" t="str">
        <f>IF('Classe Petite section'!$B12="","",N('Classe Petite section'!L12))</f>
        <v/>
      </c>
      <c r="P12" s="51" t="str">
        <f>IF('Classe Petite section'!$B12="","",N('Classe Petite section'!M12))</f>
        <v/>
      </c>
      <c r="Q12" s="21" t="str">
        <f>IF('Classe Petite section'!$B12="","",IF('Classe Petite section'!Q12="","",'Classe Petite section'!Q12))</f>
        <v/>
      </c>
      <c r="R12" s="51" t="str">
        <f>IF('Classe Petite section'!$B12="","",N('Classe Petite section'!N12))</f>
        <v/>
      </c>
      <c r="S12" s="51" t="str">
        <f>IF('Classe Petite section'!$B12="","",N('Classe Petite section'!O12))</f>
        <v/>
      </c>
      <c r="T12" s="51" t="str">
        <f>IF('Classe Petite section'!$B12="","",N('Classe Petite section'!P12))</f>
        <v/>
      </c>
    </row>
    <row r="13">
      <c r="A13" s="16" t="str">
        <f>IF('Classe Petite section'!$B13="","",IF('Classe Petite section'!A13="","",'Classe Petite section'!A13))</f>
        <v/>
      </c>
      <c r="B13" s="16" t="str">
        <f>IF('Classe Petite section'!$B13="","",IF('Classe Petite section'!B13="","",'Classe Petite section'!B13))</f>
        <v/>
      </c>
      <c r="C13" s="16" t="str">
        <f>IF('Classe Petite section'!$B13="","",IF('Classe Petite section'!C13="","",'Classe Petite section'!C13))</f>
        <v/>
      </c>
      <c r="D13" s="16" t="str">
        <f>IF($B13="","",C13&amp;" "&amp;B13&amp;" - "&amp;E13)</f>
        <v/>
      </c>
      <c r="E13" s="17" t="str">
        <f>IF($B13="","",Paramètres!$A$15)</f>
        <v/>
      </c>
      <c r="F13" s="17" t="str">
        <f>IF($B13="","",Paramètres!$B$15)</f>
        <v/>
      </c>
      <c r="G13" s="17" t="str">
        <f>IF('Classe Petite section'!$B13="","",IF('Classe Petite section'!D13="","",'Classe Petite section'!D13))</f>
        <v/>
      </c>
      <c r="H13" s="78" t="str">
        <f>IF('Classe Petite section'!$B13="","",IF('Classe Petite section'!E13="","",'Classe Petite section'!E13))</f>
        <v/>
      </c>
      <c r="I13" s="16" t="str">
        <f>IF('Classe Petite section'!$B13="","",IF('Classe Petite section'!F13="","",'Classe Petite section'!F13))</f>
        <v/>
      </c>
      <c r="J13" s="16" t="str">
        <f>IF('Classe Petite section'!$B13="","",IF('Classe Petite section'!G13="","",'Classe Petite section'!G13))</f>
        <v/>
      </c>
      <c r="K13" s="18" t="str">
        <f>IF('Classe Petite section'!$B13="","",N('Classe Petite section'!H13))</f>
        <v/>
      </c>
      <c r="L13" s="18" t="str">
        <f>IF('Classe Petite section'!$B13="","",N('Classe Petite section'!I13))</f>
        <v/>
      </c>
      <c r="M13" s="18" t="str">
        <f>IF('Classe Petite section'!$B13="","",N('Classe Petite section'!J13))</f>
        <v/>
      </c>
      <c r="N13" s="18" t="str">
        <f>IF('Classe Petite section'!$B13="","",N('Classe Petite section'!K13))</f>
        <v/>
      </c>
      <c r="O13" s="18" t="str">
        <f>IF('Classe Petite section'!$B13="","",N('Classe Petite section'!L13))</f>
        <v/>
      </c>
      <c r="P13" s="18" t="str">
        <f>IF('Classe Petite section'!$B13="","",N('Classe Petite section'!M13))</f>
        <v/>
      </c>
      <c r="Q13" s="17" t="str">
        <f>IF('Classe Petite section'!$B13="","",IF('Classe Petite section'!Q13="","",'Classe Petite section'!Q13))</f>
        <v/>
      </c>
      <c r="R13" s="18" t="str">
        <f>IF('Classe Petite section'!$B13="","",N('Classe Petite section'!N13))</f>
        <v/>
      </c>
      <c r="S13" s="18" t="str">
        <f>IF('Classe Petite section'!$B13="","",N('Classe Petite section'!O13))</f>
        <v/>
      </c>
      <c r="T13" s="18" t="str">
        <f>IF('Classe Petite section'!$B13="","",N('Classe Petite section'!P13))</f>
        <v/>
      </c>
    </row>
    <row r="14">
      <c r="A14" s="20" t="str">
        <f>IF('Classe Petite section'!$B14="","",IF('Classe Petite section'!A14="","",'Classe Petite section'!A14))</f>
        <v/>
      </c>
      <c r="B14" s="20" t="str">
        <f>IF('Classe Petite section'!$B14="","",IF('Classe Petite section'!B14="","",'Classe Petite section'!B14))</f>
        <v/>
      </c>
      <c r="C14" s="20" t="str">
        <f>IF('Classe Petite section'!$B14="","",IF('Classe Petite section'!C14="","",'Classe Petite section'!C14))</f>
        <v/>
      </c>
      <c r="D14" s="20" t="str">
        <f>IF($B14="","",C14&amp;" "&amp;B14&amp;" - "&amp;E14)</f>
        <v/>
      </c>
      <c r="E14" s="21" t="str">
        <f>IF($B14="","",Paramètres!$A$15)</f>
        <v/>
      </c>
      <c r="F14" s="21" t="str">
        <f>IF($B14="","",Paramètres!$B$15)</f>
        <v/>
      </c>
      <c r="G14" s="21" t="str">
        <f>IF('Classe Petite section'!$B14="","",IF('Classe Petite section'!D14="","",'Classe Petite section'!D14))</f>
        <v/>
      </c>
      <c r="H14" s="77" t="str">
        <f>IF('Classe Petite section'!$B14="","",IF('Classe Petite section'!E14="","",'Classe Petite section'!E14))</f>
        <v/>
      </c>
      <c r="I14" s="20" t="str">
        <f>IF('Classe Petite section'!$B14="","",IF('Classe Petite section'!F14="","",'Classe Petite section'!F14))</f>
        <v/>
      </c>
      <c r="J14" s="20" t="str">
        <f>IF('Classe Petite section'!$B14="","",IF('Classe Petite section'!G14="","",'Classe Petite section'!G14))</f>
        <v/>
      </c>
      <c r="K14" s="51" t="str">
        <f>IF('Classe Petite section'!$B14="","",N('Classe Petite section'!H14))</f>
        <v/>
      </c>
      <c r="L14" s="51" t="str">
        <f>IF('Classe Petite section'!$B14="","",N('Classe Petite section'!I14))</f>
        <v/>
      </c>
      <c r="M14" s="51" t="str">
        <f>IF('Classe Petite section'!$B14="","",N('Classe Petite section'!J14))</f>
        <v/>
      </c>
      <c r="N14" s="51" t="str">
        <f>IF('Classe Petite section'!$B14="","",N('Classe Petite section'!K14))</f>
        <v/>
      </c>
      <c r="O14" s="51" t="str">
        <f>IF('Classe Petite section'!$B14="","",N('Classe Petite section'!L14))</f>
        <v/>
      </c>
      <c r="P14" s="51" t="str">
        <f>IF('Classe Petite section'!$B14="","",N('Classe Petite section'!M14))</f>
        <v/>
      </c>
      <c r="Q14" s="21" t="str">
        <f>IF('Classe Petite section'!$B14="","",IF('Classe Petite section'!Q14="","",'Classe Petite section'!Q14))</f>
        <v/>
      </c>
      <c r="R14" s="51" t="str">
        <f>IF('Classe Petite section'!$B14="","",N('Classe Petite section'!N14))</f>
        <v/>
      </c>
      <c r="S14" s="51" t="str">
        <f>IF('Classe Petite section'!$B14="","",N('Classe Petite section'!O14))</f>
        <v/>
      </c>
      <c r="T14" s="51" t="str">
        <f>IF('Classe Petite section'!$B14="","",N('Classe Petite section'!P14))</f>
        <v/>
      </c>
    </row>
    <row r="15">
      <c r="A15" s="16" t="str">
        <f>IF('Classe Petite section'!$B15="","",IF('Classe Petite section'!A15="","",'Classe Petite section'!A15))</f>
        <v/>
      </c>
      <c r="B15" s="16" t="str">
        <f>IF('Classe Petite section'!$B15="","",IF('Classe Petite section'!B15="","",'Classe Petite section'!B15))</f>
        <v/>
      </c>
      <c r="C15" s="16" t="str">
        <f>IF('Classe Petite section'!$B15="","",IF('Classe Petite section'!C15="","",'Classe Petite section'!C15))</f>
        <v/>
      </c>
      <c r="D15" s="16" t="str">
        <f>IF($B15="","",C15&amp;" "&amp;B15&amp;" - "&amp;E15)</f>
        <v/>
      </c>
      <c r="E15" s="17" t="str">
        <f>IF($B15="","",Paramètres!$A$15)</f>
        <v/>
      </c>
      <c r="F15" s="17" t="str">
        <f>IF($B15="","",Paramètres!$B$15)</f>
        <v/>
      </c>
      <c r="G15" s="17" t="str">
        <f>IF('Classe Petite section'!$B15="","",IF('Classe Petite section'!D15="","",'Classe Petite section'!D15))</f>
        <v/>
      </c>
      <c r="H15" s="78" t="str">
        <f>IF('Classe Petite section'!$B15="","",IF('Classe Petite section'!E15="","",'Classe Petite section'!E15))</f>
        <v/>
      </c>
      <c r="I15" s="16" t="str">
        <f>IF('Classe Petite section'!$B15="","",IF('Classe Petite section'!F15="","",'Classe Petite section'!F15))</f>
        <v/>
      </c>
      <c r="J15" s="16" t="str">
        <f>IF('Classe Petite section'!$B15="","",IF('Classe Petite section'!G15="","",'Classe Petite section'!G15))</f>
        <v/>
      </c>
      <c r="K15" s="18" t="str">
        <f>IF('Classe Petite section'!$B15="","",N('Classe Petite section'!H15))</f>
        <v/>
      </c>
      <c r="L15" s="18" t="str">
        <f>IF('Classe Petite section'!$B15="","",N('Classe Petite section'!I15))</f>
        <v/>
      </c>
      <c r="M15" s="18" t="str">
        <f>IF('Classe Petite section'!$B15="","",N('Classe Petite section'!J15))</f>
        <v/>
      </c>
      <c r="N15" s="18" t="str">
        <f>IF('Classe Petite section'!$B15="","",N('Classe Petite section'!K15))</f>
        <v/>
      </c>
      <c r="O15" s="18" t="str">
        <f>IF('Classe Petite section'!$B15="","",N('Classe Petite section'!L15))</f>
        <v/>
      </c>
      <c r="P15" s="18" t="str">
        <f>IF('Classe Petite section'!$B15="","",N('Classe Petite section'!M15))</f>
        <v/>
      </c>
      <c r="Q15" s="17" t="str">
        <f>IF('Classe Petite section'!$B15="","",IF('Classe Petite section'!Q15="","",'Classe Petite section'!Q15))</f>
        <v/>
      </c>
      <c r="R15" s="18" t="str">
        <f>IF('Classe Petite section'!$B15="","",N('Classe Petite section'!N15))</f>
        <v/>
      </c>
      <c r="S15" s="18" t="str">
        <f>IF('Classe Petite section'!$B15="","",N('Classe Petite section'!O15))</f>
        <v/>
      </c>
      <c r="T15" s="18" t="str">
        <f>IF('Classe Petite section'!$B15="","",N('Classe Petite section'!P15))</f>
        <v/>
      </c>
    </row>
    <row r="16">
      <c r="A16" s="20" t="str">
        <f>IF('Classe Petite section'!$B16="","",IF('Classe Petite section'!A16="","",'Classe Petite section'!A16))</f>
        <v/>
      </c>
      <c r="B16" s="20" t="str">
        <f>IF('Classe Petite section'!$B16="","",IF('Classe Petite section'!B16="","",'Classe Petite section'!B16))</f>
        <v/>
      </c>
      <c r="C16" s="20" t="str">
        <f>IF('Classe Petite section'!$B16="","",IF('Classe Petite section'!C16="","",'Classe Petite section'!C16))</f>
        <v/>
      </c>
      <c r="D16" s="20" t="str">
        <f>IF($B16="","",C16&amp;" "&amp;B16&amp;" - "&amp;E16)</f>
        <v/>
      </c>
      <c r="E16" s="21" t="str">
        <f>IF($B16="","",Paramètres!$A$15)</f>
        <v/>
      </c>
      <c r="F16" s="21" t="str">
        <f>IF($B16="","",Paramètres!$B$15)</f>
        <v/>
      </c>
      <c r="G16" s="21" t="str">
        <f>IF('Classe Petite section'!$B16="","",IF('Classe Petite section'!D16="","",'Classe Petite section'!D16))</f>
        <v/>
      </c>
      <c r="H16" s="77" t="str">
        <f>IF('Classe Petite section'!$B16="","",IF('Classe Petite section'!E16="","",'Classe Petite section'!E16))</f>
        <v/>
      </c>
      <c r="I16" s="20" t="str">
        <f>IF('Classe Petite section'!$B16="","",IF('Classe Petite section'!F16="","",'Classe Petite section'!F16))</f>
        <v/>
      </c>
      <c r="J16" s="20" t="str">
        <f>IF('Classe Petite section'!$B16="","",IF('Classe Petite section'!G16="","",'Classe Petite section'!G16))</f>
        <v/>
      </c>
      <c r="K16" s="51" t="str">
        <f>IF('Classe Petite section'!$B16="","",N('Classe Petite section'!H16))</f>
        <v/>
      </c>
      <c r="L16" s="51" t="str">
        <f>IF('Classe Petite section'!$B16="","",N('Classe Petite section'!I16))</f>
        <v/>
      </c>
      <c r="M16" s="51" t="str">
        <f>IF('Classe Petite section'!$B16="","",N('Classe Petite section'!J16))</f>
        <v/>
      </c>
      <c r="N16" s="51" t="str">
        <f>IF('Classe Petite section'!$B16="","",N('Classe Petite section'!K16))</f>
        <v/>
      </c>
      <c r="O16" s="51" t="str">
        <f>IF('Classe Petite section'!$B16="","",N('Classe Petite section'!L16))</f>
        <v/>
      </c>
      <c r="P16" s="51" t="str">
        <f>IF('Classe Petite section'!$B16="","",N('Classe Petite section'!M16))</f>
        <v/>
      </c>
      <c r="Q16" s="21" t="str">
        <f>IF('Classe Petite section'!$B16="","",IF('Classe Petite section'!Q16="","",'Classe Petite section'!Q16))</f>
        <v/>
      </c>
      <c r="R16" s="51" t="str">
        <f>IF('Classe Petite section'!$B16="","",N('Classe Petite section'!N16))</f>
        <v/>
      </c>
      <c r="S16" s="51" t="str">
        <f>IF('Classe Petite section'!$B16="","",N('Classe Petite section'!O16))</f>
        <v/>
      </c>
      <c r="T16" s="51" t="str">
        <f>IF('Classe Petite section'!$B16="","",N('Classe Petite section'!P16))</f>
        <v/>
      </c>
    </row>
    <row r="17">
      <c r="A17" s="16" t="str">
        <f>IF('Classe Petite section'!$B17="","",IF('Classe Petite section'!A17="","",'Classe Petite section'!A17))</f>
        <v/>
      </c>
      <c r="B17" s="16" t="str">
        <f>IF('Classe Petite section'!$B17="","",IF('Classe Petite section'!B17="","",'Classe Petite section'!B17))</f>
        <v/>
      </c>
      <c r="C17" s="16" t="str">
        <f>IF('Classe Petite section'!$B17="","",IF('Classe Petite section'!C17="","",'Classe Petite section'!C17))</f>
        <v/>
      </c>
      <c r="D17" s="16" t="str">
        <f>IF($B17="","",C17&amp;" "&amp;B17&amp;" - "&amp;E17)</f>
        <v/>
      </c>
      <c r="E17" s="17" t="str">
        <f>IF($B17="","",Paramètres!$A$15)</f>
        <v/>
      </c>
      <c r="F17" s="17" t="str">
        <f>IF($B17="","",Paramètres!$B$15)</f>
        <v/>
      </c>
      <c r="G17" s="17" t="str">
        <f>IF('Classe Petite section'!$B17="","",IF('Classe Petite section'!D17="","",'Classe Petite section'!D17))</f>
        <v/>
      </c>
      <c r="H17" s="78" t="str">
        <f>IF('Classe Petite section'!$B17="","",IF('Classe Petite section'!E17="","",'Classe Petite section'!E17))</f>
        <v/>
      </c>
      <c r="I17" s="16" t="str">
        <f>IF('Classe Petite section'!$B17="","",IF('Classe Petite section'!F17="","",'Classe Petite section'!F17))</f>
        <v/>
      </c>
      <c r="J17" s="16" t="str">
        <f>IF('Classe Petite section'!$B17="","",IF('Classe Petite section'!G17="","",'Classe Petite section'!G17))</f>
        <v/>
      </c>
      <c r="K17" s="18" t="str">
        <f>IF('Classe Petite section'!$B17="","",N('Classe Petite section'!H17))</f>
        <v/>
      </c>
      <c r="L17" s="18" t="str">
        <f>IF('Classe Petite section'!$B17="","",N('Classe Petite section'!I17))</f>
        <v/>
      </c>
      <c r="M17" s="18" t="str">
        <f>IF('Classe Petite section'!$B17="","",N('Classe Petite section'!J17))</f>
        <v/>
      </c>
      <c r="N17" s="18" t="str">
        <f>IF('Classe Petite section'!$B17="","",N('Classe Petite section'!K17))</f>
        <v/>
      </c>
      <c r="O17" s="18" t="str">
        <f>IF('Classe Petite section'!$B17="","",N('Classe Petite section'!L17))</f>
        <v/>
      </c>
      <c r="P17" s="18" t="str">
        <f>IF('Classe Petite section'!$B17="","",N('Classe Petite section'!M17))</f>
        <v/>
      </c>
      <c r="Q17" s="17" t="str">
        <f>IF('Classe Petite section'!$B17="","",IF('Classe Petite section'!Q17="","",'Classe Petite section'!Q17))</f>
        <v/>
      </c>
      <c r="R17" s="18" t="str">
        <f>IF('Classe Petite section'!$B17="","",N('Classe Petite section'!N17))</f>
        <v/>
      </c>
      <c r="S17" s="18" t="str">
        <f>IF('Classe Petite section'!$B17="","",N('Classe Petite section'!O17))</f>
        <v/>
      </c>
      <c r="T17" s="18" t="str">
        <f>IF('Classe Petite section'!$B17="","",N('Classe Petite section'!P17))</f>
        <v/>
      </c>
    </row>
    <row r="18">
      <c r="A18" s="20" t="str">
        <f>IF('Classe Petite section'!$B18="","",IF('Classe Petite section'!A18="","",'Classe Petite section'!A18))</f>
        <v/>
      </c>
      <c r="B18" s="20" t="str">
        <f>IF('Classe Petite section'!$B18="","",IF('Classe Petite section'!B18="","",'Classe Petite section'!B18))</f>
        <v/>
      </c>
      <c r="C18" s="20" t="str">
        <f>IF('Classe Petite section'!$B18="","",IF('Classe Petite section'!C18="","",'Classe Petite section'!C18))</f>
        <v/>
      </c>
      <c r="D18" s="20" t="str">
        <f>IF($B18="","",C18&amp;" "&amp;B18&amp;" - "&amp;E18)</f>
        <v/>
      </c>
      <c r="E18" s="21" t="str">
        <f>IF($B18="","",Paramètres!$A$15)</f>
        <v/>
      </c>
      <c r="F18" s="21" t="str">
        <f>IF($B18="","",Paramètres!$B$15)</f>
        <v/>
      </c>
      <c r="G18" s="21" t="str">
        <f>IF('Classe Petite section'!$B18="","",IF('Classe Petite section'!D18="","",'Classe Petite section'!D18))</f>
        <v/>
      </c>
      <c r="H18" s="77" t="str">
        <f>IF('Classe Petite section'!$B18="","",IF('Classe Petite section'!E18="","",'Classe Petite section'!E18))</f>
        <v/>
      </c>
      <c r="I18" s="20" t="str">
        <f>IF('Classe Petite section'!$B18="","",IF('Classe Petite section'!F18="","",'Classe Petite section'!F18))</f>
        <v/>
      </c>
      <c r="J18" s="20" t="str">
        <f>IF('Classe Petite section'!$B18="","",IF('Classe Petite section'!G18="","",'Classe Petite section'!G18))</f>
        <v/>
      </c>
      <c r="K18" s="51" t="str">
        <f>IF('Classe Petite section'!$B18="","",N('Classe Petite section'!H18))</f>
        <v/>
      </c>
      <c r="L18" s="51" t="str">
        <f>IF('Classe Petite section'!$B18="","",N('Classe Petite section'!I18))</f>
        <v/>
      </c>
      <c r="M18" s="51" t="str">
        <f>IF('Classe Petite section'!$B18="","",N('Classe Petite section'!J18))</f>
        <v/>
      </c>
      <c r="N18" s="51" t="str">
        <f>IF('Classe Petite section'!$B18="","",N('Classe Petite section'!K18))</f>
        <v/>
      </c>
      <c r="O18" s="51" t="str">
        <f>IF('Classe Petite section'!$B18="","",N('Classe Petite section'!L18))</f>
        <v/>
      </c>
      <c r="P18" s="51" t="str">
        <f>IF('Classe Petite section'!$B18="","",N('Classe Petite section'!M18))</f>
        <v/>
      </c>
      <c r="Q18" s="21" t="str">
        <f>IF('Classe Petite section'!$B18="","",IF('Classe Petite section'!Q18="","",'Classe Petite section'!Q18))</f>
        <v/>
      </c>
      <c r="R18" s="51" t="str">
        <f>IF('Classe Petite section'!$B18="","",N('Classe Petite section'!N18))</f>
        <v/>
      </c>
      <c r="S18" s="51" t="str">
        <f>IF('Classe Petite section'!$B18="","",N('Classe Petite section'!O18))</f>
        <v/>
      </c>
      <c r="T18" s="51" t="str">
        <f>IF('Classe Petite section'!$B18="","",N('Classe Petite section'!P18))</f>
        <v/>
      </c>
    </row>
    <row r="19">
      <c r="A19" s="16" t="str">
        <f>IF('Classe Petite section'!$B19="","",IF('Classe Petite section'!A19="","",'Classe Petite section'!A19))</f>
        <v/>
      </c>
      <c r="B19" s="16" t="str">
        <f>IF('Classe Petite section'!$B19="","",IF('Classe Petite section'!B19="","",'Classe Petite section'!B19))</f>
        <v/>
      </c>
      <c r="C19" s="16" t="str">
        <f>IF('Classe Petite section'!$B19="","",IF('Classe Petite section'!C19="","",'Classe Petite section'!C19))</f>
        <v/>
      </c>
      <c r="D19" s="16" t="str">
        <f>IF($B19="","",C19&amp;" "&amp;B19&amp;" - "&amp;E19)</f>
        <v/>
      </c>
      <c r="E19" s="17" t="str">
        <f>IF($B19="","",Paramètres!$A$15)</f>
        <v/>
      </c>
      <c r="F19" s="17" t="str">
        <f>IF($B19="","",Paramètres!$B$15)</f>
        <v/>
      </c>
      <c r="G19" s="17" t="str">
        <f>IF('Classe Petite section'!$B19="","",IF('Classe Petite section'!D19="","",'Classe Petite section'!D19))</f>
        <v/>
      </c>
      <c r="H19" s="78" t="str">
        <f>IF('Classe Petite section'!$B19="","",IF('Classe Petite section'!E19="","",'Classe Petite section'!E19))</f>
        <v/>
      </c>
      <c r="I19" s="16" t="str">
        <f>IF('Classe Petite section'!$B19="","",IF('Classe Petite section'!F19="","",'Classe Petite section'!F19))</f>
        <v/>
      </c>
      <c r="J19" s="16" t="str">
        <f>IF('Classe Petite section'!$B19="","",IF('Classe Petite section'!G19="","",'Classe Petite section'!G19))</f>
        <v/>
      </c>
      <c r="K19" s="18" t="str">
        <f>IF('Classe Petite section'!$B19="","",N('Classe Petite section'!H19))</f>
        <v/>
      </c>
      <c r="L19" s="18" t="str">
        <f>IF('Classe Petite section'!$B19="","",N('Classe Petite section'!I19))</f>
        <v/>
      </c>
      <c r="M19" s="18" t="str">
        <f>IF('Classe Petite section'!$B19="","",N('Classe Petite section'!J19))</f>
        <v/>
      </c>
      <c r="N19" s="18" t="str">
        <f>IF('Classe Petite section'!$B19="","",N('Classe Petite section'!K19))</f>
        <v/>
      </c>
      <c r="O19" s="18" t="str">
        <f>IF('Classe Petite section'!$B19="","",N('Classe Petite section'!L19))</f>
        <v/>
      </c>
      <c r="P19" s="18" t="str">
        <f>IF('Classe Petite section'!$B19="","",N('Classe Petite section'!M19))</f>
        <v/>
      </c>
      <c r="Q19" s="17" t="str">
        <f>IF('Classe Petite section'!$B19="","",IF('Classe Petite section'!Q19="","",'Classe Petite section'!Q19))</f>
        <v/>
      </c>
      <c r="R19" s="18" t="str">
        <f>IF('Classe Petite section'!$B19="","",N('Classe Petite section'!N19))</f>
        <v/>
      </c>
      <c r="S19" s="18" t="str">
        <f>IF('Classe Petite section'!$B19="","",N('Classe Petite section'!O19))</f>
        <v/>
      </c>
      <c r="T19" s="18" t="str">
        <f>IF('Classe Petite section'!$B19="","",N('Classe Petite section'!P19))</f>
        <v/>
      </c>
    </row>
    <row r="20">
      <c r="A20" s="20" t="str">
        <f>IF('Classe Petite section'!$B20="","",IF('Classe Petite section'!A20="","",'Classe Petite section'!A20))</f>
        <v/>
      </c>
      <c r="B20" s="20" t="str">
        <f>IF('Classe Petite section'!$B20="","",IF('Classe Petite section'!B20="","",'Classe Petite section'!B20))</f>
        <v/>
      </c>
      <c r="C20" s="20" t="str">
        <f>IF('Classe Petite section'!$B20="","",IF('Classe Petite section'!C20="","",'Classe Petite section'!C20))</f>
        <v/>
      </c>
      <c r="D20" s="20" t="str">
        <f>IF($B20="","",C20&amp;" "&amp;B20&amp;" - "&amp;E20)</f>
        <v/>
      </c>
      <c r="E20" s="21" t="str">
        <f>IF($B20="","",Paramètres!$A$15)</f>
        <v/>
      </c>
      <c r="F20" s="21" t="str">
        <f>IF($B20="","",Paramètres!$B$15)</f>
        <v/>
      </c>
      <c r="G20" s="21" t="str">
        <f>IF('Classe Petite section'!$B20="","",IF('Classe Petite section'!D20="","",'Classe Petite section'!D20))</f>
        <v/>
      </c>
      <c r="H20" s="77" t="str">
        <f>IF('Classe Petite section'!$B20="","",IF('Classe Petite section'!E20="","",'Classe Petite section'!E20))</f>
        <v/>
      </c>
      <c r="I20" s="20" t="str">
        <f>IF('Classe Petite section'!$B20="","",IF('Classe Petite section'!F20="","",'Classe Petite section'!F20))</f>
        <v/>
      </c>
      <c r="J20" s="20" t="str">
        <f>IF('Classe Petite section'!$B20="","",IF('Classe Petite section'!G20="","",'Classe Petite section'!G20))</f>
        <v/>
      </c>
      <c r="K20" s="51" t="str">
        <f>IF('Classe Petite section'!$B20="","",N('Classe Petite section'!H20))</f>
        <v/>
      </c>
      <c r="L20" s="51" t="str">
        <f>IF('Classe Petite section'!$B20="","",N('Classe Petite section'!I20))</f>
        <v/>
      </c>
      <c r="M20" s="51" t="str">
        <f>IF('Classe Petite section'!$B20="","",N('Classe Petite section'!J20))</f>
        <v/>
      </c>
      <c r="N20" s="51" t="str">
        <f>IF('Classe Petite section'!$B20="","",N('Classe Petite section'!K20))</f>
        <v/>
      </c>
      <c r="O20" s="51" t="str">
        <f>IF('Classe Petite section'!$B20="","",N('Classe Petite section'!L20))</f>
        <v/>
      </c>
      <c r="P20" s="51" t="str">
        <f>IF('Classe Petite section'!$B20="","",N('Classe Petite section'!M20))</f>
        <v/>
      </c>
      <c r="Q20" s="21" t="str">
        <f>IF('Classe Petite section'!$B20="","",IF('Classe Petite section'!Q20="","",'Classe Petite section'!Q20))</f>
        <v/>
      </c>
      <c r="R20" s="51" t="str">
        <f>IF('Classe Petite section'!$B20="","",N('Classe Petite section'!N20))</f>
        <v/>
      </c>
      <c r="S20" s="51" t="str">
        <f>IF('Classe Petite section'!$B20="","",N('Classe Petite section'!O20))</f>
        <v/>
      </c>
      <c r="T20" s="51" t="str">
        <f>IF('Classe Petite section'!$B20="","",N('Classe Petite section'!P20))</f>
        <v/>
      </c>
    </row>
    <row r="21">
      <c r="A21" s="16" t="str">
        <f>IF('Classe Petite section'!$B21="","",IF('Classe Petite section'!A21="","",'Classe Petite section'!A21))</f>
        <v/>
      </c>
      <c r="B21" s="16" t="str">
        <f>IF('Classe Petite section'!$B21="","",IF('Classe Petite section'!B21="","",'Classe Petite section'!B21))</f>
        <v/>
      </c>
      <c r="C21" s="16" t="str">
        <f>IF('Classe Petite section'!$B21="","",IF('Classe Petite section'!C21="","",'Classe Petite section'!C21))</f>
        <v/>
      </c>
      <c r="D21" s="16" t="str">
        <f>IF($B21="","",C21&amp;" "&amp;B21&amp;" - "&amp;E21)</f>
        <v/>
      </c>
      <c r="E21" s="17" t="str">
        <f>IF($B21="","",Paramètres!$A$15)</f>
        <v/>
      </c>
      <c r="F21" s="17" t="str">
        <f>IF($B21="","",Paramètres!$B$15)</f>
        <v/>
      </c>
      <c r="G21" s="17" t="str">
        <f>IF('Classe Petite section'!$B21="","",IF('Classe Petite section'!D21="","",'Classe Petite section'!D21))</f>
        <v/>
      </c>
      <c r="H21" s="78" t="str">
        <f>IF('Classe Petite section'!$B21="","",IF('Classe Petite section'!E21="","",'Classe Petite section'!E21))</f>
        <v/>
      </c>
      <c r="I21" s="16" t="str">
        <f>IF('Classe Petite section'!$B21="","",IF('Classe Petite section'!F21="","",'Classe Petite section'!F21))</f>
        <v/>
      </c>
      <c r="J21" s="16" t="str">
        <f>IF('Classe Petite section'!$B21="","",IF('Classe Petite section'!G21="","",'Classe Petite section'!G21))</f>
        <v/>
      </c>
      <c r="K21" s="18" t="str">
        <f>IF('Classe Petite section'!$B21="","",N('Classe Petite section'!H21))</f>
        <v/>
      </c>
      <c r="L21" s="18" t="str">
        <f>IF('Classe Petite section'!$B21="","",N('Classe Petite section'!I21))</f>
        <v/>
      </c>
      <c r="M21" s="18" t="str">
        <f>IF('Classe Petite section'!$B21="","",N('Classe Petite section'!J21))</f>
        <v/>
      </c>
      <c r="N21" s="18" t="str">
        <f>IF('Classe Petite section'!$B21="","",N('Classe Petite section'!K21))</f>
        <v/>
      </c>
      <c r="O21" s="18" t="str">
        <f>IF('Classe Petite section'!$B21="","",N('Classe Petite section'!L21))</f>
        <v/>
      </c>
      <c r="P21" s="18" t="str">
        <f>IF('Classe Petite section'!$B21="","",N('Classe Petite section'!M21))</f>
        <v/>
      </c>
      <c r="Q21" s="17" t="str">
        <f>IF('Classe Petite section'!$B21="","",IF('Classe Petite section'!Q21="","",'Classe Petite section'!Q21))</f>
        <v/>
      </c>
      <c r="R21" s="18" t="str">
        <f>IF('Classe Petite section'!$B21="","",N('Classe Petite section'!N21))</f>
        <v/>
      </c>
      <c r="S21" s="18" t="str">
        <f>IF('Classe Petite section'!$B21="","",N('Classe Petite section'!O21))</f>
        <v/>
      </c>
      <c r="T21" s="18" t="str">
        <f>IF('Classe Petite section'!$B21="","",N('Classe Petite section'!P21))</f>
        <v/>
      </c>
    </row>
    <row r="22">
      <c r="A22" s="20" t="str">
        <f>IF('Classe Petite section'!$B22="","",IF('Classe Petite section'!A22="","",'Classe Petite section'!A22))</f>
        <v/>
      </c>
      <c r="B22" s="20" t="str">
        <f>IF('Classe Petite section'!$B22="","",IF('Classe Petite section'!B22="","",'Classe Petite section'!B22))</f>
        <v/>
      </c>
      <c r="C22" s="20" t="str">
        <f>IF('Classe Petite section'!$B22="","",IF('Classe Petite section'!C22="","",'Classe Petite section'!C22))</f>
        <v/>
      </c>
      <c r="D22" s="20" t="str">
        <f>IF($B22="","",C22&amp;" "&amp;B22&amp;" - "&amp;E22)</f>
        <v/>
      </c>
      <c r="E22" s="21" t="str">
        <f>IF($B22="","",Paramètres!$A$15)</f>
        <v/>
      </c>
      <c r="F22" s="21" t="str">
        <f>IF($B22="","",Paramètres!$B$15)</f>
        <v/>
      </c>
      <c r="G22" s="21" t="str">
        <f>IF('Classe Petite section'!$B22="","",IF('Classe Petite section'!D22="","",'Classe Petite section'!D22))</f>
        <v/>
      </c>
      <c r="H22" s="77" t="str">
        <f>IF('Classe Petite section'!$B22="","",IF('Classe Petite section'!E22="","",'Classe Petite section'!E22))</f>
        <v/>
      </c>
      <c r="I22" s="20" t="str">
        <f>IF('Classe Petite section'!$B22="","",IF('Classe Petite section'!F22="","",'Classe Petite section'!F22))</f>
        <v/>
      </c>
      <c r="J22" s="20" t="str">
        <f>IF('Classe Petite section'!$B22="","",IF('Classe Petite section'!G22="","",'Classe Petite section'!G22))</f>
        <v/>
      </c>
      <c r="K22" s="51" t="str">
        <f>IF('Classe Petite section'!$B22="","",N('Classe Petite section'!H22))</f>
        <v/>
      </c>
      <c r="L22" s="51" t="str">
        <f>IF('Classe Petite section'!$B22="","",N('Classe Petite section'!I22))</f>
        <v/>
      </c>
      <c r="M22" s="51" t="str">
        <f>IF('Classe Petite section'!$B22="","",N('Classe Petite section'!J22))</f>
        <v/>
      </c>
      <c r="N22" s="51" t="str">
        <f>IF('Classe Petite section'!$B22="","",N('Classe Petite section'!K22))</f>
        <v/>
      </c>
      <c r="O22" s="51" t="str">
        <f>IF('Classe Petite section'!$B22="","",N('Classe Petite section'!L22))</f>
        <v/>
      </c>
      <c r="P22" s="51" t="str">
        <f>IF('Classe Petite section'!$B22="","",N('Classe Petite section'!M22))</f>
        <v/>
      </c>
      <c r="Q22" s="21" t="str">
        <f>IF('Classe Petite section'!$B22="","",IF('Classe Petite section'!Q22="","",'Classe Petite section'!Q22))</f>
        <v/>
      </c>
      <c r="R22" s="51" t="str">
        <f>IF('Classe Petite section'!$B22="","",N('Classe Petite section'!N22))</f>
        <v/>
      </c>
      <c r="S22" s="51" t="str">
        <f>IF('Classe Petite section'!$B22="","",N('Classe Petite section'!O22))</f>
        <v/>
      </c>
      <c r="T22" s="51" t="str">
        <f>IF('Classe Petite section'!$B22="","",N('Classe Petite section'!P22))</f>
        <v/>
      </c>
    </row>
    <row r="23">
      <c r="A23" s="16" t="str">
        <f>IF('Classe Petite section'!$B23="","",IF('Classe Petite section'!A23="","",'Classe Petite section'!A23))</f>
        <v/>
      </c>
      <c r="B23" s="16" t="str">
        <f>IF('Classe Petite section'!$B23="","",IF('Classe Petite section'!B23="","",'Classe Petite section'!B23))</f>
        <v/>
      </c>
      <c r="C23" s="16" t="str">
        <f>IF('Classe Petite section'!$B23="","",IF('Classe Petite section'!C23="","",'Classe Petite section'!C23))</f>
        <v/>
      </c>
      <c r="D23" s="16" t="str">
        <f>IF($B23="","",C23&amp;" "&amp;B23&amp;" - "&amp;E23)</f>
        <v/>
      </c>
      <c r="E23" s="17" t="str">
        <f>IF($B23="","",Paramètres!$A$15)</f>
        <v/>
      </c>
      <c r="F23" s="17" t="str">
        <f>IF($B23="","",Paramètres!$B$15)</f>
        <v/>
      </c>
      <c r="G23" s="17" t="str">
        <f>IF('Classe Petite section'!$B23="","",IF('Classe Petite section'!D23="","",'Classe Petite section'!D23))</f>
        <v/>
      </c>
      <c r="H23" s="78" t="str">
        <f>IF('Classe Petite section'!$B23="","",IF('Classe Petite section'!E23="","",'Classe Petite section'!E23))</f>
        <v/>
      </c>
      <c r="I23" s="16" t="str">
        <f>IF('Classe Petite section'!$B23="","",IF('Classe Petite section'!F23="","",'Classe Petite section'!F23))</f>
        <v/>
      </c>
      <c r="J23" s="16" t="str">
        <f>IF('Classe Petite section'!$B23="","",IF('Classe Petite section'!G23="","",'Classe Petite section'!G23))</f>
        <v/>
      </c>
      <c r="K23" s="18" t="str">
        <f>IF('Classe Petite section'!$B23="","",N('Classe Petite section'!H23))</f>
        <v/>
      </c>
      <c r="L23" s="18" t="str">
        <f>IF('Classe Petite section'!$B23="","",N('Classe Petite section'!I23))</f>
        <v/>
      </c>
      <c r="M23" s="18" t="str">
        <f>IF('Classe Petite section'!$B23="","",N('Classe Petite section'!J23))</f>
        <v/>
      </c>
      <c r="N23" s="18" t="str">
        <f>IF('Classe Petite section'!$B23="","",N('Classe Petite section'!K23))</f>
        <v/>
      </c>
      <c r="O23" s="18" t="str">
        <f>IF('Classe Petite section'!$B23="","",N('Classe Petite section'!L23))</f>
        <v/>
      </c>
      <c r="P23" s="18" t="str">
        <f>IF('Classe Petite section'!$B23="","",N('Classe Petite section'!M23))</f>
        <v/>
      </c>
      <c r="Q23" s="17" t="str">
        <f>IF('Classe Petite section'!$B23="","",IF('Classe Petite section'!Q23="","",'Classe Petite section'!Q23))</f>
        <v/>
      </c>
      <c r="R23" s="18" t="str">
        <f>IF('Classe Petite section'!$B23="","",N('Classe Petite section'!N23))</f>
        <v/>
      </c>
      <c r="S23" s="18" t="str">
        <f>IF('Classe Petite section'!$B23="","",N('Classe Petite section'!O23))</f>
        <v/>
      </c>
      <c r="T23" s="18" t="str">
        <f>IF('Classe Petite section'!$B23="","",N('Classe Petite section'!P23))</f>
        <v/>
      </c>
    </row>
    <row r="24">
      <c r="A24" s="20" t="str">
        <f>IF('Classe Petite section'!$B24="","",IF('Classe Petite section'!A24="","",'Classe Petite section'!A24))</f>
        <v/>
      </c>
      <c r="B24" s="20" t="str">
        <f>IF('Classe Petite section'!$B24="","",IF('Classe Petite section'!B24="","",'Classe Petite section'!B24))</f>
        <v/>
      </c>
      <c r="C24" s="20" t="str">
        <f>IF('Classe Petite section'!$B24="","",IF('Classe Petite section'!C24="","",'Classe Petite section'!C24))</f>
        <v/>
      </c>
      <c r="D24" s="20" t="str">
        <f>IF($B24="","",C24&amp;" "&amp;B24&amp;" - "&amp;E24)</f>
        <v/>
      </c>
      <c r="E24" s="21" t="str">
        <f>IF($B24="","",Paramètres!$A$15)</f>
        <v/>
      </c>
      <c r="F24" s="21" t="str">
        <f>IF($B24="","",Paramètres!$B$15)</f>
        <v/>
      </c>
      <c r="G24" s="21" t="str">
        <f>IF('Classe Petite section'!$B24="","",IF('Classe Petite section'!D24="","",'Classe Petite section'!D24))</f>
        <v/>
      </c>
      <c r="H24" s="77" t="str">
        <f>IF('Classe Petite section'!$B24="","",IF('Classe Petite section'!E24="","",'Classe Petite section'!E24))</f>
        <v/>
      </c>
      <c r="I24" s="20" t="str">
        <f>IF('Classe Petite section'!$B24="","",IF('Classe Petite section'!F24="","",'Classe Petite section'!F24))</f>
        <v/>
      </c>
      <c r="J24" s="20" t="str">
        <f>IF('Classe Petite section'!$B24="","",IF('Classe Petite section'!G24="","",'Classe Petite section'!G24))</f>
        <v/>
      </c>
      <c r="K24" s="51" t="str">
        <f>IF('Classe Petite section'!$B24="","",N('Classe Petite section'!H24))</f>
        <v/>
      </c>
      <c r="L24" s="51" t="str">
        <f>IF('Classe Petite section'!$B24="","",N('Classe Petite section'!I24))</f>
        <v/>
      </c>
      <c r="M24" s="51" t="str">
        <f>IF('Classe Petite section'!$B24="","",N('Classe Petite section'!J24))</f>
        <v/>
      </c>
      <c r="N24" s="51" t="str">
        <f>IF('Classe Petite section'!$B24="","",N('Classe Petite section'!K24))</f>
        <v/>
      </c>
      <c r="O24" s="51" t="str">
        <f>IF('Classe Petite section'!$B24="","",N('Classe Petite section'!L24))</f>
        <v/>
      </c>
      <c r="P24" s="51" t="str">
        <f>IF('Classe Petite section'!$B24="","",N('Classe Petite section'!M24))</f>
        <v/>
      </c>
      <c r="Q24" s="21" t="str">
        <f>IF('Classe Petite section'!$B24="","",IF('Classe Petite section'!Q24="","",'Classe Petite section'!Q24))</f>
        <v/>
      </c>
      <c r="R24" s="51" t="str">
        <f>IF('Classe Petite section'!$B24="","",N('Classe Petite section'!N24))</f>
        <v/>
      </c>
      <c r="S24" s="51" t="str">
        <f>IF('Classe Petite section'!$B24="","",N('Classe Petite section'!O24))</f>
        <v/>
      </c>
      <c r="T24" s="51" t="str">
        <f>IF('Classe Petite section'!$B24="","",N('Classe Petite section'!P24))</f>
        <v/>
      </c>
    </row>
    <row r="25">
      <c r="A25" s="16" t="str">
        <f>IF('Classe Petite section'!$B25="","",IF('Classe Petite section'!A25="","",'Classe Petite section'!A25))</f>
        <v/>
      </c>
      <c r="B25" s="16" t="str">
        <f>IF('Classe Petite section'!$B25="","",IF('Classe Petite section'!B25="","",'Classe Petite section'!B25))</f>
        <v/>
      </c>
      <c r="C25" s="16" t="str">
        <f>IF('Classe Petite section'!$B25="","",IF('Classe Petite section'!C25="","",'Classe Petite section'!C25))</f>
        <v/>
      </c>
      <c r="D25" s="16" t="str">
        <f>IF($B25="","",C25&amp;" "&amp;B25&amp;" - "&amp;E25)</f>
        <v/>
      </c>
      <c r="E25" s="17" t="str">
        <f>IF($B25="","",Paramètres!$A$15)</f>
        <v/>
      </c>
      <c r="F25" s="17" t="str">
        <f>IF($B25="","",Paramètres!$B$15)</f>
        <v/>
      </c>
      <c r="G25" s="17" t="str">
        <f>IF('Classe Petite section'!$B25="","",IF('Classe Petite section'!D25="","",'Classe Petite section'!D25))</f>
        <v/>
      </c>
      <c r="H25" s="78" t="str">
        <f>IF('Classe Petite section'!$B25="","",IF('Classe Petite section'!E25="","",'Classe Petite section'!E25))</f>
        <v/>
      </c>
      <c r="I25" s="16" t="str">
        <f>IF('Classe Petite section'!$B25="","",IF('Classe Petite section'!F25="","",'Classe Petite section'!F25))</f>
        <v/>
      </c>
      <c r="J25" s="16" t="str">
        <f>IF('Classe Petite section'!$B25="","",IF('Classe Petite section'!G25="","",'Classe Petite section'!G25))</f>
        <v/>
      </c>
      <c r="K25" s="18" t="str">
        <f>IF('Classe Petite section'!$B25="","",N('Classe Petite section'!H25))</f>
        <v/>
      </c>
      <c r="L25" s="18" t="str">
        <f>IF('Classe Petite section'!$B25="","",N('Classe Petite section'!I25))</f>
        <v/>
      </c>
      <c r="M25" s="18" t="str">
        <f>IF('Classe Petite section'!$B25="","",N('Classe Petite section'!J25))</f>
        <v/>
      </c>
      <c r="N25" s="18" t="str">
        <f>IF('Classe Petite section'!$B25="","",N('Classe Petite section'!K25))</f>
        <v/>
      </c>
      <c r="O25" s="18" t="str">
        <f>IF('Classe Petite section'!$B25="","",N('Classe Petite section'!L25))</f>
        <v/>
      </c>
      <c r="P25" s="18" t="str">
        <f>IF('Classe Petite section'!$B25="","",N('Classe Petite section'!M25))</f>
        <v/>
      </c>
      <c r="Q25" s="17" t="str">
        <f>IF('Classe Petite section'!$B25="","",IF('Classe Petite section'!Q25="","",'Classe Petite section'!Q25))</f>
        <v/>
      </c>
      <c r="R25" s="18" t="str">
        <f>IF('Classe Petite section'!$B25="","",N('Classe Petite section'!N25))</f>
        <v/>
      </c>
      <c r="S25" s="18" t="str">
        <f>IF('Classe Petite section'!$B25="","",N('Classe Petite section'!O25))</f>
        <v/>
      </c>
      <c r="T25" s="18" t="str">
        <f>IF('Classe Petite section'!$B25="","",N('Classe Petite section'!P25))</f>
        <v/>
      </c>
    </row>
    <row r="26">
      <c r="A26" s="20" t="str">
        <f>IF('Classe Petite section'!$B26="","",IF('Classe Petite section'!A26="","",'Classe Petite section'!A26))</f>
        <v/>
      </c>
      <c r="B26" s="20" t="str">
        <f>IF('Classe Petite section'!$B26="","",IF('Classe Petite section'!B26="","",'Classe Petite section'!B26))</f>
        <v/>
      </c>
      <c r="C26" s="20" t="str">
        <f>IF('Classe Petite section'!$B26="","",IF('Classe Petite section'!C26="","",'Classe Petite section'!C26))</f>
        <v/>
      </c>
      <c r="D26" s="20" t="str">
        <f>IF($B26="","",C26&amp;" "&amp;B26&amp;" - "&amp;E26)</f>
        <v/>
      </c>
      <c r="E26" s="21" t="str">
        <f>IF($B26="","",Paramètres!$A$15)</f>
        <v/>
      </c>
      <c r="F26" s="21" t="str">
        <f>IF($B26="","",Paramètres!$B$15)</f>
        <v/>
      </c>
      <c r="G26" s="21" t="str">
        <f>IF('Classe Petite section'!$B26="","",IF('Classe Petite section'!D26="","",'Classe Petite section'!D26))</f>
        <v/>
      </c>
      <c r="H26" s="77" t="str">
        <f>IF('Classe Petite section'!$B26="","",IF('Classe Petite section'!E26="","",'Classe Petite section'!E26))</f>
        <v/>
      </c>
      <c r="I26" s="20" t="str">
        <f>IF('Classe Petite section'!$B26="","",IF('Classe Petite section'!F26="","",'Classe Petite section'!F26))</f>
        <v/>
      </c>
      <c r="J26" s="20" t="str">
        <f>IF('Classe Petite section'!$B26="","",IF('Classe Petite section'!G26="","",'Classe Petite section'!G26))</f>
        <v/>
      </c>
      <c r="K26" s="51" t="str">
        <f>IF('Classe Petite section'!$B26="","",N('Classe Petite section'!H26))</f>
        <v/>
      </c>
      <c r="L26" s="51" t="str">
        <f>IF('Classe Petite section'!$B26="","",N('Classe Petite section'!I26))</f>
        <v/>
      </c>
      <c r="M26" s="51" t="str">
        <f>IF('Classe Petite section'!$B26="","",N('Classe Petite section'!J26))</f>
        <v/>
      </c>
      <c r="N26" s="51" t="str">
        <f>IF('Classe Petite section'!$B26="","",N('Classe Petite section'!K26))</f>
        <v/>
      </c>
      <c r="O26" s="51" t="str">
        <f>IF('Classe Petite section'!$B26="","",N('Classe Petite section'!L26))</f>
        <v/>
      </c>
      <c r="P26" s="51" t="str">
        <f>IF('Classe Petite section'!$B26="","",N('Classe Petite section'!M26))</f>
        <v/>
      </c>
      <c r="Q26" s="21" t="str">
        <f>IF('Classe Petite section'!$B26="","",IF('Classe Petite section'!Q26="","",'Classe Petite section'!Q26))</f>
        <v/>
      </c>
      <c r="R26" s="51" t="str">
        <f>IF('Classe Petite section'!$B26="","",N('Classe Petite section'!N26))</f>
        <v/>
      </c>
      <c r="S26" s="51" t="str">
        <f>IF('Classe Petite section'!$B26="","",N('Classe Petite section'!O26))</f>
        <v/>
      </c>
      <c r="T26" s="51" t="str">
        <f>IF('Classe Petite section'!$B26="","",N('Classe Petite section'!P26))</f>
        <v/>
      </c>
    </row>
    <row r="27">
      <c r="A27" s="16" t="str">
        <f>IF('Classe Petite section'!$B27="","",IF('Classe Petite section'!A27="","",'Classe Petite section'!A27))</f>
        <v/>
      </c>
      <c r="B27" s="16" t="str">
        <f>IF('Classe Petite section'!$B27="","",IF('Classe Petite section'!B27="","",'Classe Petite section'!B27))</f>
        <v/>
      </c>
      <c r="C27" s="16" t="str">
        <f>IF('Classe Petite section'!$B27="","",IF('Classe Petite section'!C27="","",'Classe Petite section'!C27))</f>
        <v/>
      </c>
      <c r="D27" s="16" t="str">
        <f>IF($B27="","",C27&amp;" "&amp;B27&amp;" - "&amp;E27)</f>
        <v/>
      </c>
      <c r="E27" s="17" t="str">
        <f>IF($B27="","",Paramètres!$A$15)</f>
        <v/>
      </c>
      <c r="F27" s="17" t="str">
        <f>IF($B27="","",Paramètres!$B$15)</f>
        <v/>
      </c>
      <c r="G27" s="17" t="str">
        <f>IF('Classe Petite section'!$B27="","",IF('Classe Petite section'!D27="","",'Classe Petite section'!D27))</f>
        <v/>
      </c>
      <c r="H27" s="78" t="str">
        <f>IF('Classe Petite section'!$B27="","",IF('Classe Petite section'!E27="","",'Classe Petite section'!E27))</f>
        <v/>
      </c>
      <c r="I27" s="16" t="str">
        <f>IF('Classe Petite section'!$B27="","",IF('Classe Petite section'!F27="","",'Classe Petite section'!F27))</f>
        <v/>
      </c>
      <c r="J27" s="16" t="str">
        <f>IF('Classe Petite section'!$B27="","",IF('Classe Petite section'!G27="","",'Classe Petite section'!G27))</f>
        <v/>
      </c>
      <c r="K27" s="18" t="str">
        <f>IF('Classe Petite section'!$B27="","",N('Classe Petite section'!H27))</f>
        <v/>
      </c>
      <c r="L27" s="18" t="str">
        <f>IF('Classe Petite section'!$B27="","",N('Classe Petite section'!I27))</f>
        <v/>
      </c>
      <c r="M27" s="18" t="str">
        <f>IF('Classe Petite section'!$B27="","",N('Classe Petite section'!J27))</f>
        <v/>
      </c>
      <c r="N27" s="18" t="str">
        <f>IF('Classe Petite section'!$B27="","",N('Classe Petite section'!K27))</f>
        <v/>
      </c>
      <c r="O27" s="18" t="str">
        <f>IF('Classe Petite section'!$B27="","",N('Classe Petite section'!L27))</f>
        <v/>
      </c>
      <c r="P27" s="18" t="str">
        <f>IF('Classe Petite section'!$B27="","",N('Classe Petite section'!M27))</f>
        <v/>
      </c>
      <c r="Q27" s="17" t="str">
        <f>IF('Classe Petite section'!$B27="","",IF('Classe Petite section'!Q27="","",'Classe Petite section'!Q27))</f>
        <v/>
      </c>
      <c r="R27" s="18" t="str">
        <f>IF('Classe Petite section'!$B27="","",N('Classe Petite section'!N27))</f>
        <v/>
      </c>
      <c r="S27" s="18" t="str">
        <f>IF('Classe Petite section'!$B27="","",N('Classe Petite section'!O27))</f>
        <v/>
      </c>
      <c r="T27" s="18" t="str">
        <f>IF('Classe Petite section'!$B27="","",N('Classe Petite section'!P27))</f>
        <v/>
      </c>
    </row>
    <row r="28">
      <c r="A28" s="20" t="str">
        <f>IF('Classe Petite section'!$B28="","",IF('Classe Petite section'!A28="","",'Classe Petite section'!A28))</f>
        <v/>
      </c>
      <c r="B28" s="20" t="str">
        <f>IF('Classe Petite section'!$B28="","",IF('Classe Petite section'!B28="","",'Classe Petite section'!B28))</f>
        <v/>
      </c>
      <c r="C28" s="20" t="str">
        <f>IF('Classe Petite section'!$B28="","",IF('Classe Petite section'!C28="","",'Classe Petite section'!C28))</f>
        <v/>
      </c>
      <c r="D28" s="20" t="str">
        <f>IF($B28="","",C28&amp;" "&amp;B28&amp;" - "&amp;E28)</f>
        <v/>
      </c>
      <c r="E28" s="21" t="str">
        <f>IF($B28="","",Paramètres!$A$15)</f>
        <v/>
      </c>
      <c r="F28" s="21" t="str">
        <f>IF($B28="","",Paramètres!$B$15)</f>
        <v/>
      </c>
      <c r="G28" s="21" t="str">
        <f>IF('Classe Petite section'!$B28="","",IF('Classe Petite section'!D28="","",'Classe Petite section'!D28))</f>
        <v/>
      </c>
      <c r="H28" s="77" t="str">
        <f>IF('Classe Petite section'!$B28="","",IF('Classe Petite section'!E28="","",'Classe Petite section'!E28))</f>
        <v/>
      </c>
      <c r="I28" s="20" t="str">
        <f>IF('Classe Petite section'!$B28="","",IF('Classe Petite section'!F28="","",'Classe Petite section'!F28))</f>
        <v/>
      </c>
      <c r="J28" s="20" t="str">
        <f>IF('Classe Petite section'!$B28="","",IF('Classe Petite section'!G28="","",'Classe Petite section'!G28))</f>
        <v/>
      </c>
      <c r="K28" s="51" t="str">
        <f>IF('Classe Petite section'!$B28="","",N('Classe Petite section'!H28))</f>
        <v/>
      </c>
      <c r="L28" s="51" t="str">
        <f>IF('Classe Petite section'!$B28="","",N('Classe Petite section'!I28))</f>
        <v/>
      </c>
      <c r="M28" s="51" t="str">
        <f>IF('Classe Petite section'!$B28="","",N('Classe Petite section'!J28))</f>
        <v/>
      </c>
      <c r="N28" s="51" t="str">
        <f>IF('Classe Petite section'!$B28="","",N('Classe Petite section'!K28))</f>
        <v/>
      </c>
      <c r="O28" s="51" t="str">
        <f>IF('Classe Petite section'!$B28="","",N('Classe Petite section'!L28))</f>
        <v/>
      </c>
      <c r="P28" s="51" t="str">
        <f>IF('Classe Petite section'!$B28="","",N('Classe Petite section'!M28))</f>
        <v/>
      </c>
      <c r="Q28" s="21" t="str">
        <f>IF('Classe Petite section'!$B28="","",IF('Classe Petite section'!Q28="","",'Classe Petite section'!Q28))</f>
        <v/>
      </c>
      <c r="R28" s="51" t="str">
        <f>IF('Classe Petite section'!$B28="","",N('Classe Petite section'!N28))</f>
        <v/>
      </c>
      <c r="S28" s="51" t="str">
        <f>IF('Classe Petite section'!$B28="","",N('Classe Petite section'!O28))</f>
        <v/>
      </c>
      <c r="T28" s="51" t="str">
        <f>IF('Classe Petite section'!$B28="","",N('Classe Petite section'!P28))</f>
        <v/>
      </c>
    </row>
    <row r="29">
      <c r="A29" s="16" t="str">
        <f>IF('Classe Petite section'!$B29="","",IF('Classe Petite section'!A29="","",'Classe Petite section'!A29))</f>
        <v/>
      </c>
      <c r="B29" s="16" t="str">
        <f>IF('Classe Petite section'!$B29="","",IF('Classe Petite section'!B29="","",'Classe Petite section'!B29))</f>
        <v/>
      </c>
      <c r="C29" s="16" t="str">
        <f>IF('Classe Petite section'!$B29="","",IF('Classe Petite section'!C29="","",'Classe Petite section'!C29))</f>
        <v/>
      </c>
      <c r="D29" s="16" t="str">
        <f>IF($B29="","",C29&amp;" "&amp;B29&amp;" - "&amp;E29)</f>
        <v/>
      </c>
      <c r="E29" s="17" t="str">
        <f>IF($B29="","",Paramètres!$A$15)</f>
        <v/>
      </c>
      <c r="F29" s="17" t="str">
        <f>IF($B29="","",Paramètres!$B$15)</f>
        <v/>
      </c>
      <c r="G29" s="17" t="str">
        <f>IF('Classe Petite section'!$B29="","",IF('Classe Petite section'!D29="","",'Classe Petite section'!D29))</f>
        <v/>
      </c>
      <c r="H29" s="78" t="str">
        <f>IF('Classe Petite section'!$B29="","",IF('Classe Petite section'!E29="","",'Classe Petite section'!E29))</f>
        <v/>
      </c>
      <c r="I29" s="16" t="str">
        <f>IF('Classe Petite section'!$B29="","",IF('Classe Petite section'!F29="","",'Classe Petite section'!F29))</f>
        <v/>
      </c>
      <c r="J29" s="16" t="str">
        <f>IF('Classe Petite section'!$B29="","",IF('Classe Petite section'!G29="","",'Classe Petite section'!G29))</f>
        <v/>
      </c>
      <c r="K29" s="18" t="str">
        <f>IF('Classe Petite section'!$B29="","",N('Classe Petite section'!H29))</f>
        <v/>
      </c>
      <c r="L29" s="18" t="str">
        <f>IF('Classe Petite section'!$B29="","",N('Classe Petite section'!I29))</f>
        <v/>
      </c>
      <c r="M29" s="18" t="str">
        <f>IF('Classe Petite section'!$B29="","",N('Classe Petite section'!J29))</f>
        <v/>
      </c>
      <c r="N29" s="18" t="str">
        <f>IF('Classe Petite section'!$B29="","",N('Classe Petite section'!K29))</f>
        <v/>
      </c>
      <c r="O29" s="18" t="str">
        <f>IF('Classe Petite section'!$B29="","",N('Classe Petite section'!L29))</f>
        <v/>
      </c>
      <c r="P29" s="18" t="str">
        <f>IF('Classe Petite section'!$B29="","",N('Classe Petite section'!M29))</f>
        <v/>
      </c>
      <c r="Q29" s="17" t="str">
        <f>IF('Classe Petite section'!$B29="","",IF('Classe Petite section'!Q29="","",'Classe Petite section'!Q29))</f>
        <v/>
      </c>
      <c r="R29" s="18" t="str">
        <f>IF('Classe Petite section'!$B29="","",N('Classe Petite section'!N29))</f>
        <v/>
      </c>
      <c r="S29" s="18" t="str">
        <f>IF('Classe Petite section'!$B29="","",N('Classe Petite section'!O29))</f>
        <v/>
      </c>
      <c r="T29" s="18" t="str">
        <f>IF('Classe Petite section'!$B29="","",N('Classe Petite section'!P29))</f>
        <v/>
      </c>
    </row>
    <row r="30">
      <c r="A30" s="20" t="str">
        <f>IF('Classe Petite section'!$B30="","",IF('Classe Petite section'!A30="","",'Classe Petite section'!A30))</f>
        <v/>
      </c>
      <c r="B30" s="20" t="str">
        <f>IF('Classe Petite section'!$B30="","",IF('Classe Petite section'!B30="","",'Classe Petite section'!B30))</f>
        <v/>
      </c>
      <c r="C30" s="20" t="str">
        <f>IF('Classe Petite section'!$B30="","",IF('Classe Petite section'!C30="","",'Classe Petite section'!C30))</f>
        <v/>
      </c>
      <c r="D30" s="20" t="str">
        <f>IF($B30="","",C30&amp;" "&amp;B30&amp;" - "&amp;E30)</f>
        <v/>
      </c>
      <c r="E30" s="21" t="str">
        <f>IF($B30="","",Paramètres!$A$15)</f>
        <v/>
      </c>
      <c r="F30" s="21" t="str">
        <f>IF($B30="","",Paramètres!$B$15)</f>
        <v/>
      </c>
      <c r="G30" s="21" t="str">
        <f>IF('Classe Petite section'!$B30="","",IF('Classe Petite section'!D30="","",'Classe Petite section'!D30))</f>
        <v/>
      </c>
      <c r="H30" s="77" t="str">
        <f>IF('Classe Petite section'!$B30="","",IF('Classe Petite section'!E30="","",'Classe Petite section'!E30))</f>
        <v/>
      </c>
      <c r="I30" s="20" t="str">
        <f>IF('Classe Petite section'!$B30="","",IF('Classe Petite section'!F30="","",'Classe Petite section'!F30))</f>
        <v/>
      </c>
      <c r="J30" s="20" t="str">
        <f>IF('Classe Petite section'!$B30="","",IF('Classe Petite section'!G30="","",'Classe Petite section'!G30))</f>
        <v/>
      </c>
      <c r="K30" s="51" t="str">
        <f>IF('Classe Petite section'!$B30="","",N('Classe Petite section'!H30))</f>
        <v/>
      </c>
      <c r="L30" s="51" t="str">
        <f>IF('Classe Petite section'!$B30="","",N('Classe Petite section'!I30))</f>
        <v/>
      </c>
      <c r="M30" s="51" t="str">
        <f>IF('Classe Petite section'!$B30="","",N('Classe Petite section'!J30))</f>
        <v/>
      </c>
      <c r="N30" s="51" t="str">
        <f>IF('Classe Petite section'!$B30="","",N('Classe Petite section'!K30))</f>
        <v/>
      </c>
      <c r="O30" s="51" t="str">
        <f>IF('Classe Petite section'!$B30="","",N('Classe Petite section'!L30))</f>
        <v/>
      </c>
      <c r="P30" s="51" t="str">
        <f>IF('Classe Petite section'!$B30="","",N('Classe Petite section'!M30))</f>
        <v/>
      </c>
      <c r="Q30" s="21" t="str">
        <f>IF('Classe Petite section'!$B30="","",IF('Classe Petite section'!Q30="","",'Classe Petite section'!Q30))</f>
        <v/>
      </c>
      <c r="R30" s="51" t="str">
        <f>IF('Classe Petite section'!$B30="","",N('Classe Petite section'!N30))</f>
        <v/>
      </c>
      <c r="S30" s="51" t="str">
        <f>IF('Classe Petite section'!$B30="","",N('Classe Petite section'!O30))</f>
        <v/>
      </c>
      <c r="T30" s="51" t="str">
        <f>IF('Classe Petite section'!$B30="","",N('Classe Petite section'!P30))</f>
        <v/>
      </c>
    </row>
    <row r="31">
      <c r="A31" s="16" t="str">
        <f>IF('Classe Petite section'!$B31="","",IF('Classe Petite section'!A31="","",'Classe Petite section'!A31))</f>
        <v/>
      </c>
      <c r="B31" s="16" t="str">
        <f>IF('Classe Petite section'!$B31="","",IF('Classe Petite section'!B31="","",'Classe Petite section'!B31))</f>
        <v/>
      </c>
      <c r="C31" s="16" t="str">
        <f>IF('Classe Petite section'!$B31="","",IF('Classe Petite section'!C31="","",'Classe Petite section'!C31))</f>
        <v/>
      </c>
      <c r="D31" s="16" t="str">
        <f>IF($B31="","",C31&amp;" "&amp;B31&amp;" - "&amp;E31)</f>
        <v/>
      </c>
      <c r="E31" s="17" t="str">
        <f>IF($B31="","",Paramètres!$A$15)</f>
        <v/>
      </c>
      <c r="F31" s="17" t="str">
        <f>IF($B31="","",Paramètres!$B$15)</f>
        <v/>
      </c>
      <c r="G31" s="17" t="str">
        <f>IF('Classe Petite section'!$B31="","",IF('Classe Petite section'!D31="","",'Classe Petite section'!D31))</f>
        <v/>
      </c>
      <c r="H31" s="78" t="str">
        <f>IF('Classe Petite section'!$B31="","",IF('Classe Petite section'!E31="","",'Classe Petite section'!E31))</f>
        <v/>
      </c>
      <c r="I31" s="16" t="str">
        <f>IF('Classe Petite section'!$B31="","",IF('Classe Petite section'!F31="","",'Classe Petite section'!F31))</f>
        <v/>
      </c>
      <c r="J31" s="16" t="str">
        <f>IF('Classe Petite section'!$B31="","",IF('Classe Petite section'!G31="","",'Classe Petite section'!G31))</f>
        <v/>
      </c>
      <c r="K31" s="18" t="str">
        <f>IF('Classe Petite section'!$B31="","",N('Classe Petite section'!H31))</f>
        <v/>
      </c>
      <c r="L31" s="18" t="str">
        <f>IF('Classe Petite section'!$B31="","",N('Classe Petite section'!I31))</f>
        <v/>
      </c>
      <c r="M31" s="18" t="str">
        <f>IF('Classe Petite section'!$B31="","",N('Classe Petite section'!J31))</f>
        <v/>
      </c>
      <c r="N31" s="18" t="str">
        <f>IF('Classe Petite section'!$B31="","",N('Classe Petite section'!K31))</f>
        <v/>
      </c>
      <c r="O31" s="18" t="str">
        <f>IF('Classe Petite section'!$B31="","",N('Classe Petite section'!L31))</f>
        <v/>
      </c>
      <c r="P31" s="18" t="str">
        <f>IF('Classe Petite section'!$B31="","",N('Classe Petite section'!M31))</f>
        <v/>
      </c>
      <c r="Q31" s="17" t="str">
        <f>IF('Classe Petite section'!$B31="","",IF('Classe Petite section'!Q31="","",'Classe Petite section'!Q31))</f>
        <v/>
      </c>
      <c r="R31" s="18" t="str">
        <f>IF('Classe Petite section'!$B31="","",N('Classe Petite section'!N31))</f>
        <v/>
      </c>
      <c r="S31" s="18" t="str">
        <f>IF('Classe Petite section'!$B31="","",N('Classe Petite section'!O31))</f>
        <v/>
      </c>
      <c r="T31" s="18" t="str">
        <f>IF('Classe Petite section'!$B31="","",N('Classe Petite section'!P31))</f>
        <v/>
      </c>
    </row>
    <row r="32">
      <c r="A32" s="20" t="str">
        <f>IF('Classe Petite section'!$B32="","",IF('Classe Petite section'!A32="","",'Classe Petite section'!A32))</f>
        <v/>
      </c>
      <c r="B32" s="20" t="str">
        <f>IF('Classe Petite section'!$B32="","",IF('Classe Petite section'!B32="","",'Classe Petite section'!B32))</f>
        <v/>
      </c>
      <c r="C32" s="20" t="str">
        <f>IF('Classe Petite section'!$B32="","",IF('Classe Petite section'!C32="","",'Classe Petite section'!C32))</f>
        <v/>
      </c>
      <c r="D32" s="20" t="str">
        <f>IF($B32="","",C32&amp;" "&amp;B32&amp;" - "&amp;E32)</f>
        <v/>
      </c>
      <c r="E32" s="21" t="str">
        <f>IF($B32="","",Paramètres!$A$15)</f>
        <v/>
      </c>
      <c r="F32" s="21" t="str">
        <f>IF($B32="","",Paramètres!$B$15)</f>
        <v/>
      </c>
      <c r="G32" s="21" t="str">
        <f>IF('Classe Petite section'!$B32="","",IF('Classe Petite section'!D32="","",'Classe Petite section'!D32))</f>
        <v/>
      </c>
      <c r="H32" s="77" t="str">
        <f>IF('Classe Petite section'!$B32="","",IF('Classe Petite section'!E32="","",'Classe Petite section'!E32))</f>
        <v/>
      </c>
      <c r="I32" s="20" t="str">
        <f>IF('Classe Petite section'!$B32="","",IF('Classe Petite section'!F32="","",'Classe Petite section'!F32))</f>
        <v/>
      </c>
      <c r="J32" s="20" t="str">
        <f>IF('Classe Petite section'!$B32="","",IF('Classe Petite section'!G32="","",'Classe Petite section'!G32))</f>
        <v/>
      </c>
      <c r="K32" s="51" t="str">
        <f>IF('Classe Petite section'!$B32="","",N('Classe Petite section'!H32))</f>
        <v/>
      </c>
      <c r="L32" s="51" t="str">
        <f>IF('Classe Petite section'!$B32="","",N('Classe Petite section'!I32))</f>
        <v/>
      </c>
      <c r="M32" s="51" t="str">
        <f>IF('Classe Petite section'!$B32="","",N('Classe Petite section'!J32))</f>
        <v/>
      </c>
      <c r="N32" s="51" t="str">
        <f>IF('Classe Petite section'!$B32="","",N('Classe Petite section'!K32))</f>
        <v/>
      </c>
      <c r="O32" s="51" t="str">
        <f>IF('Classe Petite section'!$B32="","",N('Classe Petite section'!L32))</f>
        <v/>
      </c>
      <c r="P32" s="51" t="str">
        <f>IF('Classe Petite section'!$B32="","",N('Classe Petite section'!M32))</f>
        <v/>
      </c>
      <c r="Q32" s="21" t="str">
        <f>IF('Classe Petite section'!$B32="","",IF('Classe Petite section'!Q32="","",'Classe Petite section'!Q32))</f>
        <v/>
      </c>
      <c r="R32" s="51" t="str">
        <f>IF('Classe Petite section'!$B32="","",N('Classe Petite section'!N32))</f>
        <v/>
      </c>
      <c r="S32" s="51" t="str">
        <f>IF('Classe Petite section'!$B32="","",N('Classe Petite section'!O32))</f>
        <v/>
      </c>
      <c r="T32" s="51" t="str">
        <f>IF('Classe Petite section'!$B32="","",N('Classe Petite section'!P32))</f>
        <v/>
      </c>
    </row>
    <row r="33">
      <c r="A33" s="16" t="str">
        <f>IF('Classe Petite section'!$B33="","",IF('Classe Petite section'!A33="","",'Classe Petite section'!A33))</f>
        <v/>
      </c>
      <c r="B33" s="16" t="str">
        <f>IF('Classe Petite section'!$B33="","",IF('Classe Petite section'!B33="","",'Classe Petite section'!B33))</f>
        <v/>
      </c>
      <c r="C33" s="16" t="str">
        <f>IF('Classe Petite section'!$B33="","",IF('Classe Petite section'!C33="","",'Classe Petite section'!C33))</f>
        <v/>
      </c>
      <c r="D33" s="16" t="str">
        <f>IF($B33="","",C33&amp;" "&amp;B33&amp;" - "&amp;E33)</f>
        <v/>
      </c>
      <c r="E33" s="17" t="str">
        <f>IF($B33="","",Paramètres!$A$15)</f>
        <v/>
      </c>
      <c r="F33" s="17" t="str">
        <f>IF($B33="","",Paramètres!$B$15)</f>
        <v/>
      </c>
      <c r="G33" s="17" t="str">
        <f>IF('Classe Petite section'!$B33="","",IF('Classe Petite section'!D33="","",'Classe Petite section'!D33))</f>
        <v/>
      </c>
      <c r="H33" s="78" t="str">
        <f>IF('Classe Petite section'!$B33="","",IF('Classe Petite section'!E33="","",'Classe Petite section'!E33))</f>
        <v/>
      </c>
      <c r="I33" s="16" t="str">
        <f>IF('Classe Petite section'!$B33="","",IF('Classe Petite section'!F33="","",'Classe Petite section'!F33))</f>
        <v/>
      </c>
      <c r="J33" s="16" t="str">
        <f>IF('Classe Petite section'!$B33="","",IF('Classe Petite section'!G33="","",'Classe Petite section'!G33))</f>
        <v/>
      </c>
      <c r="K33" s="18" t="str">
        <f>IF('Classe Petite section'!$B33="","",N('Classe Petite section'!H33))</f>
        <v/>
      </c>
      <c r="L33" s="18" t="str">
        <f>IF('Classe Petite section'!$B33="","",N('Classe Petite section'!I33))</f>
        <v/>
      </c>
      <c r="M33" s="18" t="str">
        <f>IF('Classe Petite section'!$B33="","",N('Classe Petite section'!J33))</f>
        <v/>
      </c>
      <c r="N33" s="18" t="str">
        <f>IF('Classe Petite section'!$B33="","",N('Classe Petite section'!K33))</f>
        <v/>
      </c>
      <c r="O33" s="18" t="str">
        <f>IF('Classe Petite section'!$B33="","",N('Classe Petite section'!L33))</f>
        <v/>
      </c>
      <c r="P33" s="18" t="str">
        <f>IF('Classe Petite section'!$B33="","",N('Classe Petite section'!M33))</f>
        <v/>
      </c>
      <c r="Q33" s="17" t="str">
        <f>IF('Classe Petite section'!$B33="","",IF('Classe Petite section'!Q33="","",'Classe Petite section'!Q33))</f>
        <v/>
      </c>
      <c r="R33" s="18" t="str">
        <f>IF('Classe Petite section'!$B33="","",N('Classe Petite section'!N33))</f>
        <v/>
      </c>
      <c r="S33" s="18" t="str">
        <f>IF('Classe Petite section'!$B33="","",N('Classe Petite section'!O33))</f>
        <v/>
      </c>
      <c r="T33" s="18" t="str">
        <f>IF('Classe Petite section'!$B33="","",N('Classe Petite section'!P33))</f>
        <v/>
      </c>
    </row>
    <row r="34">
      <c r="A34" s="20" t="str">
        <f>IF('Classe Petite section'!$B34="","",IF('Classe Petite section'!A34="","",'Classe Petite section'!A34))</f>
        <v/>
      </c>
      <c r="B34" s="20" t="str">
        <f>IF('Classe Petite section'!$B34="","",IF('Classe Petite section'!B34="","",'Classe Petite section'!B34))</f>
        <v/>
      </c>
      <c r="C34" s="20" t="str">
        <f>IF('Classe Petite section'!$B34="","",IF('Classe Petite section'!C34="","",'Classe Petite section'!C34))</f>
        <v/>
      </c>
      <c r="D34" s="20" t="str">
        <f>IF($B34="","",C34&amp;" "&amp;B34&amp;" - "&amp;E34)</f>
        <v/>
      </c>
      <c r="E34" s="21" t="str">
        <f>IF($B34="","",Paramètres!$A$15)</f>
        <v/>
      </c>
      <c r="F34" s="21" t="str">
        <f>IF($B34="","",Paramètres!$B$15)</f>
        <v/>
      </c>
      <c r="G34" s="21" t="str">
        <f>IF('Classe Petite section'!$B34="","",IF('Classe Petite section'!D34="","",'Classe Petite section'!D34))</f>
        <v/>
      </c>
      <c r="H34" s="77" t="str">
        <f>IF('Classe Petite section'!$B34="","",IF('Classe Petite section'!E34="","",'Classe Petite section'!E34))</f>
        <v/>
      </c>
      <c r="I34" s="20" t="str">
        <f>IF('Classe Petite section'!$B34="","",IF('Classe Petite section'!F34="","",'Classe Petite section'!F34))</f>
        <v/>
      </c>
      <c r="J34" s="20" t="str">
        <f>IF('Classe Petite section'!$B34="","",IF('Classe Petite section'!G34="","",'Classe Petite section'!G34))</f>
        <v/>
      </c>
      <c r="K34" s="51" t="str">
        <f>IF('Classe Petite section'!$B34="","",N('Classe Petite section'!H34))</f>
        <v/>
      </c>
      <c r="L34" s="51" t="str">
        <f>IF('Classe Petite section'!$B34="","",N('Classe Petite section'!I34))</f>
        <v/>
      </c>
      <c r="M34" s="51" t="str">
        <f>IF('Classe Petite section'!$B34="","",N('Classe Petite section'!J34))</f>
        <v/>
      </c>
      <c r="N34" s="51" t="str">
        <f>IF('Classe Petite section'!$B34="","",N('Classe Petite section'!K34))</f>
        <v/>
      </c>
      <c r="O34" s="51" t="str">
        <f>IF('Classe Petite section'!$B34="","",N('Classe Petite section'!L34))</f>
        <v/>
      </c>
      <c r="P34" s="51" t="str">
        <f>IF('Classe Petite section'!$B34="","",N('Classe Petite section'!M34))</f>
        <v/>
      </c>
      <c r="Q34" s="21" t="str">
        <f>IF('Classe Petite section'!$B34="","",IF('Classe Petite section'!Q34="","",'Classe Petite section'!Q34))</f>
        <v/>
      </c>
      <c r="R34" s="51" t="str">
        <f>IF('Classe Petite section'!$B34="","",N('Classe Petite section'!N34))</f>
        <v/>
      </c>
      <c r="S34" s="51" t="str">
        <f>IF('Classe Petite section'!$B34="","",N('Classe Petite section'!O34))</f>
        <v/>
      </c>
      <c r="T34" s="51" t="str">
        <f>IF('Classe Petite section'!$B34="","",N('Classe Petite section'!P34))</f>
        <v/>
      </c>
    </row>
    <row r="35">
      <c r="A35" s="16" t="str">
        <f>IF('Classe Petite section'!$B35="","",IF('Classe Petite section'!A35="","",'Classe Petite section'!A35))</f>
        <v/>
      </c>
      <c r="B35" s="16" t="str">
        <f>IF('Classe Petite section'!$B35="","",IF('Classe Petite section'!B35="","",'Classe Petite section'!B35))</f>
        <v/>
      </c>
      <c r="C35" s="16" t="str">
        <f>IF('Classe Petite section'!$B35="","",IF('Classe Petite section'!C35="","",'Classe Petite section'!C35))</f>
        <v/>
      </c>
      <c r="D35" s="16" t="str">
        <f>IF($B35="","",C35&amp;" "&amp;B35&amp;" - "&amp;E35)</f>
        <v/>
      </c>
      <c r="E35" s="17" t="str">
        <f>IF($B35="","",Paramètres!$A$15)</f>
        <v/>
      </c>
      <c r="F35" s="17" t="str">
        <f>IF($B35="","",Paramètres!$B$15)</f>
        <v/>
      </c>
      <c r="G35" s="17" t="str">
        <f>IF('Classe Petite section'!$B35="","",IF('Classe Petite section'!D35="","",'Classe Petite section'!D35))</f>
        <v/>
      </c>
      <c r="H35" s="78" t="str">
        <f>IF('Classe Petite section'!$B35="","",IF('Classe Petite section'!E35="","",'Classe Petite section'!E35))</f>
        <v/>
      </c>
      <c r="I35" s="16" t="str">
        <f>IF('Classe Petite section'!$B35="","",IF('Classe Petite section'!F35="","",'Classe Petite section'!F35))</f>
        <v/>
      </c>
      <c r="J35" s="16" t="str">
        <f>IF('Classe Petite section'!$B35="","",IF('Classe Petite section'!G35="","",'Classe Petite section'!G35))</f>
        <v/>
      </c>
      <c r="K35" s="18" t="str">
        <f>IF('Classe Petite section'!$B35="","",N('Classe Petite section'!H35))</f>
        <v/>
      </c>
      <c r="L35" s="18" t="str">
        <f>IF('Classe Petite section'!$B35="","",N('Classe Petite section'!I35))</f>
        <v/>
      </c>
      <c r="M35" s="18" t="str">
        <f>IF('Classe Petite section'!$B35="","",N('Classe Petite section'!J35))</f>
        <v/>
      </c>
      <c r="N35" s="18" t="str">
        <f>IF('Classe Petite section'!$B35="","",N('Classe Petite section'!K35))</f>
        <v/>
      </c>
      <c r="O35" s="18" t="str">
        <f>IF('Classe Petite section'!$B35="","",N('Classe Petite section'!L35))</f>
        <v/>
      </c>
      <c r="P35" s="18" t="str">
        <f>IF('Classe Petite section'!$B35="","",N('Classe Petite section'!M35))</f>
        <v/>
      </c>
      <c r="Q35" s="17" t="str">
        <f>IF('Classe Petite section'!$B35="","",IF('Classe Petite section'!Q35="","",'Classe Petite section'!Q35))</f>
        <v/>
      </c>
      <c r="R35" s="18" t="str">
        <f>IF('Classe Petite section'!$B35="","",N('Classe Petite section'!N35))</f>
        <v/>
      </c>
      <c r="S35" s="18" t="str">
        <f>IF('Classe Petite section'!$B35="","",N('Classe Petite section'!O35))</f>
        <v/>
      </c>
      <c r="T35" s="18" t="str">
        <f>IF('Classe Petite section'!$B35="","",N('Classe Petite section'!P35))</f>
        <v/>
      </c>
    </row>
    <row r="36">
      <c r="A36" s="20" t="str">
        <f>IF('Classe Petite section'!$B36="","",IF('Classe Petite section'!A36="","",'Classe Petite section'!A36))</f>
        <v/>
      </c>
      <c r="B36" s="20" t="str">
        <f>IF('Classe Petite section'!$B36="","",IF('Classe Petite section'!B36="","",'Classe Petite section'!B36))</f>
        <v/>
      </c>
      <c r="C36" s="20" t="str">
        <f>IF('Classe Petite section'!$B36="","",IF('Classe Petite section'!C36="","",'Classe Petite section'!C36))</f>
        <v/>
      </c>
      <c r="D36" s="20" t="str">
        <f>IF($B36="","",C36&amp;" "&amp;B36&amp;" - "&amp;E36)</f>
        <v/>
      </c>
      <c r="E36" s="21" t="str">
        <f>IF($B36="","",Paramètres!$A$15)</f>
        <v/>
      </c>
      <c r="F36" s="21" t="str">
        <f>IF($B36="","",Paramètres!$B$15)</f>
        <v/>
      </c>
      <c r="G36" s="21" t="str">
        <f>IF('Classe Petite section'!$B36="","",IF('Classe Petite section'!D36="","",'Classe Petite section'!D36))</f>
        <v/>
      </c>
      <c r="H36" s="77" t="str">
        <f>IF('Classe Petite section'!$B36="","",IF('Classe Petite section'!E36="","",'Classe Petite section'!E36))</f>
        <v/>
      </c>
      <c r="I36" s="20" t="str">
        <f>IF('Classe Petite section'!$B36="","",IF('Classe Petite section'!F36="","",'Classe Petite section'!F36))</f>
        <v/>
      </c>
      <c r="J36" s="20" t="str">
        <f>IF('Classe Petite section'!$B36="","",IF('Classe Petite section'!G36="","",'Classe Petite section'!G36))</f>
        <v/>
      </c>
      <c r="K36" s="51" t="str">
        <f>IF('Classe Petite section'!$B36="","",N('Classe Petite section'!H36))</f>
        <v/>
      </c>
      <c r="L36" s="51" t="str">
        <f>IF('Classe Petite section'!$B36="","",N('Classe Petite section'!I36))</f>
        <v/>
      </c>
      <c r="M36" s="51" t="str">
        <f>IF('Classe Petite section'!$B36="","",N('Classe Petite section'!J36))</f>
        <v/>
      </c>
      <c r="N36" s="51" t="str">
        <f>IF('Classe Petite section'!$B36="","",N('Classe Petite section'!K36))</f>
        <v/>
      </c>
      <c r="O36" s="51" t="str">
        <f>IF('Classe Petite section'!$B36="","",N('Classe Petite section'!L36))</f>
        <v/>
      </c>
      <c r="P36" s="51" t="str">
        <f>IF('Classe Petite section'!$B36="","",N('Classe Petite section'!M36))</f>
        <v/>
      </c>
      <c r="Q36" s="21" t="str">
        <f>IF('Classe Petite section'!$B36="","",IF('Classe Petite section'!Q36="","",'Classe Petite section'!Q36))</f>
        <v/>
      </c>
      <c r="R36" s="51" t="str">
        <f>IF('Classe Petite section'!$B36="","",N('Classe Petite section'!N36))</f>
        <v/>
      </c>
      <c r="S36" s="51" t="str">
        <f>IF('Classe Petite section'!$B36="","",N('Classe Petite section'!O36))</f>
        <v/>
      </c>
      <c r="T36" s="51" t="str">
        <f>IF('Classe Petite section'!$B36="","",N('Classe Petite section'!P36))</f>
        <v/>
      </c>
    </row>
    <row r="37">
      <c r="A37" s="16" t="str">
        <f>IF('Classe Petite section'!$B37="","",IF('Classe Petite section'!A37="","",'Classe Petite section'!A37))</f>
        <v/>
      </c>
      <c r="B37" s="16" t="str">
        <f>IF('Classe Petite section'!$B37="","",IF('Classe Petite section'!B37="","",'Classe Petite section'!B37))</f>
        <v/>
      </c>
      <c r="C37" s="16" t="str">
        <f>IF('Classe Petite section'!$B37="","",IF('Classe Petite section'!C37="","",'Classe Petite section'!C37))</f>
        <v/>
      </c>
      <c r="D37" s="16" t="str">
        <f>IF($B37="","",C37&amp;" "&amp;B37&amp;" - "&amp;E37)</f>
        <v/>
      </c>
      <c r="E37" s="17" t="str">
        <f>IF($B37="","",Paramètres!$A$15)</f>
        <v/>
      </c>
      <c r="F37" s="17" t="str">
        <f>IF($B37="","",Paramètres!$B$15)</f>
        <v/>
      </c>
      <c r="G37" s="17" t="str">
        <f>IF('Classe Petite section'!$B37="","",IF('Classe Petite section'!D37="","",'Classe Petite section'!D37))</f>
        <v/>
      </c>
      <c r="H37" s="78" t="str">
        <f>IF('Classe Petite section'!$B37="","",IF('Classe Petite section'!E37="","",'Classe Petite section'!E37))</f>
        <v/>
      </c>
      <c r="I37" s="16" t="str">
        <f>IF('Classe Petite section'!$B37="","",IF('Classe Petite section'!F37="","",'Classe Petite section'!F37))</f>
        <v/>
      </c>
      <c r="J37" s="16" t="str">
        <f>IF('Classe Petite section'!$B37="","",IF('Classe Petite section'!G37="","",'Classe Petite section'!G37))</f>
        <v/>
      </c>
      <c r="K37" s="18" t="str">
        <f>IF('Classe Petite section'!$B37="","",N('Classe Petite section'!H37))</f>
        <v/>
      </c>
      <c r="L37" s="18" t="str">
        <f>IF('Classe Petite section'!$B37="","",N('Classe Petite section'!I37))</f>
        <v/>
      </c>
      <c r="M37" s="18" t="str">
        <f>IF('Classe Petite section'!$B37="","",N('Classe Petite section'!J37))</f>
        <v/>
      </c>
      <c r="N37" s="18" t="str">
        <f>IF('Classe Petite section'!$B37="","",N('Classe Petite section'!K37))</f>
        <v/>
      </c>
      <c r="O37" s="18" t="str">
        <f>IF('Classe Petite section'!$B37="","",N('Classe Petite section'!L37))</f>
        <v/>
      </c>
      <c r="P37" s="18" t="str">
        <f>IF('Classe Petite section'!$B37="","",N('Classe Petite section'!M37))</f>
        <v/>
      </c>
      <c r="Q37" s="17" t="str">
        <f>IF('Classe Petite section'!$B37="","",IF('Classe Petite section'!Q37="","",'Classe Petite section'!Q37))</f>
        <v/>
      </c>
      <c r="R37" s="18" t="str">
        <f>IF('Classe Petite section'!$B37="","",N('Classe Petite section'!N37))</f>
        <v/>
      </c>
      <c r="S37" s="18" t="str">
        <f>IF('Classe Petite section'!$B37="","",N('Classe Petite section'!O37))</f>
        <v/>
      </c>
      <c r="T37" s="18" t="str">
        <f>IF('Classe Petite section'!$B37="","",N('Classe Petite section'!P37))</f>
        <v/>
      </c>
    </row>
    <row r="38">
      <c r="A38" s="20" t="str">
        <f>IF('Classe Petite section'!$B38="","",IF('Classe Petite section'!A38="","",'Classe Petite section'!A38))</f>
        <v/>
      </c>
      <c r="B38" s="20" t="str">
        <f>IF('Classe Petite section'!$B38="","",IF('Classe Petite section'!B38="","",'Classe Petite section'!B38))</f>
        <v/>
      </c>
      <c r="C38" s="20" t="str">
        <f>IF('Classe Petite section'!$B38="","",IF('Classe Petite section'!C38="","",'Classe Petite section'!C38))</f>
        <v/>
      </c>
      <c r="D38" s="20" t="str">
        <f>IF($B38="","",C38&amp;" "&amp;B38&amp;" - "&amp;E38)</f>
        <v/>
      </c>
      <c r="E38" s="21" t="str">
        <f>IF($B38="","",Paramètres!$A$15)</f>
        <v/>
      </c>
      <c r="F38" s="21" t="str">
        <f>IF($B38="","",Paramètres!$B$15)</f>
        <v/>
      </c>
      <c r="G38" s="21" t="str">
        <f>IF('Classe Petite section'!$B38="","",IF('Classe Petite section'!D38="","",'Classe Petite section'!D38))</f>
        <v/>
      </c>
      <c r="H38" s="77" t="str">
        <f>IF('Classe Petite section'!$B38="","",IF('Classe Petite section'!E38="","",'Classe Petite section'!E38))</f>
        <v/>
      </c>
      <c r="I38" s="20" t="str">
        <f>IF('Classe Petite section'!$B38="","",IF('Classe Petite section'!F38="","",'Classe Petite section'!F38))</f>
        <v/>
      </c>
      <c r="J38" s="20" t="str">
        <f>IF('Classe Petite section'!$B38="","",IF('Classe Petite section'!G38="","",'Classe Petite section'!G38))</f>
        <v/>
      </c>
      <c r="K38" s="51" t="str">
        <f>IF('Classe Petite section'!$B38="","",N('Classe Petite section'!H38))</f>
        <v/>
      </c>
      <c r="L38" s="51" t="str">
        <f>IF('Classe Petite section'!$B38="","",N('Classe Petite section'!I38))</f>
        <v/>
      </c>
      <c r="M38" s="51" t="str">
        <f>IF('Classe Petite section'!$B38="","",N('Classe Petite section'!J38))</f>
        <v/>
      </c>
      <c r="N38" s="51" t="str">
        <f>IF('Classe Petite section'!$B38="","",N('Classe Petite section'!K38))</f>
        <v/>
      </c>
      <c r="O38" s="51" t="str">
        <f>IF('Classe Petite section'!$B38="","",N('Classe Petite section'!L38))</f>
        <v/>
      </c>
      <c r="P38" s="51" t="str">
        <f>IF('Classe Petite section'!$B38="","",N('Classe Petite section'!M38))</f>
        <v/>
      </c>
      <c r="Q38" s="21" t="str">
        <f>IF('Classe Petite section'!$B38="","",IF('Classe Petite section'!Q38="","",'Classe Petite section'!Q38))</f>
        <v/>
      </c>
      <c r="R38" s="51" t="str">
        <f>IF('Classe Petite section'!$B38="","",N('Classe Petite section'!N38))</f>
        <v/>
      </c>
      <c r="S38" s="51" t="str">
        <f>IF('Classe Petite section'!$B38="","",N('Classe Petite section'!O38))</f>
        <v/>
      </c>
      <c r="T38" s="51" t="str">
        <f>IF('Classe Petite section'!$B38="","",N('Classe Petite section'!P38))</f>
        <v/>
      </c>
    </row>
    <row r="39">
      <c r="A39" s="16" t="str">
        <f>IF('Classe Petite section'!$B39="","",IF('Classe Petite section'!A39="","",'Classe Petite section'!A39))</f>
        <v/>
      </c>
      <c r="B39" s="16" t="str">
        <f>IF('Classe Petite section'!$B39="","",IF('Classe Petite section'!B39="","",'Classe Petite section'!B39))</f>
        <v/>
      </c>
      <c r="C39" s="16" t="str">
        <f>IF('Classe Petite section'!$B39="","",IF('Classe Petite section'!C39="","",'Classe Petite section'!C39))</f>
        <v/>
      </c>
      <c r="D39" s="16" t="str">
        <f>IF($B39="","",C39&amp;" "&amp;B39&amp;" - "&amp;E39)</f>
        <v/>
      </c>
      <c r="E39" s="17" t="str">
        <f>IF($B39="","",Paramètres!$A$15)</f>
        <v/>
      </c>
      <c r="F39" s="17" t="str">
        <f>IF($B39="","",Paramètres!$B$15)</f>
        <v/>
      </c>
      <c r="G39" s="17" t="str">
        <f>IF('Classe Petite section'!$B39="","",IF('Classe Petite section'!D39="","",'Classe Petite section'!D39))</f>
        <v/>
      </c>
      <c r="H39" s="78" t="str">
        <f>IF('Classe Petite section'!$B39="","",IF('Classe Petite section'!E39="","",'Classe Petite section'!E39))</f>
        <v/>
      </c>
      <c r="I39" s="16" t="str">
        <f>IF('Classe Petite section'!$B39="","",IF('Classe Petite section'!F39="","",'Classe Petite section'!F39))</f>
        <v/>
      </c>
      <c r="J39" s="16" t="str">
        <f>IF('Classe Petite section'!$B39="","",IF('Classe Petite section'!G39="","",'Classe Petite section'!G39))</f>
        <v/>
      </c>
      <c r="K39" s="18" t="str">
        <f>IF('Classe Petite section'!$B39="","",N('Classe Petite section'!H39))</f>
        <v/>
      </c>
      <c r="L39" s="18" t="str">
        <f>IF('Classe Petite section'!$B39="","",N('Classe Petite section'!I39))</f>
        <v/>
      </c>
      <c r="M39" s="18" t="str">
        <f>IF('Classe Petite section'!$B39="","",N('Classe Petite section'!J39))</f>
        <v/>
      </c>
      <c r="N39" s="18" t="str">
        <f>IF('Classe Petite section'!$B39="","",N('Classe Petite section'!K39))</f>
        <v/>
      </c>
      <c r="O39" s="18" t="str">
        <f>IF('Classe Petite section'!$B39="","",N('Classe Petite section'!L39))</f>
        <v/>
      </c>
      <c r="P39" s="18" t="str">
        <f>IF('Classe Petite section'!$B39="","",N('Classe Petite section'!M39))</f>
        <v/>
      </c>
      <c r="Q39" s="17" t="str">
        <f>IF('Classe Petite section'!$B39="","",IF('Classe Petite section'!Q39="","",'Classe Petite section'!Q39))</f>
        <v/>
      </c>
      <c r="R39" s="18" t="str">
        <f>IF('Classe Petite section'!$B39="","",N('Classe Petite section'!N39))</f>
        <v/>
      </c>
      <c r="S39" s="18" t="str">
        <f>IF('Classe Petite section'!$B39="","",N('Classe Petite section'!O39))</f>
        <v/>
      </c>
      <c r="T39" s="18" t="str">
        <f>IF('Classe Petite section'!$B39="","",N('Classe Petite section'!P39))</f>
        <v/>
      </c>
    </row>
    <row r="40">
      <c r="A40" s="20" t="str">
        <f>IF('Classe Petite section'!$B40="","",IF('Classe Petite section'!A40="","",'Classe Petite section'!A40))</f>
        <v/>
      </c>
      <c r="B40" s="20" t="str">
        <f>IF('Classe Petite section'!$B40="","",IF('Classe Petite section'!B40="","",'Classe Petite section'!B40))</f>
        <v/>
      </c>
      <c r="C40" s="20" t="str">
        <f>IF('Classe Petite section'!$B40="","",IF('Classe Petite section'!C40="","",'Classe Petite section'!C40))</f>
        <v/>
      </c>
      <c r="D40" s="20" t="str">
        <f>IF($B40="","",C40&amp;" "&amp;B40&amp;" - "&amp;E40)</f>
        <v/>
      </c>
      <c r="E40" s="21" t="str">
        <f>IF($B40="","",Paramètres!$A$15)</f>
        <v/>
      </c>
      <c r="F40" s="21" t="str">
        <f>IF($B40="","",Paramètres!$B$15)</f>
        <v/>
      </c>
      <c r="G40" s="21" t="str">
        <f>IF('Classe Petite section'!$B40="","",IF('Classe Petite section'!D40="","",'Classe Petite section'!D40))</f>
        <v/>
      </c>
      <c r="H40" s="77" t="str">
        <f>IF('Classe Petite section'!$B40="","",IF('Classe Petite section'!E40="","",'Classe Petite section'!E40))</f>
        <v/>
      </c>
      <c r="I40" s="20" t="str">
        <f>IF('Classe Petite section'!$B40="","",IF('Classe Petite section'!F40="","",'Classe Petite section'!F40))</f>
        <v/>
      </c>
      <c r="J40" s="20" t="str">
        <f>IF('Classe Petite section'!$B40="","",IF('Classe Petite section'!G40="","",'Classe Petite section'!G40))</f>
        <v/>
      </c>
      <c r="K40" s="51" t="str">
        <f>IF('Classe Petite section'!$B40="","",N('Classe Petite section'!H40))</f>
        <v/>
      </c>
      <c r="L40" s="51" t="str">
        <f>IF('Classe Petite section'!$B40="","",N('Classe Petite section'!I40))</f>
        <v/>
      </c>
      <c r="M40" s="51" t="str">
        <f>IF('Classe Petite section'!$B40="","",N('Classe Petite section'!J40))</f>
        <v/>
      </c>
      <c r="N40" s="51" t="str">
        <f>IF('Classe Petite section'!$B40="","",N('Classe Petite section'!K40))</f>
        <v/>
      </c>
      <c r="O40" s="51" t="str">
        <f>IF('Classe Petite section'!$B40="","",N('Classe Petite section'!L40))</f>
        <v/>
      </c>
      <c r="P40" s="51" t="str">
        <f>IF('Classe Petite section'!$B40="","",N('Classe Petite section'!M40))</f>
        <v/>
      </c>
      <c r="Q40" s="21" t="str">
        <f>IF('Classe Petite section'!$B40="","",IF('Classe Petite section'!Q40="","",'Classe Petite section'!Q40))</f>
        <v/>
      </c>
      <c r="R40" s="51" t="str">
        <f>IF('Classe Petite section'!$B40="","",N('Classe Petite section'!N40))</f>
        <v/>
      </c>
      <c r="S40" s="51" t="str">
        <f>IF('Classe Petite section'!$B40="","",N('Classe Petite section'!O40))</f>
        <v/>
      </c>
      <c r="T40" s="51" t="str">
        <f>IF('Classe Petite section'!$B40="","",N('Classe Petite section'!P40))</f>
        <v/>
      </c>
    </row>
    <row r="41">
      <c r="A41" s="16" t="str">
        <f>IF('Classe Petite section'!$B41="","",IF('Classe Petite section'!A41="","",'Classe Petite section'!A41))</f>
        <v/>
      </c>
      <c r="B41" s="16" t="str">
        <f>IF('Classe Petite section'!$B41="","",IF('Classe Petite section'!B41="","",'Classe Petite section'!B41))</f>
        <v/>
      </c>
      <c r="C41" s="16" t="str">
        <f>IF('Classe Petite section'!$B41="","",IF('Classe Petite section'!C41="","",'Classe Petite section'!C41))</f>
        <v/>
      </c>
      <c r="D41" s="16" t="str">
        <f>IF($B41="","",C41&amp;" "&amp;B41&amp;" - "&amp;E41)</f>
        <v/>
      </c>
      <c r="E41" s="17" t="str">
        <f>IF($B41="","",Paramètres!$A$15)</f>
        <v/>
      </c>
      <c r="F41" s="17" t="str">
        <f>IF($B41="","",Paramètres!$B$15)</f>
        <v/>
      </c>
      <c r="G41" s="17" t="str">
        <f>IF('Classe Petite section'!$B41="","",IF('Classe Petite section'!D41="","",'Classe Petite section'!D41))</f>
        <v/>
      </c>
      <c r="H41" s="78" t="str">
        <f>IF('Classe Petite section'!$B41="","",IF('Classe Petite section'!E41="","",'Classe Petite section'!E41))</f>
        <v/>
      </c>
      <c r="I41" s="16" t="str">
        <f>IF('Classe Petite section'!$B41="","",IF('Classe Petite section'!F41="","",'Classe Petite section'!F41))</f>
        <v/>
      </c>
      <c r="J41" s="16" t="str">
        <f>IF('Classe Petite section'!$B41="","",IF('Classe Petite section'!G41="","",'Classe Petite section'!G41))</f>
        <v/>
      </c>
      <c r="K41" s="18" t="str">
        <f>IF('Classe Petite section'!$B41="","",N('Classe Petite section'!H41))</f>
        <v/>
      </c>
      <c r="L41" s="18" t="str">
        <f>IF('Classe Petite section'!$B41="","",N('Classe Petite section'!I41))</f>
        <v/>
      </c>
      <c r="M41" s="18" t="str">
        <f>IF('Classe Petite section'!$B41="","",N('Classe Petite section'!J41))</f>
        <v/>
      </c>
      <c r="N41" s="18" t="str">
        <f>IF('Classe Petite section'!$B41="","",N('Classe Petite section'!K41))</f>
        <v/>
      </c>
      <c r="O41" s="18" t="str">
        <f>IF('Classe Petite section'!$B41="","",N('Classe Petite section'!L41))</f>
        <v/>
      </c>
      <c r="P41" s="18" t="str">
        <f>IF('Classe Petite section'!$B41="","",N('Classe Petite section'!M41))</f>
        <v/>
      </c>
      <c r="Q41" s="17" t="str">
        <f>IF('Classe Petite section'!$B41="","",IF('Classe Petite section'!Q41="","",'Classe Petite section'!Q41))</f>
        <v/>
      </c>
      <c r="R41" s="18" t="str">
        <f>IF('Classe Petite section'!$B41="","",N('Classe Petite section'!N41))</f>
        <v/>
      </c>
      <c r="S41" s="18" t="str">
        <f>IF('Classe Petite section'!$B41="","",N('Classe Petite section'!O41))</f>
        <v/>
      </c>
      <c r="T41" s="18" t="str">
        <f>IF('Classe Petite section'!$B41="","",N('Classe Petite section'!P41))</f>
        <v/>
      </c>
    </row>
    <row r="42">
      <c r="A42" s="20" t="str">
        <f>IF('Classe Petite section'!$B42="","",IF('Classe Petite section'!A42="","",'Classe Petite section'!A42))</f>
        <v/>
      </c>
      <c r="B42" s="20" t="str">
        <f>IF('Classe Petite section'!$B42="","",IF('Classe Petite section'!B42="","",'Classe Petite section'!B42))</f>
        <v/>
      </c>
      <c r="C42" s="20" t="str">
        <f>IF('Classe Petite section'!$B42="","",IF('Classe Petite section'!C42="","",'Classe Petite section'!C42))</f>
        <v/>
      </c>
      <c r="D42" s="20" t="str">
        <f>IF($B42="","",C42&amp;" "&amp;B42&amp;" - "&amp;E42)</f>
        <v/>
      </c>
      <c r="E42" s="21" t="str">
        <f>IF($B42="","",Paramètres!$A$15)</f>
        <v/>
      </c>
      <c r="F42" s="21" t="str">
        <f>IF($B42="","",Paramètres!$B$15)</f>
        <v/>
      </c>
      <c r="G42" s="21" t="str">
        <f>IF('Classe Petite section'!$B42="","",IF('Classe Petite section'!D42="","",'Classe Petite section'!D42))</f>
        <v/>
      </c>
      <c r="H42" s="77" t="str">
        <f>IF('Classe Petite section'!$B42="","",IF('Classe Petite section'!E42="","",'Classe Petite section'!E42))</f>
        <v/>
      </c>
      <c r="I42" s="20" t="str">
        <f>IF('Classe Petite section'!$B42="","",IF('Classe Petite section'!F42="","",'Classe Petite section'!F42))</f>
        <v/>
      </c>
      <c r="J42" s="20" t="str">
        <f>IF('Classe Petite section'!$B42="","",IF('Classe Petite section'!G42="","",'Classe Petite section'!G42))</f>
        <v/>
      </c>
      <c r="K42" s="51" t="str">
        <f>IF('Classe Petite section'!$B42="","",N('Classe Petite section'!H42))</f>
        <v/>
      </c>
      <c r="L42" s="51" t="str">
        <f>IF('Classe Petite section'!$B42="","",N('Classe Petite section'!I42))</f>
        <v/>
      </c>
      <c r="M42" s="51" t="str">
        <f>IF('Classe Petite section'!$B42="","",N('Classe Petite section'!J42))</f>
        <v/>
      </c>
      <c r="N42" s="51" t="str">
        <f>IF('Classe Petite section'!$B42="","",N('Classe Petite section'!K42))</f>
        <v/>
      </c>
      <c r="O42" s="51" t="str">
        <f>IF('Classe Petite section'!$B42="","",N('Classe Petite section'!L42))</f>
        <v/>
      </c>
      <c r="P42" s="51" t="str">
        <f>IF('Classe Petite section'!$B42="","",N('Classe Petite section'!M42))</f>
        <v/>
      </c>
      <c r="Q42" s="21" t="str">
        <f>IF('Classe Petite section'!$B42="","",IF('Classe Petite section'!Q42="","",'Classe Petite section'!Q42))</f>
        <v/>
      </c>
      <c r="R42" s="51" t="str">
        <f>IF('Classe Petite section'!$B42="","",N('Classe Petite section'!N42))</f>
        <v/>
      </c>
      <c r="S42" s="51" t="str">
        <f>IF('Classe Petite section'!$B42="","",N('Classe Petite section'!O42))</f>
        <v/>
      </c>
      <c r="T42" s="51" t="str">
        <f>IF('Classe Petite section'!$B42="","",N('Classe Petite section'!P42))</f>
        <v/>
      </c>
    </row>
    <row r="43">
      <c r="A43" s="16" t="str">
        <f>IF('Classe Petite section'!$B43="","",IF('Classe Petite section'!A43="","",'Classe Petite section'!A43))</f>
        <v/>
      </c>
      <c r="B43" s="16" t="str">
        <f>IF('Classe Petite section'!$B43="","",IF('Classe Petite section'!B43="","",'Classe Petite section'!B43))</f>
        <v/>
      </c>
      <c r="C43" s="16" t="str">
        <f>IF('Classe Petite section'!$B43="","",IF('Classe Petite section'!C43="","",'Classe Petite section'!C43))</f>
        <v/>
      </c>
      <c r="D43" s="16" t="str">
        <f>IF($B43="","",C43&amp;" "&amp;B43&amp;" - "&amp;E43)</f>
        <v/>
      </c>
      <c r="E43" s="17" t="str">
        <f>IF($B43="","",Paramètres!$A$15)</f>
        <v/>
      </c>
      <c r="F43" s="17" t="str">
        <f>IF($B43="","",Paramètres!$B$15)</f>
        <v/>
      </c>
      <c r="G43" s="17" t="str">
        <f>IF('Classe Petite section'!$B43="","",IF('Classe Petite section'!D43="","",'Classe Petite section'!D43))</f>
        <v/>
      </c>
      <c r="H43" s="78" t="str">
        <f>IF('Classe Petite section'!$B43="","",IF('Classe Petite section'!E43="","",'Classe Petite section'!E43))</f>
        <v/>
      </c>
      <c r="I43" s="16" t="str">
        <f>IF('Classe Petite section'!$B43="","",IF('Classe Petite section'!F43="","",'Classe Petite section'!F43))</f>
        <v/>
      </c>
      <c r="J43" s="16" t="str">
        <f>IF('Classe Petite section'!$B43="","",IF('Classe Petite section'!G43="","",'Classe Petite section'!G43))</f>
        <v/>
      </c>
      <c r="K43" s="18" t="str">
        <f>IF('Classe Petite section'!$B43="","",N('Classe Petite section'!H43))</f>
        <v/>
      </c>
      <c r="L43" s="18" t="str">
        <f>IF('Classe Petite section'!$B43="","",N('Classe Petite section'!I43))</f>
        <v/>
      </c>
      <c r="M43" s="18" t="str">
        <f>IF('Classe Petite section'!$B43="","",N('Classe Petite section'!J43))</f>
        <v/>
      </c>
      <c r="N43" s="18" t="str">
        <f>IF('Classe Petite section'!$B43="","",N('Classe Petite section'!K43))</f>
        <v/>
      </c>
      <c r="O43" s="18" t="str">
        <f>IF('Classe Petite section'!$B43="","",N('Classe Petite section'!L43))</f>
        <v/>
      </c>
      <c r="P43" s="18" t="str">
        <f>IF('Classe Petite section'!$B43="","",N('Classe Petite section'!M43))</f>
        <v/>
      </c>
      <c r="Q43" s="17" t="str">
        <f>IF('Classe Petite section'!$B43="","",IF('Classe Petite section'!Q43="","",'Classe Petite section'!Q43))</f>
        <v/>
      </c>
      <c r="R43" s="18" t="str">
        <f>IF('Classe Petite section'!$B43="","",N('Classe Petite section'!N43))</f>
        <v/>
      </c>
      <c r="S43" s="18" t="str">
        <f>IF('Classe Petite section'!$B43="","",N('Classe Petite section'!O43))</f>
        <v/>
      </c>
      <c r="T43" s="18" t="str">
        <f>IF('Classe Petite section'!$B43="","",N('Classe Petite section'!P43))</f>
        <v/>
      </c>
    </row>
    <row r="44">
      <c r="A44" s="20" t="str">
        <f>IF('Classe Petite section'!$B44="","",IF('Classe Petite section'!A44="","",'Classe Petite section'!A44))</f>
        <v/>
      </c>
      <c r="B44" s="20" t="str">
        <f>IF('Classe Petite section'!$B44="","",IF('Classe Petite section'!B44="","",'Classe Petite section'!B44))</f>
        <v/>
      </c>
      <c r="C44" s="20" t="str">
        <f>IF('Classe Petite section'!$B44="","",IF('Classe Petite section'!C44="","",'Classe Petite section'!C44))</f>
        <v/>
      </c>
      <c r="D44" s="20" t="str">
        <f>IF($B44="","",C44&amp;" "&amp;B44&amp;" - "&amp;E44)</f>
        <v/>
      </c>
      <c r="E44" s="21" t="str">
        <f>IF($B44="","",Paramètres!$A$15)</f>
        <v/>
      </c>
      <c r="F44" s="21" t="str">
        <f>IF($B44="","",Paramètres!$B$15)</f>
        <v/>
      </c>
      <c r="G44" s="21" t="str">
        <f>IF('Classe Petite section'!$B44="","",IF('Classe Petite section'!D44="","",'Classe Petite section'!D44))</f>
        <v/>
      </c>
      <c r="H44" s="77" t="str">
        <f>IF('Classe Petite section'!$B44="","",IF('Classe Petite section'!E44="","",'Classe Petite section'!E44))</f>
        <v/>
      </c>
      <c r="I44" s="20" t="str">
        <f>IF('Classe Petite section'!$B44="","",IF('Classe Petite section'!F44="","",'Classe Petite section'!F44))</f>
        <v/>
      </c>
      <c r="J44" s="20" t="str">
        <f>IF('Classe Petite section'!$B44="","",IF('Classe Petite section'!G44="","",'Classe Petite section'!G44))</f>
        <v/>
      </c>
      <c r="K44" s="51" t="str">
        <f>IF('Classe Petite section'!$B44="","",N('Classe Petite section'!H44))</f>
        <v/>
      </c>
      <c r="L44" s="51" t="str">
        <f>IF('Classe Petite section'!$B44="","",N('Classe Petite section'!I44))</f>
        <v/>
      </c>
      <c r="M44" s="51" t="str">
        <f>IF('Classe Petite section'!$B44="","",N('Classe Petite section'!J44))</f>
        <v/>
      </c>
      <c r="N44" s="51" t="str">
        <f>IF('Classe Petite section'!$B44="","",N('Classe Petite section'!K44))</f>
        <v/>
      </c>
      <c r="O44" s="51" t="str">
        <f>IF('Classe Petite section'!$B44="","",N('Classe Petite section'!L44))</f>
        <v/>
      </c>
      <c r="P44" s="51" t="str">
        <f>IF('Classe Petite section'!$B44="","",N('Classe Petite section'!M44))</f>
        <v/>
      </c>
      <c r="Q44" s="21" t="str">
        <f>IF('Classe Petite section'!$B44="","",IF('Classe Petite section'!Q44="","",'Classe Petite section'!Q44))</f>
        <v/>
      </c>
      <c r="R44" s="51" t="str">
        <f>IF('Classe Petite section'!$B44="","",N('Classe Petite section'!N44))</f>
        <v/>
      </c>
      <c r="S44" s="51" t="str">
        <f>IF('Classe Petite section'!$B44="","",N('Classe Petite section'!O44))</f>
        <v/>
      </c>
      <c r="T44" s="51" t="str">
        <f>IF('Classe Petite section'!$B44="","",N('Classe Petite section'!P44))</f>
        <v/>
      </c>
    </row>
    <row r="45">
      <c r="A45" s="16" t="str">
        <f>IF('Classe Petite section'!$B45="","",IF('Classe Petite section'!A45="","",'Classe Petite section'!A45))</f>
        <v/>
      </c>
      <c r="B45" s="16" t="str">
        <f>IF('Classe Petite section'!$B45="","",IF('Classe Petite section'!B45="","",'Classe Petite section'!B45))</f>
        <v/>
      </c>
      <c r="C45" s="16" t="str">
        <f>IF('Classe Petite section'!$B45="","",IF('Classe Petite section'!C45="","",'Classe Petite section'!C45))</f>
        <v/>
      </c>
      <c r="D45" s="16" t="str">
        <f>IF($B45="","",C45&amp;" "&amp;B45&amp;" - "&amp;E45)</f>
        <v/>
      </c>
      <c r="E45" s="17" t="str">
        <f>IF($B45="","",Paramètres!$A$15)</f>
        <v/>
      </c>
      <c r="F45" s="17" t="str">
        <f>IF($B45="","",Paramètres!$B$15)</f>
        <v/>
      </c>
      <c r="G45" s="17" t="str">
        <f>IF('Classe Petite section'!$B45="","",IF('Classe Petite section'!D45="","",'Classe Petite section'!D45))</f>
        <v/>
      </c>
      <c r="H45" s="78" t="str">
        <f>IF('Classe Petite section'!$B45="","",IF('Classe Petite section'!E45="","",'Classe Petite section'!E45))</f>
        <v/>
      </c>
      <c r="I45" s="16" t="str">
        <f>IF('Classe Petite section'!$B45="","",IF('Classe Petite section'!F45="","",'Classe Petite section'!F45))</f>
        <v/>
      </c>
      <c r="J45" s="16" t="str">
        <f>IF('Classe Petite section'!$B45="","",IF('Classe Petite section'!G45="","",'Classe Petite section'!G45))</f>
        <v/>
      </c>
      <c r="K45" s="18" t="str">
        <f>IF('Classe Petite section'!$B45="","",N('Classe Petite section'!H45))</f>
        <v/>
      </c>
      <c r="L45" s="18" t="str">
        <f>IF('Classe Petite section'!$B45="","",N('Classe Petite section'!I45))</f>
        <v/>
      </c>
      <c r="M45" s="18" t="str">
        <f>IF('Classe Petite section'!$B45="","",N('Classe Petite section'!J45))</f>
        <v/>
      </c>
      <c r="N45" s="18" t="str">
        <f>IF('Classe Petite section'!$B45="","",N('Classe Petite section'!K45))</f>
        <v/>
      </c>
      <c r="O45" s="18" t="str">
        <f>IF('Classe Petite section'!$B45="","",N('Classe Petite section'!L45))</f>
        <v/>
      </c>
      <c r="P45" s="18" t="str">
        <f>IF('Classe Petite section'!$B45="","",N('Classe Petite section'!M45))</f>
        <v/>
      </c>
      <c r="Q45" s="17" t="str">
        <f>IF('Classe Petite section'!$B45="","",IF('Classe Petite section'!Q45="","",'Classe Petite section'!Q45))</f>
        <v/>
      </c>
      <c r="R45" s="18" t="str">
        <f>IF('Classe Petite section'!$B45="","",N('Classe Petite section'!N45))</f>
        <v/>
      </c>
      <c r="S45" s="18" t="str">
        <f>IF('Classe Petite section'!$B45="","",N('Classe Petite section'!O45))</f>
        <v/>
      </c>
      <c r="T45" s="18" t="str">
        <f>IF('Classe Petite section'!$B45="","",N('Classe Petite section'!P45))</f>
        <v/>
      </c>
    </row>
    <row r="46">
      <c r="A46" s="20" t="str">
        <f>IF('Classe Petite section'!$B46="","",IF('Classe Petite section'!A46="","",'Classe Petite section'!A46))</f>
        <v/>
      </c>
      <c r="B46" s="20" t="str">
        <f>IF('Classe Petite section'!$B46="","",IF('Classe Petite section'!B46="","",'Classe Petite section'!B46))</f>
        <v/>
      </c>
      <c r="C46" s="20" t="str">
        <f>IF('Classe Petite section'!$B46="","",IF('Classe Petite section'!C46="","",'Classe Petite section'!C46))</f>
        <v/>
      </c>
      <c r="D46" s="20" t="str">
        <f>IF($B46="","",C46&amp;" "&amp;B46&amp;" - "&amp;E46)</f>
        <v/>
      </c>
      <c r="E46" s="21" t="str">
        <f>IF($B46="","",Paramètres!$A$15)</f>
        <v/>
      </c>
      <c r="F46" s="21" t="str">
        <f>IF($B46="","",Paramètres!$B$15)</f>
        <v/>
      </c>
      <c r="G46" s="21" t="str">
        <f>IF('Classe Petite section'!$B46="","",IF('Classe Petite section'!D46="","",'Classe Petite section'!D46))</f>
        <v/>
      </c>
      <c r="H46" s="77" t="str">
        <f>IF('Classe Petite section'!$B46="","",IF('Classe Petite section'!E46="","",'Classe Petite section'!E46))</f>
        <v/>
      </c>
      <c r="I46" s="20" t="str">
        <f>IF('Classe Petite section'!$B46="","",IF('Classe Petite section'!F46="","",'Classe Petite section'!F46))</f>
        <v/>
      </c>
      <c r="J46" s="20" t="str">
        <f>IF('Classe Petite section'!$B46="","",IF('Classe Petite section'!G46="","",'Classe Petite section'!G46))</f>
        <v/>
      </c>
      <c r="K46" s="51" t="str">
        <f>IF('Classe Petite section'!$B46="","",N('Classe Petite section'!H46))</f>
        <v/>
      </c>
      <c r="L46" s="51" t="str">
        <f>IF('Classe Petite section'!$B46="","",N('Classe Petite section'!I46))</f>
        <v/>
      </c>
      <c r="M46" s="51" t="str">
        <f>IF('Classe Petite section'!$B46="","",N('Classe Petite section'!J46))</f>
        <v/>
      </c>
      <c r="N46" s="51" t="str">
        <f>IF('Classe Petite section'!$B46="","",N('Classe Petite section'!K46))</f>
        <v/>
      </c>
      <c r="O46" s="51" t="str">
        <f>IF('Classe Petite section'!$B46="","",N('Classe Petite section'!L46))</f>
        <v/>
      </c>
      <c r="P46" s="51" t="str">
        <f>IF('Classe Petite section'!$B46="","",N('Classe Petite section'!M46))</f>
        <v/>
      </c>
      <c r="Q46" s="21" t="str">
        <f>IF('Classe Petite section'!$B46="","",IF('Classe Petite section'!Q46="","",'Classe Petite section'!Q46))</f>
        <v/>
      </c>
      <c r="R46" s="51" t="str">
        <f>IF('Classe Petite section'!$B46="","",N('Classe Petite section'!N46))</f>
        <v/>
      </c>
      <c r="S46" s="51" t="str">
        <f>IF('Classe Petite section'!$B46="","",N('Classe Petite section'!O46))</f>
        <v/>
      </c>
      <c r="T46" s="51" t="str">
        <f>IF('Classe Petite section'!$B46="","",N('Classe Petite section'!P46))</f>
        <v/>
      </c>
    </row>
    <row r="47">
      <c r="A47" s="16" t="str">
        <f>IF('Classe Petite section'!$B47="","",IF('Classe Petite section'!A47="","",'Classe Petite section'!A47))</f>
        <v/>
      </c>
      <c r="B47" s="16" t="str">
        <f>IF('Classe Petite section'!$B47="","",IF('Classe Petite section'!B47="","",'Classe Petite section'!B47))</f>
        <v/>
      </c>
      <c r="C47" s="16" t="str">
        <f>IF('Classe Petite section'!$B47="","",IF('Classe Petite section'!C47="","",'Classe Petite section'!C47))</f>
        <v/>
      </c>
      <c r="D47" s="16" t="str">
        <f>IF($B47="","",C47&amp;" "&amp;B47&amp;" - "&amp;E47)</f>
        <v/>
      </c>
      <c r="E47" s="17" t="str">
        <f>IF($B47="","",Paramètres!$A$15)</f>
        <v/>
      </c>
      <c r="F47" s="17" t="str">
        <f>IF($B47="","",Paramètres!$B$15)</f>
        <v/>
      </c>
      <c r="G47" s="17" t="str">
        <f>IF('Classe Petite section'!$B47="","",IF('Classe Petite section'!D47="","",'Classe Petite section'!D47))</f>
        <v/>
      </c>
      <c r="H47" s="78" t="str">
        <f>IF('Classe Petite section'!$B47="","",IF('Classe Petite section'!E47="","",'Classe Petite section'!E47))</f>
        <v/>
      </c>
      <c r="I47" s="16" t="str">
        <f>IF('Classe Petite section'!$B47="","",IF('Classe Petite section'!F47="","",'Classe Petite section'!F47))</f>
        <v/>
      </c>
      <c r="J47" s="16" t="str">
        <f>IF('Classe Petite section'!$B47="","",IF('Classe Petite section'!G47="","",'Classe Petite section'!G47))</f>
        <v/>
      </c>
      <c r="K47" s="18" t="str">
        <f>IF('Classe Petite section'!$B47="","",N('Classe Petite section'!H47))</f>
        <v/>
      </c>
      <c r="L47" s="18" t="str">
        <f>IF('Classe Petite section'!$B47="","",N('Classe Petite section'!I47))</f>
        <v/>
      </c>
      <c r="M47" s="18" t="str">
        <f>IF('Classe Petite section'!$B47="","",N('Classe Petite section'!J47))</f>
        <v/>
      </c>
      <c r="N47" s="18" t="str">
        <f>IF('Classe Petite section'!$B47="","",N('Classe Petite section'!K47))</f>
        <v/>
      </c>
      <c r="O47" s="18" t="str">
        <f>IF('Classe Petite section'!$B47="","",N('Classe Petite section'!L47))</f>
        <v/>
      </c>
      <c r="P47" s="18" t="str">
        <f>IF('Classe Petite section'!$B47="","",N('Classe Petite section'!M47))</f>
        <v/>
      </c>
      <c r="Q47" s="17" t="str">
        <f>IF('Classe Petite section'!$B47="","",IF('Classe Petite section'!Q47="","",'Classe Petite section'!Q47))</f>
        <v/>
      </c>
      <c r="R47" s="18" t="str">
        <f>IF('Classe Petite section'!$B47="","",N('Classe Petite section'!N47))</f>
        <v/>
      </c>
      <c r="S47" s="18" t="str">
        <f>IF('Classe Petite section'!$B47="","",N('Classe Petite section'!O47))</f>
        <v/>
      </c>
      <c r="T47" s="18" t="str">
        <f>IF('Classe Petite section'!$B47="","",N('Classe Petite section'!P47))</f>
        <v/>
      </c>
    </row>
    <row r="48">
      <c r="A48" s="20" t="str">
        <f>IF('Classe Petite section'!$B48="","",IF('Classe Petite section'!A48="","",'Classe Petite section'!A48))</f>
        <v/>
      </c>
      <c r="B48" s="20" t="str">
        <f>IF('Classe Petite section'!$B48="","",IF('Classe Petite section'!B48="","",'Classe Petite section'!B48))</f>
        <v/>
      </c>
      <c r="C48" s="20" t="str">
        <f>IF('Classe Petite section'!$B48="","",IF('Classe Petite section'!C48="","",'Classe Petite section'!C48))</f>
        <v/>
      </c>
      <c r="D48" s="20" t="str">
        <f>IF($B48="","",C48&amp;" "&amp;B48&amp;" - "&amp;E48)</f>
        <v/>
      </c>
      <c r="E48" s="21" t="str">
        <f>IF($B48="","",Paramètres!$A$15)</f>
        <v/>
      </c>
      <c r="F48" s="21" t="str">
        <f>IF($B48="","",Paramètres!$B$15)</f>
        <v/>
      </c>
      <c r="G48" s="21" t="str">
        <f>IF('Classe Petite section'!$B48="","",IF('Classe Petite section'!D48="","",'Classe Petite section'!D48))</f>
        <v/>
      </c>
      <c r="H48" s="77" t="str">
        <f>IF('Classe Petite section'!$B48="","",IF('Classe Petite section'!E48="","",'Classe Petite section'!E48))</f>
        <v/>
      </c>
      <c r="I48" s="20" t="str">
        <f>IF('Classe Petite section'!$B48="","",IF('Classe Petite section'!F48="","",'Classe Petite section'!F48))</f>
        <v/>
      </c>
      <c r="J48" s="20" t="str">
        <f>IF('Classe Petite section'!$B48="","",IF('Classe Petite section'!G48="","",'Classe Petite section'!G48))</f>
        <v/>
      </c>
      <c r="K48" s="51" t="str">
        <f>IF('Classe Petite section'!$B48="","",N('Classe Petite section'!H48))</f>
        <v/>
      </c>
      <c r="L48" s="51" t="str">
        <f>IF('Classe Petite section'!$B48="","",N('Classe Petite section'!I48))</f>
        <v/>
      </c>
      <c r="M48" s="51" t="str">
        <f>IF('Classe Petite section'!$B48="","",N('Classe Petite section'!J48))</f>
        <v/>
      </c>
      <c r="N48" s="51" t="str">
        <f>IF('Classe Petite section'!$B48="","",N('Classe Petite section'!K48))</f>
        <v/>
      </c>
      <c r="O48" s="51" t="str">
        <f>IF('Classe Petite section'!$B48="","",N('Classe Petite section'!L48))</f>
        <v/>
      </c>
      <c r="P48" s="51" t="str">
        <f>IF('Classe Petite section'!$B48="","",N('Classe Petite section'!M48))</f>
        <v/>
      </c>
      <c r="Q48" s="21" t="str">
        <f>IF('Classe Petite section'!$B48="","",IF('Classe Petite section'!Q48="","",'Classe Petite section'!Q48))</f>
        <v/>
      </c>
      <c r="R48" s="51" t="str">
        <f>IF('Classe Petite section'!$B48="","",N('Classe Petite section'!N48))</f>
        <v/>
      </c>
      <c r="S48" s="51" t="str">
        <f>IF('Classe Petite section'!$B48="","",N('Classe Petite section'!O48))</f>
        <v/>
      </c>
      <c r="T48" s="51" t="str">
        <f>IF('Classe Petite section'!$B48="","",N('Classe Petite section'!P48))</f>
        <v/>
      </c>
    </row>
    <row r="49">
      <c r="A49" s="16" t="str">
        <f>IF('Classe Petite section'!$B49="","",IF('Classe Petite section'!A49="","",'Classe Petite section'!A49))</f>
        <v/>
      </c>
      <c r="B49" s="16" t="str">
        <f>IF('Classe Petite section'!$B49="","",IF('Classe Petite section'!B49="","",'Classe Petite section'!B49))</f>
        <v/>
      </c>
      <c r="C49" s="16" t="str">
        <f>IF('Classe Petite section'!$B49="","",IF('Classe Petite section'!C49="","",'Classe Petite section'!C49))</f>
        <v/>
      </c>
      <c r="D49" s="16" t="str">
        <f>IF($B49="","",C49&amp;" "&amp;B49&amp;" - "&amp;E49)</f>
        <v/>
      </c>
      <c r="E49" s="17" t="str">
        <f>IF($B49="","",Paramètres!$A$15)</f>
        <v/>
      </c>
      <c r="F49" s="17" t="str">
        <f>IF($B49="","",Paramètres!$B$15)</f>
        <v/>
      </c>
      <c r="G49" s="17" t="str">
        <f>IF('Classe Petite section'!$B49="","",IF('Classe Petite section'!D49="","",'Classe Petite section'!D49))</f>
        <v/>
      </c>
      <c r="H49" s="78" t="str">
        <f>IF('Classe Petite section'!$B49="","",IF('Classe Petite section'!E49="","",'Classe Petite section'!E49))</f>
        <v/>
      </c>
      <c r="I49" s="16" t="str">
        <f>IF('Classe Petite section'!$B49="","",IF('Classe Petite section'!F49="","",'Classe Petite section'!F49))</f>
        <v/>
      </c>
      <c r="J49" s="16" t="str">
        <f>IF('Classe Petite section'!$B49="","",IF('Classe Petite section'!G49="","",'Classe Petite section'!G49))</f>
        <v/>
      </c>
      <c r="K49" s="18" t="str">
        <f>IF('Classe Petite section'!$B49="","",N('Classe Petite section'!H49))</f>
        <v/>
      </c>
      <c r="L49" s="18" t="str">
        <f>IF('Classe Petite section'!$B49="","",N('Classe Petite section'!I49))</f>
        <v/>
      </c>
      <c r="M49" s="18" t="str">
        <f>IF('Classe Petite section'!$B49="","",N('Classe Petite section'!J49))</f>
        <v/>
      </c>
      <c r="N49" s="18" t="str">
        <f>IF('Classe Petite section'!$B49="","",N('Classe Petite section'!K49))</f>
        <v/>
      </c>
      <c r="O49" s="18" t="str">
        <f>IF('Classe Petite section'!$B49="","",N('Classe Petite section'!L49))</f>
        <v/>
      </c>
      <c r="P49" s="18" t="str">
        <f>IF('Classe Petite section'!$B49="","",N('Classe Petite section'!M49))</f>
        <v/>
      </c>
      <c r="Q49" s="17" t="str">
        <f>IF('Classe Petite section'!$B49="","",IF('Classe Petite section'!Q49="","",'Classe Petite section'!Q49))</f>
        <v/>
      </c>
      <c r="R49" s="18" t="str">
        <f>IF('Classe Petite section'!$B49="","",N('Classe Petite section'!N49))</f>
        <v/>
      </c>
      <c r="S49" s="18" t="str">
        <f>IF('Classe Petite section'!$B49="","",N('Classe Petite section'!O49))</f>
        <v/>
      </c>
      <c r="T49" s="18" t="str">
        <f>IF('Classe Petite section'!$B49="","",N('Classe Petite section'!P49))</f>
        <v/>
      </c>
    </row>
    <row r="50">
      <c r="A50" s="20" t="str">
        <f>IF('Classe Petite section'!$B50="","",IF('Classe Petite section'!A50="","",'Classe Petite section'!A50))</f>
        <v/>
      </c>
      <c r="B50" s="20" t="str">
        <f>IF('Classe Petite section'!$B50="","",IF('Classe Petite section'!B50="","",'Classe Petite section'!B50))</f>
        <v/>
      </c>
      <c r="C50" s="20" t="str">
        <f>IF('Classe Petite section'!$B50="","",IF('Classe Petite section'!C50="","",'Classe Petite section'!C50))</f>
        <v/>
      </c>
      <c r="D50" s="20" t="str">
        <f>IF($B50="","",C50&amp;" "&amp;B50&amp;" - "&amp;E50)</f>
        <v/>
      </c>
      <c r="E50" s="21" t="str">
        <f>IF($B50="","",Paramètres!$A$15)</f>
        <v/>
      </c>
      <c r="F50" s="21" t="str">
        <f>IF($B50="","",Paramètres!$B$15)</f>
        <v/>
      </c>
      <c r="G50" s="21" t="str">
        <f>IF('Classe Petite section'!$B50="","",IF('Classe Petite section'!D50="","",'Classe Petite section'!D50))</f>
        <v/>
      </c>
      <c r="H50" s="77" t="str">
        <f>IF('Classe Petite section'!$B50="","",IF('Classe Petite section'!E50="","",'Classe Petite section'!E50))</f>
        <v/>
      </c>
      <c r="I50" s="20" t="str">
        <f>IF('Classe Petite section'!$B50="","",IF('Classe Petite section'!F50="","",'Classe Petite section'!F50))</f>
        <v/>
      </c>
      <c r="J50" s="20" t="str">
        <f>IF('Classe Petite section'!$B50="","",IF('Classe Petite section'!G50="","",'Classe Petite section'!G50))</f>
        <v/>
      </c>
      <c r="K50" s="51" t="str">
        <f>IF('Classe Petite section'!$B50="","",N('Classe Petite section'!H50))</f>
        <v/>
      </c>
      <c r="L50" s="51" t="str">
        <f>IF('Classe Petite section'!$B50="","",N('Classe Petite section'!I50))</f>
        <v/>
      </c>
      <c r="M50" s="51" t="str">
        <f>IF('Classe Petite section'!$B50="","",N('Classe Petite section'!J50))</f>
        <v/>
      </c>
      <c r="N50" s="51" t="str">
        <f>IF('Classe Petite section'!$B50="","",N('Classe Petite section'!K50))</f>
        <v/>
      </c>
      <c r="O50" s="51" t="str">
        <f>IF('Classe Petite section'!$B50="","",N('Classe Petite section'!L50))</f>
        <v/>
      </c>
      <c r="P50" s="51" t="str">
        <f>IF('Classe Petite section'!$B50="","",N('Classe Petite section'!M50))</f>
        <v/>
      </c>
      <c r="Q50" s="21" t="str">
        <f>IF('Classe Petite section'!$B50="","",IF('Classe Petite section'!Q50="","",'Classe Petite section'!Q50))</f>
        <v/>
      </c>
      <c r="R50" s="51" t="str">
        <f>IF('Classe Petite section'!$B50="","",N('Classe Petite section'!N50))</f>
        <v/>
      </c>
      <c r="S50" s="51" t="str">
        <f>IF('Classe Petite section'!$B50="","",N('Classe Petite section'!O50))</f>
        <v/>
      </c>
      <c r="T50" s="51" t="str">
        <f>IF('Classe Petite section'!$B50="","",N('Classe Petite section'!P50))</f>
        <v/>
      </c>
    </row>
    <row r="51">
      <c r="A51" s="16" t="str">
        <f>IF('Classe Petite section'!$B51="","",IF('Classe Petite section'!A51="","",'Classe Petite section'!A51))</f>
        <v/>
      </c>
      <c r="B51" s="16" t="str">
        <f>IF('Classe Petite section'!$B51="","",IF('Classe Petite section'!B51="","",'Classe Petite section'!B51))</f>
        <v/>
      </c>
      <c r="C51" s="16" t="str">
        <f>IF('Classe Petite section'!$B51="","",IF('Classe Petite section'!C51="","",'Classe Petite section'!C51))</f>
        <v/>
      </c>
      <c r="D51" s="16" t="str">
        <f>IF($B51="","",C51&amp;" "&amp;B51&amp;" - "&amp;E51)</f>
        <v/>
      </c>
      <c r="E51" s="17" t="str">
        <f>IF($B51="","",Paramètres!$A$15)</f>
        <v/>
      </c>
      <c r="F51" s="17" t="str">
        <f>IF($B51="","",Paramètres!$B$15)</f>
        <v/>
      </c>
      <c r="G51" s="17" t="str">
        <f>IF('Classe Petite section'!$B51="","",IF('Classe Petite section'!D51="","",'Classe Petite section'!D51))</f>
        <v/>
      </c>
      <c r="H51" s="78" t="str">
        <f>IF('Classe Petite section'!$B51="","",IF('Classe Petite section'!E51="","",'Classe Petite section'!E51))</f>
        <v/>
      </c>
      <c r="I51" s="16" t="str">
        <f>IF('Classe Petite section'!$B51="","",IF('Classe Petite section'!F51="","",'Classe Petite section'!F51))</f>
        <v/>
      </c>
      <c r="J51" s="16" t="str">
        <f>IF('Classe Petite section'!$B51="","",IF('Classe Petite section'!G51="","",'Classe Petite section'!G51))</f>
        <v/>
      </c>
      <c r="K51" s="18" t="str">
        <f>IF('Classe Petite section'!$B51="","",N('Classe Petite section'!H51))</f>
        <v/>
      </c>
      <c r="L51" s="18" t="str">
        <f>IF('Classe Petite section'!$B51="","",N('Classe Petite section'!I51))</f>
        <v/>
      </c>
      <c r="M51" s="18" t="str">
        <f>IF('Classe Petite section'!$B51="","",N('Classe Petite section'!J51))</f>
        <v/>
      </c>
      <c r="N51" s="18" t="str">
        <f>IF('Classe Petite section'!$B51="","",N('Classe Petite section'!K51))</f>
        <v/>
      </c>
      <c r="O51" s="18" t="str">
        <f>IF('Classe Petite section'!$B51="","",N('Classe Petite section'!L51))</f>
        <v/>
      </c>
      <c r="P51" s="18" t="str">
        <f>IF('Classe Petite section'!$B51="","",N('Classe Petite section'!M51))</f>
        <v/>
      </c>
      <c r="Q51" s="17" t="str">
        <f>IF('Classe Petite section'!$B51="","",IF('Classe Petite section'!Q51="","",'Classe Petite section'!Q51))</f>
        <v/>
      </c>
      <c r="R51" s="18" t="str">
        <f>IF('Classe Petite section'!$B51="","",N('Classe Petite section'!N51))</f>
        <v/>
      </c>
      <c r="S51" s="18" t="str">
        <f>IF('Classe Petite section'!$B51="","",N('Classe Petite section'!O51))</f>
        <v/>
      </c>
      <c r="T51" s="18" t="str">
        <f>IF('Classe Petite section'!$B51="","",N('Classe Petite section'!P51))</f>
        <v/>
      </c>
    </row>
    <row r="52">
      <c r="A52" s="20" t="str">
        <f>IF('Classe Petite section'!$B52="","",IF('Classe Petite section'!A52="","",'Classe Petite section'!A52))</f>
        <v/>
      </c>
      <c r="B52" s="20" t="str">
        <f>IF('Classe Petite section'!$B52="","",IF('Classe Petite section'!B52="","",'Classe Petite section'!B52))</f>
        <v/>
      </c>
      <c r="C52" s="20" t="str">
        <f>IF('Classe Petite section'!$B52="","",IF('Classe Petite section'!C52="","",'Classe Petite section'!C52))</f>
        <v/>
      </c>
      <c r="D52" s="20" t="str">
        <f>IF($B52="","",C52&amp;" "&amp;B52&amp;" - "&amp;E52)</f>
        <v/>
      </c>
      <c r="E52" s="21" t="str">
        <f>IF($B52="","",Paramètres!$A$15)</f>
        <v/>
      </c>
      <c r="F52" s="21" t="str">
        <f>IF($B52="","",Paramètres!$B$15)</f>
        <v/>
      </c>
      <c r="G52" s="21" t="str">
        <f>IF('Classe Petite section'!$B52="","",IF('Classe Petite section'!D52="","",'Classe Petite section'!D52))</f>
        <v/>
      </c>
      <c r="H52" s="77" t="str">
        <f>IF('Classe Petite section'!$B52="","",IF('Classe Petite section'!E52="","",'Classe Petite section'!E52))</f>
        <v/>
      </c>
      <c r="I52" s="20" t="str">
        <f>IF('Classe Petite section'!$B52="","",IF('Classe Petite section'!F52="","",'Classe Petite section'!F52))</f>
        <v/>
      </c>
      <c r="J52" s="20" t="str">
        <f>IF('Classe Petite section'!$B52="","",IF('Classe Petite section'!G52="","",'Classe Petite section'!G52))</f>
        <v/>
      </c>
      <c r="K52" s="51" t="str">
        <f>IF('Classe Petite section'!$B52="","",N('Classe Petite section'!H52))</f>
        <v/>
      </c>
      <c r="L52" s="51" t="str">
        <f>IF('Classe Petite section'!$B52="","",N('Classe Petite section'!I52))</f>
        <v/>
      </c>
      <c r="M52" s="51" t="str">
        <f>IF('Classe Petite section'!$B52="","",N('Classe Petite section'!J52))</f>
        <v/>
      </c>
      <c r="N52" s="51" t="str">
        <f>IF('Classe Petite section'!$B52="","",N('Classe Petite section'!K52))</f>
        <v/>
      </c>
      <c r="O52" s="51" t="str">
        <f>IF('Classe Petite section'!$B52="","",N('Classe Petite section'!L52))</f>
        <v/>
      </c>
      <c r="P52" s="51" t="str">
        <f>IF('Classe Petite section'!$B52="","",N('Classe Petite section'!M52))</f>
        <v/>
      </c>
      <c r="Q52" s="21" t="str">
        <f>IF('Classe Petite section'!$B52="","",IF('Classe Petite section'!Q52="","",'Classe Petite section'!Q52))</f>
        <v/>
      </c>
      <c r="R52" s="51" t="str">
        <f>IF('Classe Petite section'!$B52="","",N('Classe Petite section'!N52))</f>
        <v/>
      </c>
      <c r="S52" s="51" t="str">
        <f>IF('Classe Petite section'!$B52="","",N('Classe Petite section'!O52))</f>
        <v/>
      </c>
      <c r="T52" s="51" t="str">
        <f>IF('Classe Petite section'!$B52="","",N('Classe Petite section'!P52))</f>
        <v/>
      </c>
    </row>
    <row r="53">
      <c r="A53" s="16" t="str">
        <f>IF('Classe Petite section'!$B53="","",IF('Classe Petite section'!A53="","",'Classe Petite section'!A53))</f>
        <v/>
      </c>
      <c r="B53" s="16" t="str">
        <f>IF('Classe Petite section'!$B53="","",IF('Classe Petite section'!B53="","",'Classe Petite section'!B53))</f>
        <v/>
      </c>
      <c r="C53" s="16" t="str">
        <f>IF('Classe Petite section'!$B53="","",IF('Classe Petite section'!C53="","",'Classe Petite section'!C53))</f>
        <v/>
      </c>
      <c r="D53" s="16" t="str">
        <f>IF($B53="","",C53&amp;" "&amp;B53&amp;" - "&amp;E53)</f>
        <v/>
      </c>
      <c r="E53" s="17" t="str">
        <f>IF($B53="","",Paramètres!$A$15)</f>
        <v/>
      </c>
      <c r="F53" s="17" t="str">
        <f>IF($B53="","",Paramètres!$B$15)</f>
        <v/>
      </c>
      <c r="G53" s="17" t="str">
        <f>IF('Classe Petite section'!$B53="","",IF('Classe Petite section'!D53="","",'Classe Petite section'!D53))</f>
        <v/>
      </c>
      <c r="H53" s="78" t="str">
        <f>IF('Classe Petite section'!$B53="","",IF('Classe Petite section'!E53="","",'Classe Petite section'!E53))</f>
        <v/>
      </c>
      <c r="I53" s="16" t="str">
        <f>IF('Classe Petite section'!$B53="","",IF('Classe Petite section'!F53="","",'Classe Petite section'!F53))</f>
        <v/>
      </c>
      <c r="J53" s="16" t="str">
        <f>IF('Classe Petite section'!$B53="","",IF('Classe Petite section'!G53="","",'Classe Petite section'!G53))</f>
        <v/>
      </c>
      <c r="K53" s="18" t="str">
        <f>IF('Classe Petite section'!$B53="","",N('Classe Petite section'!H53))</f>
        <v/>
      </c>
      <c r="L53" s="18" t="str">
        <f>IF('Classe Petite section'!$B53="","",N('Classe Petite section'!I53))</f>
        <v/>
      </c>
      <c r="M53" s="18" t="str">
        <f>IF('Classe Petite section'!$B53="","",N('Classe Petite section'!J53))</f>
        <v/>
      </c>
      <c r="N53" s="18" t="str">
        <f>IF('Classe Petite section'!$B53="","",N('Classe Petite section'!K53))</f>
        <v/>
      </c>
      <c r="O53" s="18" t="str">
        <f>IF('Classe Petite section'!$B53="","",N('Classe Petite section'!L53))</f>
        <v/>
      </c>
      <c r="P53" s="18" t="str">
        <f>IF('Classe Petite section'!$B53="","",N('Classe Petite section'!M53))</f>
        <v/>
      </c>
      <c r="Q53" s="17" t="str">
        <f>IF('Classe Petite section'!$B53="","",IF('Classe Petite section'!Q53="","",'Classe Petite section'!Q53))</f>
        <v/>
      </c>
      <c r="R53" s="18" t="str">
        <f>IF('Classe Petite section'!$B53="","",N('Classe Petite section'!N53))</f>
        <v/>
      </c>
      <c r="S53" s="18" t="str">
        <f>IF('Classe Petite section'!$B53="","",N('Classe Petite section'!O53))</f>
        <v/>
      </c>
      <c r="T53" s="18" t="str">
        <f>IF('Classe Petite section'!$B53="","",N('Classe Petite section'!P53))</f>
        <v/>
      </c>
    </row>
    <row r="54">
      <c r="A54" s="20" t="str">
        <f>IF('Classe Petite section'!$B54="","",IF('Classe Petite section'!A54="","",'Classe Petite section'!A54))</f>
        <v/>
      </c>
      <c r="B54" s="20" t="str">
        <f>IF('Classe Petite section'!$B54="","",IF('Classe Petite section'!B54="","",'Classe Petite section'!B54))</f>
        <v/>
      </c>
      <c r="C54" s="20" t="str">
        <f>IF('Classe Petite section'!$B54="","",IF('Classe Petite section'!C54="","",'Classe Petite section'!C54))</f>
        <v/>
      </c>
      <c r="D54" s="20" t="str">
        <f>IF($B54="","",C54&amp;" "&amp;B54&amp;" - "&amp;E54)</f>
        <v/>
      </c>
      <c r="E54" s="21" t="str">
        <f>IF($B54="","",Paramètres!$A$15)</f>
        <v/>
      </c>
      <c r="F54" s="21" t="str">
        <f>IF($B54="","",Paramètres!$B$15)</f>
        <v/>
      </c>
      <c r="G54" s="21" t="str">
        <f>IF('Classe Petite section'!$B54="","",IF('Classe Petite section'!D54="","",'Classe Petite section'!D54))</f>
        <v/>
      </c>
      <c r="H54" s="77" t="str">
        <f>IF('Classe Petite section'!$B54="","",IF('Classe Petite section'!E54="","",'Classe Petite section'!E54))</f>
        <v/>
      </c>
      <c r="I54" s="20" t="str">
        <f>IF('Classe Petite section'!$B54="","",IF('Classe Petite section'!F54="","",'Classe Petite section'!F54))</f>
        <v/>
      </c>
      <c r="J54" s="20" t="str">
        <f>IF('Classe Petite section'!$B54="","",IF('Classe Petite section'!G54="","",'Classe Petite section'!G54))</f>
        <v/>
      </c>
      <c r="K54" s="51" t="str">
        <f>IF('Classe Petite section'!$B54="","",N('Classe Petite section'!H54))</f>
        <v/>
      </c>
      <c r="L54" s="51" t="str">
        <f>IF('Classe Petite section'!$B54="","",N('Classe Petite section'!I54))</f>
        <v/>
      </c>
      <c r="M54" s="51" t="str">
        <f>IF('Classe Petite section'!$B54="","",N('Classe Petite section'!J54))</f>
        <v/>
      </c>
      <c r="N54" s="51" t="str">
        <f>IF('Classe Petite section'!$B54="","",N('Classe Petite section'!K54))</f>
        <v/>
      </c>
      <c r="O54" s="51" t="str">
        <f>IF('Classe Petite section'!$B54="","",N('Classe Petite section'!L54))</f>
        <v/>
      </c>
      <c r="P54" s="51" t="str">
        <f>IF('Classe Petite section'!$B54="","",N('Classe Petite section'!M54))</f>
        <v/>
      </c>
      <c r="Q54" s="21" t="str">
        <f>IF('Classe Petite section'!$B54="","",IF('Classe Petite section'!Q54="","",'Classe Petite section'!Q54))</f>
        <v/>
      </c>
      <c r="R54" s="51" t="str">
        <f>IF('Classe Petite section'!$B54="","",N('Classe Petite section'!N54))</f>
        <v/>
      </c>
      <c r="S54" s="51" t="str">
        <f>IF('Classe Petite section'!$B54="","",N('Classe Petite section'!O54))</f>
        <v/>
      </c>
      <c r="T54" s="51" t="str">
        <f>IF('Classe Petite section'!$B54="","",N('Classe Petite section'!P54))</f>
        <v/>
      </c>
    </row>
    <row r="55">
      <c r="A55" s="16" t="str">
        <f>IF('Classe Petite section'!$B55="","",IF('Classe Petite section'!A55="","",'Classe Petite section'!A55))</f>
        <v/>
      </c>
      <c r="B55" s="16" t="str">
        <f>IF('Classe Petite section'!$B55="","",IF('Classe Petite section'!B55="","",'Classe Petite section'!B55))</f>
        <v/>
      </c>
      <c r="C55" s="16" t="str">
        <f>IF('Classe Petite section'!$B55="","",IF('Classe Petite section'!C55="","",'Classe Petite section'!C55))</f>
        <v/>
      </c>
      <c r="D55" s="16" t="str">
        <f>IF($B55="","",C55&amp;" "&amp;B55&amp;" - "&amp;E55)</f>
        <v/>
      </c>
      <c r="E55" s="17" t="str">
        <f>IF($B55="","",Paramètres!$A$15)</f>
        <v/>
      </c>
      <c r="F55" s="17" t="str">
        <f>IF($B55="","",Paramètres!$B$15)</f>
        <v/>
      </c>
      <c r="G55" s="17" t="str">
        <f>IF('Classe Petite section'!$B55="","",IF('Classe Petite section'!D55="","",'Classe Petite section'!D55))</f>
        <v/>
      </c>
      <c r="H55" s="78" t="str">
        <f>IF('Classe Petite section'!$B55="","",IF('Classe Petite section'!E55="","",'Classe Petite section'!E55))</f>
        <v/>
      </c>
      <c r="I55" s="16" t="str">
        <f>IF('Classe Petite section'!$B55="","",IF('Classe Petite section'!F55="","",'Classe Petite section'!F55))</f>
        <v/>
      </c>
      <c r="J55" s="16" t="str">
        <f>IF('Classe Petite section'!$B55="","",IF('Classe Petite section'!G55="","",'Classe Petite section'!G55))</f>
        <v/>
      </c>
      <c r="K55" s="18" t="str">
        <f>IF('Classe Petite section'!$B55="","",N('Classe Petite section'!H55))</f>
        <v/>
      </c>
      <c r="L55" s="18" t="str">
        <f>IF('Classe Petite section'!$B55="","",N('Classe Petite section'!I55))</f>
        <v/>
      </c>
      <c r="M55" s="18" t="str">
        <f>IF('Classe Petite section'!$B55="","",N('Classe Petite section'!J55))</f>
        <v/>
      </c>
      <c r="N55" s="18" t="str">
        <f>IF('Classe Petite section'!$B55="","",N('Classe Petite section'!K55))</f>
        <v/>
      </c>
      <c r="O55" s="18" t="str">
        <f>IF('Classe Petite section'!$B55="","",N('Classe Petite section'!L55))</f>
        <v/>
      </c>
      <c r="P55" s="18" t="str">
        <f>IF('Classe Petite section'!$B55="","",N('Classe Petite section'!M55))</f>
        <v/>
      </c>
      <c r="Q55" s="17" t="str">
        <f>IF('Classe Petite section'!$B55="","",IF('Classe Petite section'!Q55="","",'Classe Petite section'!Q55))</f>
        <v/>
      </c>
      <c r="R55" s="18" t="str">
        <f>IF('Classe Petite section'!$B55="","",N('Classe Petite section'!N55))</f>
        <v/>
      </c>
      <c r="S55" s="18" t="str">
        <f>IF('Classe Petite section'!$B55="","",N('Classe Petite section'!O55))</f>
        <v/>
      </c>
      <c r="T55" s="18" t="str">
        <f>IF('Classe Petite section'!$B55="","",N('Classe Petite section'!P55))</f>
        <v/>
      </c>
    </row>
    <row r="56">
      <c r="A56" s="20" t="str">
        <f>IF('Classe Petite section'!$B56="","",IF('Classe Petite section'!A56="","",'Classe Petite section'!A56))</f>
        <v/>
      </c>
      <c r="B56" s="20" t="str">
        <f>IF('Classe Petite section'!$B56="","",IF('Classe Petite section'!B56="","",'Classe Petite section'!B56))</f>
        <v/>
      </c>
      <c r="C56" s="20" t="str">
        <f>IF('Classe Petite section'!$B56="","",IF('Classe Petite section'!C56="","",'Classe Petite section'!C56))</f>
        <v/>
      </c>
      <c r="D56" s="20" t="str">
        <f>IF($B56="","",C56&amp;" "&amp;B56&amp;" - "&amp;E56)</f>
        <v/>
      </c>
      <c r="E56" s="21" t="str">
        <f>IF($B56="","",Paramètres!$A$15)</f>
        <v/>
      </c>
      <c r="F56" s="21" t="str">
        <f>IF($B56="","",Paramètres!$B$15)</f>
        <v/>
      </c>
      <c r="G56" s="21" t="str">
        <f>IF('Classe Petite section'!$B56="","",IF('Classe Petite section'!D56="","",'Classe Petite section'!D56))</f>
        <v/>
      </c>
      <c r="H56" s="77" t="str">
        <f>IF('Classe Petite section'!$B56="","",IF('Classe Petite section'!E56="","",'Classe Petite section'!E56))</f>
        <v/>
      </c>
      <c r="I56" s="20" t="str">
        <f>IF('Classe Petite section'!$B56="","",IF('Classe Petite section'!F56="","",'Classe Petite section'!F56))</f>
        <v/>
      </c>
      <c r="J56" s="20" t="str">
        <f>IF('Classe Petite section'!$B56="","",IF('Classe Petite section'!G56="","",'Classe Petite section'!G56))</f>
        <v/>
      </c>
      <c r="K56" s="51" t="str">
        <f>IF('Classe Petite section'!$B56="","",N('Classe Petite section'!H56))</f>
        <v/>
      </c>
      <c r="L56" s="51" t="str">
        <f>IF('Classe Petite section'!$B56="","",N('Classe Petite section'!I56))</f>
        <v/>
      </c>
      <c r="M56" s="51" t="str">
        <f>IF('Classe Petite section'!$B56="","",N('Classe Petite section'!J56))</f>
        <v/>
      </c>
      <c r="N56" s="51" t="str">
        <f>IF('Classe Petite section'!$B56="","",N('Classe Petite section'!K56))</f>
        <v/>
      </c>
      <c r="O56" s="51" t="str">
        <f>IF('Classe Petite section'!$B56="","",N('Classe Petite section'!L56))</f>
        <v/>
      </c>
      <c r="P56" s="51" t="str">
        <f>IF('Classe Petite section'!$B56="","",N('Classe Petite section'!M56))</f>
        <v/>
      </c>
      <c r="Q56" s="21" t="str">
        <f>IF('Classe Petite section'!$B56="","",IF('Classe Petite section'!Q56="","",'Classe Petite section'!Q56))</f>
        <v/>
      </c>
      <c r="R56" s="51" t="str">
        <f>IF('Classe Petite section'!$B56="","",N('Classe Petite section'!N56))</f>
        <v/>
      </c>
      <c r="S56" s="51" t="str">
        <f>IF('Classe Petite section'!$B56="","",N('Classe Petite section'!O56))</f>
        <v/>
      </c>
      <c r="T56" s="51" t="str">
        <f>IF('Classe Petite section'!$B56="","",N('Classe Petite section'!P56))</f>
        <v/>
      </c>
    </row>
    <row r="57">
      <c r="A57" s="16" t="str">
        <f>IF('Classe Petite section'!$B57="","",IF('Classe Petite section'!A57="","",'Classe Petite section'!A57))</f>
        <v/>
      </c>
      <c r="B57" s="16" t="str">
        <f>IF('Classe Petite section'!$B57="","",IF('Classe Petite section'!B57="","",'Classe Petite section'!B57))</f>
        <v/>
      </c>
      <c r="C57" s="16" t="str">
        <f>IF('Classe Petite section'!$B57="","",IF('Classe Petite section'!C57="","",'Classe Petite section'!C57))</f>
        <v/>
      </c>
      <c r="D57" s="16" t="str">
        <f>IF($B57="","",C57&amp;" "&amp;B57&amp;" - "&amp;E57)</f>
        <v/>
      </c>
      <c r="E57" s="17" t="str">
        <f>IF($B57="","",Paramètres!$A$15)</f>
        <v/>
      </c>
      <c r="F57" s="17" t="str">
        <f>IF($B57="","",Paramètres!$B$15)</f>
        <v/>
      </c>
      <c r="G57" s="17" t="str">
        <f>IF('Classe Petite section'!$B57="","",IF('Classe Petite section'!D57="","",'Classe Petite section'!D57))</f>
        <v/>
      </c>
      <c r="H57" s="78" t="str">
        <f>IF('Classe Petite section'!$B57="","",IF('Classe Petite section'!E57="","",'Classe Petite section'!E57))</f>
        <v/>
      </c>
      <c r="I57" s="16" t="str">
        <f>IF('Classe Petite section'!$B57="","",IF('Classe Petite section'!F57="","",'Classe Petite section'!F57))</f>
        <v/>
      </c>
      <c r="J57" s="16" t="str">
        <f>IF('Classe Petite section'!$B57="","",IF('Classe Petite section'!G57="","",'Classe Petite section'!G57))</f>
        <v/>
      </c>
      <c r="K57" s="18" t="str">
        <f>IF('Classe Petite section'!$B57="","",N('Classe Petite section'!H57))</f>
        <v/>
      </c>
      <c r="L57" s="18" t="str">
        <f>IF('Classe Petite section'!$B57="","",N('Classe Petite section'!I57))</f>
        <v/>
      </c>
      <c r="M57" s="18" t="str">
        <f>IF('Classe Petite section'!$B57="","",N('Classe Petite section'!J57))</f>
        <v/>
      </c>
      <c r="N57" s="18" t="str">
        <f>IF('Classe Petite section'!$B57="","",N('Classe Petite section'!K57))</f>
        <v/>
      </c>
      <c r="O57" s="18" t="str">
        <f>IF('Classe Petite section'!$B57="","",N('Classe Petite section'!L57))</f>
        <v/>
      </c>
      <c r="P57" s="18" t="str">
        <f>IF('Classe Petite section'!$B57="","",N('Classe Petite section'!M57))</f>
        <v/>
      </c>
      <c r="Q57" s="17" t="str">
        <f>IF('Classe Petite section'!$B57="","",IF('Classe Petite section'!Q57="","",'Classe Petite section'!Q57))</f>
        <v/>
      </c>
      <c r="R57" s="18" t="str">
        <f>IF('Classe Petite section'!$B57="","",N('Classe Petite section'!N57))</f>
        <v/>
      </c>
      <c r="S57" s="18" t="str">
        <f>IF('Classe Petite section'!$B57="","",N('Classe Petite section'!O57))</f>
        <v/>
      </c>
      <c r="T57" s="18" t="str">
        <f>IF('Classe Petite section'!$B57="","",N('Classe Petite section'!P57))</f>
        <v/>
      </c>
    </row>
    <row r="58">
      <c r="A58" s="20" t="str">
        <f>IF('Classe Petite section'!$B58="","",IF('Classe Petite section'!A58="","",'Classe Petite section'!A58))</f>
        <v/>
      </c>
      <c r="B58" s="20" t="str">
        <f>IF('Classe Petite section'!$B58="","",IF('Classe Petite section'!B58="","",'Classe Petite section'!B58))</f>
        <v/>
      </c>
      <c r="C58" s="20" t="str">
        <f>IF('Classe Petite section'!$B58="","",IF('Classe Petite section'!C58="","",'Classe Petite section'!C58))</f>
        <v/>
      </c>
      <c r="D58" s="20" t="str">
        <f>IF($B58="","",C58&amp;" "&amp;B58&amp;" - "&amp;E58)</f>
        <v/>
      </c>
      <c r="E58" s="21" t="str">
        <f>IF($B58="","",Paramètres!$A$15)</f>
        <v/>
      </c>
      <c r="F58" s="21" t="str">
        <f>IF($B58="","",Paramètres!$B$15)</f>
        <v/>
      </c>
      <c r="G58" s="21" t="str">
        <f>IF('Classe Petite section'!$B58="","",IF('Classe Petite section'!D58="","",'Classe Petite section'!D58))</f>
        <v/>
      </c>
      <c r="H58" s="77" t="str">
        <f>IF('Classe Petite section'!$B58="","",IF('Classe Petite section'!E58="","",'Classe Petite section'!E58))</f>
        <v/>
      </c>
      <c r="I58" s="20" t="str">
        <f>IF('Classe Petite section'!$B58="","",IF('Classe Petite section'!F58="","",'Classe Petite section'!F58))</f>
        <v/>
      </c>
      <c r="J58" s="20" t="str">
        <f>IF('Classe Petite section'!$B58="","",IF('Classe Petite section'!G58="","",'Classe Petite section'!G58))</f>
        <v/>
      </c>
      <c r="K58" s="51" t="str">
        <f>IF('Classe Petite section'!$B58="","",N('Classe Petite section'!H58))</f>
        <v/>
      </c>
      <c r="L58" s="51" t="str">
        <f>IF('Classe Petite section'!$B58="","",N('Classe Petite section'!I58))</f>
        <v/>
      </c>
      <c r="M58" s="51" t="str">
        <f>IF('Classe Petite section'!$B58="","",N('Classe Petite section'!J58))</f>
        <v/>
      </c>
      <c r="N58" s="51" t="str">
        <f>IF('Classe Petite section'!$B58="","",N('Classe Petite section'!K58))</f>
        <v/>
      </c>
      <c r="O58" s="51" t="str">
        <f>IF('Classe Petite section'!$B58="","",N('Classe Petite section'!L58))</f>
        <v/>
      </c>
      <c r="P58" s="51" t="str">
        <f>IF('Classe Petite section'!$B58="","",N('Classe Petite section'!M58))</f>
        <v/>
      </c>
      <c r="Q58" s="21" t="str">
        <f>IF('Classe Petite section'!$B58="","",IF('Classe Petite section'!Q58="","",'Classe Petite section'!Q58))</f>
        <v/>
      </c>
      <c r="R58" s="51" t="str">
        <f>IF('Classe Petite section'!$B58="","",N('Classe Petite section'!N58))</f>
        <v/>
      </c>
      <c r="S58" s="51" t="str">
        <f>IF('Classe Petite section'!$B58="","",N('Classe Petite section'!O58))</f>
        <v/>
      </c>
      <c r="T58" s="51" t="str">
        <f>IF('Classe Petite section'!$B58="","",N('Classe Petite section'!P58))</f>
        <v/>
      </c>
    </row>
    <row r="59">
      <c r="A59" s="16" t="str">
        <f>IF('Classe Petite section'!$B59="","",IF('Classe Petite section'!A59="","",'Classe Petite section'!A59))</f>
        <v/>
      </c>
      <c r="B59" s="16" t="str">
        <f>IF('Classe Petite section'!$B59="","",IF('Classe Petite section'!B59="","",'Classe Petite section'!B59))</f>
        <v/>
      </c>
      <c r="C59" s="16" t="str">
        <f>IF('Classe Petite section'!$B59="","",IF('Classe Petite section'!C59="","",'Classe Petite section'!C59))</f>
        <v/>
      </c>
      <c r="D59" s="16" t="str">
        <f>IF($B59="","",C59&amp;" "&amp;B59&amp;" - "&amp;E59)</f>
        <v/>
      </c>
      <c r="E59" s="17" t="str">
        <f>IF($B59="","",Paramètres!$A$15)</f>
        <v/>
      </c>
      <c r="F59" s="17" t="str">
        <f>IF($B59="","",Paramètres!$B$15)</f>
        <v/>
      </c>
      <c r="G59" s="17" t="str">
        <f>IF('Classe Petite section'!$B59="","",IF('Classe Petite section'!D59="","",'Classe Petite section'!D59))</f>
        <v/>
      </c>
      <c r="H59" s="78" t="str">
        <f>IF('Classe Petite section'!$B59="","",IF('Classe Petite section'!E59="","",'Classe Petite section'!E59))</f>
        <v/>
      </c>
      <c r="I59" s="16" t="str">
        <f>IF('Classe Petite section'!$B59="","",IF('Classe Petite section'!F59="","",'Classe Petite section'!F59))</f>
        <v/>
      </c>
      <c r="J59" s="16" t="str">
        <f>IF('Classe Petite section'!$B59="","",IF('Classe Petite section'!G59="","",'Classe Petite section'!G59))</f>
        <v/>
      </c>
      <c r="K59" s="18" t="str">
        <f>IF('Classe Petite section'!$B59="","",N('Classe Petite section'!H59))</f>
        <v/>
      </c>
      <c r="L59" s="18" t="str">
        <f>IF('Classe Petite section'!$B59="","",N('Classe Petite section'!I59))</f>
        <v/>
      </c>
      <c r="M59" s="18" t="str">
        <f>IF('Classe Petite section'!$B59="","",N('Classe Petite section'!J59))</f>
        <v/>
      </c>
      <c r="N59" s="18" t="str">
        <f>IF('Classe Petite section'!$B59="","",N('Classe Petite section'!K59))</f>
        <v/>
      </c>
      <c r="O59" s="18" t="str">
        <f>IF('Classe Petite section'!$B59="","",N('Classe Petite section'!L59))</f>
        <v/>
      </c>
      <c r="P59" s="18" t="str">
        <f>IF('Classe Petite section'!$B59="","",N('Classe Petite section'!M59))</f>
        <v/>
      </c>
      <c r="Q59" s="17" t="str">
        <f>IF('Classe Petite section'!$B59="","",IF('Classe Petite section'!Q59="","",'Classe Petite section'!Q59))</f>
        <v/>
      </c>
      <c r="R59" s="18" t="str">
        <f>IF('Classe Petite section'!$B59="","",N('Classe Petite section'!N59))</f>
        <v/>
      </c>
      <c r="S59" s="18" t="str">
        <f>IF('Classe Petite section'!$B59="","",N('Classe Petite section'!O59))</f>
        <v/>
      </c>
      <c r="T59" s="18" t="str">
        <f>IF('Classe Petite section'!$B59="","",N('Classe Petite section'!P59))</f>
        <v/>
      </c>
    </row>
    <row r="60">
      <c r="A60" s="20" t="str">
        <f>IF('Classe Petite section'!$B60="","",IF('Classe Petite section'!A60="","",'Classe Petite section'!A60))</f>
        <v/>
      </c>
      <c r="B60" s="20" t="str">
        <f>IF('Classe Petite section'!$B60="","",IF('Classe Petite section'!B60="","",'Classe Petite section'!B60))</f>
        <v/>
      </c>
      <c r="C60" s="20" t="str">
        <f>IF('Classe Petite section'!$B60="","",IF('Classe Petite section'!C60="","",'Classe Petite section'!C60))</f>
        <v/>
      </c>
      <c r="D60" s="20" t="str">
        <f>IF($B60="","",C60&amp;" "&amp;B60&amp;" - "&amp;E60)</f>
        <v/>
      </c>
      <c r="E60" s="21" t="str">
        <f>IF($B60="","",Paramètres!$A$15)</f>
        <v/>
      </c>
      <c r="F60" s="21" t="str">
        <f>IF($B60="","",Paramètres!$B$15)</f>
        <v/>
      </c>
      <c r="G60" s="21" t="str">
        <f>IF('Classe Petite section'!$B60="","",IF('Classe Petite section'!D60="","",'Classe Petite section'!D60))</f>
        <v/>
      </c>
      <c r="H60" s="77" t="str">
        <f>IF('Classe Petite section'!$B60="","",IF('Classe Petite section'!E60="","",'Classe Petite section'!E60))</f>
        <v/>
      </c>
      <c r="I60" s="20" t="str">
        <f>IF('Classe Petite section'!$B60="","",IF('Classe Petite section'!F60="","",'Classe Petite section'!F60))</f>
        <v/>
      </c>
      <c r="J60" s="20" t="str">
        <f>IF('Classe Petite section'!$B60="","",IF('Classe Petite section'!G60="","",'Classe Petite section'!G60))</f>
        <v/>
      </c>
      <c r="K60" s="51" t="str">
        <f>IF('Classe Petite section'!$B60="","",N('Classe Petite section'!H60))</f>
        <v/>
      </c>
      <c r="L60" s="51" t="str">
        <f>IF('Classe Petite section'!$B60="","",N('Classe Petite section'!I60))</f>
        <v/>
      </c>
      <c r="M60" s="51" t="str">
        <f>IF('Classe Petite section'!$B60="","",N('Classe Petite section'!J60))</f>
        <v/>
      </c>
      <c r="N60" s="51" t="str">
        <f>IF('Classe Petite section'!$B60="","",N('Classe Petite section'!K60))</f>
        <v/>
      </c>
      <c r="O60" s="51" t="str">
        <f>IF('Classe Petite section'!$B60="","",N('Classe Petite section'!L60))</f>
        <v/>
      </c>
      <c r="P60" s="51" t="str">
        <f>IF('Classe Petite section'!$B60="","",N('Classe Petite section'!M60))</f>
        <v/>
      </c>
      <c r="Q60" s="21" t="str">
        <f>IF('Classe Petite section'!$B60="","",IF('Classe Petite section'!Q60="","",'Classe Petite section'!Q60))</f>
        <v/>
      </c>
      <c r="R60" s="51" t="str">
        <f>IF('Classe Petite section'!$B60="","",N('Classe Petite section'!N60))</f>
        <v/>
      </c>
      <c r="S60" s="51" t="str">
        <f>IF('Classe Petite section'!$B60="","",N('Classe Petite section'!O60))</f>
        <v/>
      </c>
      <c r="T60" s="51" t="str">
        <f>IF('Classe Petite section'!$B60="","",N('Classe Petite section'!P60))</f>
        <v/>
      </c>
    </row>
    <row r="61">
      <c r="A61" s="16" t="str">
        <f>IF('Classe Petite section'!$B61="","",IF('Classe Petite section'!A61="","",'Classe Petite section'!A61))</f>
        <v/>
      </c>
      <c r="B61" s="16" t="str">
        <f>IF('Classe Petite section'!$B61="","",IF('Classe Petite section'!B61="","",'Classe Petite section'!B61))</f>
        <v/>
      </c>
      <c r="C61" s="16" t="str">
        <f>IF('Classe Petite section'!$B61="","",IF('Classe Petite section'!C61="","",'Classe Petite section'!C61))</f>
        <v/>
      </c>
      <c r="D61" s="16" t="str">
        <f>IF($B61="","",C61&amp;" "&amp;B61&amp;" - "&amp;E61)</f>
        <v/>
      </c>
      <c r="E61" s="17" t="str">
        <f>IF($B61="","",Paramètres!$A$15)</f>
        <v/>
      </c>
      <c r="F61" s="17" t="str">
        <f>IF($B61="","",Paramètres!$B$15)</f>
        <v/>
      </c>
      <c r="G61" s="17" t="str">
        <f>IF('Classe Petite section'!$B61="","",IF('Classe Petite section'!D61="","",'Classe Petite section'!D61))</f>
        <v/>
      </c>
      <c r="H61" s="78" t="str">
        <f>IF('Classe Petite section'!$B61="","",IF('Classe Petite section'!E61="","",'Classe Petite section'!E61))</f>
        <v/>
      </c>
      <c r="I61" s="16" t="str">
        <f>IF('Classe Petite section'!$B61="","",IF('Classe Petite section'!F61="","",'Classe Petite section'!F61))</f>
        <v/>
      </c>
      <c r="J61" s="16" t="str">
        <f>IF('Classe Petite section'!$B61="","",IF('Classe Petite section'!G61="","",'Classe Petite section'!G61))</f>
        <v/>
      </c>
      <c r="K61" s="18" t="str">
        <f>IF('Classe Petite section'!$B61="","",N('Classe Petite section'!H61))</f>
        <v/>
      </c>
      <c r="L61" s="18" t="str">
        <f>IF('Classe Petite section'!$B61="","",N('Classe Petite section'!I61))</f>
        <v/>
      </c>
      <c r="M61" s="18" t="str">
        <f>IF('Classe Petite section'!$B61="","",N('Classe Petite section'!J61))</f>
        <v/>
      </c>
      <c r="N61" s="18" t="str">
        <f>IF('Classe Petite section'!$B61="","",N('Classe Petite section'!K61))</f>
        <v/>
      </c>
      <c r="O61" s="18" t="str">
        <f>IF('Classe Petite section'!$B61="","",N('Classe Petite section'!L61))</f>
        <v/>
      </c>
      <c r="P61" s="18" t="str">
        <f>IF('Classe Petite section'!$B61="","",N('Classe Petite section'!M61))</f>
        <v/>
      </c>
      <c r="Q61" s="17" t="str">
        <f>IF('Classe Petite section'!$B61="","",IF('Classe Petite section'!Q61="","",'Classe Petite section'!Q61))</f>
        <v/>
      </c>
      <c r="R61" s="18" t="str">
        <f>IF('Classe Petite section'!$B61="","",N('Classe Petite section'!N61))</f>
        <v/>
      </c>
      <c r="S61" s="18" t="str">
        <f>IF('Classe Petite section'!$B61="","",N('Classe Petite section'!O61))</f>
        <v/>
      </c>
      <c r="T61" s="18" t="str">
        <f>IF('Classe Petite section'!$B61="","",N('Classe Petite section'!P61))</f>
        <v/>
      </c>
    </row>
    <row r="62">
      <c r="A62" s="20" t="str">
        <f>IF('Classe Petite section'!$B62="","",IF('Classe Petite section'!A62="","",'Classe Petite section'!A62))</f>
        <v/>
      </c>
      <c r="B62" s="20" t="str">
        <f>IF('Classe Petite section'!$B62="","",IF('Classe Petite section'!B62="","",'Classe Petite section'!B62))</f>
        <v/>
      </c>
      <c r="C62" s="20" t="str">
        <f>IF('Classe Petite section'!$B62="","",IF('Classe Petite section'!C62="","",'Classe Petite section'!C62))</f>
        <v/>
      </c>
      <c r="D62" s="20" t="str">
        <f>IF($B62="","",C62&amp;" "&amp;B62&amp;" - "&amp;E62)</f>
        <v/>
      </c>
      <c r="E62" s="21" t="str">
        <f>IF($B62="","",Paramètres!$A$15)</f>
        <v/>
      </c>
      <c r="F62" s="21" t="str">
        <f>IF($B62="","",Paramètres!$B$15)</f>
        <v/>
      </c>
      <c r="G62" s="21" t="str">
        <f>IF('Classe Petite section'!$B62="","",IF('Classe Petite section'!D62="","",'Classe Petite section'!D62))</f>
        <v/>
      </c>
      <c r="H62" s="77" t="str">
        <f>IF('Classe Petite section'!$B62="","",IF('Classe Petite section'!E62="","",'Classe Petite section'!E62))</f>
        <v/>
      </c>
      <c r="I62" s="20" t="str">
        <f>IF('Classe Petite section'!$B62="","",IF('Classe Petite section'!F62="","",'Classe Petite section'!F62))</f>
        <v/>
      </c>
      <c r="J62" s="20" t="str">
        <f>IF('Classe Petite section'!$B62="","",IF('Classe Petite section'!G62="","",'Classe Petite section'!G62))</f>
        <v/>
      </c>
      <c r="K62" s="51" t="str">
        <f>IF('Classe Petite section'!$B62="","",N('Classe Petite section'!H62))</f>
        <v/>
      </c>
      <c r="L62" s="51" t="str">
        <f>IF('Classe Petite section'!$B62="","",N('Classe Petite section'!I62))</f>
        <v/>
      </c>
      <c r="M62" s="51" t="str">
        <f>IF('Classe Petite section'!$B62="","",N('Classe Petite section'!J62))</f>
        <v/>
      </c>
      <c r="N62" s="51" t="str">
        <f>IF('Classe Petite section'!$B62="","",N('Classe Petite section'!K62))</f>
        <v/>
      </c>
      <c r="O62" s="51" t="str">
        <f>IF('Classe Petite section'!$B62="","",N('Classe Petite section'!L62))</f>
        <v/>
      </c>
      <c r="P62" s="51" t="str">
        <f>IF('Classe Petite section'!$B62="","",N('Classe Petite section'!M62))</f>
        <v/>
      </c>
      <c r="Q62" s="21" t="str">
        <f>IF('Classe Petite section'!$B62="","",IF('Classe Petite section'!Q62="","",'Classe Petite section'!Q62))</f>
        <v/>
      </c>
      <c r="R62" s="51" t="str">
        <f>IF('Classe Petite section'!$B62="","",N('Classe Petite section'!N62))</f>
        <v/>
      </c>
      <c r="S62" s="51" t="str">
        <f>IF('Classe Petite section'!$B62="","",N('Classe Petite section'!O62))</f>
        <v/>
      </c>
      <c r="T62" s="51" t="str">
        <f>IF('Classe Petite section'!$B62="","",N('Classe Petite section'!P62))</f>
        <v/>
      </c>
    </row>
    <row r="63">
      <c r="A63" s="16" t="str">
        <f>IF('Classe Petite section'!$B63="","",IF('Classe Petite section'!A63="","",'Classe Petite section'!A63))</f>
        <v/>
      </c>
      <c r="B63" s="16" t="str">
        <f>IF('Classe Petite section'!$B63="","",IF('Classe Petite section'!B63="","",'Classe Petite section'!B63))</f>
        <v/>
      </c>
      <c r="C63" s="16" t="str">
        <f>IF('Classe Petite section'!$B63="","",IF('Classe Petite section'!C63="","",'Classe Petite section'!C63))</f>
        <v/>
      </c>
      <c r="D63" s="16" t="str">
        <f>IF($B63="","",C63&amp;" "&amp;B63&amp;" - "&amp;E63)</f>
        <v/>
      </c>
      <c r="E63" s="17" t="str">
        <f>IF($B63="","",Paramètres!$A$15)</f>
        <v/>
      </c>
      <c r="F63" s="17" t="str">
        <f>IF($B63="","",Paramètres!$B$15)</f>
        <v/>
      </c>
      <c r="G63" s="17" t="str">
        <f>IF('Classe Petite section'!$B63="","",IF('Classe Petite section'!D63="","",'Classe Petite section'!D63))</f>
        <v/>
      </c>
      <c r="H63" s="78" t="str">
        <f>IF('Classe Petite section'!$B63="","",IF('Classe Petite section'!E63="","",'Classe Petite section'!E63))</f>
        <v/>
      </c>
      <c r="I63" s="16" t="str">
        <f>IF('Classe Petite section'!$B63="","",IF('Classe Petite section'!F63="","",'Classe Petite section'!F63))</f>
        <v/>
      </c>
      <c r="J63" s="16" t="str">
        <f>IF('Classe Petite section'!$B63="","",IF('Classe Petite section'!G63="","",'Classe Petite section'!G63))</f>
        <v/>
      </c>
      <c r="K63" s="18" t="str">
        <f>IF('Classe Petite section'!$B63="","",N('Classe Petite section'!H63))</f>
        <v/>
      </c>
      <c r="L63" s="18" t="str">
        <f>IF('Classe Petite section'!$B63="","",N('Classe Petite section'!I63))</f>
        <v/>
      </c>
      <c r="M63" s="18" t="str">
        <f>IF('Classe Petite section'!$B63="","",N('Classe Petite section'!J63))</f>
        <v/>
      </c>
      <c r="N63" s="18" t="str">
        <f>IF('Classe Petite section'!$B63="","",N('Classe Petite section'!K63))</f>
        <v/>
      </c>
      <c r="O63" s="18" t="str">
        <f>IF('Classe Petite section'!$B63="","",N('Classe Petite section'!L63))</f>
        <v/>
      </c>
      <c r="P63" s="18" t="str">
        <f>IF('Classe Petite section'!$B63="","",N('Classe Petite section'!M63))</f>
        <v/>
      </c>
      <c r="Q63" s="17" t="str">
        <f>IF('Classe Petite section'!$B63="","",IF('Classe Petite section'!Q63="","",'Classe Petite section'!Q63))</f>
        <v/>
      </c>
      <c r="R63" s="18" t="str">
        <f>IF('Classe Petite section'!$B63="","",N('Classe Petite section'!N63))</f>
        <v/>
      </c>
      <c r="S63" s="18" t="str">
        <f>IF('Classe Petite section'!$B63="","",N('Classe Petite section'!O63))</f>
        <v/>
      </c>
      <c r="T63" s="18" t="str">
        <f>IF('Classe Petite section'!$B63="","",N('Classe Petite section'!P63))</f>
        <v/>
      </c>
    </row>
    <row r="64">
      <c r="A64" s="20" t="str">
        <f>IF('Classe Petite section'!$B64="","",IF('Classe Petite section'!A64="","",'Classe Petite section'!A64))</f>
        <v/>
      </c>
      <c r="B64" s="20" t="str">
        <f>IF('Classe Petite section'!$B64="","",IF('Classe Petite section'!B64="","",'Classe Petite section'!B64))</f>
        <v/>
      </c>
      <c r="C64" s="20" t="str">
        <f>IF('Classe Petite section'!$B64="","",IF('Classe Petite section'!C64="","",'Classe Petite section'!C64))</f>
        <v/>
      </c>
      <c r="D64" s="20" t="str">
        <f>IF($B64="","",C64&amp;" "&amp;B64&amp;" - "&amp;E64)</f>
        <v/>
      </c>
      <c r="E64" s="21" t="str">
        <f>IF($B64="","",Paramètres!$A$15)</f>
        <v/>
      </c>
      <c r="F64" s="21" t="str">
        <f>IF($B64="","",Paramètres!$B$15)</f>
        <v/>
      </c>
      <c r="G64" s="21" t="str">
        <f>IF('Classe Petite section'!$B64="","",IF('Classe Petite section'!D64="","",'Classe Petite section'!D64))</f>
        <v/>
      </c>
      <c r="H64" s="77" t="str">
        <f>IF('Classe Petite section'!$B64="","",IF('Classe Petite section'!E64="","",'Classe Petite section'!E64))</f>
        <v/>
      </c>
      <c r="I64" s="20" t="str">
        <f>IF('Classe Petite section'!$B64="","",IF('Classe Petite section'!F64="","",'Classe Petite section'!F64))</f>
        <v/>
      </c>
      <c r="J64" s="20" t="str">
        <f>IF('Classe Petite section'!$B64="","",IF('Classe Petite section'!G64="","",'Classe Petite section'!G64))</f>
        <v/>
      </c>
      <c r="K64" s="51" t="str">
        <f>IF('Classe Petite section'!$B64="","",N('Classe Petite section'!H64))</f>
        <v/>
      </c>
      <c r="L64" s="51" t="str">
        <f>IF('Classe Petite section'!$B64="","",N('Classe Petite section'!I64))</f>
        <v/>
      </c>
      <c r="M64" s="51" t="str">
        <f>IF('Classe Petite section'!$B64="","",N('Classe Petite section'!J64))</f>
        <v/>
      </c>
      <c r="N64" s="51" t="str">
        <f>IF('Classe Petite section'!$B64="","",N('Classe Petite section'!K64))</f>
        <v/>
      </c>
      <c r="O64" s="51" t="str">
        <f>IF('Classe Petite section'!$B64="","",N('Classe Petite section'!L64))</f>
        <v/>
      </c>
      <c r="P64" s="51" t="str">
        <f>IF('Classe Petite section'!$B64="","",N('Classe Petite section'!M64))</f>
        <v/>
      </c>
      <c r="Q64" s="21" t="str">
        <f>IF('Classe Petite section'!$B64="","",IF('Classe Petite section'!Q64="","",'Classe Petite section'!Q64))</f>
        <v/>
      </c>
      <c r="R64" s="51" t="str">
        <f>IF('Classe Petite section'!$B64="","",N('Classe Petite section'!N64))</f>
        <v/>
      </c>
      <c r="S64" s="51" t="str">
        <f>IF('Classe Petite section'!$B64="","",N('Classe Petite section'!O64))</f>
        <v/>
      </c>
      <c r="T64" s="51" t="str">
        <f>IF('Classe Petite section'!$B64="","",N('Classe Petite section'!P64))</f>
        <v/>
      </c>
    </row>
    <row r="65">
      <c r="A65" s="16" t="str">
        <f>IF('Classe Petite section'!$B65="","",IF('Classe Petite section'!A65="","",'Classe Petite section'!A65))</f>
        <v/>
      </c>
      <c r="B65" s="16" t="str">
        <f>IF('Classe Petite section'!$B65="","",IF('Classe Petite section'!B65="","",'Classe Petite section'!B65))</f>
        <v/>
      </c>
      <c r="C65" s="16" t="str">
        <f>IF('Classe Petite section'!$B65="","",IF('Classe Petite section'!C65="","",'Classe Petite section'!C65))</f>
        <v/>
      </c>
      <c r="D65" s="16" t="str">
        <f>IF($B65="","",C65&amp;" "&amp;B65&amp;" - "&amp;E65)</f>
        <v/>
      </c>
      <c r="E65" s="17" t="str">
        <f>IF($B65="","",Paramètres!$A$15)</f>
        <v/>
      </c>
      <c r="F65" s="17" t="str">
        <f>IF($B65="","",Paramètres!$B$15)</f>
        <v/>
      </c>
      <c r="G65" s="17" t="str">
        <f>IF('Classe Petite section'!$B65="","",IF('Classe Petite section'!D65="","",'Classe Petite section'!D65))</f>
        <v/>
      </c>
      <c r="H65" s="78" t="str">
        <f>IF('Classe Petite section'!$B65="","",IF('Classe Petite section'!E65="","",'Classe Petite section'!E65))</f>
        <v/>
      </c>
      <c r="I65" s="16" t="str">
        <f>IF('Classe Petite section'!$B65="","",IF('Classe Petite section'!F65="","",'Classe Petite section'!F65))</f>
        <v/>
      </c>
      <c r="J65" s="16" t="str">
        <f>IF('Classe Petite section'!$B65="","",IF('Classe Petite section'!G65="","",'Classe Petite section'!G65))</f>
        <v/>
      </c>
      <c r="K65" s="18" t="str">
        <f>IF('Classe Petite section'!$B65="","",N('Classe Petite section'!H65))</f>
        <v/>
      </c>
      <c r="L65" s="18" t="str">
        <f>IF('Classe Petite section'!$B65="","",N('Classe Petite section'!I65))</f>
        <v/>
      </c>
      <c r="M65" s="18" t="str">
        <f>IF('Classe Petite section'!$B65="","",N('Classe Petite section'!J65))</f>
        <v/>
      </c>
      <c r="N65" s="18" t="str">
        <f>IF('Classe Petite section'!$B65="","",N('Classe Petite section'!K65))</f>
        <v/>
      </c>
      <c r="O65" s="18" t="str">
        <f>IF('Classe Petite section'!$B65="","",N('Classe Petite section'!L65))</f>
        <v/>
      </c>
      <c r="P65" s="18" t="str">
        <f>IF('Classe Petite section'!$B65="","",N('Classe Petite section'!M65))</f>
        <v/>
      </c>
      <c r="Q65" s="17" t="str">
        <f>IF('Classe Petite section'!$B65="","",IF('Classe Petite section'!Q65="","",'Classe Petite section'!Q65))</f>
        <v/>
      </c>
      <c r="R65" s="18" t="str">
        <f>IF('Classe Petite section'!$B65="","",N('Classe Petite section'!N65))</f>
        <v/>
      </c>
      <c r="S65" s="18" t="str">
        <f>IF('Classe Petite section'!$B65="","",N('Classe Petite section'!O65))</f>
        <v/>
      </c>
      <c r="T65" s="18" t="str">
        <f>IF('Classe Petite section'!$B65="","",N('Classe Petite section'!P65))</f>
        <v/>
      </c>
    </row>
    <row r="66">
      <c r="A66" s="20" t="str">
        <f>IF('Classe Petite section'!$B66="","",IF('Classe Petite section'!A66="","",'Classe Petite section'!A66))</f>
        <v/>
      </c>
      <c r="B66" s="20" t="str">
        <f>IF('Classe Petite section'!$B66="","",IF('Classe Petite section'!B66="","",'Classe Petite section'!B66))</f>
        <v/>
      </c>
      <c r="C66" s="20" t="str">
        <f>IF('Classe Petite section'!$B66="","",IF('Classe Petite section'!C66="","",'Classe Petite section'!C66))</f>
        <v/>
      </c>
      <c r="D66" s="20" t="str">
        <f>IF($B66="","",C66&amp;" "&amp;B66&amp;" - "&amp;E66)</f>
        <v/>
      </c>
      <c r="E66" s="21" t="str">
        <f>IF($B66="","",Paramètres!$A$15)</f>
        <v/>
      </c>
      <c r="F66" s="21" t="str">
        <f>IF($B66="","",Paramètres!$B$15)</f>
        <v/>
      </c>
      <c r="G66" s="21" t="str">
        <f>IF('Classe Petite section'!$B66="","",IF('Classe Petite section'!D66="","",'Classe Petite section'!D66))</f>
        <v/>
      </c>
      <c r="H66" s="77" t="str">
        <f>IF('Classe Petite section'!$B66="","",IF('Classe Petite section'!E66="","",'Classe Petite section'!E66))</f>
        <v/>
      </c>
      <c r="I66" s="20" t="str">
        <f>IF('Classe Petite section'!$B66="","",IF('Classe Petite section'!F66="","",'Classe Petite section'!F66))</f>
        <v/>
      </c>
      <c r="J66" s="20" t="str">
        <f>IF('Classe Petite section'!$B66="","",IF('Classe Petite section'!G66="","",'Classe Petite section'!G66))</f>
        <v/>
      </c>
      <c r="K66" s="51" t="str">
        <f>IF('Classe Petite section'!$B66="","",N('Classe Petite section'!H66))</f>
        <v/>
      </c>
      <c r="L66" s="51" t="str">
        <f>IF('Classe Petite section'!$B66="","",N('Classe Petite section'!I66))</f>
        <v/>
      </c>
      <c r="M66" s="51" t="str">
        <f>IF('Classe Petite section'!$B66="","",N('Classe Petite section'!J66))</f>
        <v/>
      </c>
      <c r="N66" s="51" t="str">
        <f>IF('Classe Petite section'!$B66="","",N('Classe Petite section'!K66))</f>
        <v/>
      </c>
      <c r="O66" s="51" t="str">
        <f>IF('Classe Petite section'!$B66="","",N('Classe Petite section'!L66))</f>
        <v/>
      </c>
      <c r="P66" s="51" t="str">
        <f>IF('Classe Petite section'!$B66="","",N('Classe Petite section'!M66))</f>
        <v/>
      </c>
      <c r="Q66" s="21" t="str">
        <f>IF('Classe Petite section'!$B66="","",IF('Classe Petite section'!Q66="","",'Classe Petite section'!Q66))</f>
        <v/>
      </c>
      <c r="R66" s="51" t="str">
        <f>IF('Classe Petite section'!$B66="","",N('Classe Petite section'!N66))</f>
        <v/>
      </c>
      <c r="S66" s="51" t="str">
        <f>IF('Classe Petite section'!$B66="","",N('Classe Petite section'!O66))</f>
        <v/>
      </c>
      <c r="T66" s="51" t="str">
        <f>IF('Classe Petite section'!$B66="","",N('Classe Petite section'!P66))</f>
        <v/>
      </c>
    </row>
    <row r="67">
      <c r="A67" s="16" t="str">
        <f>IF('Classe Petite section'!$B67="","",IF('Classe Petite section'!A67="","",'Classe Petite section'!A67))</f>
        <v/>
      </c>
      <c r="B67" s="16" t="str">
        <f>IF('Classe Petite section'!$B67="","",IF('Classe Petite section'!B67="","",'Classe Petite section'!B67))</f>
        <v/>
      </c>
      <c r="C67" s="16" t="str">
        <f>IF('Classe Petite section'!$B67="","",IF('Classe Petite section'!C67="","",'Classe Petite section'!C67))</f>
        <v/>
      </c>
      <c r="D67" s="16" t="str">
        <f>IF($B67="","",C67&amp;" "&amp;B67&amp;" - "&amp;E67)</f>
        <v/>
      </c>
      <c r="E67" s="17" t="str">
        <f>IF($B67="","",Paramètres!$A$15)</f>
        <v/>
      </c>
      <c r="F67" s="17" t="str">
        <f>IF($B67="","",Paramètres!$B$15)</f>
        <v/>
      </c>
      <c r="G67" s="17" t="str">
        <f>IF('Classe Petite section'!$B67="","",IF('Classe Petite section'!D67="","",'Classe Petite section'!D67))</f>
        <v/>
      </c>
      <c r="H67" s="78" t="str">
        <f>IF('Classe Petite section'!$B67="","",IF('Classe Petite section'!E67="","",'Classe Petite section'!E67))</f>
        <v/>
      </c>
      <c r="I67" s="16" t="str">
        <f>IF('Classe Petite section'!$B67="","",IF('Classe Petite section'!F67="","",'Classe Petite section'!F67))</f>
        <v/>
      </c>
      <c r="J67" s="16" t="str">
        <f>IF('Classe Petite section'!$B67="","",IF('Classe Petite section'!G67="","",'Classe Petite section'!G67))</f>
        <v/>
      </c>
      <c r="K67" s="18" t="str">
        <f>IF('Classe Petite section'!$B67="","",N('Classe Petite section'!H67))</f>
        <v/>
      </c>
      <c r="L67" s="18" t="str">
        <f>IF('Classe Petite section'!$B67="","",N('Classe Petite section'!I67))</f>
        <v/>
      </c>
      <c r="M67" s="18" t="str">
        <f>IF('Classe Petite section'!$B67="","",N('Classe Petite section'!J67))</f>
        <v/>
      </c>
      <c r="N67" s="18" t="str">
        <f>IF('Classe Petite section'!$B67="","",N('Classe Petite section'!K67))</f>
        <v/>
      </c>
      <c r="O67" s="18" t="str">
        <f>IF('Classe Petite section'!$B67="","",N('Classe Petite section'!L67))</f>
        <v/>
      </c>
      <c r="P67" s="18" t="str">
        <f>IF('Classe Petite section'!$B67="","",N('Classe Petite section'!M67))</f>
        <v/>
      </c>
      <c r="Q67" s="17" t="str">
        <f>IF('Classe Petite section'!$B67="","",IF('Classe Petite section'!Q67="","",'Classe Petite section'!Q67))</f>
        <v/>
      </c>
      <c r="R67" s="18" t="str">
        <f>IF('Classe Petite section'!$B67="","",N('Classe Petite section'!N67))</f>
        <v/>
      </c>
      <c r="S67" s="18" t="str">
        <f>IF('Classe Petite section'!$B67="","",N('Classe Petite section'!O67))</f>
        <v/>
      </c>
      <c r="T67" s="18" t="str">
        <f>IF('Classe Petite section'!$B67="","",N('Classe Petite section'!P67))</f>
        <v/>
      </c>
    </row>
    <row r="68">
      <c r="A68" s="20" t="str">
        <f>IF('Classe Petite section'!$B68="","",IF('Classe Petite section'!A68="","",'Classe Petite section'!A68))</f>
        <v/>
      </c>
      <c r="B68" s="20" t="str">
        <f>IF('Classe Petite section'!$B68="","",IF('Classe Petite section'!B68="","",'Classe Petite section'!B68))</f>
        <v/>
      </c>
      <c r="C68" s="20" t="str">
        <f>IF('Classe Petite section'!$B68="","",IF('Classe Petite section'!C68="","",'Classe Petite section'!C68))</f>
        <v/>
      </c>
      <c r="D68" s="20" t="str">
        <f>IF($B68="","",C68&amp;" "&amp;B68&amp;" - "&amp;E68)</f>
        <v/>
      </c>
      <c r="E68" s="21" t="str">
        <f>IF($B68="","",Paramètres!$A$15)</f>
        <v/>
      </c>
      <c r="F68" s="21" t="str">
        <f>IF($B68="","",Paramètres!$B$15)</f>
        <v/>
      </c>
      <c r="G68" s="21" t="str">
        <f>IF('Classe Petite section'!$B68="","",IF('Classe Petite section'!D68="","",'Classe Petite section'!D68))</f>
        <v/>
      </c>
      <c r="H68" s="77" t="str">
        <f>IF('Classe Petite section'!$B68="","",IF('Classe Petite section'!E68="","",'Classe Petite section'!E68))</f>
        <v/>
      </c>
      <c r="I68" s="20" t="str">
        <f>IF('Classe Petite section'!$B68="","",IF('Classe Petite section'!F68="","",'Classe Petite section'!F68))</f>
        <v/>
      </c>
      <c r="J68" s="20" t="str">
        <f>IF('Classe Petite section'!$B68="","",IF('Classe Petite section'!G68="","",'Classe Petite section'!G68))</f>
        <v/>
      </c>
      <c r="K68" s="51" t="str">
        <f>IF('Classe Petite section'!$B68="","",N('Classe Petite section'!H68))</f>
        <v/>
      </c>
      <c r="L68" s="51" t="str">
        <f>IF('Classe Petite section'!$B68="","",N('Classe Petite section'!I68))</f>
        <v/>
      </c>
      <c r="M68" s="51" t="str">
        <f>IF('Classe Petite section'!$B68="","",N('Classe Petite section'!J68))</f>
        <v/>
      </c>
      <c r="N68" s="51" t="str">
        <f>IF('Classe Petite section'!$B68="","",N('Classe Petite section'!K68))</f>
        <v/>
      </c>
      <c r="O68" s="51" t="str">
        <f>IF('Classe Petite section'!$B68="","",N('Classe Petite section'!L68))</f>
        <v/>
      </c>
      <c r="P68" s="51" t="str">
        <f>IF('Classe Petite section'!$B68="","",N('Classe Petite section'!M68))</f>
        <v/>
      </c>
      <c r="Q68" s="21" t="str">
        <f>IF('Classe Petite section'!$B68="","",IF('Classe Petite section'!Q68="","",'Classe Petite section'!Q68))</f>
        <v/>
      </c>
      <c r="R68" s="51" t="str">
        <f>IF('Classe Petite section'!$B68="","",N('Classe Petite section'!N68))</f>
        <v/>
      </c>
      <c r="S68" s="51" t="str">
        <f>IF('Classe Petite section'!$B68="","",N('Classe Petite section'!O68))</f>
        <v/>
      </c>
      <c r="T68" s="51" t="str">
        <f>IF('Classe Petite section'!$B68="","",N('Classe Petite section'!P68))</f>
        <v/>
      </c>
    </row>
    <row r="69">
      <c r="A69" s="16" t="str">
        <f>IF('Classe Petite section'!$B69="","",IF('Classe Petite section'!A69="","",'Classe Petite section'!A69))</f>
        <v/>
      </c>
      <c r="B69" s="16" t="str">
        <f>IF('Classe Petite section'!$B69="","",IF('Classe Petite section'!B69="","",'Classe Petite section'!B69))</f>
        <v/>
      </c>
      <c r="C69" s="16" t="str">
        <f>IF('Classe Petite section'!$B69="","",IF('Classe Petite section'!C69="","",'Classe Petite section'!C69))</f>
        <v/>
      </c>
      <c r="D69" s="16" t="str">
        <f>IF($B69="","",C69&amp;" "&amp;B69&amp;" - "&amp;E69)</f>
        <v/>
      </c>
      <c r="E69" s="17" t="str">
        <f>IF($B69="","",Paramètres!$A$15)</f>
        <v/>
      </c>
      <c r="F69" s="17" t="str">
        <f>IF($B69="","",Paramètres!$B$15)</f>
        <v/>
      </c>
      <c r="G69" s="17" t="str">
        <f>IF('Classe Petite section'!$B69="","",IF('Classe Petite section'!D69="","",'Classe Petite section'!D69))</f>
        <v/>
      </c>
      <c r="H69" s="78" t="str">
        <f>IF('Classe Petite section'!$B69="","",IF('Classe Petite section'!E69="","",'Classe Petite section'!E69))</f>
        <v/>
      </c>
      <c r="I69" s="16" t="str">
        <f>IF('Classe Petite section'!$B69="","",IF('Classe Petite section'!F69="","",'Classe Petite section'!F69))</f>
        <v/>
      </c>
      <c r="J69" s="16" t="str">
        <f>IF('Classe Petite section'!$B69="","",IF('Classe Petite section'!G69="","",'Classe Petite section'!G69))</f>
        <v/>
      </c>
      <c r="K69" s="18" t="str">
        <f>IF('Classe Petite section'!$B69="","",N('Classe Petite section'!H69))</f>
        <v/>
      </c>
      <c r="L69" s="18" t="str">
        <f>IF('Classe Petite section'!$B69="","",N('Classe Petite section'!I69))</f>
        <v/>
      </c>
      <c r="M69" s="18" t="str">
        <f>IF('Classe Petite section'!$B69="","",N('Classe Petite section'!J69))</f>
        <v/>
      </c>
      <c r="N69" s="18" t="str">
        <f>IF('Classe Petite section'!$B69="","",N('Classe Petite section'!K69))</f>
        <v/>
      </c>
      <c r="O69" s="18" t="str">
        <f>IF('Classe Petite section'!$B69="","",N('Classe Petite section'!L69))</f>
        <v/>
      </c>
      <c r="P69" s="18" t="str">
        <f>IF('Classe Petite section'!$B69="","",N('Classe Petite section'!M69))</f>
        <v/>
      </c>
      <c r="Q69" s="17" t="str">
        <f>IF('Classe Petite section'!$B69="","",IF('Classe Petite section'!Q69="","",'Classe Petite section'!Q69))</f>
        <v/>
      </c>
      <c r="R69" s="18" t="str">
        <f>IF('Classe Petite section'!$B69="","",N('Classe Petite section'!N69))</f>
        <v/>
      </c>
      <c r="S69" s="18" t="str">
        <f>IF('Classe Petite section'!$B69="","",N('Classe Petite section'!O69))</f>
        <v/>
      </c>
      <c r="T69" s="18" t="str">
        <f>IF('Classe Petite section'!$B69="","",N('Classe Petite section'!P69))</f>
        <v/>
      </c>
    </row>
    <row r="70">
      <c r="A70" s="20" t="str">
        <f>IF('Classe Petite section'!$B70="","",IF('Classe Petite section'!A70="","",'Classe Petite section'!A70))</f>
        <v/>
      </c>
      <c r="B70" s="20" t="str">
        <f>IF('Classe Petite section'!$B70="","",IF('Classe Petite section'!B70="","",'Classe Petite section'!B70))</f>
        <v/>
      </c>
      <c r="C70" s="20" t="str">
        <f>IF('Classe Petite section'!$B70="","",IF('Classe Petite section'!C70="","",'Classe Petite section'!C70))</f>
        <v/>
      </c>
      <c r="D70" s="20" t="str">
        <f>IF($B70="","",C70&amp;" "&amp;B70&amp;" - "&amp;E70)</f>
        <v/>
      </c>
      <c r="E70" s="21" t="str">
        <f>IF($B70="","",Paramètres!$A$15)</f>
        <v/>
      </c>
      <c r="F70" s="21" t="str">
        <f>IF($B70="","",Paramètres!$B$15)</f>
        <v/>
      </c>
      <c r="G70" s="21" t="str">
        <f>IF('Classe Petite section'!$B70="","",IF('Classe Petite section'!D70="","",'Classe Petite section'!D70))</f>
        <v/>
      </c>
      <c r="H70" s="77" t="str">
        <f>IF('Classe Petite section'!$B70="","",IF('Classe Petite section'!E70="","",'Classe Petite section'!E70))</f>
        <v/>
      </c>
      <c r="I70" s="20" t="str">
        <f>IF('Classe Petite section'!$B70="","",IF('Classe Petite section'!F70="","",'Classe Petite section'!F70))</f>
        <v/>
      </c>
      <c r="J70" s="20" t="str">
        <f>IF('Classe Petite section'!$B70="","",IF('Classe Petite section'!G70="","",'Classe Petite section'!G70))</f>
        <v/>
      </c>
      <c r="K70" s="51" t="str">
        <f>IF('Classe Petite section'!$B70="","",N('Classe Petite section'!H70))</f>
        <v/>
      </c>
      <c r="L70" s="51" t="str">
        <f>IF('Classe Petite section'!$B70="","",N('Classe Petite section'!I70))</f>
        <v/>
      </c>
      <c r="M70" s="51" t="str">
        <f>IF('Classe Petite section'!$B70="","",N('Classe Petite section'!J70))</f>
        <v/>
      </c>
      <c r="N70" s="51" t="str">
        <f>IF('Classe Petite section'!$B70="","",N('Classe Petite section'!K70))</f>
        <v/>
      </c>
      <c r="O70" s="51" t="str">
        <f>IF('Classe Petite section'!$B70="","",N('Classe Petite section'!L70))</f>
        <v/>
      </c>
      <c r="P70" s="51" t="str">
        <f>IF('Classe Petite section'!$B70="","",N('Classe Petite section'!M70))</f>
        <v/>
      </c>
      <c r="Q70" s="21" t="str">
        <f>IF('Classe Petite section'!$B70="","",IF('Classe Petite section'!Q70="","",'Classe Petite section'!Q70))</f>
        <v/>
      </c>
      <c r="R70" s="51" t="str">
        <f>IF('Classe Petite section'!$B70="","",N('Classe Petite section'!N70))</f>
        <v/>
      </c>
      <c r="S70" s="51" t="str">
        <f>IF('Classe Petite section'!$B70="","",N('Classe Petite section'!O70))</f>
        <v/>
      </c>
      <c r="T70" s="51" t="str">
        <f>IF('Classe Petite section'!$B70="","",N('Classe Petite section'!P70))</f>
        <v/>
      </c>
    </row>
    <row r="71">
      <c r="A71" s="16" t="str">
        <f>IF('Classe Petite section'!$B71="","",IF('Classe Petite section'!A71="","",'Classe Petite section'!A71))</f>
        <v/>
      </c>
      <c r="B71" s="16" t="str">
        <f>IF('Classe Petite section'!$B71="","",IF('Classe Petite section'!B71="","",'Classe Petite section'!B71))</f>
        <v/>
      </c>
      <c r="C71" s="16" t="str">
        <f>IF('Classe Petite section'!$B71="","",IF('Classe Petite section'!C71="","",'Classe Petite section'!C71))</f>
        <v/>
      </c>
      <c r="D71" s="16" t="str">
        <f>IF($B71="","",C71&amp;" "&amp;B71&amp;" - "&amp;E71)</f>
        <v/>
      </c>
      <c r="E71" s="17" t="str">
        <f>IF($B71="","",Paramètres!$A$15)</f>
        <v/>
      </c>
      <c r="F71" s="17" t="str">
        <f>IF($B71="","",Paramètres!$B$15)</f>
        <v/>
      </c>
      <c r="G71" s="17" t="str">
        <f>IF('Classe Petite section'!$B71="","",IF('Classe Petite section'!D71="","",'Classe Petite section'!D71))</f>
        <v/>
      </c>
      <c r="H71" s="78" t="str">
        <f>IF('Classe Petite section'!$B71="","",IF('Classe Petite section'!E71="","",'Classe Petite section'!E71))</f>
        <v/>
      </c>
      <c r="I71" s="16" t="str">
        <f>IF('Classe Petite section'!$B71="","",IF('Classe Petite section'!F71="","",'Classe Petite section'!F71))</f>
        <v/>
      </c>
      <c r="J71" s="16" t="str">
        <f>IF('Classe Petite section'!$B71="","",IF('Classe Petite section'!G71="","",'Classe Petite section'!G71))</f>
        <v/>
      </c>
      <c r="K71" s="18" t="str">
        <f>IF('Classe Petite section'!$B71="","",N('Classe Petite section'!H71))</f>
        <v/>
      </c>
      <c r="L71" s="18" t="str">
        <f>IF('Classe Petite section'!$B71="","",N('Classe Petite section'!I71))</f>
        <v/>
      </c>
      <c r="M71" s="18" t="str">
        <f>IF('Classe Petite section'!$B71="","",N('Classe Petite section'!J71))</f>
        <v/>
      </c>
      <c r="N71" s="18" t="str">
        <f>IF('Classe Petite section'!$B71="","",N('Classe Petite section'!K71))</f>
        <v/>
      </c>
      <c r="O71" s="18" t="str">
        <f>IF('Classe Petite section'!$B71="","",N('Classe Petite section'!L71))</f>
        <v/>
      </c>
      <c r="P71" s="18" t="str">
        <f>IF('Classe Petite section'!$B71="","",N('Classe Petite section'!M71))</f>
        <v/>
      </c>
      <c r="Q71" s="17" t="str">
        <f>IF('Classe Petite section'!$B71="","",IF('Classe Petite section'!Q71="","",'Classe Petite section'!Q71))</f>
        <v/>
      </c>
      <c r="R71" s="18" t="str">
        <f>IF('Classe Petite section'!$B71="","",N('Classe Petite section'!N71))</f>
        <v/>
      </c>
      <c r="S71" s="18" t="str">
        <f>IF('Classe Petite section'!$B71="","",N('Classe Petite section'!O71))</f>
        <v/>
      </c>
      <c r="T71" s="18" t="str">
        <f>IF('Classe Petite section'!$B71="","",N('Classe Petite section'!P71))</f>
        <v/>
      </c>
    </row>
    <row r="72">
      <c r="A72" s="20" t="str">
        <f>IF('Classe Petite section'!$B72="","",IF('Classe Petite section'!A72="","",'Classe Petite section'!A72))</f>
        <v/>
      </c>
      <c r="B72" s="20" t="str">
        <f>IF('Classe Petite section'!$B72="","",IF('Classe Petite section'!B72="","",'Classe Petite section'!B72))</f>
        <v/>
      </c>
      <c r="C72" s="20" t="str">
        <f>IF('Classe Petite section'!$B72="","",IF('Classe Petite section'!C72="","",'Classe Petite section'!C72))</f>
        <v/>
      </c>
      <c r="D72" s="20" t="str">
        <f>IF($B72="","",C72&amp;" "&amp;B72&amp;" - "&amp;E72)</f>
        <v/>
      </c>
      <c r="E72" s="21" t="str">
        <f>IF($B72="","",Paramètres!$A$15)</f>
        <v/>
      </c>
      <c r="F72" s="21" t="str">
        <f>IF($B72="","",Paramètres!$B$15)</f>
        <v/>
      </c>
      <c r="G72" s="21" t="str">
        <f>IF('Classe Petite section'!$B72="","",IF('Classe Petite section'!D72="","",'Classe Petite section'!D72))</f>
        <v/>
      </c>
      <c r="H72" s="77" t="str">
        <f>IF('Classe Petite section'!$B72="","",IF('Classe Petite section'!E72="","",'Classe Petite section'!E72))</f>
        <v/>
      </c>
      <c r="I72" s="20" t="str">
        <f>IF('Classe Petite section'!$B72="","",IF('Classe Petite section'!F72="","",'Classe Petite section'!F72))</f>
        <v/>
      </c>
      <c r="J72" s="20" t="str">
        <f>IF('Classe Petite section'!$B72="","",IF('Classe Petite section'!G72="","",'Classe Petite section'!G72))</f>
        <v/>
      </c>
      <c r="K72" s="51" t="str">
        <f>IF('Classe Petite section'!$B72="","",N('Classe Petite section'!H72))</f>
        <v/>
      </c>
      <c r="L72" s="51" t="str">
        <f>IF('Classe Petite section'!$B72="","",N('Classe Petite section'!I72))</f>
        <v/>
      </c>
      <c r="M72" s="51" t="str">
        <f>IF('Classe Petite section'!$B72="","",N('Classe Petite section'!J72))</f>
        <v/>
      </c>
      <c r="N72" s="51" t="str">
        <f>IF('Classe Petite section'!$B72="","",N('Classe Petite section'!K72))</f>
        <v/>
      </c>
      <c r="O72" s="51" t="str">
        <f>IF('Classe Petite section'!$B72="","",N('Classe Petite section'!L72))</f>
        <v/>
      </c>
      <c r="P72" s="51" t="str">
        <f>IF('Classe Petite section'!$B72="","",N('Classe Petite section'!M72))</f>
        <v/>
      </c>
      <c r="Q72" s="21" t="str">
        <f>IF('Classe Petite section'!$B72="","",IF('Classe Petite section'!Q72="","",'Classe Petite section'!Q72))</f>
        <v/>
      </c>
      <c r="R72" s="51" t="str">
        <f>IF('Classe Petite section'!$B72="","",N('Classe Petite section'!N72))</f>
        <v/>
      </c>
      <c r="S72" s="51" t="str">
        <f>IF('Classe Petite section'!$B72="","",N('Classe Petite section'!O72))</f>
        <v/>
      </c>
      <c r="T72" s="51" t="str">
        <f>IF('Classe Petite section'!$B72="","",N('Classe Petite section'!P72))</f>
        <v/>
      </c>
    </row>
    <row r="73">
      <c r="A73" s="16" t="str">
        <f>IF('Classe Petite section'!$B73="","",IF('Classe Petite section'!A73="","",'Classe Petite section'!A73))</f>
        <v/>
      </c>
      <c r="B73" s="16" t="str">
        <f>IF('Classe Petite section'!$B73="","",IF('Classe Petite section'!B73="","",'Classe Petite section'!B73))</f>
        <v/>
      </c>
      <c r="C73" s="16" t="str">
        <f>IF('Classe Petite section'!$B73="","",IF('Classe Petite section'!C73="","",'Classe Petite section'!C73))</f>
        <v/>
      </c>
      <c r="D73" s="16" t="str">
        <f>IF($B73="","",C73&amp;" "&amp;B73&amp;" - "&amp;E73)</f>
        <v/>
      </c>
      <c r="E73" s="17" t="str">
        <f>IF($B73="","",Paramètres!$A$15)</f>
        <v/>
      </c>
      <c r="F73" s="17" t="str">
        <f>IF($B73="","",Paramètres!$B$15)</f>
        <v/>
      </c>
      <c r="G73" s="17" t="str">
        <f>IF('Classe Petite section'!$B73="","",IF('Classe Petite section'!D73="","",'Classe Petite section'!D73))</f>
        <v/>
      </c>
      <c r="H73" s="78" t="str">
        <f>IF('Classe Petite section'!$B73="","",IF('Classe Petite section'!E73="","",'Classe Petite section'!E73))</f>
        <v/>
      </c>
      <c r="I73" s="16" t="str">
        <f>IF('Classe Petite section'!$B73="","",IF('Classe Petite section'!F73="","",'Classe Petite section'!F73))</f>
        <v/>
      </c>
      <c r="J73" s="16" t="str">
        <f>IF('Classe Petite section'!$B73="","",IF('Classe Petite section'!G73="","",'Classe Petite section'!G73))</f>
        <v/>
      </c>
      <c r="K73" s="18" t="str">
        <f>IF('Classe Petite section'!$B73="","",N('Classe Petite section'!H73))</f>
        <v/>
      </c>
      <c r="L73" s="18" t="str">
        <f>IF('Classe Petite section'!$B73="","",N('Classe Petite section'!I73))</f>
        <v/>
      </c>
      <c r="M73" s="18" t="str">
        <f>IF('Classe Petite section'!$B73="","",N('Classe Petite section'!J73))</f>
        <v/>
      </c>
      <c r="N73" s="18" t="str">
        <f>IF('Classe Petite section'!$B73="","",N('Classe Petite section'!K73))</f>
        <v/>
      </c>
      <c r="O73" s="18" t="str">
        <f>IF('Classe Petite section'!$B73="","",N('Classe Petite section'!L73))</f>
        <v/>
      </c>
      <c r="P73" s="18" t="str">
        <f>IF('Classe Petite section'!$B73="","",N('Classe Petite section'!M73))</f>
        <v/>
      </c>
      <c r="Q73" s="17" t="str">
        <f>IF('Classe Petite section'!$B73="","",IF('Classe Petite section'!Q73="","",'Classe Petite section'!Q73))</f>
        <v/>
      </c>
      <c r="R73" s="18" t="str">
        <f>IF('Classe Petite section'!$B73="","",N('Classe Petite section'!N73))</f>
        <v/>
      </c>
      <c r="S73" s="18" t="str">
        <f>IF('Classe Petite section'!$B73="","",N('Classe Petite section'!O73))</f>
        <v/>
      </c>
      <c r="T73" s="18" t="str">
        <f>IF('Classe Petite section'!$B73="","",N('Classe Petite section'!P73))</f>
        <v/>
      </c>
    </row>
    <row r="74">
      <c r="A74" s="20" t="str">
        <f>IF('Classe Petite section'!$B74="","",IF('Classe Petite section'!A74="","",'Classe Petite section'!A74))</f>
        <v/>
      </c>
      <c r="B74" s="20" t="str">
        <f>IF('Classe Petite section'!$B74="","",IF('Classe Petite section'!B74="","",'Classe Petite section'!B74))</f>
        <v/>
      </c>
      <c r="C74" s="20" t="str">
        <f>IF('Classe Petite section'!$B74="","",IF('Classe Petite section'!C74="","",'Classe Petite section'!C74))</f>
        <v/>
      </c>
      <c r="D74" s="20" t="str">
        <f>IF($B74="","",C74&amp;" "&amp;B74&amp;" - "&amp;E74)</f>
        <v/>
      </c>
      <c r="E74" s="21" t="str">
        <f>IF($B74="","",Paramètres!$A$15)</f>
        <v/>
      </c>
      <c r="F74" s="21" t="str">
        <f>IF($B74="","",Paramètres!$B$15)</f>
        <v/>
      </c>
      <c r="G74" s="21" t="str">
        <f>IF('Classe Petite section'!$B74="","",IF('Classe Petite section'!D74="","",'Classe Petite section'!D74))</f>
        <v/>
      </c>
      <c r="H74" s="77" t="str">
        <f>IF('Classe Petite section'!$B74="","",IF('Classe Petite section'!E74="","",'Classe Petite section'!E74))</f>
        <v/>
      </c>
      <c r="I74" s="20" t="str">
        <f>IF('Classe Petite section'!$B74="","",IF('Classe Petite section'!F74="","",'Classe Petite section'!F74))</f>
        <v/>
      </c>
      <c r="J74" s="20" t="str">
        <f>IF('Classe Petite section'!$B74="","",IF('Classe Petite section'!G74="","",'Classe Petite section'!G74))</f>
        <v/>
      </c>
      <c r="K74" s="51" t="str">
        <f>IF('Classe Petite section'!$B74="","",N('Classe Petite section'!H74))</f>
        <v/>
      </c>
      <c r="L74" s="51" t="str">
        <f>IF('Classe Petite section'!$B74="","",N('Classe Petite section'!I74))</f>
        <v/>
      </c>
      <c r="M74" s="51" t="str">
        <f>IF('Classe Petite section'!$B74="","",N('Classe Petite section'!J74))</f>
        <v/>
      </c>
      <c r="N74" s="51" t="str">
        <f>IF('Classe Petite section'!$B74="","",N('Classe Petite section'!K74))</f>
        <v/>
      </c>
      <c r="O74" s="51" t="str">
        <f>IF('Classe Petite section'!$B74="","",N('Classe Petite section'!L74))</f>
        <v/>
      </c>
      <c r="P74" s="51" t="str">
        <f>IF('Classe Petite section'!$B74="","",N('Classe Petite section'!M74))</f>
        <v/>
      </c>
      <c r="Q74" s="21" t="str">
        <f>IF('Classe Petite section'!$B74="","",IF('Classe Petite section'!Q74="","",'Classe Petite section'!Q74))</f>
        <v/>
      </c>
      <c r="R74" s="51" t="str">
        <f>IF('Classe Petite section'!$B74="","",N('Classe Petite section'!N74))</f>
        <v/>
      </c>
      <c r="S74" s="51" t="str">
        <f>IF('Classe Petite section'!$B74="","",N('Classe Petite section'!O74))</f>
        <v/>
      </c>
      <c r="T74" s="51" t="str">
        <f>IF('Classe Petite section'!$B74="","",N('Classe Petite section'!P74))</f>
        <v/>
      </c>
    </row>
    <row r="75">
      <c r="A75" s="16" t="str">
        <f>IF('Classe Petite section'!$B75="","",IF('Classe Petite section'!A75="","",'Classe Petite section'!A75))</f>
        <v/>
      </c>
      <c r="B75" s="16" t="str">
        <f>IF('Classe Petite section'!$B75="","",IF('Classe Petite section'!B75="","",'Classe Petite section'!B75))</f>
        <v/>
      </c>
      <c r="C75" s="16" t="str">
        <f>IF('Classe Petite section'!$B75="","",IF('Classe Petite section'!C75="","",'Classe Petite section'!C75))</f>
        <v/>
      </c>
      <c r="D75" s="16" t="str">
        <f>IF($B75="","",C75&amp;" "&amp;B75&amp;" - "&amp;E75)</f>
        <v/>
      </c>
      <c r="E75" s="17" t="str">
        <f>IF($B75="","",Paramètres!$A$15)</f>
        <v/>
      </c>
      <c r="F75" s="17" t="str">
        <f>IF($B75="","",Paramètres!$B$15)</f>
        <v/>
      </c>
      <c r="G75" s="17" t="str">
        <f>IF('Classe Petite section'!$B75="","",IF('Classe Petite section'!D75="","",'Classe Petite section'!D75))</f>
        <v/>
      </c>
      <c r="H75" s="78" t="str">
        <f>IF('Classe Petite section'!$B75="","",IF('Classe Petite section'!E75="","",'Classe Petite section'!E75))</f>
        <v/>
      </c>
      <c r="I75" s="16" t="str">
        <f>IF('Classe Petite section'!$B75="","",IF('Classe Petite section'!F75="","",'Classe Petite section'!F75))</f>
        <v/>
      </c>
      <c r="J75" s="16" t="str">
        <f>IF('Classe Petite section'!$B75="","",IF('Classe Petite section'!G75="","",'Classe Petite section'!G75))</f>
        <v/>
      </c>
      <c r="K75" s="18" t="str">
        <f>IF('Classe Petite section'!$B75="","",N('Classe Petite section'!H75))</f>
        <v/>
      </c>
      <c r="L75" s="18" t="str">
        <f>IF('Classe Petite section'!$B75="","",N('Classe Petite section'!I75))</f>
        <v/>
      </c>
      <c r="M75" s="18" t="str">
        <f>IF('Classe Petite section'!$B75="","",N('Classe Petite section'!J75))</f>
        <v/>
      </c>
      <c r="N75" s="18" t="str">
        <f>IF('Classe Petite section'!$B75="","",N('Classe Petite section'!K75))</f>
        <v/>
      </c>
      <c r="O75" s="18" t="str">
        <f>IF('Classe Petite section'!$B75="","",N('Classe Petite section'!L75))</f>
        <v/>
      </c>
      <c r="P75" s="18" t="str">
        <f>IF('Classe Petite section'!$B75="","",N('Classe Petite section'!M75))</f>
        <v/>
      </c>
      <c r="Q75" s="17" t="str">
        <f>IF('Classe Petite section'!$B75="","",IF('Classe Petite section'!Q75="","",'Classe Petite section'!Q75))</f>
        <v/>
      </c>
      <c r="R75" s="18" t="str">
        <f>IF('Classe Petite section'!$B75="","",N('Classe Petite section'!N75))</f>
        <v/>
      </c>
      <c r="S75" s="18" t="str">
        <f>IF('Classe Petite section'!$B75="","",N('Classe Petite section'!O75))</f>
        <v/>
      </c>
      <c r="T75" s="18" t="str">
        <f>IF('Classe Petite section'!$B75="","",N('Classe Petite section'!P75))</f>
        <v/>
      </c>
    </row>
    <row r="76">
      <c r="A76" s="20" t="str">
        <f>IF('Classe Petite section'!$B76="","",IF('Classe Petite section'!A76="","",'Classe Petite section'!A76))</f>
        <v/>
      </c>
      <c r="B76" s="20" t="str">
        <f>IF('Classe Petite section'!$B76="","",IF('Classe Petite section'!B76="","",'Classe Petite section'!B76))</f>
        <v/>
      </c>
      <c r="C76" s="20" t="str">
        <f>IF('Classe Petite section'!$B76="","",IF('Classe Petite section'!C76="","",'Classe Petite section'!C76))</f>
        <v/>
      </c>
      <c r="D76" s="20" t="str">
        <f>IF($B76="","",C76&amp;" "&amp;B76&amp;" - "&amp;E76)</f>
        <v/>
      </c>
      <c r="E76" s="21" t="str">
        <f>IF($B76="","",Paramètres!$A$15)</f>
        <v/>
      </c>
      <c r="F76" s="21" t="str">
        <f>IF($B76="","",Paramètres!$B$15)</f>
        <v/>
      </c>
      <c r="G76" s="21" t="str">
        <f>IF('Classe Petite section'!$B76="","",IF('Classe Petite section'!D76="","",'Classe Petite section'!D76))</f>
        <v/>
      </c>
      <c r="H76" s="77" t="str">
        <f>IF('Classe Petite section'!$B76="","",IF('Classe Petite section'!E76="","",'Classe Petite section'!E76))</f>
        <v/>
      </c>
      <c r="I76" s="20" t="str">
        <f>IF('Classe Petite section'!$B76="","",IF('Classe Petite section'!F76="","",'Classe Petite section'!F76))</f>
        <v/>
      </c>
      <c r="J76" s="20" t="str">
        <f>IF('Classe Petite section'!$B76="","",IF('Classe Petite section'!G76="","",'Classe Petite section'!G76))</f>
        <v/>
      </c>
      <c r="K76" s="51" t="str">
        <f>IF('Classe Petite section'!$B76="","",N('Classe Petite section'!H76))</f>
        <v/>
      </c>
      <c r="L76" s="51" t="str">
        <f>IF('Classe Petite section'!$B76="","",N('Classe Petite section'!I76))</f>
        <v/>
      </c>
      <c r="M76" s="51" t="str">
        <f>IF('Classe Petite section'!$B76="","",N('Classe Petite section'!J76))</f>
        <v/>
      </c>
      <c r="N76" s="51" t="str">
        <f>IF('Classe Petite section'!$B76="","",N('Classe Petite section'!K76))</f>
        <v/>
      </c>
      <c r="O76" s="51" t="str">
        <f>IF('Classe Petite section'!$B76="","",N('Classe Petite section'!L76))</f>
        <v/>
      </c>
      <c r="P76" s="51" t="str">
        <f>IF('Classe Petite section'!$B76="","",N('Classe Petite section'!M76))</f>
        <v/>
      </c>
      <c r="Q76" s="21" t="str">
        <f>IF('Classe Petite section'!$B76="","",IF('Classe Petite section'!Q76="","",'Classe Petite section'!Q76))</f>
        <v/>
      </c>
      <c r="R76" s="51" t="str">
        <f>IF('Classe Petite section'!$B76="","",N('Classe Petite section'!N76))</f>
        <v/>
      </c>
      <c r="S76" s="51" t="str">
        <f>IF('Classe Petite section'!$B76="","",N('Classe Petite section'!O76))</f>
        <v/>
      </c>
      <c r="T76" s="51" t="str">
        <f>IF('Classe Petite section'!$B76="","",N('Classe Petite section'!P76))</f>
        <v/>
      </c>
    </row>
    <row r="77">
      <c r="A77" s="16" t="str">
        <f>IF('Classe Petite section'!$B77="","",IF('Classe Petite section'!A77="","",'Classe Petite section'!A77))</f>
        <v/>
      </c>
      <c r="B77" s="16" t="str">
        <f>IF('Classe Petite section'!$B77="","",IF('Classe Petite section'!B77="","",'Classe Petite section'!B77))</f>
        <v/>
      </c>
      <c r="C77" s="16" t="str">
        <f>IF('Classe Petite section'!$B77="","",IF('Classe Petite section'!C77="","",'Classe Petite section'!C77))</f>
        <v/>
      </c>
      <c r="D77" s="16" t="str">
        <f>IF($B77="","",C77&amp;" "&amp;B77&amp;" - "&amp;E77)</f>
        <v/>
      </c>
      <c r="E77" s="17" t="str">
        <f>IF($B77="","",Paramètres!$A$15)</f>
        <v/>
      </c>
      <c r="F77" s="17" t="str">
        <f>IF($B77="","",Paramètres!$B$15)</f>
        <v/>
      </c>
      <c r="G77" s="17" t="str">
        <f>IF('Classe Petite section'!$B77="","",IF('Classe Petite section'!D77="","",'Classe Petite section'!D77))</f>
        <v/>
      </c>
      <c r="H77" s="78" t="str">
        <f>IF('Classe Petite section'!$B77="","",IF('Classe Petite section'!E77="","",'Classe Petite section'!E77))</f>
        <v/>
      </c>
      <c r="I77" s="16" t="str">
        <f>IF('Classe Petite section'!$B77="","",IF('Classe Petite section'!F77="","",'Classe Petite section'!F77))</f>
        <v/>
      </c>
      <c r="J77" s="16" t="str">
        <f>IF('Classe Petite section'!$B77="","",IF('Classe Petite section'!G77="","",'Classe Petite section'!G77))</f>
        <v/>
      </c>
      <c r="K77" s="18" t="str">
        <f>IF('Classe Petite section'!$B77="","",N('Classe Petite section'!H77))</f>
        <v/>
      </c>
      <c r="L77" s="18" t="str">
        <f>IF('Classe Petite section'!$B77="","",N('Classe Petite section'!I77))</f>
        <v/>
      </c>
      <c r="M77" s="18" t="str">
        <f>IF('Classe Petite section'!$B77="","",N('Classe Petite section'!J77))</f>
        <v/>
      </c>
      <c r="N77" s="18" t="str">
        <f>IF('Classe Petite section'!$B77="","",N('Classe Petite section'!K77))</f>
        <v/>
      </c>
      <c r="O77" s="18" t="str">
        <f>IF('Classe Petite section'!$B77="","",N('Classe Petite section'!L77))</f>
        <v/>
      </c>
      <c r="P77" s="18" t="str">
        <f>IF('Classe Petite section'!$B77="","",N('Classe Petite section'!M77))</f>
        <v/>
      </c>
      <c r="Q77" s="17" t="str">
        <f>IF('Classe Petite section'!$B77="","",IF('Classe Petite section'!Q77="","",'Classe Petite section'!Q77))</f>
        <v/>
      </c>
      <c r="R77" s="18" t="str">
        <f>IF('Classe Petite section'!$B77="","",N('Classe Petite section'!N77))</f>
        <v/>
      </c>
      <c r="S77" s="18" t="str">
        <f>IF('Classe Petite section'!$B77="","",N('Classe Petite section'!O77))</f>
        <v/>
      </c>
      <c r="T77" s="18" t="str">
        <f>IF('Classe Petite section'!$B77="","",N('Classe Petite section'!P77))</f>
        <v/>
      </c>
    </row>
    <row r="78">
      <c r="A78" s="20" t="str">
        <f>IF('Classe Petite section'!$B78="","",IF('Classe Petite section'!A78="","",'Classe Petite section'!A78))</f>
        <v/>
      </c>
      <c r="B78" s="20" t="str">
        <f>IF('Classe Petite section'!$B78="","",IF('Classe Petite section'!B78="","",'Classe Petite section'!B78))</f>
        <v/>
      </c>
      <c r="C78" s="20" t="str">
        <f>IF('Classe Petite section'!$B78="","",IF('Classe Petite section'!C78="","",'Classe Petite section'!C78))</f>
        <v/>
      </c>
      <c r="D78" s="20" t="str">
        <f>IF($B78="","",C78&amp;" "&amp;B78&amp;" - "&amp;E78)</f>
        <v/>
      </c>
      <c r="E78" s="21" t="str">
        <f>IF($B78="","",Paramètres!$A$15)</f>
        <v/>
      </c>
      <c r="F78" s="21" t="str">
        <f>IF($B78="","",Paramètres!$B$15)</f>
        <v/>
      </c>
      <c r="G78" s="21" t="str">
        <f>IF('Classe Petite section'!$B78="","",IF('Classe Petite section'!D78="","",'Classe Petite section'!D78))</f>
        <v/>
      </c>
      <c r="H78" s="77" t="str">
        <f>IF('Classe Petite section'!$B78="","",IF('Classe Petite section'!E78="","",'Classe Petite section'!E78))</f>
        <v/>
      </c>
      <c r="I78" s="20" t="str">
        <f>IF('Classe Petite section'!$B78="","",IF('Classe Petite section'!F78="","",'Classe Petite section'!F78))</f>
        <v/>
      </c>
      <c r="J78" s="20" t="str">
        <f>IF('Classe Petite section'!$B78="","",IF('Classe Petite section'!G78="","",'Classe Petite section'!G78))</f>
        <v/>
      </c>
      <c r="K78" s="51" t="str">
        <f>IF('Classe Petite section'!$B78="","",N('Classe Petite section'!H78))</f>
        <v/>
      </c>
      <c r="L78" s="51" t="str">
        <f>IF('Classe Petite section'!$B78="","",N('Classe Petite section'!I78))</f>
        <v/>
      </c>
      <c r="M78" s="51" t="str">
        <f>IF('Classe Petite section'!$B78="","",N('Classe Petite section'!J78))</f>
        <v/>
      </c>
      <c r="N78" s="51" t="str">
        <f>IF('Classe Petite section'!$B78="","",N('Classe Petite section'!K78))</f>
        <v/>
      </c>
      <c r="O78" s="51" t="str">
        <f>IF('Classe Petite section'!$B78="","",N('Classe Petite section'!L78))</f>
        <v/>
      </c>
      <c r="P78" s="51" t="str">
        <f>IF('Classe Petite section'!$B78="","",N('Classe Petite section'!M78))</f>
        <v/>
      </c>
      <c r="Q78" s="21" t="str">
        <f>IF('Classe Petite section'!$B78="","",IF('Classe Petite section'!Q78="","",'Classe Petite section'!Q78))</f>
        <v/>
      </c>
      <c r="R78" s="51" t="str">
        <f>IF('Classe Petite section'!$B78="","",N('Classe Petite section'!N78))</f>
        <v/>
      </c>
      <c r="S78" s="51" t="str">
        <f>IF('Classe Petite section'!$B78="","",N('Classe Petite section'!O78))</f>
        <v/>
      </c>
      <c r="T78" s="51" t="str">
        <f>IF('Classe Petite section'!$B78="","",N('Classe Petite section'!P78))</f>
        <v/>
      </c>
    </row>
    <row r="79">
      <c r="A79" s="16" t="str">
        <f>IF('Classe Petite section'!$B79="","",IF('Classe Petite section'!A79="","",'Classe Petite section'!A79))</f>
        <v/>
      </c>
      <c r="B79" s="16" t="str">
        <f>IF('Classe Petite section'!$B79="","",IF('Classe Petite section'!B79="","",'Classe Petite section'!B79))</f>
        <v/>
      </c>
      <c r="C79" s="16" t="str">
        <f>IF('Classe Petite section'!$B79="","",IF('Classe Petite section'!C79="","",'Classe Petite section'!C79))</f>
        <v/>
      </c>
      <c r="D79" s="16" t="str">
        <f>IF($B79="","",C79&amp;" "&amp;B79&amp;" - "&amp;E79)</f>
        <v/>
      </c>
      <c r="E79" s="17" t="str">
        <f>IF($B79="","",Paramètres!$A$15)</f>
        <v/>
      </c>
      <c r="F79" s="17" t="str">
        <f>IF($B79="","",Paramètres!$B$15)</f>
        <v/>
      </c>
      <c r="G79" s="17" t="str">
        <f>IF('Classe Petite section'!$B79="","",IF('Classe Petite section'!D79="","",'Classe Petite section'!D79))</f>
        <v/>
      </c>
      <c r="H79" s="78" t="str">
        <f>IF('Classe Petite section'!$B79="","",IF('Classe Petite section'!E79="","",'Classe Petite section'!E79))</f>
        <v/>
      </c>
      <c r="I79" s="16" t="str">
        <f>IF('Classe Petite section'!$B79="","",IF('Classe Petite section'!F79="","",'Classe Petite section'!F79))</f>
        <v/>
      </c>
      <c r="J79" s="16" t="str">
        <f>IF('Classe Petite section'!$B79="","",IF('Classe Petite section'!G79="","",'Classe Petite section'!G79))</f>
        <v/>
      </c>
      <c r="K79" s="18" t="str">
        <f>IF('Classe Petite section'!$B79="","",N('Classe Petite section'!H79))</f>
        <v/>
      </c>
      <c r="L79" s="18" t="str">
        <f>IF('Classe Petite section'!$B79="","",N('Classe Petite section'!I79))</f>
        <v/>
      </c>
      <c r="M79" s="18" t="str">
        <f>IF('Classe Petite section'!$B79="","",N('Classe Petite section'!J79))</f>
        <v/>
      </c>
      <c r="N79" s="18" t="str">
        <f>IF('Classe Petite section'!$B79="","",N('Classe Petite section'!K79))</f>
        <v/>
      </c>
      <c r="O79" s="18" t="str">
        <f>IF('Classe Petite section'!$B79="","",N('Classe Petite section'!L79))</f>
        <v/>
      </c>
      <c r="P79" s="18" t="str">
        <f>IF('Classe Petite section'!$B79="","",N('Classe Petite section'!M79))</f>
        <v/>
      </c>
      <c r="Q79" s="17" t="str">
        <f>IF('Classe Petite section'!$B79="","",IF('Classe Petite section'!Q79="","",'Classe Petite section'!Q79))</f>
        <v/>
      </c>
      <c r="R79" s="18" t="str">
        <f>IF('Classe Petite section'!$B79="","",N('Classe Petite section'!N79))</f>
        <v/>
      </c>
      <c r="S79" s="18" t="str">
        <f>IF('Classe Petite section'!$B79="","",N('Classe Petite section'!O79))</f>
        <v/>
      </c>
      <c r="T79" s="18" t="str">
        <f>IF('Classe Petite section'!$B79="","",N('Classe Petite section'!P79))</f>
        <v/>
      </c>
    </row>
    <row r="80">
      <c r="A80" s="20" t="str">
        <f>IF('Classe Petite section'!$B80="","",IF('Classe Petite section'!A80="","",'Classe Petite section'!A80))</f>
        <v/>
      </c>
      <c r="B80" s="20" t="str">
        <f>IF('Classe Petite section'!$B80="","",IF('Classe Petite section'!B80="","",'Classe Petite section'!B80))</f>
        <v/>
      </c>
      <c r="C80" s="20" t="str">
        <f>IF('Classe Petite section'!$B80="","",IF('Classe Petite section'!C80="","",'Classe Petite section'!C80))</f>
        <v/>
      </c>
      <c r="D80" s="20" t="str">
        <f>IF($B80="","",C80&amp;" "&amp;B80&amp;" - "&amp;E80)</f>
        <v/>
      </c>
      <c r="E80" s="21" t="str">
        <f>IF($B80="","",Paramètres!$A$15)</f>
        <v/>
      </c>
      <c r="F80" s="21" t="str">
        <f>IF($B80="","",Paramètres!$B$15)</f>
        <v/>
      </c>
      <c r="G80" s="21" t="str">
        <f>IF('Classe Petite section'!$B80="","",IF('Classe Petite section'!D80="","",'Classe Petite section'!D80))</f>
        <v/>
      </c>
      <c r="H80" s="77" t="str">
        <f>IF('Classe Petite section'!$B80="","",IF('Classe Petite section'!E80="","",'Classe Petite section'!E80))</f>
        <v/>
      </c>
      <c r="I80" s="20" t="str">
        <f>IF('Classe Petite section'!$B80="","",IF('Classe Petite section'!F80="","",'Classe Petite section'!F80))</f>
        <v/>
      </c>
      <c r="J80" s="20" t="str">
        <f>IF('Classe Petite section'!$B80="","",IF('Classe Petite section'!G80="","",'Classe Petite section'!G80))</f>
        <v/>
      </c>
      <c r="K80" s="51" t="str">
        <f>IF('Classe Petite section'!$B80="","",N('Classe Petite section'!H80))</f>
        <v/>
      </c>
      <c r="L80" s="51" t="str">
        <f>IF('Classe Petite section'!$B80="","",N('Classe Petite section'!I80))</f>
        <v/>
      </c>
      <c r="M80" s="51" t="str">
        <f>IF('Classe Petite section'!$B80="","",N('Classe Petite section'!J80))</f>
        <v/>
      </c>
      <c r="N80" s="51" t="str">
        <f>IF('Classe Petite section'!$B80="","",N('Classe Petite section'!K80))</f>
        <v/>
      </c>
      <c r="O80" s="51" t="str">
        <f>IF('Classe Petite section'!$B80="","",N('Classe Petite section'!L80))</f>
        <v/>
      </c>
      <c r="P80" s="51" t="str">
        <f>IF('Classe Petite section'!$B80="","",N('Classe Petite section'!M80))</f>
        <v/>
      </c>
      <c r="Q80" s="21" t="str">
        <f>IF('Classe Petite section'!$B80="","",IF('Classe Petite section'!Q80="","",'Classe Petite section'!Q80))</f>
        <v/>
      </c>
      <c r="R80" s="51" t="str">
        <f>IF('Classe Petite section'!$B80="","",N('Classe Petite section'!N80))</f>
        <v/>
      </c>
      <c r="S80" s="51" t="str">
        <f>IF('Classe Petite section'!$B80="","",N('Classe Petite section'!O80))</f>
        <v/>
      </c>
      <c r="T80" s="51" t="str">
        <f>IF('Classe Petite section'!$B80="","",N('Classe Petite section'!P80))</f>
        <v/>
      </c>
    </row>
    <row r="81">
      <c r="A81" s="16" t="str">
        <f>IF('Classe Petite section'!$B81="","",IF('Classe Petite section'!A81="","",'Classe Petite section'!A81))</f>
        <v/>
      </c>
      <c r="B81" s="16" t="str">
        <f>IF('Classe Petite section'!$B81="","",IF('Classe Petite section'!B81="","",'Classe Petite section'!B81))</f>
        <v/>
      </c>
      <c r="C81" s="16" t="str">
        <f>IF('Classe Petite section'!$B81="","",IF('Classe Petite section'!C81="","",'Classe Petite section'!C81))</f>
        <v/>
      </c>
      <c r="D81" s="16" t="str">
        <f>IF($B81="","",C81&amp;" "&amp;B81&amp;" - "&amp;E81)</f>
        <v/>
      </c>
      <c r="E81" s="17" t="str">
        <f>IF($B81="","",Paramètres!$A$15)</f>
        <v/>
      </c>
      <c r="F81" s="17" t="str">
        <f>IF($B81="","",Paramètres!$B$15)</f>
        <v/>
      </c>
      <c r="G81" s="17" t="str">
        <f>IF('Classe Petite section'!$B81="","",IF('Classe Petite section'!D81="","",'Classe Petite section'!D81))</f>
        <v/>
      </c>
      <c r="H81" s="78" t="str">
        <f>IF('Classe Petite section'!$B81="","",IF('Classe Petite section'!E81="","",'Classe Petite section'!E81))</f>
        <v/>
      </c>
      <c r="I81" s="16" t="str">
        <f>IF('Classe Petite section'!$B81="","",IF('Classe Petite section'!F81="","",'Classe Petite section'!F81))</f>
        <v/>
      </c>
      <c r="J81" s="16" t="str">
        <f>IF('Classe Petite section'!$B81="","",IF('Classe Petite section'!G81="","",'Classe Petite section'!G81))</f>
        <v/>
      </c>
      <c r="K81" s="18" t="str">
        <f>IF('Classe Petite section'!$B81="","",N('Classe Petite section'!H81))</f>
        <v/>
      </c>
      <c r="L81" s="18" t="str">
        <f>IF('Classe Petite section'!$B81="","",N('Classe Petite section'!I81))</f>
        <v/>
      </c>
      <c r="M81" s="18" t="str">
        <f>IF('Classe Petite section'!$B81="","",N('Classe Petite section'!J81))</f>
        <v/>
      </c>
      <c r="N81" s="18" t="str">
        <f>IF('Classe Petite section'!$B81="","",N('Classe Petite section'!K81))</f>
        <v/>
      </c>
      <c r="O81" s="18" t="str">
        <f>IF('Classe Petite section'!$B81="","",N('Classe Petite section'!L81))</f>
        <v/>
      </c>
      <c r="P81" s="18" t="str">
        <f>IF('Classe Petite section'!$B81="","",N('Classe Petite section'!M81))</f>
        <v/>
      </c>
      <c r="Q81" s="17" t="str">
        <f>IF('Classe Petite section'!$B81="","",IF('Classe Petite section'!Q81="","",'Classe Petite section'!Q81))</f>
        <v/>
      </c>
      <c r="R81" s="18" t="str">
        <f>IF('Classe Petite section'!$B81="","",N('Classe Petite section'!N81))</f>
        <v/>
      </c>
      <c r="S81" s="18" t="str">
        <f>IF('Classe Petite section'!$B81="","",N('Classe Petite section'!O81))</f>
        <v/>
      </c>
      <c r="T81" s="18" t="str">
        <f>IF('Classe Petite section'!$B81="","",N('Classe Petite section'!P81))</f>
        <v/>
      </c>
    </row>
    <row r="82">
      <c r="A82" s="20" t="str">
        <f>IF('Classe Petite section'!$B82="","",IF('Classe Petite section'!A82="","",'Classe Petite section'!A82))</f>
        <v/>
      </c>
      <c r="B82" s="20" t="str">
        <f>IF('Classe Petite section'!$B82="","",IF('Classe Petite section'!B82="","",'Classe Petite section'!B82))</f>
        <v/>
      </c>
      <c r="C82" s="20" t="str">
        <f>IF('Classe Petite section'!$B82="","",IF('Classe Petite section'!C82="","",'Classe Petite section'!C82))</f>
        <v/>
      </c>
      <c r="D82" s="20" t="str">
        <f>IF($B82="","",C82&amp;" "&amp;B82&amp;" - "&amp;E82)</f>
        <v/>
      </c>
      <c r="E82" s="21" t="str">
        <f>IF($B82="","",Paramètres!$A$15)</f>
        <v/>
      </c>
      <c r="F82" s="21" t="str">
        <f>IF($B82="","",Paramètres!$B$15)</f>
        <v/>
      </c>
      <c r="G82" s="21" t="str">
        <f>IF('Classe Petite section'!$B82="","",IF('Classe Petite section'!D82="","",'Classe Petite section'!D82))</f>
        <v/>
      </c>
      <c r="H82" s="77" t="str">
        <f>IF('Classe Petite section'!$B82="","",IF('Classe Petite section'!E82="","",'Classe Petite section'!E82))</f>
        <v/>
      </c>
      <c r="I82" s="20" t="str">
        <f>IF('Classe Petite section'!$B82="","",IF('Classe Petite section'!F82="","",'Classe Petite section'!F82))</f>
        <v/>
      </c>
      <c r="J82" s="20" t="str">
        <f>IF('Classe Petite section'!$B82="","",IF('Classe Petite section'!G82="","",'Classe Petite section'!G82))</f>
        <v/>
      </c>
      <c r="K82" s="51" t="str">
        <f>IF('Classe Petite section'!$B82="","",N('Classe Petite section'!H82))</f>
        <v/>
      </c>
      <c r="L82" s="51" t="str">
        <f>IF('Classe Petite section'!$B82="","",N('Classe Petite section'!I82))</f>
        <v/>
      </c>
      <c r="M82" s="51" t="str">
        <f>IF('Classe Petite section'!$B82="","",N('Classe Petite section'!J82))</f>
        <v/>
      </c>
      <c r="N82" s="51" t="str">
        <f>IF('Classe Petite section'!$B82="","",N('Classe Petite section'!K82))</f>
        <v/>
      </c>
      <c r="O82" s="51" t="str">
        <f>IF('Classe Petite section'!$B82="","",N('Classe Petite section'!L82))</f>
        <v/>
      </c>
      <c r="P82" s="51" t="str">
        <f>IF('Classe Petite section'!$B82="","",N('Classe Petite section'!M82))</f>
        <v/>
      </c>
      <c r="Q82" s="21" t="str">
        <f>IF('Classe Petite section'!$B82="","",IF('Classe Petite section'!Q82="","",'Classe Petite section'!Q82))</f>
        <v/>
      </c>
      <c r="R82" s="51" t="str">
        <f>IF('Classe Petite section'!$B82="","",N('Classe Petite section'!N82))</f>
        <v/>
      </c>
      <c r="S82" s="51" t="str">
        <f>IF('Classe Petite section'!$B82="","",N('Classe Petite section'!O82))</f>
        <v/>
      </c>
      <c r="T82" s="51" t="str">
        <f>IF('Classe Petite section'!$B82="","",N('Classe Petite section'!P82))</f>
        <v/>
      </c>
    </row>
    <row r="83">
      <c r="A83" s="16" t="str">
        <f>IF('Classe Petite section'!$B83="","",IF('Classe Petite section'!A83="","",'Classe Petite section'!A83))</f>
        <v/>
      </c>
      <c r="B83" s="16" t="str">
        <f>IF('Classe Petite section'!$B83="","",IF('Classe Petite section'!B83="","",'Classe Petite section'!B83))</f>
        <v/>
      </c>
      <c r="C83" s="16" t="str">
        <f>IF('Classe Petite section'!$B83="","",IF('Classe Petite section'!C83="","",'Classe Petite section'!C83))</f>
        <v/>
      </c>
      <c r="D83" s="16" t="str">
        <f>IF($B83="","",C83&amp;" "&amp;B83&amp;" - "&amp;E83)</f>
        <v/>
      </c>
      <c r="E83" s="17" t="str">
        <f>IF($B83="","",Paramètres!$A$15)</f>
        <v/>
      </c>
      <c r="F83" s="17" t="str">
        <f>IF($B83="","",Paramètres!$B$15)</f>
        <v/>
      </c>
      <c r="G83" s="17" t="str">
        <f>IF('Classe Petite section'!$B83="","",IF('Classe Petite section'!D83="","",'Classe Petite section'!D83))</f>
        <v/>
      </c>
      <c r="H83" s="78" t="str">
        <f>IF('Classe Petite section'!$B83="","",IF('Classe Petite section'!E83="","",'Classe Petite section'!E83))</f>
        <v/>
      </c>
      <c r="I83" s="16" t="str">
        <f>IF('Classe Petite section'!$B83="","",IF('Classe Petite section'!F83="","",'Classe Petite section'!F83))</f>
        <v/>
      </c>
      <c r="J83" s="16" t="str">
        <f>IF('Classe Petite section'!$B83="","",IF('Classe Petite section'!G83="","",'Classe Petite section'!G83))</f>
        <v/>
      </c>
      <c r="K83" s="18" t="str">
        <f>IF('Classe Petite section'!$B83="","",N('Classe Petite section'!H83))</f>
        <v/>
      </c>
      <c r="L83" s="18" t="str">
        <f>IF('Classe Petite section'!$B83="","",N('Classe Petite section'!I83))</f>
        <v/>
      </c>
      <c r="M83" s="18" t="str">
        <f>IF('Classe Petite section'!$B83="","",N('Classe Petite section'!J83))</f>
        <v/>
      </c>
      <c r="N83" s="18" t="str">
        <f>IF('Classe Petite section'!$B83="","",N('Classe Petite section'!K83))</f>
        <v/>
      </c>
      <c r="O83" s="18" t="str">
        <f>IF('Classe Petite section'!$B83="","",N('Classe Petite section'!L83))</f>
        <v/>
      </c>
      <c r="P83" s="18" t="str">
        <f>IF('Classe Petite section'!$B83="","",N('Classe Petite section'!M83))</f>
        <v/>
      </c>
      <c r="Q83" s="17" t="str">
        <f>IF('Classe Petite section'!$B83="","",IF('Classe Petite section'!Q83="","",'Classe Petite section'!Q83))</f>
        <v/>
      </c>
      <c r="R83" s="18" t="str">
        <f>IF('Classe Petite section'!$B83="","",N('Classe Petite section'!N83))</f>
        <v/>
      </c>
      <c r="S83" s="18" t="str">
        <f>IF('Classe Petite section'!$B83="","",N('Classe Petite section'!O83))</f>
        <v/>
      </c>
      <c r="T83" s="18" t="str">
        <f>IF('Classe Petite section'!$B83="","",N('Classe Petite section'!P83))</f>
        <v/>
      </c>
    </row>
    <row r="84">
      <c r="A84" s="20" t="str">
        <f>IF('Classe Grande section'!$B4="","",IF('Classe Grande section'!A4="","",'Classe Grande section'!A4))</f>
        <v/>
      </c>
      <c r="B84" s="20" t="str">
        <f>IF('Classe Grande section'!$B4="","",IF('Classe Grande section'!B4="","",'Classe Grande section'!B4))</f>
        <v/>
      </c>
      <c r="C84" s="20" t="str">
        <f>IF('Classe Grande section'!$B4="","",IF('Classe Grande section'!C4="","",'Classe Grande section'!C4))</f>
        <v/>
      </c>
      <c r="D84" s="20" t="str">
        <f>IF($B84="","",C84&amp;" "&amp;B84&amp;" - "&amp;E84)</f>
        <v/>
      </c>
      <c r="E84" s="21" t="str">
        <f>IF($B84="","",Paramètres!$A$16)</f>
        <v/>
      </c>
      <c r="F84" s="21" t="str">
        <f>IF($B84="","",Paramètres!$B$16)</f>
        <v/>
      </c>
      <c r="G84" s="21" t="str">
        <f>IF('Classe Grande section'!$B4="","",IF('Classe Grande section'!D4="","",'Classe Grande section'!D4))</f>
        <v/>
      </c>
      <c r="H84" s="77" t="str">
        <f>IF('Classe Grande section'!$B4="","",IF('Classe Grande section'!E4="","",'Classe Grande section'!E4))</f>
        <v/>
      </c>
      <c r="I84" s="20" t="str">
        <f>IF('Classe Grande section'!$B4="","",IF('Classe Grande section'!F4="","",'Classe Grande section'!F4))</f>
        <v/>
      </c>
      <c r="J84" s="20" t="str">
        <f>IF('Classe Grande section'!$B4="","",IF('Classe Grande section'!G4="","",'Classe Grande section'!G4))</f>
        <v/>
      </c>
      <c r="K84" s="51" t="str">
        <f>IF('Classe Grande section'!$B4="","",N('Classe Grande section'!H4))</f>
        <v/>
      </c>
      <c r="L84" s="51" t="str">
        <f>IF('Classe Grande section'!$B4="","",N('Classe Grande section'!I4))</f>
        <v/>
      </c>
      <c r="M84" s="51" t="str">
        <f>IF('Classe Grande section'!$B4="","",N('Classe Grande section'!J4))</f>
        <v/>
      </c>
      <c r="N84" s="51" t="str">
        <f>IF('Classe Grande section'!$B4="","",N('Classe Grande section'!K4))</f>
        <v/>
      </c>
      <c r="O84" s="51" t="str">
        <f>IF('Classe Grande section'!$B4="","",N('Classe Grande section'!L4))</f>
        <v/>
      </c>
      <c r="P84" s="51" t="str">
        <f>IF('Classe Grande section'!$B4="","",N('Classe Grande section'!M4))</f>
        <v/>
      </c>
      <c r="Q84" s="21" t="str">
        <f>IF('Classe Grande section'!$B4="","",IF('Classe Grande section'!Q4="","",'Classe Grande section'!Q4))</f>
        <v/>
      </c>
      <c r="R84" s="51" t="str">
        <f>IF('Classe Grande section'!$B4="","",N('Classe Grande section'!N4))</f>
        <v/>
      </c>
      <c r="S84" s="51" t="str">
        <f>IF('Classe Grande section'!$B4="","",N('Classe Grande section'!O4))</f>
        <v/>
      </c>
      <c r="T84" s="51" t="str">
        <f>IF('Classe Grande section'!$B4="","",N('Classe Grande section'!P4))</f>
        <v/>
      </c>
    </row>
    <row r="85">
      <c r="A85" s="16" t="str">
        <f>IF('Classe Grande section'!$B5="","",IF('Classe Grande section'!A5="","",'Classe Grande section'!A5))</f>
        <v/>
      </c>
      <c r="B85" s="16" t="str">
        <f>IF('Classe Grande section'!$B5="","",IF('Classe Grande section'!B5="","",'Classe Grande section'!B5))</f>
        <v/>
      </c>
      <c r="C85" s="16" t="str">
        <f>IF('Classe Grande section'!$B5="","",IF('Classe Grande section'!C5="","",'Classe Grande section'!C5))</f>
        <v/>
      </c>
      <c r="D85" s="16" t="str">
        <f>IF($B85="","",C85&amp;" "&amp;B85&amp;" - "&amp;E85)</f>
        <v/>
      </c>
      <c r="E85" s="17" t="str">
        <f>IF($B85="","",Paramètres!$A$16)</f>
        <v/>
      </c>
      <c r="F85" s="17" t="str">
        <f>IF($B85="","",Paramètres!$B$16)</f>
        <v/>
      </c>
      <c r="G85" s="17" t="str">
        <f>IF('Classe Grande section'!$B5="","",IF('Classe Grande section'!D5="","",'Classe Grande section'!D5))</f>
        <v/>
      </c>
      <c r="H85" s="78" t="str">
        <f>IF('Classe Grande section'!$B5="","",IF('Classe Grande section'!E5="","",'Classe Grande section'!E5))</f>
        <v/>
      </c>
      <c r="I85" s="16" t="str">
        <f>IF('Classe Grande section'!$B5="","",IF('Classe Grande section'!F5="","",'Classe Grande section'!F5))</f>
        <v/>
      </c>
      <c r="J85" s="16" t="str">
        <f>IF('Classe Grande section'!$B5="","",IF('Classe Grande section'!G5="","",'Classe Grande section'!G5))</f>
        <v/>
      </c>
      <c r="K85" s="18" t="str">
        <f>IF('Classe Grande section'!$B5="","",N('Classe Grande section'!H5))</f>
        <v/>
      </c>
      <c r="L85" s="18" t="str">
        <f>IF('Classe Grande section'!$B5="","",N('Classe Grande section'!I5))</f>
        <v/>
      </c>
      <c r="M85" s="18" t="str">
        <f>IF('Classe Grande section'!$B5="","",N('Classe Grande section'!J5))</f>
        <v/>
      </c>
      <c r="N85" s="18" t="str">
        <f>IF('Classe Grande section'!$B5="","",N('Classe Grande section'!K5))</f>
        <v/>
      </c>
      <c r="O85" s="18" t="str">
        <f>IF('Classe Grande section'!$B5="","",N('Classe Grande section'!L5))</f>
        <v/>
      </c>
      <c r="P85" s="18" t="str">
        <f>IF('Classe Grande section'!$B5="","",N('Classe Grande section'!M5))</f>
        <v/>
      </c>
      <c r="Q85" s="17" t="str">
        <f>IF('Classe Grande section'!$B5="","",IF('Classe Grande section'!Q5="","",'Classe Grande section'!Q5))</f>
        <v/>
      </c>
      <c r="R85" s="18" t="str">
        <f>IF('Classe Grande section'!$B5="","",N('Classe Grande section'!N5))</f>
        <v/>
      </c>
      <c r="S85" s="18" t="str">
        <f>IF('Classe Grande section'!$B5="","",N('Classe Grande section'!O5))</f>
        <v/>
      </c>
      <c r="T85" s="18" t="str">
        <f>IF('Classe Grande section'!$B5="","",N('Classe Grande section'!P5))</f>
        <v/>
      </c>
    </row>
    <row r="86">
      <c r="A86" s="20" t="str">
        <f>IF('Classe Grande section'!$B6="","",IF('Classe Grande section'!A6="","",'Classe Grande section'!A6))</f>
        <v/>
      </c>
      <c r="B86" s="20" t="str">
        <f>IF('Classe Grande section'!$B6="","",IF('Classe Grande section'!B6="","",'Classe Grande section'!B6))</f>
        <v/>
      </c>
      <c r="C86" s="20" t="str">
        <f>IF('Classe Grande section'!$B6="","",IF('Classe Grande section'!C6="","",'Classe Grande section'!C6))</f>
        <v/>
      </c>
      <c r="D86" s="20" t="str">
        <f>IF($B86="","",C86&amp;" "&amp;B86&amp;" - "&amp;E86)</f>
        <v/>
      </c>
      <c r="E86" s="21" t="str">
        <f>IF($B86="","",Paramètres!$A$16)</f>
        <v/>
      </c>
      <c r="F86" s="21" t="str">
        <f>IF($B86="","",Paramètres!$B$16)</f>
        <v/>
      </c>
      <c r="G86" s="21" t="str">
        <f>IF('Classe Grande section'!$B6="","",IF('Classe Grande section'!D6="","",'Classe Grande section'!D6))</f>
        <v/>
      </c>
      <c r="H86" s="77" t="str">
        <f>IF('Classe Grande section'!$B6="","",IF('Classe Grande section'!E6="","",'Classe Grande section'!E6))</f>
        <v/>
      </c>
      <c r="I86" s="20" t="str">
        <f>IF('Classe Grande section'!$B6="","",IF('Classe Grande section'!F6="","",'Classe Grande section'!F6))</f>
        <v/>
      </c>
      <c r="J86" s="20" t="str">
        <f>IF('Classe Grande section'!$B6="","",IF('Classe Grande section'!G6="","",'Classe Grande section'!G6))</f>
        <v/>
      </c>
      <c r="K86" s="51" t="str">
        <f>IF('Classe Grande section'!$B6="","",N('Classe Grande section'!H6))</f>
        <v/>
      </c>
      <c r="L86" s="51" t="str">
        <f>IF('Classe Grande section'!$B6="","",N('Classe Grande section'!I6))</f>
        <v/>
      </c>
      <c r="M86" s="51" t="str">
        <f>IF('Classe Grande section'!$B6="","",N('Classe Grande section'!J6))</f>
        <v/>
      </c>
      <c r="N86" s="51" t="str">
        <f>IF('Classe Grande section'!$B6="","",N('Classe Grande section'!K6))</f>
        <v/>
      </c>
      <c r="O86" s="51" t="str">
        <f>IF('Classe Grande section'!$B6="","",N('Classe Grande section'!L6))</f>
        <v/>
      </c>
      <c r="P86" s="51" t="str">
        <f>IF('Classe Grande section'!$B6="","",N('Classe Grande section'!M6))</f>
        <v/>
      </c>
      <c r="Q86" s="21" t="str">
        <f>IF('Classe Grande section'!$B6="","",IF('Classe Grande section'!Q6="","",'Classe Grande section'!Q6))</f>
        <v/>
      </c>
      <c r="R86" s="51" t="str">
        <f>IF('Classe Grande section'!$B6="","",N('Classe Grande section'!N6))</f>
        <v/>
      </c>
      <c r="S86" s="51" t="str">
        <f>IF('Classe Grande section'!$B6="","",N('Classe Grande section'!O6))</f>
        <v/>
      </c>
      <c r="T86" s="51" t="str">
        <f>IF('Classe Grande section'!$B6="","",N('Classe Grande section'!P6))</f>
        <v/>
      </c>
    </row>
    <row r="87">
      <c r="A87" s="16" t="str">
        <f>IF('Classe Grande section'!$B7="","",IF('Classe Grande section'!A7="","",'Classe Grande section'!A7))</f>
        <v/>
      </c>
      <c r="B87" s="16" t="str">
        <f>IF('Classe Grande section'!$B7="","",IF('Classe Grande section'!B7="","",'Classe Grande section'!B7))</f>
        <v/>
      </c>
      <c r="C87" s="16" t="str">
        <f>IF('Classe Grande section'!$B7="","",IF('Classe Grande section'!C7="","",'Classe Grande section'!C7))</f>
        <v/>
      </c>
      <c r="D87" s="16" t="str">
        <f>IF($B87="","",C87&amp;" "&amp;B87&amp;" - "&amp;E87)</f>
        <v/>
      </c>
      <c r="E87" s="17" t="str">
        <f>IF($B87="","",Paramètres!$A$16)</f>
        <v/>
      </c>
      <c r="F87" s="17" t="str">
        <f>IF($B87="","",Paramètres!$B$16)</f>
        <v/>
      </c>
      <c r="G87" s="17" t="str">
        <f>IF('Classe Grande section'!$B7="","",IF('Classe Grande section'!D7="","",'Classe Grande section'!D7))</f>
        <v/>
      </c>
      <c r="H87" s="78" t="str">
        <f>IF('Classe Grande section'!$B7="","",IF('Classe Grande section'!E7="","",'Classe Grande section'!E7))</f>
        <v/>
      </c>
      <c r="I87" s="16" t="str">
        <f>IF('Classe Grande section'!$B7="","",IF('Classe Grande section'!F7="","",'Classe Grande section'!F7))</f>
        <v/>
      </c>
      <c r="J87" s="16" t="str">
        <f>IF('Classe Grande section'!$B7="","",IF('Classe Grande section'!G7="","",'Classe Grande section'!G7))</f>
        <v/>
      </c>
      <c r="K87" s="18" t="str">
        <f>IF('Classe Grande section'!$B7="","",N('Classe Grande section'!H7))</f>
        <v/>
      </c>
      <c r="L87" s="18" t="str">
        <f>IF('Classe Grande section'!$B7="","",N('Classe Grande section'!I7))</f>
        <v/>
      </c>
      <c r="M87" s="18" t="str">
        <f>IF('Classe Grande section'!$B7="","",N('Classe Grande section'!J7))</f>
        <v/>
      </c>
      <c r="N87" s="18" t="str">
        <f>IF('Classe Grande section'!$B7="","",N('Classe Grande section'!K7))</f>
        <v/>
      </c>
      <c r="O87" s="18" t="str">
        <f>IF('Classe Grande section'!$B7="","",N('Classe Grande section'!L7))</f>
        <v/>
      </c>
      <c r="P87" s="18" t="str">
        <f>IF('Classe Grande section'!$B7="","",N('Classe Grande section'!M7))</f>
        <v/>
      </c>
      <c r="Q87" s="17" t="str">
        <f>IF('Classe Grande section'!$B7="","",IF('Classe Grande section'!Q7="","",'Classe Grande section'!Q7))</f>
        <v/>
      </c>
      <c r="R87" s="18" t="str">
        <f>IF('Classe Grande section'!$B7="","",N('Classe Grande section'!N7))</f>
        <v/>
      </c>
      <c r="S87" s="18" t="str">
        <f>IF('Classe Grande section'!$B7="","",N('Classe Grande section'!O7))</f>
        <v/>
      </c>
      <c r="T87" s="18" t="str">
        <f>IF('Classe Grande section'!$B7="","",N('Classe Grande section'!P7))</f>
        <v/>
      </c>
    </row>
    <row r="88">
      <c r="A88" s="20" t="str">
        <f>IF('Classe Grande section'!$B8="","",IF('Classe Grande section'!A8="","",'Classe Grande section'!A8))</f>
        <v/>
      </c>
      <c r="B88" s="20" t="str">
        <f>IF('Classe Grande section'!$B8="","",IF('Classe Grande section'!B8="","",'Classe Grande section'!B8))</f>
        <v/>
      </c>
      <c r="C88" s="20" t="str">
        <f>IF('Classe Grande section'!$B8="","",IF('Classe Grande section'!C8="","",'Classe Grande section'!C8))</f>
        <v/>
      </c>
      <c r="D88" s="20" t="str">
        <f>IF($B88="","",C88&amp;" "&amp;B88&amp;" - "&amp;E88)</f>
        <v/>
      </c>
      <c r="E88" s="21" t="str">
        <f>IF($B88="","",Paramètres!$A$16)</f>
        <v/>
      </c>
      <c r="F88" s="21" t="str">
        <f>IF($B88="","",Paramètres!$B$16)</f>
        <v/>
      </c>
      <c r="G88" s="21" t="str">
        <f>IF('Classe Grande section'!$B8="","",IF('Classe Grande section'!D8="","",'Classe Grande section'!D8))</f>
        <v/>
      </c>
      <c r="H88" s="77" t="str">
        <f>IF('Classe Grande section'!$B8="","",IF('Classe Grande section'!E8="","",'Classe Grande section'!E8))</f>
        <v/>
      </c>
      <c r="I88" s="20" t="str">
        <f>IF('Classe Grande section'!$B8="","",IF('Classe Grande section'!F8="","",'Classe Grande section'!F8))</f>
        <v/>
      </c>
      <c r="J88" s="20" t="str">
        <f>IF('Classe Grande section'!$B8="","",IF('Classe Grande section'!G8="","",'Classe Grande section'!G8))</f>
        <v/>
      </c>
      <c r="K88" s="51" t="str">
        <f>IF('Classe Grande section'!$B8="","",N('Classe Grande section'!H8))</f>
        <v/>
      </c>
      <c r="L88" s="51" t="str">
        <f>IF('Classe Grande section'!$B8="","",N('Classe Grande section'!I8))</f>
        <v/>
      </c>
      <c r="M88" s="51" t="str">
        <f>IF('Classe Grande section'!$B8="","",N('Classe Grande section'!J8))</f>
        <v/>
      </c>
      <c r="N88" s="51" t="str">
        <f>IF('Classe Grande section'!$B8="","",N('Classe Grande section'!K8))</f>
        <v/>
      </c>
      <c r="O88" s="51" t="str">
        <f>IF('Classe Grande section'!$B8="","",N('Classe Grande section'!L8))</f>
        <v/>
      </c>
      <c r="P88" s="51" t="str">
        <f>IF('Classe Grande section'!$B8="","",N('Classe Grande section'!M8))</f>
        <v/>
      </c>
      <c r="Q88" s="21" t="str">
        <f>IF('Classe Grande section'!$B8="","",IF('Classe Grande section'!Q8="","",'Classe Grande section'!Q8))</f>
        <v/>
      </c>
      <c r="R88" s="51" t="str">
        <f>IF('Classe Grande section'!$B8="","",N('Classe Grande section'!N8))</f>
        <v/>
      </c>
      <c r="S88" s="51" t="str">
        <f>IF('Classe Grande section'!$B8="","",N('Classe Grande section'!O8))</f>
        <v/>
      </c>
      <c r="T88" s="51" t="str">
        <f>IF('Classe Grande section'!$B8="","",N('Classe Grande section'!P8))</f>
        <v/>
      </c>
    </row>
    <row r="89">
      <c r="A89" s="16" t="str">
        <f>IF('Classe Grande section'!$B9="","",IF('Classe Grande section'!A9="","",'Classe Grande section'!A9))</f>
        <v/>
      </c>
      <c r="B89" s="16" t="str">
        <f>IF('Classe Grande section'!$B9="","",IF('Classe Grande section'!B9="","",'Classe Grande section'!B9))</f>
        <v/>
      </c>
      <c r="C89" s="16" t="str">
        <f>IF('Classe Grande section'!$B9="","",IF('Classe Grande section'!C9="","",'Classe Grande section'!C9))</f>
        <v/>
      </c>
      <c r="D89" s="16" t="str">
        <f>IF($B89="","",C89&amp;" "&amp;B89&amp;" - "&amp;E89)</f>
        <v/>
      </c>
      <c r="E89" s="17" t="str">
        <f>IF($B89="","",Paramètres!$A$16)</f>
        <v/>
      </c>
      <c r="F89" s="17" t="str">
        <f>IF($B89="","",Paramètres!$B$16)</f>
        <v/>
      </c>
      <c r="G89" s="17" t="str">
        <f>IF('Classe Grande section'!$B9="","",IF('Classe Grande section'!D9="","",'Classe Grande section'!D9))</f>
        <v/>
      </c>
      <c r="H89" s="78" t="str">
        <f>IF('Classe Grande section'!$B9="","",IF('Classe Grande section'!E9="","",'Classe Grande section'!E9))</f>
        <v/>
      </c>
      <c r="I89" s="16" t="str">
        <f>IF('Classe Grande section'!$B9="","",IF('Classe Grande section'!F9="","",'Classe Grande section'!F9))</f>
        <v/>
      </c>
      <c r="J89" s="16" t="str">
        <f>IF('Classe Grande section'!$B9="","",IF('Classe Grande section'!G9="","",'Classe Grande section'!G9))</f>
        <v/>
      </c>
      <c r="K89" s="18" t="str">
        <f>IF('Classe Grande section'!$B9="","",N('Classe Grande section'!H9))</f>
        <v/>
      </c>
      <c r="L89" s="18" t="str">
        <f>IF('Classe Grande section'!$B9="","",N('Classe Grande section'!I9))</f>
        <v/>
      </c>
      <c r="M89" s="18" t="str">
        <f>IF('Classe Grande section'!$B9="","",N('Classe Grande section'!J9))</f>
        <v/>
      </c>
      <c r="N89" s="18" t="str">
        <f>IF('Classe Grande section'!$B9="","",N('Classe Grande section'!K9))</f>
        <v/>
      </c>
      <c r="O89" s="18" t="str">
        <f>IF('Classe Grande section'!$B9="","",N('Classe Grande section'!L9))</f>
        <v/>
      </c>
      <c r="P89" s="18" t="str">
        <f>IF('Classe Grande section'!$B9="","",N('Classe Grande section'!M9))</f>
        <v/>
      </c>
      <c r="Q89" s="17" t="str">
        <f>IF('Classe Grande section'!$B9="","",IF('Classe Grande section'!Q9="","",'Classe Grande section'!Q9))</f>
        <v/>
      </c>
      <c r="R89" s="18" t="str">
        <f>IF('Classe Grande section'!$B9="","",N('Classe Grande section'!N9))</f>
        <v/>
      </c>
      <c r="S89" s="18" t="str">
        <f>IF('Classe Grande section'!$B9="","",N('Classe Grande section'!O9))</f>
        <v/>
      </c>
      <c r="T89" s="18" t="str">
        <f>IF('Classe Grande section'!$B9="","",N('Classe Grande section'!P9))</f>
        <v/>
      </c>
    </row>
    <row r="90">
      <c r="A90" s="20" t="str">
        <f>IF('Classe Grande section'!$B10="","",IF('Classe Grande section'!A10="","",'Classe Grande section'!A10))</f>
        <v/>
      </c>
      <c r="B90" s="20" t="str">
        <f>IF('Classe Grande section'!$B10="","",IF('Classe Grande section'!B10="","",'Classe Grande section'!B10))</f>
        <v/>
      </c>
      <c r="C90" s="20" t="str">
        <f>IF('Classe Grande section'!$B10="","",IF('Classe Grande section'!C10="","",'Classe Grande section'!C10))</f>
        <v/>
      </c>
      <c r="D90" s="20" t="str">
        <f>IF($B90="","",C90&amp;" "&amp;B90&amp;" - "&amp;E90)</f>
        <v/>
      </c>
      <c r="E90" s="21" t="str">
        <f>IF($B90="","",Paramètres!$A$16)</f>
        <v/>
      </c>
      <c r="F90" s="21" t="str">
        <f>IF($B90="","",Paramètres!$B$16)</f>
        <v/>
      </c>
      <c r="G90" s="21" t="str">
        <f>IF('Classe Grande section'!$B10="","",IF('Classe Grande section'!D10="","",'Classe Grande section'!D10))</f>
        <v/>
      </c>
      <c r="H90" s="77" t="str">
        <f>IF('Classe Grande section'!$B10="","",IF('Classe Grande section'!E10="","",'Classe Grande section'!E10))</f>
        <v/>
      </c>
      <c r="I90" s="20" t="str">
        <f>IF('Classe Grande section'!$B10="","",IF('Classe Grande section'!F10="","",'Classe Grande section'!F10))</f>
        <v/>
      </c>
      <c r="J90" s="20" t="str">
        <f>IF('Classe Grande section'!$B10="","",IF('Classe Grande section'!G10="","",'Classe Grande section'!G10))</f>
        <v/>
      </c>
      <c r="K90" s="51" t="str">
        <f>IF('Classe Grande section'!$B10="","",N('Classe Grande section'!H10))</f>
        <v/>
      </c>
      <c r="L90" s="51" t="str">
        <f>IF('Classe Grande section'!$B10="","",N('Classe Grande section'!I10))</f>
        <v/>
      </c>
      <c r="M90" s="51" t="str">
        <f>IF('Classe Grande section'!$B10="","",N('Classe Grande section'!J10))</f>
        <v/>
      </c>
      <c r="N90" s="51" t="str">
        <f>IF('Classe Grande section'!$B10="","",N('Classe Grande section'!K10))</f>
        <v/>
      </c>
      <c r="O90" s="51" t="str">
        <f>IF('Classe Grande section'!$B10="","",N('Classe Grande section'!L10))</f>
        <v/>
      </c>
      <c r="P90" s="51" t="str">
        <f>IF('Classe Grande section'!$B10="","",N('Classe Grande section'!M10))</f>
        <v/>
      </c>
      <c r="Q90" s="21" t="str">
        <f>IF('Classe Grande section'!$B10="","",IF('Classe Grande section'!Q10="","",'Classe Grande section'!Q10))</f>
        <v/>
      </c>
      <c r="R90" s="51" t="str">
        <f>IF('Classe Grande section'!$B10="","",N('Classe Grande section'!N10))</f>
        <v/>
      </c>
      <c r="S90" s="51" t="str">
        <f>IF('Classe Grande section'!$B10="","",N('Classe Grande section'!O10))</f>
        <v/>
      </c>
      <c r="T90" s="51" t="str">
        <f>IF('Classe Grande section'!$B10="","",N('Classe Grande section'!P10))</f>
        <v/>
      </c>
    </row>
    <row r="91">
      <c r="A91" s="16" t="str">
        <f>IF('Classe Grande section'!$B11="","",IF('Classe Grande section'!A11="","",'Classe Grande section'!A11))</f>
        <v/>
      </c>
      <c r="B91" s="16" t="str">
        <f>IF('Classe Grande section'!$B11="","",IF('Classe Grande section'!B11="","",'Classe Grande section'!B11))</f>
        <v/>
      </c>
      <c r="C91" s="16" t="str">
        <f>IF('Classe Grande section'!$B11="","",IF('Classe Grande section'!C11="","",'Classe Grande section'!C11))</f>
        <v/>
      </c>
      <c r="D91" s="16" t="str">
        <f>IF($B91="","",C91&amp;" "&amp;B91&amp;" - "&amp;E91)</f>
        <v/>
      </c>
      <c r="E91" s="17" t="str">
        <f>IF($B91="","",Paramètres!$A$16)</f>
        <v/>
      </c>
      <c r="F91" s="17" t="str">
        <f>IF($B91="","",Paramètres!$B$16)</f>
        <v/>
      </c>
      <c r="G91" s="17" t="str">
        <f>IF('Classe Grande section'!$B11="","",IF('Classe Grande section'!D11="","",'Classe Grande section'!D11))</f>
        <v/>
      </c>
      <c r="H91" s="78" t="str">
        <f>IF('Classe Grande section'!$B11="","",IF('Classe Grande section'!E11="","",'Classe Grande section'!E11))</f>
        <v/>
      </c>
      <c r="I91" s="16" t="str">
        <f>IF('Classe Grande section'!$B11="","",IF('Classe Grande section'!F11="","",'Classe Grande section'!F11))</f>
        <v/>
      </c>
      <c r="J91" s="16" t="str">
        <f>IF('Classe Grande section'!$B11="","",IF('Classe Grande section'!G11="","",'Classe Grande section'!G11))</f>
        <v/>
      </c>
      <c r="K91" s="18" t="str">
        <f>IF('Classe Grande section'!$B11="","",N('Classe Grande section'!H11))</f>
        <v/>
      </c>
      <c r="L91" s="18" t="str">
        <f>IF('Classe Grande section'!$B11="","",N('Classe Grande section'!I11))</f>
        <v/>
      </c>
      <c r="M91" s="18" t="str">
        <f>IF('Classe Grande section'!$B11="","",N('Classe Grande section'!J11))</f>
        <v/>
      </c>
      <c r="N91" s="18" t="str">
        <f>IF('Classe Grande section'!$B11="","",N('Classe Grande section'!K11))</f>
        <v/>
      </c>
      <c r="O91" s="18" t="str">
        <f>IF('Classe Grande section'!$B11="","",N('Classe Grande section'!L11))</f>
        <v/>
      </c>
      <c r="P91" s="18" t="str">
        <f>IF('Classe Grande section'!$B11="","",N('Classe Grande section'!M11))</f>
        <v/>
      </c>
      <c r="Q91" s="17" t="str">
        <f>IF('Classe Grande section'!$B11="","",IF('Classe Grande section'!Q11="","",'Classe Grande section'!Q11))</f>
        <v/>
      </c>
      <c r="R91" s="18" t="str">
        <f>IF('Classe Grande section'!$B11="","",N('Classe Grande section'!N11))</f>
        <v/>
      </c>
      <c r="S91" s="18" t="str">
        <f>IF('Classe Grande section'!$B11="","",N('Classe Grande section'!O11))</f>
        <v/>
      </c>
      <c r="T91" s="18" t="str">
        <f>IF('Classe Grande section'!$B11="","",N('Classe Grande section'!P11))</f>
        <v/>
      </c>
    </row>
    <row r="92">
      <c r="A92" s="20" t="str">
        <f>IF('Classe Grande section'!$B12="","",IF('Classe Grande section'!A12="","",'Classe Grande section'!A12))</f>
        <v/>
      </c>
      <c r="B92" s="20" t="str">
        <f>IF('Classe Grande section'!$B12="","",IF('Classe Grande section'!B12="","",'Classe Grande section'!B12))</f>
        <v/>
      </c>
      <c r="C92" s="20" t="str">
        <f>IF('Classe Grande section'!$B12="","",IF('Classe Grande section'!C12="","",'Classe Grande section'!C12))</f>
        <v/>
      </c>
      <c r="D92" s="20" t="str">
        <f>IF($B92="","",C92&amp;" "&amp;B92&amp;" - "&amp;E92)</f>
        <v/>
      </c>
      <c r="E92" s="21" t="str">
        <f>IF($B92="","",Paramètres!$A$16)</f>
        <v/>
      </c>
      <c r="F92" s="21" t="str">
        <f>IF($B92="","",Paramètres!$B$16)</f>
        <v/>
      </c>
      <c r="G92" s="21" t="str">
        <f>IF('Classe Grande section'!$B12="","",IF('Classe Grande section'!D12="","",'Classe Grande section'!D12))</f>
        <v/>
      </c>
      <c r="H92" s="77" t="str">
        <f>IF('Classe Grande section'!$B12="","",IF('Classe Grande section'!E12="","",'Classe Grande section'!E12))</f>
        <v/>
      </c>
      <c r="I92" s="20" t="str">
        <f>IF('Classe Grande section'!$B12="","",IF('Classe Grande section'!F12="","",'Classe Grande section'!F12))</f>
        <v/>
      </c>
      <c r="J92" s="20" t="str">
        <f>IF('Classe Grande section'!$B12="","",IF('Classe Grande section'!G12="","",'Classe Grande section'!G12))</f>
        <v/>
      </c>
      <c r="K92" s="51" t="str">
        <f>IF('Classe Grande section'!$B12="","",N('Classe Grande section'!H12))</f>
        <v/>
      </c>
      <c r="L92" s="51" t="str">
        <f>IF('Classe Grande section'!$B12="","",N('Classe Grande section'!I12))</f>
        <v/>
      </c>
      <c r="M92" s="51" t="str">
        <f>IF('Classe Grande section'!$B12="","",N('Classe Grande section'!J12))</f>
        <v/>
      </c>
      <c r="N92" s="51" t="str">
        <f>IF('Classe Grande section'!$B12="","",N('Classe Grande section'!K12))</f>
        <v/>
      </c>
      <c r="O92" s="51" t="str">
        <f>IF('Classe Grande section'!$B12="","",N('Classe Grande section'!L12))</f>
        <v/>
      </c>
      <c r="P92" s="51" t="str">
        <f>IF('Classe Grande section'!$B12="","",N('Classe Grande section'!M12))</f>
        <v/>
      </c>
      <c r="Q92" s="21" t="str">
        <f>IF('Classe Grande section'!$B12="","",IF('Classe Grande section'!Q12="","",'Classe Grande section'!Q12))</f>
        <v/>
      </c>
      <c r="R92" s="51" t="str">
        <f>IF('Classe Grande section'!$B12="","",N('Classe Grande section'!N12))</f>
        <v/>
      </c>
      <c r="S92" s="51" t="str">
        <f>IF('Classe Grande section'!$B12="","",N('Classe Grande section'!O12))</f>
        <v/>
      </c>
      <c r="T92" s="51" t="str">
        <f>IF('Classe Grande section'!$B12="","",N('Classe Grande section'!P12))</f>
        <v/>
      </c>
    </row>
    <row r="93">
      <c r="A93" s="16" t="str">
        <f>IF('Classe Grande section'!$B13="","",IF('Classe Grande section'!A13="","",'Classe Grande section'!A13))</f>
        <v/>
      </c>
      <c r="B93" s="16" t="str">
        <f>IF('Classe Grande section'!$B13="","",IF('Classe Grande section'!B13="","",'Classe Grande section'!B13))</f>
        <v/>
      </c>
      <c r="C93" s="16" t="str">
        <f>IF('Classe Grande section'!$B13="","",IF('Classe Grande section'!C13="","",'Classe Grande section'!C13))</f>
        <v/>
      </c>
      <c r="D93" s="16" t="str">
        <f>IF($B93="","",C93&amp;" "&amp;B93&amp;" - "&amp;E93)</f>
        <v/>
      </c>
      <c r="E93" s="17" t="str">
        <f>IF($B93="","",Paramètres!$A$16)</f>
        <v/>
      </c>
      <c r="F93" s="17" t="str">
        <f>IF($B93="","",Paramètres!$B$16)</f>
        <v/>
      </c>
      <c r="G93" s="17" t="str">
        <f>IF('Classe Grande section'!$B13="","",IF('Classe Grande section'!D13="","",'Classe Grande section'!D13))</f>
        <v/>
      </c>
      <c r="H93" s="78" t="str">
        <f>IF('Classe Grande section'!$B13="","",IF('Classe Grande section'!E13="","",'Classe Grande section'!E13))</f>
        <v/>
      </c>
      <c r="I93" s="16" t="str">
        <f>IF('Classe Grande section'!$B13="","",IF('Classe Grande section'!F13="","",'Classe Grande section'!F13))</f>
        <v/>
      </c>
      <c r="J93" s="16" t="str">
        <f>IF('Classe Grande section'!$B13="","",IF('Classe Grande section'!G13="","",'Classe Grande section'!G13))</f>
        <v/>
      </c>
      <c r="K93" s="18" t="str">
        <f>IF('Classe Grande section'!$B13="","",N('Classe Grande section'!H13))</f>
        <v/>
      </c>
      <c r="L93" s="18" t="str">
        <f>IF('Classe Grande section'!$B13="","",N('Classe Grande section'!I13))</f>
        <v/>
      </c>
      <c r="M93" s="18" t="str">
        <f>IF('Classe Grande section'!$B13="","",N('Classe Grande section'!J13))</f>
        <v/>
      </c>
      <c r="N93" s="18" t="str">
        <f>IF('Classe Grande section'!$B13="","",N('Classe Grande section'!K13))</f>
        <v/>
      </c>
      <c r="O93" s="18" t="str">
        <f>IF('Classe Grande section'!$B13="","",N('Classe Grande section'!L13))</f>
        <v/>
      </c>
      <c r="P93" s="18" t="str">
        <f>IF('Classe Grande section'!$B13="","",N('Classe Grande section'!M13))</f>
        <v/>
      </c>
      <c r="Q93" s="17" t="str">
        <f>IF('Classe Grande section'!$B13="","",IF('Classe Grande section'!Q13="","",'Classe Grande section'!Q13))</f>
        <v/>
      </c>
      <c r="R93" s="18" t="str">
        <f>IF('Classe Grande section'!$B13="","",N('Classe Grande section'!N13))</f>
        <v/>
      </c>
      <c r="S93" s="18" t="str">
        <f>IF('Classe Grande section'!$B13="","",N('Classe Grande section'!O13))</f>
        <v/>
      </c>
      <c r="T93" s="18" t="str">
        <f>IF('Classe Grande section'!$B13="","",N('Classe Grande section'!P13))</f>
        <v/>
      </c>
    </row>
    <row r="94">
      <c r="A94" s="20" t="str">
        <f>IF('Classe Grande section'!$B14="","",IF('Classe Grande section'!A14="","",'Classe Grande section'!A14))</f>
        <v/>
      </c>
      <c r="B94" s="20" t="str">
        <f>IF('Classe Grande section'!$B14="","",IF('Classe Grande section'!B14="","",'Classe Grande section'!B14))</f>
        <v/>
      </c>
      <c r="C94" s="20" t="str">
        <f>IF('Classe Grande section'!$B14="","",IF('Classe Grande section'!C14="","",'Classe Grande section'!C14))</f>
        <v/>
      </c>
      <c r="D94" s="20" t="str">
        <f>IF($B94="","",C94&amp;" "&amp;B94&amp;" - "&amp;E94)</f>
        <v/>
      </c>
      <c r="E94" s="21" t="str">
        <f>IF($B94="","",Paramètres!$A$16)</f>
        <v/>
      </c>
      <c r="F94" s="21" t="str">
        <f>IF($B94="","",Paramètres!$B$16)</f>
        <v/>
      </c>
      <c r="G94" s="21" t="str">
        <f>IF('Classe Grande section'!$B14="","",IF('Classe Grande section'!D14="","",'Classe Grande section'!D14))</f>
        <v/>
      </c>
      <c r="H94" s="77" t="str">
        <f>IF('Classe Grande section'!$B14="","",IF('Classe Grande section'!E14="","",'Classe Grande section'!E14))</f>
        <v/>
      </c>
      <c r="I94" s="20" t="str">
        <f>IF('Classe Grande section'!$B14="","",IF('Classe Grande section'!F14="","",'Classe Grande section'!F14))</f>
        <v/>
      </c>
      <c r="J94" s="20" t="str">
        <f>IF('Classe Grande section'!$B14="","",IF('Classe Grande section'!G14="","",'Classe Grande section'!G14))</f>
        <v/>
      </c>
      <c r="K94" s="51" t="str">
        <f>IF('Classe Grande section'!$B14="","",N('Classe Grande section'!H14))</f>
        <v/>
      </c>
      <c r="L94" s="51" t="str">
        <f>IF('Classe Grande section'!$B14="","",N('Classe Grande section'!I14))</f>
        <v/>
      </c>
      <c r="M94" s="51" t="str">
        <f>IF('Classe Grande section'!$B14="","",N('Classe Grande section'!J14))</f>
        <v/>
      </c>
      <c r="N94" s="51" t="str">
        <f>IF('Classe Grande section'!$B14="","",N('Classe Grande section'!K14))</f>
        <v/>
      </c>
      <c r="O94" s="51" t="str">
        <f>IF('Classe Grande section'!$B14="","",N('Classe Grande section'!L14))</f>
        <v/>
      </c>
      <c r="P94" s="51" t="str">
        <f>IF('Classe Grande section'!$B14="","",N('Classe Grande section'!M14))</f>
        <v/>
      </c>
      <c r="Q94" s="21" t="str">
        <f>IF('Classe Grande section'!$B14="","",IF('Classe Grande section'!Q14="","",'Classe Grande section'!Q14))</f>
        <v/>
      </c>
      <c r="R94" s="51" t="str">
        <f>IF('Classe Grande section'!$B14="","",N('Classe Grande section'!N14))</f>
        <v/>
      </c>
      <c r="S94" s="51" t="str">
        <f>IF('Classe Grande section'!$B14="","",N('Classe Grande section'!O14))</f>
        <v/>
      </c>
      <c r="T94" s="51" t="str">
        <f>IF('Classe Grande section'!$B14="","",N('Classe Grande section'!P14))</f>
        <v/>
      </c>
    </row>
    <row r="95">
      <c r="A95" s="16" t="str">
        <f>IF('Classe Grande section'!$B15="","",IF('Classe Grande section'!A15="","",'Classe Grande section'!A15))</f>
        <v/>
      </c>
      <c r="B95" s="16" t="str">
        <f>IF('Classe Grande section'!$B15="","",IF('Classe Grande section'!B15="","",'Classe Grande section'!B15))</f>
        <v/>
      </c>
      <c r="C95" s="16" t="str">
        <f>IF('Classe Grande section'!$B15="","",IF('Classe Grande section'!C15="","",'Classe Grande section'!C15))</f>
        <v/>
      </c>
      <c r="D95" s="16" t="str">
        <f>IF($B95="","",C95&amp;" "&amp;B95&amp;" - "&amp;E95)</f>
        <v/>
      </c>
      <c r="E95" s="17" t="str">
        <f>IF($B95="","",Paramètres!$A$16)</f>
        <v/>
      </c>
      <c r="F95" s="17" t="str">
        <f>IF($B95="","",Paramètres!$B$16)</f>
        <v/>
      </c>
      <c r="G95" s="17" t="str">
        <f>IF('Classe Grande section'!$B15="","",IF('Classe Grande section'!D15="","",'Classe Grande section'!D15))</f>
        <v/>
      </c>
      <c r="H95" s="78" t="str">
        <f>IF('Classe Grande section'!$B15="","",IF('Classe Grande section'!E15="","",'Classe Grande section'!E15))</f>
        <v/>
      </c>
      <c r="I95" s="16" t="str">
        <f>IF('Classe Grande section'!$B15="","",IF('Classe Grande section'!F15="","",'Classe Grande section'!F15))</f>
        <v/>
      </c>
      <c r="J95" s="16" t="str">
        <f>IF('Classe Grande section'!$B15="","",IF('Classe Grande section'!G15="","",'Classe Grande section'!G15))</f>
        <v/>
      </c>
      <c r="K95" s="18" t="str">
        <f>IF('Classe Grande section'!$B15="","",N('Classe Grande section'!H15))</f>
        <v/>
      </c>
      <c r="L95" s="18" t="str">
        <f>IF('Classe Grande section'!$B15="","",N('Classe Grande section'!I15))</f>
        <v/>
      </c>
      <c r="M95" s="18" t="str">
        <f>IF('Classe Grande section'!$B15="","",N('Classe Grande section'!J15))</f>
        <v/>
      </c>
      <c r="N95" s="18" t="str">
        <f>IF('Classe Grande section'!$B15="","",N('Classe Grande section'!K15))</f>
        <v/>
      </c>
      <c r="O95" s="18" t="str">
        <f>IF('Classe Grande section'!$B15="","",N('Classe Grande section'!L15))</f>
        <v/>
      </c>
      <c r="P95" s="18" t="str">
        <f>IF('Classe Grande section'!$B15="","",N('Classe Grande section'!M15))</f>
        <v/>
      </c>
      <c r="Q95" s="17" t="str">
        <f>IF('Classe Grande section'!$B15="","",IF('Classe Grande section'!Q15="","",'Classe Grande section'!Q15))</f>
        <v/>
      </c>
      <c r="R95" s="18" t="str">
        <f>IF('Classe Grande section'!$B15="","",N('Classe Grande section'!N15))</f>
        <v/>
      </c>
      <c r="S95" s="18" t="str">
        <f>IF('Classe Grande section'!$B15="","",N('Classe Grande section'!O15))</f>
        <v/>
      </c>
      <c r="T95" s="18" t="str">
        <f>IF('Classe Grande section'!$B15="","",N('Classe Grande section'!P15))</f>
        <v/>
      </c>
    </row>
    <row r="96">
      <c r="A96" s="20" t="str">
        <f>IF('Classe Grande section'!$B16="","",IF('Classe Grande section'!A16="","",'Classe Grande section'!A16))</f>
        <v/>
      </c>
      <c r="B96" s="20" t="str">
        <f>IF('Classe Grande section'!$B16="","",IF('Classe Grande section'!B16="","",'Classe Grande section'!B16))</f>
        <v/>
      </c>
      <c r="C96" s="20" t="str">
        <f>IF('Classe Grande section'!$B16="","",IF('Classe Grande section'!C16="","",'Classe Grande section'!C16))</f>
        <v/>
      </c>
      <c r="D96" s="20" t="str">
        <f>IF($B96="","",C96&amp;" "&amp;B96&amp;" - "&amp;E96)</f>
        <v/>
      </c>
      <c r="E96" s="21" t="str">
        <f>IF($B96="","",Paramètres!$A$16)</f>
        <v/>
      </c>
      <c r="F96" s="21" t="str">
        <f>IF($B96="","",Paramètres!$B$16)</f>
        <v/>
      </c>
      <c r="G96" s="21" t="str">
        <f>IF('Classe Grande section'!$B16="","",IF('Classe Grande section'!D16="","",'Classe Grande section'!D16))</f>
        <v/>
      </c>
      <c r="H96" s="77" t="str">
        <f>IF('Classe Grande section'!$B16="","",IF('Classe Grande section'!E16="","",'Classe Grande section'!E16))</f>
        <v/>
      </c>
      <c r="I96" s="20" t="str">
        <f>IF('Classe Grande section'!$B16="","",IF('Classe Grande section'!F16="","",'Classe Grande section'!F16))</f>
        <v/>
      </c>
      <c r="J96" s="20" t="str">
        <f>IF('Classe Grande section'!$B16="","",IF('Classe Grande section'!G16="","",'Classe Grande section'!G16))</f>
        <v/>
      </c>
      <c r="K96" s="51" t="str">
        <f>IF('Classe Grande section'!$B16="","",N('Classe Grande section'!H16))</f>
        <v/>
      </c>
      <c r="L96" s="51" t="str">
        <f>IF('Classe Grande section'!$B16="","",N('Classe Grande section'!I16))</f>
        <v/>
      </c>
      <c r="M96" s="51" t="str">
        <f>IF('Classe Grande section'!$B16="","",N('Classe Grande section'!J16))</f>
        <v/>
      </c>
      <c r="N96" s="51" t="str">
        <f>IF('Classe Grande section'!$B16="","",N('Classe Grande section'!K16))</f>
        <v/>
      </c>
      <c r="O96" s="51" t="str">
        <f>IF('Classe Grande section'!$B16="","",N('Classe Grande section'!L16))</f>
        <v/>
      </c>
      <c r="P96" s="51" t="str">
        <f>IF('Classe Grande section'!$B16="","",N('Classe Grande section'!M16))</f>
        <v/>
      </c>
      <c r="Q96" s="21" t="str">
        <f>IF('Classe Grande section'!$B16="","",IF('Classe Grande section'!Q16="","",'Classe Grande section'!Q16))</f>
        <v/>
      </c>
      <c r="R96" s="51" t="str">
        <f>IF('Classe Grande section'!$B16="","",N('Classe Grande section'!N16))</f>
        <v/>
      </c>
      <c r="S96" s="51" t="str">
        <f>IF('Classe Grande section'!$B16="","",N('Classe Grande section'!O16))</f>
        <v/>
      </c>
      <c r="T96" s="51" t="str">
        <f>IF('Classe Grande section'!$B16="","",N('Classe Grande section'!P16))</f>
        <v/>
      </c>
    </row>
    <row r="97">
      <c r="A97" s="16" t="str">
        <f>IF('Classe Grande section'!$B17="","",IF('Classe Grande section'!A17="","",'Classe Grande section'!A17))</f>
        <v/>
      </c>
      <c r="B97" s="16" t="str">
        <f>IF('Classe Grande section'!$B17="","",IF('Classe Grande section'!B17="","",'Classe Grande section'!B17))</f>
        <v/>
      </c>
      <c r="C97" s="16" t="str">
        <f>IF('Classe Grande section'!$B17="","",IF('Classe Grande section'!C17="","",'Classe Grande section'!C17))</f>
        <v/>
      </c>
      <c r="D97" s="16" t="str">
        <f>IF($B97="","",C97&amp;" "&amp;B97&amp;" - "&amp;E97)</f>
        <v/>
      </c>
      <c r="E97" s="17" t="str">
        <f>IF($B97="","",Paramètres!$A$16)</f>
        <v/>
      </c>
      <c r="F97" s="17" t="str">
        <f>IF($B97="","",Paramètres!$B$16)</f>
        <v/>
      </c>
      <c r="G97" s="17" t="str">
        <f>IF('Classe Grande section'!$B17="","",IF('Classe Grande section'!D17="","",'Classe Grande section'!D17))</f>
        <v/>
      </c>
      <c r="H97" s="78" t="str">
        <f>IF('Classe Grande section'!$B17="","",IF('Classe Grande section'!E17="","",'Classe Grande section'!E17))</f>
        <v/>
      </c>
      <c r="I97" s="16" t="str">
        <f>IF('Classe Grande section'!$B17="","",IF('Classe Grande section'!F17="","",'Classe Grande section'!F17))</f>
        <v/>
      </c>
      <c r="J97" s="16" t="str">
        <f>IF('Classe Grande section'!$B17="","",IF('Classe Grande section'!G17="","",'Classe Grande section'!G17))</f>
        <v/>
      </c>
      <c r="K97" s="18" t="str">
        <f>IF('Classe Grande section'!$B17="","",N('Classe Grande section'!H17))</f>
        <v/>
      </c>
      <c r="L97" s="18" t="str">
        <f>IF('Classe Grande section'!$B17="","",N('Classe Grande section'!I17))</f>
        <v/>
      </c>
      <c r="M97" s="18" t="str">
        <f>IF('Classe Grande section'!$B17="","",N('Classe Grande section'!J17))</f>
        <v/>
      </c>
      <c r="N97" s="18" t="str">
        <f>IF('Classe Grande section'!$B17="","",N('Classe Grande section'!K17))</f>
        <v/>
      </c>
      <c r="O97" s="18" t="str">
        <f>IF('Classe Grande section'!$B17="","",N('Classe Grande section'!L17))</f>
        <v/>
      </c>
      <c r="P97" s="18" t="str">
        <f>IF('Classe Grande section'!$B17="","",N('Classe Grande section'!M17))</f>
        <v/>
      </c>
      <c r="Q97" s="17" t="str">
        <f>IF('Classe Grande section'!$B17="","",IF('Classe Grande section'!Q17="","",'Classe Grande section'!Q17))</f>
        <v/>
      </c>
      <c r="R97" s="18" t="str">
        <f>IF('Classe Grande section'!$B17="","",N('Classe Grande section'!N17))</f>
        <v/>
      </c>
      <c r="S97" s="18" t="str">
        <f>IF('Classe Grande section'!$B17="","",N('Classe Grande section'!O17))</f>
        <v/>
      </c>
      <c r="T97" s="18" t="str">
        <f>IF('Classe Grande section'!$B17="","",N('Classe Grande section'!P17))</f>
        <v/>
      </c>
    </row>
    <row r="98">
      <c r="A98" s="20" t="str">
        <f>IF('Classe Grande section'!$B18="","",IF('Classe Grande section'!A18="","",'Classe Grande section'!A18))</f>
        <v/>
      </c>
      <c r="B98" s="20" t="str">
        <f>IF('Classe Grande section'!$B18="","",IF('Classe Grande section'!B18="","",'Classe Grande section'!B18))</f>
        <v/>
      </c>
      <c r="C98" s="20" t="str">
        <f>IF('Classe Grande section'!$B18="","",IF('Classe Grande section'!C18="","",'Classe Grande section'!C18))</f>
        <v/>
      </c>
      <c r="D98" s="20" t="str">
        <f>IF($B98="","",C98&amp;" "&amp;B98&amp;" - "&amp;E98)</f>
        <v/>
      </c>
      <c r="E98" s="21" t="str">
        <f>IF($B98="","",Paramètres!$A$16)</f>
        <v/>
      </c>
      <c r="F98" s="21" t="str">
        <f>IF($B98="","",Paramètres!$B$16)</f>
        <v/>
      </c>
      <c r="G98" s="21" t="str">
        <f>IF('Classe Grande section'!$B18="","",IF('Classe Grande section'!D18="","",'Classe Grande section'!D18))</f>
        <v/>
      </c>
      <c r="H98" s="77" t="str">
        <f>IF('Classe Grande section'!$B18="","",IF('Classe Grande section'!E18="","",'Classe Grande section'!E18))</f>
        <v/>
      </c>
      <c r="I98" s="20" t="str">
        <f>IF('Classe Grande section'!$B18="","",IF('Classe Grande section'!F18="","",'Classe Grande section'!F18))</f>
        <v/>
      </c>
      <c r="J98" s="20" t="str">
        <f>IF('Classe Grande section'!$B18="","",IF('Classe Grande section'!G18="","",'Classe Grande section'!G18))</f>
        <v/>
      </c>
      <c r="K98" s="51" t="str">
        <f>IF('Classe Grande section'!$B18="","",N('Classe Grande section'!H18))</f>
        <v/>
      </c>
      <c r="L98" s="51" t="str">
        <f>IF('Classe Grande section'!$B18="","",N('Classe Grande section'!I18))</f>
        <v/>
      </c>
      <c r="M98" s="51" t="str">
        <f>IF('Classe Grande section'!$B18="","",N('Classe Grande section'!J18))</f>
        <v/>
      </c>
      <c r="N98" s="51" t="str">
        <f>IF('Classe Grande section'!$B18="","",N('Classe Grande section'!K18))</f>
        <v/>
      </c>
      <c r="O98" s="51" t="str">
        <f>IF('Classe Grande section'!$B18="","",N('Classe Grande section'!L18))</f>
        <v/>
      </c>
      <c r="P98" s="51" t="str">
        <f>IF('Classe Grande section'!$B18="","",N('Classe Grande section'!M18))</f>
        <v/>
      </c>
      <c r="Q98" s="21" t="str">
        <f>IF('Classe Grande section'!$B18="","",IF('Classe Grande section'!Q18="","",'Classe Grande section'!Q18))</f>
        <v/>
      </c>
      <c r="R98" s="51" t="str">
        <f>IF('Classe Grande section'!$B18="","",N('Classe Grande section'!N18))</f>
        <v/>
      </c>
      <c r="S98" s="51" t="str">
        <f>IF('Classe Grande section'!$B18="","",N('Classe Grande section'!O18))</f>
        <v/>
      </c>
      <c r="T98" s="51" t="str">
        <f>IF('Classe Grande section'!$B18="","",N('Classe Grande section'!P18))</f>
        <v/>
      </c>
    </row>
    <row r="99">
      <c r="A99" s="16" t="str">
        <f>IF('Classe Grande section'!$B19="","",IF('Classe Grande section'!A19="","",'Classe Grande section'!A19))</f>
        <v/>
      </c>
      <c r="B99" s="16" t="str">
        <f>IF('Classe Grande section'!$B19="","",IF('Classe Grande section'!B19="","",'Classe Grande section'!B19))</f>
        <v/>
      </c>
      <c r="C99" s="16" t="str">
        <f>IF('Classe Grande section'!$B19="","",IF('Classe Grande section'!C19="","",'Classe Grande section'!C19))</f>
        <v/>
      </c>
      <c r="D99" s="16" t="str">
        <f>IF($B99="","",C99&amp;" "&amp;B99&amp;" - "&amp;E99)</f>
        <v/>
      </c>
      <c r="E99" s="17" t="str">
        <f>IF($B99="","",Paramètres!$A$16)</f>
        <v/>
      </c>
      <c r="F99" s="17" t="str">
        <f>IF($B99="","",Paramètres!$B$16)</f>
        <v/>
      </c>
      <c r="G99" s="17" t="str">
        <f>IF('Classe Grande section'!$B19="","",IF('Classe Grande section'!D19="","",'Classe Grande section'!D19))</f>
        <v/>
      </c>
      <c r="H99" s="78" t="str">
        <f>IF('Classe Grande section'!$B19="","",IF('Classe Grande section'!E19="","",'Classe Grande section'!E19))</f>
        <v/>
      </c>
      <c r="I99" s="16" t="str">
        <f>IF('Classe Grande section'!$B19="","",IF('Classe Grande section'!F19="","",'Classe Grande section'!F19))</f>
        <v/>
      </c>
      <c r="J99" s="16" t="str">
        <f>IF('Classe Grande section'!$B19="","",IF('Classe Grande section'!G19="","",'Classe Grande section'!G19))</f>
        <v/>
      </c>
      <c r="K99" s="18" t="str">
        <f>IF('Classe Grande section'!$B19="","",N('Classe Grande section'!H19))</f>
        <v/>
      </c>
      <c r="L99" s="18" t="str">
        <f>IF('Classe Grande section'!$B19="","",N('Classe Grande section'!I19))</f>
        <v/>
      </c>
      <c r="M99" s="18" t="str">
        <f>IF('Classe Grande section'!$B19="","",N('Classe Grande section'!J19))</f>
        <v/>
      </c>
      <c r="N99" s="18" t="str">
        <f>IF('Classe Grande section'!$B19="","",N('Classe Grande section'!K19))</f>
        <v/>
      </c>
      <c r="O99" s="18" t="str">
        <f>IF('Classe Grande section'!$B19="","",N('Classe Grande section'!L19))</f>
        <v/>
      </c>
      <c r="P99" s="18" t="str">
        <f>IF('Classe Grande section'!$B19="","",N('Classe Grande section'!M19))</f>
        <v/>
      </c>
      <c r="Q99" s="17" t="str">
        <f>IF('Classe Grande section'!$B19="","",IF('Classe Grande section'!Q19="","",'Classe Grande section'!Q19))</f>
        <v/>
      </c>
      <c r="R99" s="18" t="str">
        <f>IF('Classe Grande section'!$B19="","",N('Classe Grande section'!N19))</f>
        <v/>
      </c>
      <c r="S99" s="18" t="str">
        <f>IF('Classe Grande section'!$B19="","",N('Classe Grande section'!O19))</f>
        <v/>
      </c>
      <c r="T99" s="18" t="str">
        <f>IF('Classe Grande section'!$B19="","",N('Classe Grande section'!P19))</f>
        <v/>
      </c>
    </row>
    <row r="100">
      <c r="A100" s="20" t="str">
        <f>IF('Classe Grande section'!$B20="","",IF('Classe Grande section'!A20="","",'Classe Grande section'!A20))</f>
        <v/>
      </c>
      <c r="B100" s="20" t="str">
        <f>IF('Classe Grande section'!$B20="","",IF('Classe Grande section'!B20="","",'Classe Grande section'!B20))</f>
        <v/>
      </c>
      <c r="C100" s="20" t="str">
        <f>IF('Classe Grande section'!$B20="","",IF('Classe Grande section'!C20="","",'Classe Grande section'!C20))</f>
        <v/>
      </c>
      <c r="D100" s="20" t="str">
        <f>IF($B100="","",C100&amp;" "&amp;B100&amp;" - "&amp;E100)</f>
        <v/>
      </c>
      <c r="E100" s="21" t="str">
        <f>IF($B100="","",Paramètres!$A$16)</f>
        <v/>
      </c>
      <c r="F100" s="21" t="str">
        <f>IF($B100="","",Paramètres!$B$16)</f>
        <v/>
      </c>
      <c r="G100" s="21" t="str">
        <f>IF('Classe Grande section'!$B20="","",IF('Classe Grande section'!D20="","",'Classe Grande section'!D20))</f>
        <v/>
      </c>
      <c r="H100" s="77" t="str">
        <f>IF('Classe Grande section'!$B20="","",IF('Classe Grande section'!E20="","",'Classe Grande section'!E20))</f>
        <v/>
      </c>
      <c r="I100" s="20" t="str">
        <f>IF('Classe Grande section'!$B20="","",IF('Classe Grande section'!F20="","",'Classe Grande section'!F20))</f>
        <v/>
      </c>
      <c r="J100" s="20" t="str">
        <f>IF('Classe Grande section'!$B20="","",IF('Classe Grande section'!G20="","",'Classe Grande section'!G20))</f>
        <v/>
      </c>
      <c r="K100" s="51" t="str">
        <f>IF('Classe Grande section'!$B20="","",N('Classe Grande section'!H20))</f>
        <v/>
      </c>
      <c r="L100" s="51" t="str">
        <f>IF('Classe Grande section'!$B20="","",N('Classe Grande section'!I20))</f>
        <v/>
      </c>
      <c r="M100" s="51" t="str">
        <f>IF('Classe Grande section'!$B20="","",N('Classe Grande section'!J20))</f>
        <v/>
      </c>
      <c r="N100" s="51" t="str">
        <f>IF('Classe Grande section'!$B20="","",N('Classe Grande section'!K20))</f>
        <v/>
      </c>
      <c r="O100" s="51" t="str">
        <f>IF('Classe Grande section'!$B20="","",N('Classe Grande section'!L20))</f>
        <v/>
      </c>
      <c r="P100" s="51" t="str">
        <f>IF('Classe Grande section'!$B20="","",N('Classe Grande section'!M20))</f>
        <v/>
      </c>
      <c r="Q100" s="21" t="str">
        <f>IF('Classe Grande section'!$B20="","",IF('Classe Grande section'!Q20="","",'Classe Grande section'!Q20))</f>
        <v/>
      </c>
      <c r="R100" s="51" t="str">
        <f>IF('Classe Grande section'!$B20="","",N('Classe Grande section'!N20))</f>
        <v/>
      </c>
      <c r="S100" s="51" t="str">
        <f>IF('Classe Grande section'!$B20="","",N('Classe Grande section'!O20))</f>
        <v/>
      </c>
      <c r="T100" s="51" t="str">
        <f>IF('Classe Grande section'!$B20="","",N('Classe Grande section'!P20))</f>
        <v/>
      </c>
    </row>
    <row r="101">
      <c r="A101" s="16" t="str">
        <f>IF('Classe Grande section'!$B21="","",IF('Classe Grande section'!A21="","",'Classe Grande section'!A21))</f>
        <v/>
      </c>
      <c r="B101" s="16" t="str">
        <f>IF('Classe Grande section'!$B21="","",IF('Classe Grande section'!B21="","",'Classe Grande section'!B21))</f>
        <v/>
      </c>
      <c r="C101" s="16" t="str">
        <f>IF('Classe Grande section'!$B21="","",IF('Classe Grande section'!C21="","",'Classe Grande section'!C21))</f>
        <v/>
      </c>
      <c r="D101" s="16" t="str">
        <f>IF($B101="","",C101&amp;" "&amp;B101&amp;" - "&amp;E101)</f>
        <v/>
      </c>
      <c r="E101" s="17" t="str">
        <f>IF($B101="","",Paramètres!$A$16)</f>
        <v/>
      </c>
      <c r="F101" s="17" t="str">
        <f>IF($B101="","",Paramètres!$B$16)</f>
        <v/>
      </c>
      <c r="G101" s="17" t="str">
        <f>IF('Classe Grande section'!$B21="","",IF('Classe Grande section'!D21="","",'Classe Grande section'!D21))</f>
        <v/>
      </c>
      <c r="H101" s="78" t="str">
        <f>IF('Classe Grande section'!$B21="","",IF('Classe Grande section'!E21="","",'Classe Grande section'!E21))</f>
        <v/>
      </c>
      <c r="I101" s="16" t="str">
        <f>IF('Classe Grande section'!$B21="","",IF('Classe Grande section'!F21="","",'Classe Grande section'!F21))</f>
        <v/>
      </c>
      <c r="J101" s="16" t="str">
        <f>IF('Classe Grande section'!$B21="","",IF('Classe Grande section'!G21="","",'Classe Grande section'!G21))</f>
        <v/>
      </c>
      <c r="K101" s="18" t="str">
        <f>IF('Classe Grande section'!$B21="","",N('Classe Grande section'!H21))</f>
        <v/>
      </c>
      <c r="L101" s="18" t="str">
        <f>IF('Classe Grande section'!$B21="","",N('Classe Grande section'!I21))</f>
        <v/>
      </c>
      <c r="M101" s="18" t="str">
        <f>IF('Classe Grande section'!$B21="","",N('Classe Grande section'!J21))</f>
        <v/>
      </c>
      <c r="N101" s="18" t="str">
        <f>IF('Classe Grande section'!$B21="","",N('Classe Grande section'!K21))</f>
        <v/>
      </c>
      <c r="O101" s="18" t="str">
        <f>IF('Classe Grande section'!$B21="","",N('Classe Grande section'!L21))</f>
        <v/>
      </c>
      <c r="P101" s="18" t="str">
        <f>IF('Classe Grande section'!$B21="","",N('Classe Grande section'!M21))</f>
        <v/>
      </c>
      <c r="Q101" s="17" t="str">
        <f>IF('Classe Grande section'!$B21="","",IF('Classe Grande section'!Q21="","",'Classe Grande section'!Q21))</f>
        <v/>
      </c>
      <c r="R101" s="18" t="str">
        <f>IF('Classe Grande section'!$B21="","",N('Classe Grande section'!N21))</f>
        <v/>
      </c>
      <c r="S101" s="18" t="str">
        <f>IF('Classe Grande section'!$B21="","",N('Classe Grande section'!O21))</f>
        <v/>
      </c>
      <c r="T101" s="18" t="str">
        <f>IF('Classe Grande section'!$B21="","",N('Classe Grande section'!P21))</f>
        <v/>
      </c>
    </row>
    <row r="102">
      <c r="A102" s="20" t="str">
        <f>IF('Classe Grande section'!$B22="","",IF('Classe Grande section'!A22="","",'Classe Grande section'!A22))</f>
        <v/>
      </c>
      <c r="B102" s="20" t="str">
        <f>IF('Classe Grande section'!$B22="","",IF('Classe Grande section'!B22="","",'Classe Grande section'!B22))</f>
        <v/>
      </c>
      <c r="C102" s="20" t="str">
        <f>IF('Classe Grande section'!$B22="","",IF('Classe Grande section'!C22="","",'Classe Grande section'!C22))</f>
        <v/>
      </c>
      <c r="D102" s="20" t="str">
        <f>IF($B102="","",C102&amp;" "&amp;B102&amp;" - "&amp;E102)</f>
        <v/>
      </c>
      <c r="E102" s="21" t="str">
        <f>IF($B102="","",Paramètres!$A$16)</f>
        <v/>
      </c>
      <c r="F102" s="21" t="str">
        <f>IF($B102="","",Paramètres!$B$16)</f>
        <v/>
      </c>
      <c r="G102" s="21" t="str">
        <f>IF('Classe Grande section'!$B22="","",IF('Classe Grande section'!D22="","",'Classe Grande section'!D22))</f>
        <v/>
      </c>
      <c r="H102" s="77" t="str">
        <f>IF('Classe Grande section'!$B22="","",IF('Classe Grande section'!E22="","",'Classe Grande section'!E22))</f>
        <v/>
      </c>
      <c r="I102" s="20" t="str">
        <f>IF('Classe Grande section'!$B22="","",IF('Classe Grande section'!F22="","",'Classe Grande section'!F22))</f>
        <v/>
      </c>
      <c r="J102" s="20" t="str">
        <f>IF('Classe Grande section'!$B22="","",IF('Classe Grande section'!G22="","",'Classe Grande section'!G22))</f>
        <v/>
      </c>
      <c r="K102" s="51" t="str">
        <f>IF('Classe Grande section'!$B22="","",N('Classe Grande section'!H22))</f>
        <v/>
      </c>
      <c r="L102" s="51" t="str">
        <f>IF('Classe Grande section'!$B22="","",N('Classe Grande section'!I22))</f>
        <v/>
      </c>
      <c r="M102" s="51" t="str">
        <f>IF('Classe Grande section'!$B22="","",N('Classe Grande section'!J22))</f>
        <v/>
      </c>
      <c r="N102" s="51" t="str">
        <f>IF('Classe Grande section'!$B22="","",N('Classe Grande section'!K22))</f>
        <v/>
      </c>
      <c r="O102" s="51" t="str">
        <f>IF('Classe Grande section'!$B22="","",N('Classe Grande section'!L22))</f>
        <v/>
      </c>
      <c r="P102" s="51" t="str">
        <f>IF('Classe Grande section'!$B22="","",N('Classe Grande section'!M22))</f>
        <v/>
      </c>
      <c r="Q102" s="21" t="str">
        <f>IF('Classe Grande section'!$B22="","",IF('Classe Grande section'!Q22="","",'Classe Grande section'!Q22))</f>
        <v/>
      </c>
      <c r="R102" s="51" t="str">
        <f>IF('Classe Grande section'!$B22="","",N('Classe Grande section'!N22))</f>
        <v/>
      </c>
      <c r="S102" s="51" t="str">
        <f>IF('Classe Grande section'!$B22="","",N('Classe Grande section'!O22))</f>
        <v/>
      </c>
      <c r="T102" s="51" t="str">
        <f>IF('Classe Grande section'!$B22="","",N('Classe Grande section'!P22))</f>
        <v/>
      </c>
    </row>
    <row r="103">
      <c r="A103" s="16" t="str">
        <f>IF('Classe Grande section'!$B23="","",IF('Classe Grande section'!A23="","",'Classe Grande section'!A23))</f>
        <v/>
      </c>
      <c r="B103" s="16" t="str">
        <f>IF('Classe Grande section'!$B23="","",IF('Classe Grande section'!B23="","",'Classe Grande section'!B23))</f>
        <v/>
      </c>
      <c r="C103" s="16" t="str">
        <f>IF('Classe Grande section'!$B23="","",IF('Classe Grande section'!C23="","",'Classe Grande section'!C23))</f>
        <v/>
      </c>
      <c r="D103" s="16" t="str">
        <f>IF($B103="","",C103&amp;" "&amp;B103&amp;" - "&amp;E103)</f>
        <v/>
      </c>
      <c r="E103" s="17" t="str">
        <f>IF($B103="","",Paramètres!$A$16)</f>
        <v/>
      </c>
      <c r="F103" s="17" t="str">
        <f>IF($B103="","",Paramètres!$B$16)</f>
        <v/>
      </c>
      <c r="G103" s="17" t="str">
        <f>IF('Classe Grande section'!$B23="","",IF('Classe Grande section'!D23="","",'Classe Grande section'!D23))</f>
        <v/>
      </c>
      <c r="H103" s="78" t="str">
        <f>IF('Classe Grande section'!$B23="","",IF('Classe Grande section'!E23="","",'Classe Grande section'!E23))</f>
        <v/>
      </c>
      <c r="I103" s="16" t="str">
        <f>IF('Classe Grande section'!$B23="","",IF('Classe Grande section'!F23="","",'Classe Grande section'!F23))</f>
        <v/>
      </c>
      <c r="J103" s="16" t="str">
        <f>IF('Classe Grande section'!$B23="","",IF('Classe Grande section'!G23="","",'Classe Grande section'!G23))</f>
        <v/>
      </c>
      <c r="K103" s="18" t="str">
        <f>IF('Classe Grande section'!$B23="","",N('Classe Grande section'!H23))</f>
        <v/>
      </c>
      <c r="L103" s="18" t="str">
        <f>IF('Classe Grande section'!$B23="","",N('Classe Grande section'!I23))</f>
        <v/>
      </c>
      <c r="M103" s="18" t="str">
        <f>IF('Classe Grande section'!$B23="","",N('Classe Grande section'!J23))</f>
        <v/>
      </c>
      <c r="N103" s="18" t="str">
        <f>IF('Classe Grande section'!$B23="","",N('Classe Grande section'!K23))</f>
        <v/>
      </c>
      <c r="O103" s="18" t="str">
        <f>IF('Classe Grande section'!$B23="","",N('Classe Grande section'!L23))</f>
        <v/>
      </c>
      <c r="P103" s="18" t="str">
        <f>IF('Classe Grande section'!$B23="","",N('Classe Grande section'!M23))</f>
        <v/>
      </c>
      <c r="Q103" s="17" t="str">
        <f>IF('Classe Grande section'!$B23="","",IF('Classe Grande section'!Q23="","",'Classe Grande section'!Q23))</f>
        <v/>
      </c>
      <c r="R103" s="18" t="str">
        <f>IF('Classe Grande section'!$B23="","",N('Classe Grande section'!N23))</f>
        <v/>
      </c>
      <c r="S103" s="18" t="str">
        <f>IF('Classe Grande section'!$B23="","",N('Classe Grande section'!O23))</f>
        <v/>
      </c>
      <c r="T103" s="18" t="str">
        <f>IF('Classe Grande section'!$B23="","",N('Classe Grande section'!P23))</f>
        <v/>
      </c>
    </row>
    <row r="104">
      <c r="A104" s="20" t="str">
        <f>IF('Classe Grande section'!$B24="","",IF('Classe Grande section'!A24="","",'Classe Grande section'!A24))</f>
        <v/>
      </c>
      <c r="B104" s="20" t="str">
        <f>IF('Classe Grande section'!$B24="","",IF('Classe Grande section'!B24="","",'Classe Grande section'!B24))</f>
        <v/>
      </c>
      <c r="C104" s="20" t="str">
        <f>IF('Classe Grande section'!$B24="","",IF('Classe Grande section'!C24="","",'Classe Grande section'!C24))</f>
        <v/>
      </c>
      <c r="D104" s="20" t="str">
        <f>IF($B104="","",C104&amp;" "&amp;B104&amp;" - "&amp;E104)</f>
        <v/>
      </c>
      <c r="E104" s="21" t="str">
        <f>IF($B104="","",Paramètres!$A$16)</f>
        <v/>
      </c>
      <c r="F104" s="21" t="str">
        <f>IF($B104="","",Paramètres!$B$16)</f>
        <v/>
      </c>
      <c r="G104" s="21" t="str">
        <f>IF('Classe Grande section'!$B24="","",IF('Classe Grande section'!D24="","",'Classe Grande section'!D24))</f>
        <v/>
      </c>
      <c r="H104" s="77" t="str">
        <f>IF('Classe Grande section'!$B24="","",IF('Classe Grande section'!E24="","",'Classe Grande section'!E24))</f>
        <v/>
      </c>
      <c r="I104" s="20" t="str">
        <f>IF('Classe Grande section'!$B24="","",IF('Classe Grande section'!F24="","",'Classe Grande section'!F24))</f>
        <v/>
      </c>
      <c r="J104" s="20" t="str">
        <f>IF('Classe Grande section'!$B24="","",IF('Classe Grande section'!G24="","",'Classe Grande section'!G24))</f>
        <v/>
      </c>
      <c r="K104" s="51" t="str">
        <f>IF('Classe Grande section'!$B24="","",N('Classe Grande section'!H24))</f>
        <v/>
      </c>
      <c r="L104" s="51" t="str">
        <f>IF('Classe Grande section'!$B24="","",N('Classe Grande section'!I24))</f>
        <v/>
      </c>
      <c r="M104" s="51" t="str">
        <f>IF('Classe Grande section'!$B24="","",N('Classe Grande section'!J24))</f>
        <v/>
      </c>
      <c r="N104" s="51" t="str">
        <f>IF('Classe Grande section'!$B24="","",N('Classe Grande section'!K24))</f>
        <v/>
      </c>
      <c r="O104" s="51" t="str">
        <f>IF('Classe Grande section'!$B24="","",N('Classe Grande section'!L24))</f>
        <v/>
      </c>
      <c r="P104" s="51" t="str">
        <f>IF('Classe Grande section'!$B24="","",N('Classe Grande section'!M24))</f>
        <v/>
      </c>
      <c r="Q104" s="21" t="str">
        <f>IF('Classe Grande section'!$B24="","",IF('Classe Grande section'!Q24="","",'Classe Grande section'!Q24))</f>
        <v/>
      </c>
      <c r="R104" s="51" t="str">
        <f>IF('Classe Grande section'!$B24="","",N('Classe Grande section'!N24))</f>
        <v/>
      </c>
      <c r="S104" s="51" t="str">
        <f>IF('Classe Grande section'!$B24="","",N('Classe Grande section'!O24))</f>
        <v/>
      </c>
      <c r="T104" s="51" t="str">
        <f>IF('Classe Grande section'!$B24="","",N('Classe Grande section'!P24))</f>
        <v/>
      </c>
    </row>
    <row r="105">
      <c r="A105" s="16" t="str">
        <f>IF('Classe Grande section'!$B25="","",IF('Classe Grande section'!A25="","",'Classe Grande section'!A25))</f>
        <v/>
      </c>
      <c r="B105" s="16" t="str">
        <f>IF('Classe Grande section'!$B25="","",IF('Classe Grande section'!B25="","",'Classe Grande section'!B25))</f>
        <v/>
      </c>
      <c r="C105" s="16" t="str">
        <f>IF('Classe Grande section'!$B25="","",IF('Classe Grande section'!C25="","",'Classe Grande section'!C25))</f>
        <v/>
      </c>
      <c r="D105" s="16" t="str">
        <f>IF($B105="","",C105&amp;" "&amp;B105&amp;" - "&amp;E105)</f>
        <v/>
      </c>
      <c r="E105" s="17" t="str">
        <f>IF($B105="","",Paramètres!$A$16)</f>
        <v/>
      </c>
      <c r="F105" s="17" t="str">
        <f>IF($B105="","",Paramètres!$B$16)</f>
        <v/>
      </c>
      <c r="G105" s="17" t="str">
        <f>IF('Classe Grande section'!$B25="","",IF('Classe Grande section'!D25="","",'Classe Grande section'!D25))</f>
        <v/>
      </c>
      <c r="H105" s="78" t="str">
        <f>IF('Classe Grande section'!$B25="","",IF('Classe Grande section'!E25="","",'Classe Grande section'!E25))</f>
        <v/>
      </c>
      <c r="I105" s="16" t="str">
        <f>IF('Classe Grande section'!$B25="","",IF('Classe Grande section'!F25="","",'Classe Grande section'!F25))</f>
        <v/>
      </c>
      <c r="J105" s="16" t="str">
        <f>IF('Classe Grande section'!$B25="","",IF('Classe Grande section'!G25="","",'Classe Grande section'!G25))</f>
        <v/>
      </c>
      <c r="K105" s="18" t="str">
        <f>IF('Classe Grande section'!$B25="","",N('Classe Grande section'!H25))</f>
        <v/>
      </c>
      <c r="L105" s="18" t="str">
        <f>IF('Classe Grande section'!$B25="","",N('Classe Grande section'!I25))</f>
        <v/>
      </c>
      <c r="M105" s="18" t="str">
        <f>IF('Classe Grande section'!$B25="","",N('Classe Grande section'!J25))</f>
        <v/>
      </c>
      <c r="N105" s="18" t="str">
        <f>IF('Classe Grande section'!$B25="","",N('Classe Grande section'!K25))</f>
        <v/>
      </c>
      <c r="O105" s="18" t="str">
        <f>IF('Classe Grande section'!$B25="","",N('Classe Grande section'!L25))</f>
        <v/>
      </c>
      <c r="P105" s="18" t="str">
        <f>IF('Classe Grande section'!$B25="","",N('Classe Grande section'!M25))</f>
        <v/>
      </c>
      <c r="Q105" s="17" t="str">
        <f>IF('Classe Grande section'!$B25="","",IF('Classe Grande section'!Q25="","",'Classe Grande section'!Q25))</f>
        <v/>
      </c>
      <c r="R105" s="18" t="str">
        <f>IF('Classe Grande section'!$B25="","",N('Classe Grande section'!N25))</f>
        <v/>
      </c>
      <c r="S105" s="18" t="str">
        <f>IF('Classe Grande section'!$B25="","",N('Classe Grande section'!O25))</f>
        <v/>
      </c>
      <c r="T105" s="18" t="str">
        <f>IF('Classe Grande section'!$B25="","",N('Classe Grande section'!P25))</f>
        <v/>
      </c>
    </row>
    <row r="106">
      <c r="A106" s="20" t="str">
        <f>IF('Classe Grande section'!$B26="","",IF('Classe Grande section'!A26="","",'Classe Grande section'!A26))</f>
        <v/>
      </c>
      <c r="B106" s="20" t="str">
        <f>IF('Classe Grande section'!$B26="","",IF('Classe Grande section'!B26="","",'Classe Grande section'!B26))</f>
        <v/>
      </c>
      <c r="C106" s="20" t="str">
        <f>IF('Classe Grande section'!$B26="","",IF('Classe Grande section'!C26="","",'Classe Grande section'!C26))</f>
        <v/>
      </c>
      <c r="D106" s="20" t="str">
        <f>IF($B106="","",C106&amp;" "&amp;B106&amp;" - "&amp;E106)</f>
        <v/>
      </c>
      <c r="E106" s="21" t="str">
        <f>IF($B106="","",Paramètres!$A$16)</f>
        <v/>
      </c>
      <c r="F106" s="21" t="str">
        <f>IF($B106="","",Paramètres!$B$16)</f>
        <v/>
      </c>
      <c r="G106" s="21" t="str">
        <f>IF('Classe Grande section'!$B26="","",IF('Classe Grande section'!D26="","",'Classe Grande section'!D26))</f>
        <v/>
      </c>
      <c r="H106" s="77" t="str">
        <f>IF('Classe Grande section'!$B26="","",IF('Classe Grande section'!E26="","",'Classe Grande section'!E26))</f>
        <v/>
      </c>
      <c r="I106" s="20" t="str">
        <f>IF('Classe Grande section'!$B26="","",IF('Classe Grande section'!F26="","",'Classe Grande section'!F26))</f>
        <v/>
      </c>
      <c r="J106" s="20" t="str">
        <f>IF('Classe Grande section'!$B26="","",IF('Classe Grande section'!G26="","",'Classe Grande section'!G26))</f>
        <v/>
      </c>
      <c r="K106" s="51" t="str">
        <f>IF('Classe Grande section'!$B26="","",N('Classe Grande section'!H26))</f>
        <v/>
      </c>
      <c r="L106" s="51" t="str">
        <f>IF('Classe Grande section'!$B26="","",N('Classe Grande section'!I26))</f>
        <v/>
      </c>
      <c r="M106" s="51" t="str">
        <f>IF('Classe Grande section'!$B26="","",N('Classe Grande section'!J26))</f>
        <v/>
      </c>
      <c r="N106" s="51" t="str">
        <f>IF('Classe Grande section'!$B26="","",N('Classe Grande section'!K26))</f>
        <v/>
      </c>
      <c r="O106" s="51" t="str">
        <f>IF('Classe Grande section'!$B26="","",N('Classe Grande section'!L26))</f>
        <v/>
      </c>
      <c r="P106" s="51" t="str">
        <f>IF('Classe Grande section'!$B26="","",N('Classe Grande section'!M26))</f>
        <v/>
      </c>
      <c r="Q106" s="21" t="str">
        <f>IF('Classe Grande section'!$B26="","",IF('Classe Grande section'!Q26="","",'Classe Grande section'!Q26))</f>
        <v/>
      </c>
      <c r="R106" s="51" t="str">
        <f>IF('Classe Grande section'!$B26="","",N('Classe Grande section'!N26))</f>
        <v/>
      </c>
      <c r="S106" s="51" t="str">
        <f>IF('Classe Grande section'!$B26="","",N('Classe Grande section'!O26))</f>
        <v/>
      </c>
      <c r="T106" s="51" t="str">
        <f>IF('Classe Grande section'!$B26="","",N('Classe Grande section'!P26))</f>
        <v/>
      </c>
    </row>
    <row r="107">
      <c r="A107" s="16" t="str">
        <f>IF('Classe Grande section'!$B27="","",IF('Classe Grande section'!A27="","",'Classe Grande section'!A27))</f>
        <v/>
      </c>
      <c r="B107" s="16" t="str">
        <f>IF('Classe Grande section'!$B27="","",IF('Classe Grande section'!B27="","",'Classe Grande section'!B27))</f>
        <v/>
      </c>
      <c r="C107" s="16" t="str">
        <f>IF('Classe Grande section'!$B27="","",IF('Classe Grande section'!C27="","",'Classe Grande section'!C27))</f>
        <v/>
      </c>
      <c r="D107" s="16" t="str">
        <f>IF($B107="","",C107&amp;" "&amp;B107&amp;" - "&amp;E107)</f>
        <v/>
      </c>
      <c r="E107" s="17" t="str">
        <f>IF($B107="","",Paramètres!$A$16)</f>
        <v/>
      </c>
      <c r="F107" s="17" t="str">
        <f>IF($B107="","",Paramètres!$B$16)</f>
        <v/>
      </c>
      <c r="G107" s="17" t="str">
        <f>IF('Classe Grande section'!$B27="","",IF('Classe Grande section'!D27="","",'Classe Grande section'!D27))</f>
        <v/>
      </c>
      <c r="H107" s="78" t="str">
        <f>IF('Classe Grande section'!$B27="","",IF('Classe Grande section'!E27="","",'Classe Grande section'!E27))</f>
        <v/>
      </c>
      <c r="I107" s="16" t="str">
        <f>IF('Classe Grande section'!$B27="","",IF('Classe Grande section'!F27="","",'Classe Grande section'!F27))</f>
        <v/>
      </c>
      <c r="J107" s="16" t="str">
        <f>IF('Classe Grande section'!$B27="","",IF('Classe Grande section'!G27="","",'Classe Grande section'!G27))</f>
        <v/>
      </c>
      <c r="K107" s="18" t="str">
        <f>IF('Classe Grande section'!$B27="","",N('Classe Grande section'!H27))</f>
        <v/>
      </c>
      <c r="L107" s="18" t="str">
        <f>IF('Classe Grande section'!$B27="","",N('Classe Grande section'!I27))</f>
        <v/>
      </c>
      <c r="M107" s="18" t="str">
        <f>IF('Classe Grande section'!$B27="","",N('Classe Grande section'!J27))</f>
        <v/>
      </c>
      <c r="N107" s="18" t="str">
        <f>IF('Classe Grande section'!$B27="","",N('Classe Grande section'!K27))</f>
        <v/>
      </c>
      <c r="O107" s="18" t="str">
        <f>IF('Classe Grande section'!$B27="","",N('Classe Grande section'!L27))</f>
        <v/>
      </c>
      <c r="P107" s="18" t="str">
        <f>IF('Classe Grande section'!$B27="","",N('Classe Grande section'!M27))</f>
        <v/>
      </c>
      <c r="Q107" s="17" t="str">
        <f>IF('Classe Grande section'!$B27="","",IF('Classe Grande section'!Q27="","",'Classe Grande section'!Q27))</f>
        <v/>
      </c>
      <c r="R107" s="18" t="str">
        <f>IF('Classe Grande section'!$B27="","",N('Classe Grande section'!N27))</f>
        <v/>
      </c>
      <c r="S107" s="18" t="str">
        <f>IF('Classe Grande section'!$B27="","",N('Classe Grande section'!O27))</f>
        <v/>
      </c>
      <c r="T107" s="18" t="str">
        <f>IF('Classe Grande section'!$B27="","",N('Classe Grande section'!P27))</f>
        <v/>
      </c>
    </row>
    <row r="108">
      <c r="A108" s="20" t="str">
        <f>IF('Classe Grande section'!$B28="","",IF('Classe Grande section'!A28="","",'Classe Grande section'!A28))</f>
        <v/>
      </c>
      <c r="B108" s="20" t="str">
        <f>IF('Classe Grande section'!$B28="","",IF('Classe Grande section'!B28="","",'Classe Grande section'!B28))</f>
        <v/>
      </c>
      <c r="C108" s="20" t="str">
        <f>IF('Classe Grande section'!$B28="","",IF('Classe Grande section'!C28="","",'Classe Grande section'!C28))</f>
        <v/>
      </c>
      <c r="D108" s="20" t="str">
        <f>IF($B108="","",C108&amp;" "&amp;B108&amp;" - "&amp;E108)</f>
        <v/>
      </c>
      <c r="E108" s="21" t="str">
        <f>IF($B108="","",Paramètres!$A$16)</f>
        <v/>
      </c>
      <c r="F108" s="21" t="str">
        <f>IF($B108="","",Paramètres!$B$16)</f>
        <v/>
      </c>
      <c r="G108" s="21" t="str">
        <f>IF('Classe Grande section'!$B28="","",IF('Classe Grande section'!D28="","",'Classe Grande section'!D28))</f>
        <v/>
      </c>
      <c r="H108" s="77" t="str">
        <f>IF('Classe Grande section'!$B28="","",IF('Classe Grande section'!E28="","",'Classe Grande section'!E28))</f>
        <v/>
      </c>
      <c r="I108" s="20" t="str">
        <f>IF('Classe Grande section'!$B28="","",IF('Classe Grande section'!F28="","",'Classe Grande section'!F28))</f>
        <v/>
      </c>
      <c r="J108" s="20" t="str">
        <f>IF('Classe Grande section'!$B28="","",IF('Classe Grande section'!G28="","",'Classe Grande section'!G28))</f>
        <v/>
      </c>
      <c r="K108" s="51" t="str">
        <f>IF('Classe Grande section'!$B28="","",N('Classe Grande section'!H28))</f>
        <v/>
      </c>
      <c r="L108" s="51" t="str">
        <f>IF('Classe Grande section'!$B28="","",N('Classe Grande section'!I28))</f>
        <v/>
      </c>
      <c r="M108" s="51" t="str">
        <f>IF('Classe Grande section'!$B28="","",N('Classe Grande section'!J28))</f>
        <v/>
      </c>
      <c r="N108" s="51" t="str">
        <f>IF('Classe Grande section'!$B28="","",N('Classe Grande section'!K28))</f>
        <v/>
      </c>
      <c r="O108" s="51" t="str">
        <f>IF('Classe Grande section'!$B28="","",N('Classe Grande section'!L28))</f>
        <v/>
      </c>
      <c r="P108" s="51" t="str">
        <f>IF('Classe Grande section'!$B28="","",N('Classe Grande section'!M28))</f>
        <v/>
      </c>
      <c r="Q108" s="21" t="str">
        <f>IF('Classe Grande section'!$B28="","",IF('Classe Grande section'!Q28="","",'Classe Grande section'!Q28))</f>
        <v/>
      </c>
      <c r="R108" s="51" t="str">
        <f>IF('Classe Grande section'!$B28="","",N('Classe Grande section'!N28))</f>
        <v/>
      </c>
      <c r="S108" s="51" t="str">
        <f>IF('Classe Grande section'!$B28="","",N('Classe Grande section'!O28))</f>
        <v/>
      </c>
      <c r="T108" s="51" t="str">
        <f>IF('Classe Grande section'!$B28="","",N('Classe Grande section'!P28))</f>
        <v/>
      </c>
    </row>
    <row r="109">
      <c r="A109" s="16" t="str">
        <f>IF('Classe Grande section'!$B29="","",IF('Classe Grande section'!A29="","",'Classe Grande section'!A29))</f>
        <v/>
      </c>
      <c r="B109" s="16" t="str">
        <f>IF('Classe Grande section'!$B29="","",IF('Classe Grande section'!B29="","",'Classe Grande section'!B29))</f>
        <v/>
      </c>
      <c r="C109" s="16" t="str">
        <f>IF('Classe Grande section'!$B29="","",IF('Classe Grande section'!C29="","",'Classe Grande section'!C29))</f>
        <v/>
      </c>
      <c r="D109" s="16" t="str">
        <f>IF($B109="","",C109&amp;" "&amp;B109&amp;" - "&amp;E109)</f>
        <v/>
      </c>
      <c r="E109" s="17" t="str">
        <f>IF($B109="","",Paramètres!$A$16)</f>
        <v/>
      </c>
      <c r="F109" s="17" t="str">
        <f>IF($B109="","",Paramètres!$B$16)</f>
        <v/>
      </c>
      <c r="G109" s="17" t="str">
        <f>IF('Classe Grande section'!$B29="","",IF('Classe Grande section'!D29="","",'Classe Grande section'!D29))</f>
        <v/>
      </c>
      <c r="H109" s="78" t="str">
        <f>IF('Classe Grande section'!$B29="","",IF('Classe Grande section'!E29="","",'Classe Grande section'!E29))</f>
        <v/>
      </c>
      <c r="I109" s="16" t="str">
        <f>IF('Classe Grande section'!$B29="","",IF('Classe Grande section'!F29="","",'Classe Grande section'!F29))</f>
        <v/>
      </c>
      <c r="J109" s="16" t="str">
        <f>IF('Classe Grande section'!$B29="","",IF('Classe Grande section'!G29="","",'Classe Grande section'!G29))</f>
        <v/>
      </c>
      <c r="K109" s="18" t="str">
        <f>IF('Classe Grande section'!$B29="","",N('Classe Grande section'!H29))</f>
        <v/>
      </c>
      <c r="L109" s="18" t="str">
        <f>IF('Classe Grande section'!$B29="","",N('Classe Grande section'!I29))</f>
        <v/>
      </c>
      <c r="M109" s="18" t="str">
        <f>IF('Classe Grande section'!$B29="","",N('Classe Grande section'!J29))</f>
        <v/>
      </c>
      <c r="N109" s="18" t="str">
        <f>IF('Classe Grande section'!$B29="","",N('Classe Grande section'!K29))</f>
        <v/>
      </c>
      <c r="O109" s="18" t="str">
        <f>IF('Classe Grande section'!$B29="","",N('Classe Grande section'!L29))</f>
        <v/>
      </c>
      <c r="P109" s="18" t="str">
        <f>IF('Classe Grande section'!$B29="","",N('Classe Grande section'!M29))</f>
        <v/>
      </c>
      <c r="Q109" s="17" t="str">
        <f>IF('Classe Grande section'!$B29="","",IF('Classe Grande section'!Q29="","",'Classe Grande section'!Q29))</f>
        <v/>
      </c>
      <c r="R109" s="18" t="str">
        <f>IF('Classe Grande section'!$B29="","",N('Classe Grande section'!N29))</f>
        <v/>
      </c>
      <c r="S109" s="18" t="str">
        <f>IF('Classe Grande section'!$B29="","",N('Classe Grande section'!O29))</f>
        <v/>
      </c>
      <c r="T109" s="18" t="str">
        <f>IF('Classe Grande section'!$B29="","",N('Classe Grande section'!P29))</f>
        <v/>
      </c>
    </row>
    <row r="110">
      <c r="A110" s="20" t="str">
        <f>IF('Classe Grande section'!$B30="","",IF('Classe Grande section'!A30="","",'Classe Grande section'!A30))</f>
        <v/>
      </c>
      <c r="B110" s="20" t="str">
        <f>IF('Classe Grande section'!$B30="","",IF('Classe Grande section'!B30="","",'Classe Grande section'!B30))</f>
        <v/>
      </c>
      <c r="C110" s="20" t="str">
        <f>IF('Classe Grande section'!$B30="","",IF('Classe Grande section'!C30="","",'Classe Grande section'!C30))</f>
        <v/>
      </c>
      <c r="D110" s="20" t="str">
        <f>IF($B110="","",C110&amp;" "&amp;B110&amp;" - "&amp;E110)</f>
        <v/>
      </c>
      <c r="E110" s="21" t="str">
        <f>IF($B110="","",Paramètres!$A$16)</f>
        <v/>
      </c>
      <c r="F110" s="21" t="str">
        <f>IF($B110="","",Paramètres!$B$16)</f>
        <v/>
      </c>
      <c r="G110" s="21" t="str">
        <f>IF('Classe Grande section'!$B30="","",IF('Classe Grande section'!D30="","",'Classe Grande section'!D30))</f>
        <v/>
      </c>
      <c r="H110" s="77" t="str">
        <f>IF('Classe Grande section'!$B30="","",IF('Classe Grande section'!E30="","",'Classe Grande section'!E30))</f>
        <v/>
      </c>
      <c r="I110" s="20" t="str">
        <f>IF('Classe Grande section'!$B30="","",IF('Classe Grande section'!F30="","",'Classe Grande section'!F30))</f>
        <v/>
      </c>
      <c r="J110" s="20" t="str">
        <f>IF('Classe Grande section'!$B30="","",IF('Classe Grande section'!G30="","",'Classe Grande section'!G30))</f>
        <v/>
      </c>
      <c r="K110" s="51" t="str">
        <f>IF('Classe Grande section'!$B30="","",N('Classe Grande section'!H30))</f>
        <v/>
      </c>
      <c r="L110" s="51" t="str">
        <f>IF('Classe Grande section'!$B30="","",N('Classe Grande section'!I30))</f>
        <v/>
      </c>
      <c r="M110" s="51" t="str">
        <f>IF('Classe Grande section'!$B30="","",N('Classe Grande section'!J30))</f>
        <v/>
      </c>
      <c r="N110" s="51" t="str">
        <f>IF('Classe Grande section'!$B30="","",N('Classe Grande section'!K30))</f>
        <v/>
      </c>
      <c r="O110" s="51" t="str">
        <f>IF('Classe Grande section'!$B30="","",N('Classe Grande section'!L30))</f>
        <v/>
      </c>
      <c r="P110" s="51" t="str">
        <f>IF('Classe Grande section'!$B30="","",N('Classe Grande section'!M30))</f>
        <v/>
      </c>
      <c r="Q110" s="21" t="str">
        <f>IF('Classe Grande section'!$B30="","",IF('Classe Grande section'!Q30="","",'Classe Grande section'!Q30))</f>
        <v/>
      </c>
      <c r="R110" s="51" t="str">
        <f>IF('Classe Grande section'!$B30="","",N('Classe Grande section'!N30))</f>
        <v/>
      </c>
      <c r="S110" s="51" t="str">
        <f>IF('Classe Grande section'!$B30="","",N('Classe Grande section'!O30))</f>
        <v/>
      </c>
      <c r="T110" s="51" t="str">
        <f>IF('Classe Grande section'!$B30="","",N('Classe Grande section'!P30))</f>
        <v/>
      </c>
    </row>
    <row r="111">
      <c r="A111" s="16" t="str">
        <f>IF('Classe Grande section'!$B31="","",IF('Classe Grande section'!A31="","",'Classe Grande section'!A31))</f>
        <v/>
      </c>
      <c r="B111" s="16" t="str">
        <f>IF('Classe Grande section'!$B31="","",IF('Classe Grande section'!B31="","",'Classe Grande section'!B31))</f>
        <v/>
      </c>
      <c r="C111" s="16" t="str">
        <f>IF('Classe Grande section'!$B31="","",IF('Classe Grande section'!C31="","",'Classe Grande section'!C31))</f>
        <v/>
      </c>
      <c r="D111" s="16" t="str">
        <f>IF($B111="","",C111&amp;" "&amp;B111&amp;" - "&amp;E111)</f>
        <v/>
      </c>
      <c r="E111" s="17" t="str">
        <f>IF($B111="","",Paramètres!$A$16)</f>
        <v/>
      </c>
      <c r="F111" s="17" t="str">
        <f>IF($B111="","",Paramètres!$B$16)</f>
        <v/>
      </c>
      <c r="G111" s="17" t="str">
        <f>IF('Classe Grande section'!$B31="","",IF('Classe Grande section'!D31="","",'Classe Grande section'!D31))</f>
        <v/>
      </c>
      <c r="H111" s="78" t="str">
        <f>IF('Classe Grande section'!$B31="","",IF('Classe Grande section'!E31="","",'Classe Grande section'!E31))</f>
        <v/>
      </c>
      <c r="I111" s="16" t="str">
        <f>IF('Classe Grande section'!$B31="","",IF('Classe Grande section'!F31="","",'Classe Grande section'!F31))</f>
        <v/>
      </c>
      <c r="J111" s="16" t="str">
        <f>IF('Classe Grande section'!$B31="","",IF('Classe Grande section'!G31="","",'Classe Grande section'!G31))</f>
        <v/>
      </c>
      <c r="K111" s="18" t="str">
        <f>IF('Classe Grande section'!$B31="","",N('Classe Grande section'!H31))</f>
        <v/>
      </c>
      <c r="L111" s="18" t="str">
        <f>IF('Classe Grande section'!$B31="","",N('Classe Grande section'!I31))</f>
        <v/>
      </c>
      <c r="M111" s="18" t="str">
        <f>IF('Classe Grande section'!$B31="","",N('Classe Grande section'!J31))</f>
        <v/>
      </c>
      <c r="N111" s="18" t="str">
        <f>IF('Classe Grande section'!$B31="","",N('Classe Grande section'!K31))</f>
        <v/>
      </c>
      <c r="O111" s="18" t="str">
        <f>IF('Classe Grande section'!$B31="","",N('Classe Grande section'!L31))</f>
        <v/>
      </c>
      <c r="P111" s="18" t="str">
        <f>IF('Classe Grande section'!$B31="","",N('Classe Grande section'!M31))</f>
        <v/>
      </c>
      <c r="Q111" s="17" t="str">
        <f>IF('Classe Grande section'!$B31="","",IF('Classe Grande section'!Q31="","",'Classe Grande section'!Q31))</f>
        <v/>
      </c>
      <c r="R111" s="18" t="str">
        <f>IF('Classe Grande section'!$B31="","",N('Classe Grande section'!N31))</f>
        <v/>
      </c>
      <c r="S111" s="18" t="str">
        <f>IF('Classe Grande section'!$B31="","",N('Classe Grande section'!O31))</f>
        <v/>
      </c>
      <c r="T111" s="18" t="str">
        <f>IF('Classe Grande section'!$B31="","",N('Classe Grande section'!P31))</f>
        <v/>
      </c>
    </row>
    <row r="112">
      <c r="A112" s="20" t="str">
        <f>IF('Classe Grande section'!$B32="","",IF('Classe Grande section'!A32="","",'Classe Grande section'!A32))</f>
        <v/>
      </c>
      <c r="B112" s="20" t="str">
        <f>IF('Classe Grande section'!$B32="","",IF('Classe Grande section'!B32="","",'Classe Grande section'!B32))</f>
        <v/>
      </c>
      <c r="C112" s="20" t="str">
        <f>IF('Classe Grande section'!$B32="","",IF('Classe Grande section'!C32="","",'Classe Grande section'!C32))</f>
        <v/>
      </c>
      <c r="D112" s="20" t="str">
        <f>IF($B112="","",C112&amp;" "&amp;B112&amp;" - "&amp;E112)</f>
        <v/>
      </c>
      <c r="E112" s="21" t="str">
        <f>IF($B112="","",Paramètres!$A$16)</f>
        <v/>
      </c>
      <c r="F112" s="21" t="str">
        <f>IF($B112="","",Paramètres!$B$16)</f>
        <v/>
      </c>
      <c r="G112" s="21" t="str">
        <f>IF('Classe Grande section'!$B32="","",IF('Classe Grande section'!D32="","",'Classe Grande section'!D32))</f>
        <v/>
      </c>
      <c r="H112" s="77" t="str">
        <f>IF('Classe Grande section'!$B32="","",IF('Classe Grande section'!E32="","",'Classe Grande section'!E32))</f>
        <v/>
      </c>
      <c r="I112" s="20" t="str">
        <f>IF('Classe Grande section'!$B32="","",IF('Classe Grande section'!F32="","",'Classe Grande section'!F32))</f>
        <v/>
      </c>
      <c r="J112" s="20" t="str">
        <f>IF('Classe Grande section'!$B32="","",IF('Classe Grande section'!G32="","",'Classe Grande section'!G32))</f>
        <v/>
      </c>
      <c r="K112" s="51" t="str">
        <f>IF('Classe Grande section'!$B32="","",N('Classe Grande section'!H32))</f>
        <v/>
      </c>
      <c r="L112" s="51" t="str">
        <f>IF('Classe Grande section'!$B32="","",N('Classe Grande section'!I32))</f>
        <v/>
      </c>
      <c r="M112" s="51" t="str">
        <f>IF('Classe Grande section'!$B32="","",N('Classe Grande section'!J32))</f>
        <v/>
      </c>
      <c r="N112" s="51" t="str">
        <f>IF('Classe Grande section'!$B32="","",N('Classe Grande section'!K32))</f>
        <v/>
      </c>
      <c r="O112" s="51" t="str">
        <f>IF('Classe Grande section'!$B32="","",N('Classe Grande section'!L32))</f>
        <v/>
      </c>
      <c r="P112" s="51" t="str">
        <f>IF('Classe Grande section'!$B32="","",N('Classe Grande section'!M32))</f>
        <v/>
      </c>
      <c r="Q112" s="21" t="str">
        <f>IF('Classe Grande section'!$B32="","",IF('Classe Grande section'!Q32="","",'Classe Grande section'!Q32))</f>
        <v/>
      </c>
      <c r="R112" s="51" t="str">
        <f>IF('Classe Grande section'!$B32="","",N('Classe Grande section'!N32))</f>
        <v/>
      </c>
      <c r="S112" s="51" t="str">
        <f>IF('Classe Grande section'!$B32="","",N('Classe Grande section'!O32))</f>
        <v/>
      </c>
      <c r="T112" s="51" t="str">
        <f>IF('Classe Grande section'!$B32="","",N('Classe Grande section'!P32))</f>
        <v/>
      </c>
    </row>
    <row r="113">
      <c r="A113" s="16" t="str">
        <f>IF('Classe Grande section'!$B33="","",IF('Classe Grande section'!A33="","",'Classe Grande section'!A33))</f>
        <v/>
      </c>
      <c r="B113" s="16" t="str">
        <f>IF('Classe Grande section'!$B33="","",IF('Classe Grande section'!B33="","",'Classe Grande section'!B33))</f>
        <v/>
      </c>
      <c r="C113" s="16" t="str">
        <f>IF('Classe Grande section'!$B33="","",IF('Classe Grande section'!C33="","",'Classe Grande section'!C33))</f>
        <v/>
      </c>
      <c r="D113" s="16" t="str">
        <f>IF($B113="","",C113&amp;" "&amp;B113&amp;" - "&amp;E113)</f>
        <v/>
      </c>
      <c r="E113" s="17" t="str">
        <f>IF($B113="","",Paramètres!$A$16)</f>
        <v/>
      </c>
      <c r="F113" s="17" t="str">
        <f>IF($B113="","",Paramètres!$B$16)</f>
        <v/>
      </c>
      <c r="G113" s="17" t="str">
        <f>IF('Classe Grande section'!$B33="","",IF('Classe Grande section'!D33="","",'Classe Grande section'!D33))</f>
        <v/>
      </c>
      <c r="H113" s="78" t="str">
        <f>IF('Classe Grande section'!$B33="","",IF('Classe Grande section'!E33="","",'Classe Grande section'!E33))</f>
        <v/>
      </c>
      <c r="I113" s="16" t="str">
        <f>IF('Classe Grande section'!$B33="","",IF('Classe Grande section'!F33="","",'Classe Grande section'!F33))</f>
        <v/>
      </c>
      <c r="J113" s="16" t="str">
        <f>IF('Classe Grande section'!$B33="","",IF('Classe Grande section'!G33="","",'Classe Grande section'!G33))</f>
        <v/>
      </c>
      <c r="K113" s="18" t="str">
        <f>IF('Classe Grande section'!$B33="","",N('Classe Grande section'!H33))</f>
        <v/>
      </c>
      <c r="L113" s="18" t="str">
        <f>IF('Classe Grande section'!$B33="","",N('Classe Grande section'!I33))</f>
        <v/>
      </c>
      <c r="M113" s="18" t="str">
        <f>IF('Classe Grande section'!$B33="","",N('Classe Grande section'!J33))</f>
        <v/>
      </c>
      <c r="N113" s="18" t="str">
        <f>IF('Classe Grande section'!$B33="","",N('Classe Grande section'!K33))</f>
        <v/>
      </c>
      <c r="O113" s="18" t="str">
        <f>IF('Classe Grande section'!$B33="","",N('Classe Grande section'!L33))</f>
        <v/>
      </c>
      <c r="P113" s="18" t="str">
        <f>IF('Classe Grande section'!$B33="","",N('Classe Grande section'!M33))</f>
        <v/>
      </c>
      <c r="Q113" s="17" t="str">
        <f>IF('Classe Grande section'!$B33="","",IF('Classe Grande section'!Q33="","",'Classe Grande section'!Q33))</f>
        <v/>
      </c>
      <c r="R113" s="18" t="str">
        <f>IF('Classe Grande section'!$B33="","",N('Classe Grande section'!N33))</f>
        <v/>
      </c>
      <c r="S113" s="18" t="str">
        <f>IF('Classe Grande section'!$B33="","",N('Classe Grande section'!O33))</f>
        <v/>
      </c>
      <c r="T113" s="18" t="str">
        <f>IF('Classe Grande section'!$B33="","",N('Classe Grande section'!P33))</f>
        <v/>
      </c>
    </row>
    <row r="114">
      <c r="A114" s="20" t="str">
        <f>IF('Classe Grande section'!$B34="","",IF('Classe Grande section'!A34="","",'Classe Grande section'!A34))</f>
        <v/>
      </c>
      <c r="B114" s="20" t="str">
        <f>IF('Classe Grande section'!$B34="","",IF('Classe Grande section'!B34="","",'Classe Grande section'!B34))</f>
        <v/>
      </c>
      <c r="C114" s="20" t="str">
        <f>IF('Classe Grande section'!$B34="","",IF('Classe Grande section'!C34="","",'Classe Grande section'!C34))</f>
        <v/>
      </c>
      <c r="D114" s="20" t="str">
        <f>IF($B114="","",C114&amp;" "&amp;B114&amp;" - "&amp;E114)</f>
        <v/>
      </c>
      <c r="E114" s="21" t="str">
        <f>IF($B114="","",Paramètres!$A$16)</f>
        <v/>
      </c>
      <c r="F114" s="21" t="str">
        <f>IF($B114="","",Paramètres!$B$16)</f>
        <v/>
      </c>
      <c r="G114" s="21" t="str">
        <f>IF('Classe Grande section'!$B34="","",IF('Classe Grande section'!D34="","",'Classe Grande section'!D34))</f>
        <v/>
      </c>
      <c r="H114" s="77" t="str">
        <f>IF('Classe Grande section'!$B34="","",IF('Classe Grande section'!E34="","",'Classe Grande section'!E34))</f>
        <v/>
      </c>
      <c r="I114" s="20" t="str">
        <f>IF('Classe Grande section'!$B34="","",IF('Classe Grande section'!F34="","",'Classe Grande section'!F34))</f>
        <v/>
      </c>
      <c r="J114" s="20" t="str">
        <f>IF('Classe Grande section'!$B34="","",IF('Classe Grande section'!G34="","",'Classe Grande section'!G34))</f>
        <v/>
      </c>
      <c r="K114" s="51" t="str">
        <f>IF('Classe Grande section'!$B34="","",N('Classe Grande section'!H34))</f>
        <v/>
      </c>
      <c r="L114" s="51" t="str">
        <f>IF('Classe Grande section'!$B34="","",N('Classe Grande section'!I34))</f>
        <v/>
      </c>
      <c r="M114" s="51" t="str">
        <f>IF('Classe Grande section'!$B34="","",N('Classe Grande section'!J34))</f>
        <v/>
      </c>
      <c r="N114" s="51" t="str">
        <f>IF('Classe Grande section'!$B34="","",N('Classe Grande section'!K34))</f>
        <v/>
      </c>
      <c r="O114" s="51" t="str">
        <f>IF('Classe Grande section'!$B34="","",N('Classe Grande section'!L34))</f>
        <v/>
      </c>
      <c r="P114" s="51" t="str">
        <f>IF('Classe Grande section'!$B34="","",N('Classe Grande section'!M34))</f>
        <v/>
      </c>
      <c r="Q114" s="21" t="str">
        <f>IF('Classe Grande section'!$B34="","",IF('Classe Grande section'!Q34="","",'Classe Grande section'!Q34))</f>
        <v/>
      </c>
      <c r="R114" s="51" t="str">
        <f>IF('Classe Grande section'!$B34="","",N('Classe Grande section'!N34))</f>
        <v/>
      </c>
      <c r="S114" s="51" t="str">
        <f>IF('Classe Grande section'!$B34="","",N('Classe Grande section'!O34))</f>
        <v/>
      </c>
      <c r="T114" s="51" t="str">
        <f>IF('Classe Grande section'!$B34="","",N('Classe Grande section'!P34))</f>
        <v/>
      </c>
    </row>
    <row r="115">
      <c r="A115" s="16" t="str">
        <f>IF('Classe Grande section'!$B35="","",IF('Classe Grande section'!A35="","",'Classe Grande section'!A35))</f>
        <v/>
      </c>
      <c r="B115" s="16" t="str">
        <f>IF('Classe Grande section'!$B35="","",IF('Classe Grande section'!B35="","",'Classe Grande section'!B35))</f>
        <v/>
      </c>
      <c r="C115" s="16" t="str">
        <f>IF('Classe Grande section'!$B35="","",IF('Classe Grande section'!C35="","",'Classe Grande section'!C35))</f>
        <v/>
      </c>
      <c r="D115" s="16" t="str">
        <f>IF($B115="","",C115&amp;" "&amp;B115&amp;" - "&amp;E115)</f>
        <v/>
      </c>
      <c r="E115" s="17" t="str">
        <f>IF($B115="","",Paramètres!$A$16)</f>
        <v/>
      </c>
      <c r="F115" s="17" t="str">
        <f>IF($B115="","",Paramètres!$B$16)</f>
        <v/>
      </c>
      <c r="G115" s="17" t="str">
        <f>IF('Classe Grande section'!$B35="","",IF('Classe Grande section'!D35="","",'Classe Grande section'!D35))</f>
        <v/>
      </c>
      <c r="H115" s="78" t="str">
        <f>IF('Classe Grande section'!$B35="","",IF('Classe Grande section'!E35="","",'Classe Grande section'!E35))</f>
        <v/>
      </c>
      <c r="I115" s="16" t="str">
        <f>IF('Classe Grande section'!$B35="","",IF('Classe Grande section'!F35="","",'Classe Grande section'!F35))</f>
        <v/>
      </c>
      <c r="J115" s="16" t="str">
        <f>IF('Classe Grande section'!$B35="","",IF('Classe Grande section'!G35="","",'Classe Grande section'!G35))</f>
        <v/>
      </c>
      <c r="K115" s="18" t="str">
        <f>IF('Classe Grande section'!$B35="","",N('Classe Grande section'!H35))</f>
        <v/>
      </c>
      <c r="L115" s="18" t="str">
        <f>IF('Classe Grande section'!$B35="","",N('Classe Grande section'!I35))</f>
        <v/>
      </c>
      <c r="M115" s="18" t="str">
        <f>IF('Classe Grande section'!$B35="","",N('Classe Grande section'!J35))</f>
        <v/>
      </c>
      <c r="N115" s="18" t="str">
        <f>IF('Classe Grande section'!$B35="","",N('Classe Grande section'!K35))</f>
        <v/>
      </c>
      <c r="O115" s="18" t="str">
        <f>IF('Classe Grande section'!$B35="","",N('Classe Grande section'!L35))</f>
        <v/>
      </c>
      <c r="P115" s="18" t="str">
        <f>IF('Classe Grande section'!$B35="","",N('Classe Grande section'!M35))</f>
        <v/>
      </c>
      <c r="Q115" s="17" t="str">
        <f>IF('Classe Grande section'!$B35="","",IF('Classe Grande section'!Q35="","",'Classe Grande section'!Q35))</f>
        <v/>
      </c>
      <c r="R115" s="18" t="str">
        <f>IF('Classe Grande section'!$B35="","",N('Classe Grande section'!N35))</f>
        <v/>
      </c>
      <c r="S115" s="18" t="str">
        <f>IF('Classe Grande section'!$B35="","",N('Classe Grande section'!O35))</f>
        <v/>
      </c>
      <c r="T115" s="18" t="str">
        <f>IF('Classe Grande section'!$B35="","",N('Classe Grande section'!P35))</f>
        <v/>
      </c>
    </row>
    <row r="116">
      <c r="A116" s="20" t="str">
        <f>IF('Classe Grande section'!$B36="","",IF('Classe Grande section'!A36="","",'Classe Grande section'!A36))</f>
        <v/>
      </c>
      <c r="B116" s="20" t="str">
        <f>IF('Classe Grande section'!$B36="","",IF('Classe Grande section'!B36="","",'Classe Grande section'!B36))</f>
        <v/>
      </c>
      <c r="C116" s="20" t="str">
        <f>IF('Classe Grande section'!$B36="","",IF('Classe Grande section'!C36="","",'Classe Grande section'!C36))</f>
        <v/>
      </c>
      <c r="D116" s="20" t="str">
        <f>IF($B116="","",C116&amp;" "&amp;B116&amp;" - "&amp;E116)</f>
        <v/>
      </c>
      <c r="E116" s="21" t="str">
        <f>IF($B116="","",Paramètres!$A$16)</f>
        <v/>
      </c>
      <c r="F116" s="21" t="str">
        <f>IF($B116="","",Paramètres!$B$16)</f>
        <v/>
      </c>
      <c r="G116" s="21" t="str">
        <f>IF('Classe Grande section'!$B36="","",IF('Classe Grande section'!D36="","",'Classe Grande section'!D36))</f>
        <v/>
      </c>
      <c r="H116" s="77" t="str">
        <f>IF('Classe Grande section'!$B36="","",IF('Classe Grande section'!E36="","",'Classe Grande section'!E36))</f>
        <v/>
      </c>
      <c r="I116" s="20" t="str">
        <f>IF('Classe Grande section'!$B36="","",IF('Classe Grande section'!F36="","",'Classe Grande section'!F36))</f>
        <v/>
      </c>
      <c r="J116" s="20" t="str">
        <f>IF('Classe Grande section'!$B36="","",IF('Classe Grande section'!G36="","",'Classe Grande section'!G36))</f>
        <v/>
      </c>
      <c r="K116" s="51" t="str">
        <f>IF('Classe Grande section'!$B36="","",N('Classe Grande section'!H36))</f>
        <v/>
      </c>
      <c r="L116" s="51" t="str">
        <f>IF('Classe Grande section'!$B36="","",N('Classe Grande section'!I36))</f>
        <v/>
      </c>
      <c r="M116" s="51" t="str">
        <f>IF('Classe Grande section'!$B36="","",N('Classe Grande section'!J36))</f>
        <v/>
      </c>
      <c r="N116" s="51" t="str">
        <f>IF('Classe Grande section'!$B36="","",N('Classe Grande section'!K36))</f>
        <v/>
      </c>
      <c r="O116" s="51" t="str">
        <f>IF('Classe Grande section'!$B36="","",N('Classe Grande section'!L36))</f>
        <v/>
      </c>
      <c r="P116" s="51" t="str">
        <f>IF('Classe Grande section'!$B36="","",N('Classe Grande section'!M36))</f>
        <v/>
      </c>
      <c r="Q116" s="21" t="str">
        <f>IF('Classe Grande section'!$B36="","",IF('Classe Grande section'!Q36="","",'Classe Grande section'!Q36))</f>
        <v/>
      </c>
      <c r="R116" s="51" t="str">
        <f>IF('Classe Grande section'!$B36="","",N('Classe Grande section'!N36))</f>
        <v/>
      </c>
      <c r="S116" s="51" t="str">
        <f>IF('Classe Grande section'!$B36="","",N('Classe Grande section'!O36))</f>
        <v/>
      </c>
      <c r="T116" s="51" t="str">
        <f>IF('Classe Grande section'!$B36="","",N('Classe Grande section'!P36))</f>
        <v/>
      </c>
    </row>
    <row r="117">
      <c r="A117" s="16" t="str">
        <f>IF('Classe Grande section'!$B37="","",IF('Classe Grande section'!A37="","",'Classe Grande section'!A37))</f>
        <v/>
      </c>
      <c r="B117" s="16" t="str">
        <f>IF('Classe Grande section'!$B37="","",IF('Classe Grande section'!B37="","",'Classe Grande section'!B37))</f>
        <v/>
      </c>
      <c r="C117" s="16" t="str">
        <f>IF('Classe Grande section'!$B37="","",IF('Classe Grande section'!C37="","",'Classe Grande section'!C37))</f>
        <v/>
      </c>
      <c r="D117" s="16" t="str">
        <f>IF($B117="","",C117&amp;" "&amp;B117&amp;" - "&amp;E117)</f>
        <v/>
      </c>
      <c r="E117" s="17" t="str">
        <f>IF($B117="","",Paramètres!$A$16)</f>
        <v/>
      </c>
      <c r="F117" s="17" t="str">
        <f>IF($B117="","",Paramètres!$B$16)</f>
        <v/>
      </c>
      <c r="G117" s="17" t="str">
        <f>IF('Classe Grande section'!$B37="","",IF('Classe Grande section'!D37="","",'Classe Grande section'!D37))</f>
        <v/>
      </c>
      <c r="H117" s="78" t="str">
        <f>IF('Classe Grande section'!$B37="","",IF('Classe Grande section'!E37="","",'Classe Grande section'!E37))</f>
        <v/>
      </c>
      <c r="I117" s="16" t="str">
        <f>IF('Classe Grande section'!$B37="","",IF('Classe Grande section'!F37="","",'Classe Grande section'!F37))</f>
        <v/>
      </c>
      <c r="J117" s="16" t="str">
        <f>IF('Classe Grande section'!$B37="","",IF('Classe Grande section'!G37="","",'Classe Grande section'!G37))</f>
        <v/>
      </c>
      <c r="K117" s="18" t="str">
        <f>IF('Classe Grande section'!$B37="","",N('Classe Grande section'!H37))</f>
        <v/>
      </c>
      <c r="L117" s="18" t="str">
        <f>IF('Classe Grande section'!$B37="","",N('Classe Grande section'!I37))</f>
        <v/>
      </c>
      <c r="M117" s="18" t="str">
        <f>IF('Classe Grande section'!$B37="","",N('Classe Grande section'!J37))</f>
        <v/>
      </c>
      <c r="N117" s="18" t="str">
        <f>IF('Classe Grande section'!$B37="","",N('Classe Grande section'!K37))</f>
        <v/>
      </c>
      <c r="O117" s="18" t="str">
        <f>IF('Classe Grande section'!$B37="","",N('Classe Grande section'!L37))</f>
        <v/>
      </c>
      <c r="P117" s="18" t="str">
        <f>IF('Classe Grande section'!$B37="","",N('Classe Grande section'!M37))</f>
        <v/>
      </c>
      <c r="Q117" s="17" t="str">
        <f>IF('Classe Grande section'!$B37="","",IF('Classe Grande section'!Q37="","",'Classe Grande section'!Q37))</f>
        <v/>
      </c>
      <c r="R117" s="18" t="str">
        <f>IF('Classe Grande section'!$B37="","",N('Classe Grande section'!N37))</f>
        <v/>
      </c>
      <c r="S117" s="18" t="str">
        <f>IF('Classe Grande section'!$B37="","",N('Classe Grande section'!O37))</f>
        <v/>
      </c>
      <c r="T117" s="18" t="str">
        <f>IF('Classe Grande section'!$B37="","",N('Classe Grande section'!P37))</f>
        <v/>
      </c>
    </row>
    <row r="118">
      <c r="A118" s="20" t="str">
        <f>IF('Classe Grande section'!$B38="","",IF('Classe Grande section'!A38="","",'Classe Grande section'!A38))</f>
        <v/>
      </c>
      <c r="B118" s="20" t="str">
        <f>IF('Classe Grande section'!$B38="","",IF('Classe Grande section'!B38="","",'Classe Grande section'!B38))</f>
        <v/>
      </c>
      <c r="C118" s="20" t="str">
        <f>IF('Classe Grande section'!$B38="","",IF('Classe Grande section'!C38="","",'Classe Grande section'!C38))</f>
        <v/>
      </c>
      <c r="D118" s="20" t="str">
        <f>IF($B118="","",C118&amp;" "&amp;B118&amp;" - "&amp;E118)</f>
        <v/>
      </c>
      <c r="E118" s="21" t="str">
        <f>IF($B118="","",Paramètres!$A$16)</f>
        <v/>
      </c>
      <c r="F118" s="21" t="str">
        <f>IF($B118="","",Paramètres!$B$16)</f>
        <v/>
      </c>
      <c r="G118" s="21" t="str">
        <f>IF('Classe Grande section'!$B38="","",IF('Classe Grande section'!D38="","",'Classe Grande section'!D38))</f>
        <v/>
      </c>
      <c r="H118" s="77" t="str">
        <f>IF('Classe Grande section'!$B38="","",IF('Classe Grande section'!E38="","",'Classe Grande section'!E38))</f>
        <v/>
      </c>
      <c r="I118" s="20" t="str">
        <f>IF('Classe Grande section'!$B38="","",IF('Classe Grande section'!F38="","",'Classe Grande section'!F38))</f>
        <v/>
      </c>
      <c r="J118" s="20" t="str">
        <f>IF('Classe Grande section'!$B38="","",IF('Classe Grande section'!G38="","",'Classe Grande section'!G38))</f>
        <v/>
      </c>
      <c r="K118" s="51" t="str">
        <f>IF('Classe Grande section'!$B38="","",N('Classe Grande section'!H38))</f>
        <v/>
      </c>
      <c r="L118" s="51" t="str">
        <f>IF('Classe Grande section'!$B38="","",N('Classe Grande section'!I38))</f>
        <v/>
      </c>
      <c r="M118" s="51" t="str">
        <f>IF('Classe Grande section'!$B38="","",N('Classe Grande section'!J38))</f>
        <v/>
      </c>
      <c r="N118" s="51" t="str">
        <f>IF('Classe Grande section'!$B38="","",N('Classe Grande section'!K38))</f>
        <v/>
      </c>
      <c r="O118" s="51" t="str">
        <f>IF('Classe Grande section'!$B38="","",N('Classe Grande section'!L38))</f>
        <v/>
      </c>
      <c r="P118" s="51" t="str">
        <f>IF('Classe Grande section'!$B38="","",N('Classe Grande section'!M38))</f>
        <v/>
      </c>
      <c r="Q118" s="21" t="str">
        <f>IF('Classe Grande section'!$B38="","",IF('Classe Grande section'!Q38="","",'Classe Grande section'!Q38))</f>
        <v/>
      </c>
      <c r="R118" s="51" t="str">
        <f>IF('Classe Grande section'!$B38="","",N('Classe Grande section'!N38))</f>
        <v/>
      </c>
      <c r="S118" s="51" t="str">
        <f>IF('Classe Grande section'!$B38="","",N('Classe Grande section'!O38))</f>
        <v/>
      </c>
      <c r="T118" s="51" t="str">
        <f>IF('Classe Grande section'!$B38="","",N('Classe Grande section'!P38))</f>
        <v/>
      </c>
    </row>
    <row r="119">
      <c r="A119" s="16" t="str">
        <f>IF('Classe Grande section'!$B39="","",IF('Classe Grande section'!A39="","",'Classe Grande section'!A39))</f>
        <v/>
      </c>
      <c r="B119" s="16" t="str">
        <f>IF('Classe Grande section'!$B39="","",IF('Classe Grande section'!B39="","",'Classe Grande section'!B39))</f>
        <v/>
      </c>
      <c r="C119" s="16" t="str">
        <f>IF('Classe Grande section'!$B39="","",IF('Classe Grande section'!C39="","",'Classe Grande section'!C39))</f>
        <v/>
      </c>
      <c r="D119" s="16" t="str">
        <f>IF($B119="","",C119&amp;" "&amp;B119&amp;" - "&amp;E119)</f>
        <v/>
      </c>
      <c r="E119" s="17" t="str">
        <f>IF($B119="","",Paramètres!$A$16)</f>
        <v/>
      </c>
      <c r="F119" s="17" t="str">
        <f>IF($B119="","",Paramètres!$B$16)</f>
        <v/>
      </c>
      <c r="G119" s="17" t="str">
        <f>IF('Classe Grande section'!$B39="","",IF('Classe Grande section'!D39="","",'Classe Grande section'!D39))</f>
        <v/>
      </c>
      <c r="H119" s="78" t="str">
        <f>IF('Classe Grande section'!$B39="","",IF('Classe Grande section'!E39="","",'Classe Grande section'!E39))</f>
        <v/>
      </c>
      <c r="I119" s="16" t="str">
        <f>IF('Classe Grande section'!$B39="","",IF('Classe Grande section'!F39="","",'Classe Grande section'!F39))</f>
        <v/>
      </c>
      <c r="J119" s="16" t="str">
        <f>IF('Classe Grande section'!$B39="","",IF('Classe Grande section'!G39="","",'Classe Grande section'!G39))</f>
        <v/>
      </c>
      <c r="K119" s="18" t="str">
        <f>IF('Classe Grande section'!$B39="","",N('Classe Grande section'!H39))</f>
        <v/>
      </c>
      <c r="L119" s="18" t="str">
        <f>IF('Classe Grande section'!$B39="","",N('Classe Grande section'!I39))</f>
        <v/>
      </c>
      <c r="M119" s="18" t="str">
        <f>IF('Classe Grande section'!$B39="","",N('Classe Grande section'!J39))</f>
        <v/>
      </c>
      <c r="N119" s="18" t="str">
        <f>IF('Classe Grande section'!$B39="","",N('Classe Grande section'!K39))</f>
        <v/>
      </c>
      <c r="O119" s="18" t="str">
        <f>IF('Classe Grande section'!$B39="","",N('Classe Grande section'!L39))</f>
        <v/>
      </c>
      <c r="P119" s="18" t="str">
        <f>IF('Classe Grande section'!$B39="","",N('Classe Grande section'!M39))</f>
        <v/>
      </c>
      <c r="Q119" s="17" t="str">
        <f>IF('Classe Grande section'!$B39="","",IF('Classe Grande section'!Q39="","",'Classe Grande section'!Q39))</f>
        <v/>
      </c>
      <c r="R119" s="18" t="str">
        <f>IF('Classe Grande section'!$B39="","",N('Classe Grande section'!N39))</f>
        <v/>
      </c>
      <c r="S119" s="18" t="str">
        <f>IF('Classe Grande section'!$B39="","",N('Classe Grande section'!O39))</f>
        <v/>
      </c>
      <c r="T119" s="18" t="str">
        <f>IF('Classe Grande section'!$B39="","",N('Classe Grande section'!P39))</f>
        <v/>
      </c>
    </row>
    <row r="120">
      <c r="A120" s="20" t="str">
        <f>IF('Classe Grande section'!$B40="","",IF('Classe Grande section'!A40="","",'Classe Grande section'!A40))</f>
        <v/>
      </c>
      <c r="B120" s="20" t="str">
        <f>IF('Classe Grande section'!$B40="","",IF('Classe Grande section'!B40="","",'Classe Grande section'!B40))</f>
        <v/>
      </c>
      <c r="C120" s="20" t="str">
        <f>IF('Classe Grande section'!$B40="","",IF('Classe Grande section'!C40="","",'Classe Grande section'!C40))</f>
        <v/>
      </c>
      <c r="D120" s="20" t="str">
        <f>IF($B120="","",C120&amp;" "&amp;B120&amp;" - "&amp;E120)</f>
        <v/>
      </c>
      <c r="E120" s="21" t="str">
        <f>IF($B120="","",Paramètres!$A$16)</f>
        <v/>
      </c>
      <c r="F120" s="21" t="str">
        <f>IF($B120="","",Paramètres!$B$16)</f>
        <v/>
      </c>
      <c r="G120" s="21" t="str">
        <f>IF('Classe Grande section'!$B40="","",IF('Classe Grande section'!D40="","",'Classe Grande section'!D40))</f>
        <v/>
      </c>
      <c r="H120" s="77" t="str">
        <f>IF('Classe Grande section'!$B40="","",IF('Classe Grande section'!E40="","",'Classe Grande section'!E40))</f>
        <v/>
      </c>
      <c r="I120" s="20" t="str">
        <f>IF('Classe Grande section'!$B40="","",IF('Classe Grande section'!F40="","",'Classe Grande section'!F40))</f>
        <v/>
      </c>
      <c r="J120" s="20" t="str">
        <f>IF('Classe Grande section'!$B40="","",IF('Classe Grande section'!G40="","",'Classe Grande section'!G40))</f>
        <v/>
      </c>
      <c r="K120" s="51" t="str">
        <f>IF('Classe Grande section'!$B40="","",N('Classe Grande section'!H40))</f>
        <v/>
      </c>
      <c r="L120" s="51" t="str">
        <f>IF('Classe Grande section'!$B40="","",N('Classe Grande section'!I40))</f>
        <v/>
      </c>
      <c r="M120" s="51" t="str">
        <f>IF('Classe Grande section'!$B40="","",N('Classe Grande section'!J40))</f>
        <v/>
      </c>
      <c r="N120" s="51" t="str">
        <f>IF('Classe Grande section'!$B40="","",N('Classe Grande section'!K40))</f>
        <v/>
      </c>
      <c r="O120" s="51" t="str">
        <f>IF('Classe Grande section'!$B40="","",N('Classe Grande section'!L40))</f>
        <v/>
      </c>
      <c r="P120" s="51" t="str">
        <f>IF('Classe Grande section'!$B40="","",N('Classe Grande section'!M40))</f>
        <v/>
      </c>
      <c r="Q120" s="21" t="str">
        <f>IF('Classe Grande section'!$B40="","",IF('Classe Grande section'!Q40="","",'Classe Grande section'!Q40))</f>
        <v/>
      </c>
      <c r="R120" s="51" t="str">
        <f>IF('Classe Grande section'!$B40="","",N('Classe Grande section'!N40))</f>
        <v/>
      </c>
      <c r="S120" s="51" t="str">
        <f>IF('Classe Grande section'!$B40="","",N('Classe Grande section'!O40))</f>
        <v/>
      </c>
      <c r="T120" s="51" t="str">
        <f>IF('Classe Grande section'!$B40="","",N('Classe Grande section'!P40))</f>
        <v/>
      </c>
    </row>
    <row r="121">
      <c r="A121" s="16" t="str">
        <f>IF('Classe Grande section'!$B41="","",IF('Classe Grande section'!A41="","",'Classe Grande section'!A41))</f>
        <v/>
      </c>
      <c r="B121" s="16" t="str">
        <f>IF('Classe Grande section'!$B41="","",IF('Classe Grande section'!B41="","",'Classe Grande section'!B41))</f>
        <v/>
      </c>
      <c r="C121" s="16" t="str">
        <f>IF('Classe Grande section'!$B41="","",IF('Classe Grande section'!C41="","",'Classe Grande section'!C41))</f>
        <v/>
      </c>
      <c r="D121" s="16" t="str">
        <f>IF($B121="","",C121&amp;" "&amp;B121&amp;" - "&amp;E121)</f>
        <v/>
      </c>
      <c r="E121" s="17" t="str">
        <f>IF($B121="","",Paramètres!$A$16)</f>
        <v/>
      </c>
      <c r="F121" s="17" t="str">
        <f>IF($B121="","",Paramètres!$B$16)</f>
        <v/>
      </c>
      <c r="G121" s="17" t="str">
        <f>IF('Classe Grande section'!$B41="","",IF('Classe Grande section'!D41="","",'Classe Grande section'!D41))</f>
        <v/>
      </c>
      <c r="H121" s="78" t="str">
        <f>IF('Classe Grande section'!$B41="","",IF('Classe Grande section'!E41="","",'Classe Grande section'!E41))</f>
        <v/>
      </c>
      <c r="I121" s="16" t="str">
        <f>IF('Classe Grande section'!$B41="","",IF('Classe Grande section'!F41="","",'Classe Grande section'!F41))</f>
        <v/>
      </c>
      <c r="J121" s="16" t="str">
        <f>IF('Classe Grande section'!$B41="","",IF('Classe Grande section'!G41="","",'Classe Grande section'!G41))</f>
        <v/>
      </c>
      <c r="K121" s="18" t="str">
        <f>IF('Classe Grande section'!$B41="","",N('Classe Grande section'!H41))</f>
        <v/>
      </c>
      <c r="L121" s="18" t="str">
        <f>IF('Classe Grande section'!$B41="","",N('Classe Grande section'!I41))</f>
        <v/>
      </c>
      <c r="M121" s="18" t="str">
        <f>IF('Classe Grande section'!$B41="","",N('Classe Grande section'!J41))</f>
        <v/>
      </c>
      <c r="N121" s="18" t="str">
        <f>IF('Classe Grande section'!$B41="","",N('Classe Grande section'!K41))</f>
        <v/>
      </c>
      <c r="O121" s="18" t="str">
        <f>IF('Classe Grande section'!$B41="","",N('Classe Grande section'!L41))</f>
        <v/>
      </c>
      <c r="P121" s="18" t="str">
        <f>IF('Classe Grande section'!$B41="","",N('Classe Grande section'!M41))</f>
        <v/>
      </c>
      <c r="Q121" s="17" t="str">
        <f>IF('Classe Grande section'!$B41="","",IF('Classe Grande section'!Q41="","",'Classe Grande section'!Q41))</f>
        <v/>
      </c>
      <c r="R121" s="18" t="str">
        <f>IF('Classe Grande section'!$B41="","",N('Classe Grande section'!N41))</f>
        <v/>
      </c>
      <c r="S121" s="18" t="str">
        <f>IF('Classe Grande section'!$B41="","",N('Classe Grande section'!O41))</f>
        <v/>
      </c>
      <c r="T121" s="18" t="str">
        <f>IF('Classe Grande section'!$B41="","",N('Classe Grande section'!P41))</f>
        <v/>
      </c>
    </row>
    <row r="122">
      <c r="A122" s="20" t="str">
        <f>IF('Classe Grande section'!$B42="","",IF('Classe Grande section'!A42="","",'Classe Grande section'!A42))</f>
        <v/>
      </c>
      <c r="B122" s="20" t="str">
        <f>IF('Classe Grande section'!$B42="","",IF('Classe Grande section'!B42="","",'Classe Grande section'!B42))</f>
        <v/>
      </c>
      <c r="C122" s="20" t="str">
        <f>IF('Classe Grande section'!$B42="","",IF('Classe Grande section'!C42="","",'Classe Grande section'!C42))</f>
        <v/>
      </c>
      <c r="D122" s="20" t="str">
        <f>IF($B122="","",C122&amp;" "&amp;B122&amp;" - "&amp;E122)</f>
        <v/>
      </c>
      <c r="E122" s="21" t="str">
        <f>IF($B122="","",Paramètres!$A$16)</f>
        <v/>
      </c>
      <c r="F122" s="21" t="str">
        <f>IF($B122="","",Paramètres!$B$16)</f>
        <v/>
      </c>
      <c r="G122" s="21" t="str">
        <f>IF('Classe Grande section'!$B42="","",IF('Classe Grande section'!D42="","",'Classe Grande section'!D42))</f>
        <v/>
      </c>
      <c r="H122" s="77" t="str">
        <f>IF('Classe Grande section'!$B42="","",IF('Classe Grande section'!E42="","",'Classe Grande section'!E42))</f>
        <v/>
      </c>
      <c r="I122" s="20" t="str">
        <f>IF('Classe Grande section'!$B42="","",IF('Classe Grande section'!F42="","",'Classe Grande section'!F42))</f>
        <v/>
      </c>
      <c r="J122" s="20" t="str">
        <f>IF('Classe Grande section'!$B42="","",IF('Classe Grande section'!G42="","",'Classe Grande section'!G42))</f>
        <v/>
      </c>
      <c r="K122" s="51" t="str">
        <f>IF('Classe Grande section'!$B42="","",N('Classe Grande section'!H42))</f>
        <v/>
      </c>
      <c r="L122" s="51" t="str">
        <f>IF('Classe Grande section'!$B42="","",N('Classe Grande section'!I42))</f>
        <v/>
      </c>
      <c r="M122" s="51" t="str">
        <f>IF('Classe Grande section'!$B42="","",N('Classe Grande section'!J42))</f>
        <v/>
      </c>
      <c r="N122" s="51" t="str">
        <f>IF('Classe Grande section'!$B42="","",N('Classe Grande section'!K42))</f>
        <v/>
      </c>
      <c r="O122" s="51" t="str">
        <f>IF('Classe Grande section'!$B42="","",N('Classe Grande section'!L42))</f>
        <v/>
      </c>
      <c r="P122" s="51" t="str">
        <f>IF('Classe Grande section'!$B42="","",N('Classe Grande section'!M42))</f>
        <v/>
      </c>
      <c r="Q122" s="21" t="str">
        <f>IF('Classe Grande section'!$B42="","",IF('Classe Grande section'!Q42="","",'Classe Grande section'!Q42))</f>
        <v/>
      </c>
      <c r="R122" s="51" t="str">
        <f>IF('Classe Grande section'!$B42="","",N('Classe Grande section'!N42))</f>
        <v/>
      </c>
      <c r="S122" s="51" t="str">
        <f>IF('Classe Grande section'!$B42="","",N('Classe Grande section'!O42))</f>
        <v/>
      </c>
      <c r="T122" s="51" t="str">
        <f>IF('Classe Grande section'!$B42="","",N('Classe Grande section'!P42))</f>
        <v/>
      </c>
    </row>
    <row r="123">
      <c r="A123" s="16" t="str">
        <f>IF('Classe Grande section'!$B43="","",IF('Classe Grande section'!A43="","",'Classe Grande section'!A43))</f>
        <v/>
      </c>
      <c r="B123" s="16" t="str">
        <f>IF('Classe Grande section'!$B43="","",IF('Classe Grande section'!B43="","",'Classe Grande section'!B43))</f>
        <v/>
      </c>
      <c r="C123" s="16" t="str">
        <f>IF('Classe Grande section'!$B43="","",IF('Classe Grande section'!C43="","",'Classe Grande section'!C43))</f>
        <v/>
      </c>
      <c r="D123" s="16" t="str">
        <f>IF($B123="","",C123&amp;" "&amp;B123&amp;" - "&amp;E123)</f>
        <v/>
      </c>
      <c r="E123" s="17" t="str">
        <f>IF($B123="","",Paramètres!$A$16)</f>
        <v/>
      </c>
      <c r="F123" s="17" t="str">
        <f>IF($B123="","",Paramètres!$B$16)</f>
        <v/>
      </c>
      <c r="G123" s="17" t="str">
        <f>IF('Classe Grande section'!$B43="","",IF('Classe Grande section'!D43="","",'Classe Grande section'!D43))</f>
        <v/>
      </c>
      <c r="H123" s="78" t="str">
        <f>IF('Classe Grande section'!$B43="","",IF('Classe Grande section'!E43="","",'Classe Grande section'!E43))</f>
        <v/>
      </c>
      <c r="I123" s="16" t="str">
        <f>IF('Classe Grande section'!$B43="","",IF('Classe Grande section'!F43="","",'Classe Grande section'!F43))</f>
        <v/>
      </c>
      <c r="J123" s="16" t="str">
        <f>IF('Classe Grande section'!$B43="","",IF('Classe Grande section'!G43="","",'Classe Grande section'!G43))</f>
        <v/>
      </c>
      <c r="K123" s="18" t="str">
        <f>IF('Classe Grande section'!$B43="","",N('Classe Grande section'!H43))</f>
        <v/>
      </c>
      <c r="L123" s="18" t="str">
        <f>IF('Classe Grande section'!$B43="","",N('Classe Grande section'!I43))</f>
        <v/>
      </c>
      <c r="M123" s="18" t="str">
        <f>IF('Classe Grande section'!$B43="","",N('Classe Grande section'!J43))</f>
        <v/>
      </c>
      <c r="N123" s="18" t="str">
        <f>IF('Classe Grande section'!$B43="","",N('Classe Grande section'!K43))</f>
        <v/>
      </c>
      <c r="O123" s="18" t="str">
        <f>IF('Classe Grande section'!$B43="","",N('Classe Grande section'!L43))</f>
        <v/>
      </c>
      <c r="P123" s="18" t="str">
        <f>IF('Classe Grande section'!$B43="","",N('Classe Grande section'!M43))</f>
        <v/>
      </c>
      <c r="Q123" s="17" t="str">
        <f>IF('Classe Grande section'!$B43="","",IF('Classe Grande section'!Q43="","",'Classe Grande section'!Q43))</f>
        <v/>
      </c>
      <c r="R123" s="18" t="str">
        <f>IF('Classe Grande section'!$B43="","",N('Classe Grande section'!N43))</f>
        <v/>
      </c>
      <c r="S123" s="18" t="str">
        <f>IF('Classe Grande section'!$B43="","",N('Classe Grande section'!O43))</f>
        <v/>
      </c>
      <c r="T123" s="18" t="str">
        <f>IF('Classe Grande section'!$B43="","",N('Classe Grande section'!P43))</f>
        <v/>
      </c>
    </row>
    <row r="124">
      <c r="A124" s="20" t="str">
        <f>IF('Classe Grande section'!$B44="","",IF('Classe Grande section'!A44="","",'Classe Grande section'!A44))</f>
        <v/>
      </c>
      <c r="B124" s="20" t="str">
        <f>IF('Classe Grande section'!$B44="","",IF('Classe Grande section'!B44="","",'Classe Grande section'!B44))</f>
        <v/>
      </c>
      <c r="C124" s="20" t="str">
        <f>IF('Classe Grande section'!$B44="","",IF('Classe Grande section'!C44="","",'Classe Grande section'!C44))</f>
        <v/>
      </c>
      <c r="D124" s="20" t="str">
        <f>IF($B124="","",C124&amp;" "&amp;B124&amp;" - "&amp;E124)</f>
        <v/>
      </c>
      <c r="E124" s="21" t="str">
        <f>IF($B124="","",Paramètres!$A$16)</f>
        <v/>
      </c>
      <c r="F124" s="21" t="str">
        <f>IF($B124="","",Paramètres!$B$16)</f>
        <v/>
      </c>
      <c r="G124" s="21" t="str">
        <f>IF('Classe Grande section'!$B44="","",IF('Classe Grande section'!D44="","",'Classe Grande section'!D44))</f>
        <v/>
      </c>
      <c r="H124" s="77" t="str">
        <f>IF('Classe Grande section'!$B44="","",IF('Classe Grande section'!E44="","",'Classe Grande section'!E44))</f>
        <v/>
      </c>
      <c r="I124" s="20" t="str">
        <f>IF('Classe Grande section'!$B44="","",IF('Classe Grande section'!F44="","",'Classe Grande section'!F44))</f>
        <v/>
      </c>
      <c r="J124" s="20" t="str">
        <f>IF('Classe Grande section'!$B44="","",IF('Classe Grande section'!G44="","",'Classe Grande section'!G44))</f>
        <v/>
      </c>
      <c r="K124" s="51" t="str">
        <f>IF('Classe Grande section'!$B44="","",N('Classe Grande section'!H44))</f>
        <v/>
      </c>
      <c r="L124" s="51" t="str">
        <f>IF('Classe Grande section'!$B44="","",N('Classe Grande section'!I44))</f>
        <v/>
      </c>
      <c r="M124" s="51" t="str">
        <f>IF('Classe Grande section'!$B44="","",N('Classe Grande section'!J44))</f>
        <v/>
      </c>
      <c r="N124" s="51" t="str">
        <f>IF('Classe Grande section'!$B44="","",N('Classe Grande section'!K44))</f>
        <v/>
      </c>
      <c r="O124" s="51" t="str">
        <f>IF('Classe Grande section'!$B44="","",N('Classe Grande section'!L44))</f>
        <v/>
      </c>
      <c r="P124" s="51" t="str">
        <f>IF('Classe Grande section'!$B44="","",N('Classe Grande section'!M44))</f>
        <v/>
      </c>
      <c r="Q124" s="21" t="str">
        <f>IF('Classe Grande section'!$B44="","",IF('Classe Grande section'!Q44="","",'Classe Grande section'!Q44))</f>
        <v/>
      </c>
      <c r="R124" s="51" t="str">
        <f>IF('Classe Grande section'!$B44="","",N('Classe Grande section'!N44))</f>
        <v/>
      </c>
      <c r="S124" s="51" t="str">
        <f>IF('Classe Grande section'!$B44="","",N('Classe Grande section'!O44))</f>
        <v/>
      </c>
      <c r="T124" s="51" t="str">
        <f>IF('Classe Grande section'!$B44="","",N('Classe Grande section'!P44))</f>
        <v/>
      </c>
    </row>
    <row r="125">
      <c r="A125" s="16" t="str">
        <f>IF('Classe Grande section'!$B45="","",IF('Classe Grande section'!A45="","",'Classe Grande section'!A45))</f>
        <v/>
      </c>
      <c r="B125" s="16" t="str">
        <f>IF('Classe Grande section'!$B45="","",IF('Classe Grande section'!B45="","",'Classe Grande section'!B45))</f>
        <v/>
      </c>
      <c r="C125" s="16" t="str">
        <f>IF('Classe Grande section'!$B45="","",IF('Classe Grande section'!C45="","",'Classe Grande section'!C45))</f>
        <v/>
      </c>
      <c r="D125" s="16" t="str">
        <f>IF($B125="","",C125&amp;" "&amp;B125&amp;" - "&amp;E125)</f>
        <v/>
      </c>
      <c r="E125" s="17" t="str">
        <f>IF($B125="","",Paramètres!$A$16)</f>
        <v/>
      </c>
      <c r="F125" s="17" t="str">
        <f>IF($B125="","",Paramètres!$B$16)</f>
        <v/>
      </c>
      <c r="G125" s="17" t="str">
        <f>IF('Classe Grande section'!$B45="","",IF('Classe Grande section'!D45="","",'Classe Grande section'!D45))</f>
        <v/>
      </c>
      <c r="H125" s="78" t="str">
        <f>IF('Classe Grande section'!$B45="","",IF('Classe Grande section'!E45="","",'Classe Grande section'!E45))</f>
        <v/>
      </c>
      <c r="I125" s="16" t="str">
        <f>IF('Classe Grande section'!$B45="","",IF('Classe Grande section'!F45="","",'Classe Grande section'!F45))</f>
        <v/>
      </c>
      <c r="J125" s="16" t="str">
        <f>IF('Classe Grande section'!$B45="","",IF('Classe Grande section'!G45="","",'Classe Grande section'!G45))</f>
        <v/>
      </c>
      <c r="K125" s="18" t="str">
        <f>IF('Classe Grande section'!$B45="","",N('Classe Grande section'!H45))</f>
        <v/>
      </c>
      <c r="L125" s="18" t="str">
        <f>IF('Classe Grande section'!$B45="","",N('Classe Grande section'!I45))</f>
        <v/>
      </c>
      <c r="M125" s="18" t="str">
        <f>IF('Classe Grande section'!$B45="","",N('Classe Grande section'!J45))</f>
        <v/>
      </c>
      <c r="N125" s="18" t="str">
        <f>IF('Classe Grande section'!$B45="","",N('Classe Grande section'!K45))</f>
        <v/>
      </c>
      <c r="O125" s="18" t="str">
        <f>IF('Classe Grande section'!$B45="","",N('Classe Grande section'!L45))</f>
        <v/>
      </c>
      <c r="P125" s="18" t="str">
        <f>IF('Classe Grande section'!$B45="","",N('Classe Grande section'!M45))</f>
        <v/>
      </c>
      <c r="Q125" s="17" t="str">
        <f>IF('Classe Grande section'!$B45="","",IF('Classe Grande section'!Q45="","",'Classe Grande section'!Q45))</f>
        <v/>
      </c>
      <c r="R125" s="18" t="str">
        <f>IF('Classe Grande section'!$B45="","",N('Classe Grande section'!N45))</f>
        <v/>
      </c>
      <c r="S125" s="18" t="str">
        <f>IF('Classe Grande section'!$B45="","",N('Classe Grande section'!O45))</f>
        <v/>
      </c>
      <c r="T125" s="18" t="str">
        <f>IF('Classe Grande section'!$B45="","",N('Classe Grande section'!P45))</f>
        <v/>
      </c>
    </row>
    <row r="126">
      <c r="A126" s="20" t="str">
        <f>IF('Classe Grande section'!$B46="","",IF('Classe Grande section'!A46="","",'Classe Grande section'!A46))</f>
        <v/>
      </c>
      <c r="B126" s="20" t="str">
        <f>IF('Classe Grande section'!$B46="","",IF('Classe Grande section'!B46="","",'Classe Grande section'!B46))</f>
        <v/>
      </c>
      <c r="C126" s="20" t="str">
        <f>IF('Classe Grande section'!$B46="","",IF('Classe Grande section'!C46="","",'Classe Grande section'!C46))</f>
        <v/>
      </c>
      <c r="D126" s="20" t="str">
        <f>IF($B126="","",C126&amp;" "&amp;B126&amp;" - "&amp;E126)</f>
        <v/>
      </c>
      <c r="E126" s="21" t="str">
        <f>IF($B126="","",Paramètres!$A$16)</f>
        <v/>
      </c>
      <c r="F126" s="21" t="str">
        <f>IF($B126="","",Paramètres!$B$16)</f>
        <v/>
      </c>
      <c r="G126" s="21" t="str">
        <f>IF('Classe Grande section'!$B46="","",IF('Classe Grande section'!D46="","",'Classe Grande section'!D46))</f>
        <v/>
      </c>
      <c r="H126" s="77" t="str">
        <f>IF('Classe Grande section'!$B46="","",IF('Classe Grande section'!E46="","",'Classe Grande section'!E46))</f>
        <v/>
      </c>
      <c r="I126" s="20" t="str">
        <f>IF('Classe Grande section'!$B46="","",IF('Classe Grande section'!F46="","",'Classe Grande section'!F46))</f>
        <v/>
      </c>
      <c r="J126" s="20" t="str">
        <f>IF('Classe Grande section'!$B46="","",IF('Classe Grande section'!G46="","",'Classe Grande section'!G46))</f>
        <v/>
      </c>
      <c r="K126" s="51" t="str">
        <f>IF('Classe Grande section'!$B46="","",N('Classe Grande section'!H46))</f>
        <v/>
      </c>
      <c r="L126" s="51" t="str">
        <f>IF('Classe Grande section'!$B46="","",N('Classe Grande section'!I46))</f>
        <v/>
      </c>
      <c r="M126" s="51" t="str">
        <f>IF('Classe Grande section'!$B46="","",N('Classe Grande section'!J46))</f>
        <v/>
      </c>
      <c r="N126" s="51" t="str">
        <f>IF('Classe Grande section'!$B46="","",N('Classe Grande section'!K46))</f>
        <v/>
      </c>
      <c r="O126" s="51" t="str">
        <f>IF('Classe Grande section'!$B46="","",N('Classe Grande section'!L46))</f>
        <v/>
      </c>
      <c r="P126" s="51" t="str">
        <f>IF('Classe Grande section'!$B46="","",N('Classe Grande section'!M46))</f>
        <v/>
      </c>
      <c r="Q126" s="21" t="str">
        <f>IF('Classe Grande section'!$B46="","",IF('Classe Grande section'!Q46="","",'Classe Grande section'!Q46))</f>
        <v/>
      </c>
      <c r="R126" s="51" t="str">
        <f>IF('Classe Grande section'!$B46="","",N('Classe Grande section'!N46))</f>
        <v/>
      </c>
      <c r="S126" s="51" t="str">
        <f>IF('Classe Grande section'!$B46="","",N('Classe Grande section'!O46))</f>
        <v/>
      </c>
      <c r="T126" s="51" t="str">
        <f>IF('Classe Grande section'!$B46="","",N('Classe Grande section'!P46))</f>
        <v/>
      </c>
    </row>
    <row r="127">
      <c r="A127" s="16" t="str">
        <f>IF('Classe Grande section'!$B47="","",IF('Classe Grande section'!A47="","",'Classe Grande section'!A47))</f>
        <v/>
      </c>
      <c r="B127" s="16" t="str">
        <f>IF('Classe Grande section'!$B47="","",IF('Classe Grande section'!B47="","",'Classe Grande section'!B47))</f>
        <v/>
      </c>
      <c r="C127" s="16" t="str">
        <f>IF('Classe Grande section'!$B47="","",IF('Classe Grande section'!C47="","",'Classe Grande section'!C47))</f>
        <v/>
      </c>
      <c r="D127" s="16" t="str">
        <f>IF($B127="","",C127&amp;" "&amp;B127&amp;" - "&amp;E127)</f>
        <v/>
      </c>
      <c r="E127" s="17" t="str">
        <f>IF($B127="","",Paramètres!$A$16)</f>
        <v/>
      </c>
      <c r="F127" s="17" t="str">
        <f>IF($B127="","",Paramètres!$B$16)</f>
        <v/>
      </c>
      <c r="G127" s="17" t="str">
        <f>IF('Classe Grande section'!$B47="","",IF('Classe Grande section'!D47="","",'Classe Grande section'!D47))</f>
        <v/>
      </c>
      <c r="H127" s="78" t="str">
        <f>IF('Classe Grande section'!$B47="","",IF('Classe Grande section'!E47="","",'Classe Grande section'!E47))</f>
        <v/>
      </c>
      <c r="I127" s="16" t="str">
        <f>IF('Classe Grande section'!$B47="","",IF('Classe Grande section'!F47="","",'Classe Grande section'!F47))</f>
        <v/>
      </c>
      <c r="J127" s="16" t="str">
        <f>IF('Classe Grande section'!$B47="","",IF('Classe Grande section'!G47="","",'Classe Grande section'!G47))</f>
        <v/>
      </c>
      <c r="K127" s="18" t="str">
        <f>IF('Classe Grande section'!$B47="","",N('Classe Grande section'!H47))</f>
        <v/>
      </c>
      <c r="L127" s="18" t="str">
        <f>IF('Classe Grande section'!$B47="","",N('Classe Grande section'!I47))</f>
        <v/>
      </c>
      <c r="M127" s="18" t="str">
        <f>IF('Classe Grande section'!$B47="","",N('Classe Grande section'!J47))</f>
        <v/>
      </c>
      <c r="N127" s="18" t="str">
        <f>IF('Classe Grande section'!$B47="","",N('Classe Grande section'!K47))</f>
        <v/>
      </c>
      <c r="O127" s="18" t="str">
        <f>IF('Classe Grande section'!$B47="","",N('Classe Grande section'!L47))</f>
        <v/>
      </c>
      <c r="P127" s="18" t="str">
        <f>IF('Classe Grande section'!$B47="","",N('Classe Grande section'!M47))</f>
        <v/>
      </c>
      <c r="Q127" s="17" t="str">
        <f>IF('Classe Grande section'!$B47="","",IF('Classe Grande section'!Q47="","",'Classe Grande section'!Q47))</f>
        <v/>
      </c>
      <c r="R127" s="18" t="str">
        <f>IF('Classe Grande section'!$B47="","",N('Classe Grande section'!N47))</f>
        <v/>
      </c>
      <c r="S127" s="18" t="str">
        <f>IF('Classe Grande section'!$B47="","",N('Classe Grande section'!O47))</f>
        <v/>
      </c>
      <c r="T127" s="18" t="str">
        <f>IF('Classe Grande section'!$B47="","",N('Classe Grande section'!P47))</f>
        <v/>
      </c>
    </row>
    <row r="128">
      <c r="A128" s="20" t="str">
        <f>IF('Classe Grande section'!$B48="","",IF('Classe Grande section'!A48="","",'Classe Grande section'!A48))</f>
        <v/>
      </c>
      <c r="B128" s="20" t="str">
        <f>IF('Classe Grande section'!$B48="","",IF('Classe Grande section'!B48="","",'Classe Grande section'!B48))</f>
        <v/>
      </c>
      <c r="C128" s="20" t="str">
        <f>IF('Classe Grande section'!$B48="","",IF('Classe Grande section'!C48="","",'Classe Grande section'!C48))</f>
        <v/>
      </c>
      <c r="D128" s="20" t="str">
        <f>IF($B128="","",C128&amp;" "&amp;B128&amp;" - "&amp;E128)</f>
        <v/>
      </c>
      <c r="E128" s="21" t="str">
        <f>IF($B128="","",Paramètres!$A$16)</f>
        <v/>
      </c>
      <c r="F128" s="21" t="str">
        <f>IF($B128="","",Paramètres!$B$16)</f>
        <v/>
      </c>
      <c r="G128" s="21" t="str">
        <f>IF('Classe Grande section'!$B48="","",IF('Classe Grande section'!D48="","",'Classe Grande section'!D48))</f>
        <v/>
      </c>
      <c r="H128" s="77" t="str">
        <f>IF('Classe Grande section'!$B48="","",IF('Classe Grande section'!E48="","",'Classe Grande section'!E48))</f>
        <v/>
      </c>
      <c r="I128" s="20" t="str">
        <f>IF('Classe Grande section'!$B48="","",IF('Classe Grande section'!F48="","",'Classe Grande section'!F48))</f>
        <v/>
      </c>
      <c r="J128" s="20" t="str">
        <f>IF('Classe Grande section'!$B48="","",IF('Classe Grande section'!G48="","",'Classe Grande section'!G48))</f>
        <v/>
      </c>
      <c r="K128" s="51" t="str">
        <f>IF('Classe Grande section'!$B48="","",N('Classe Grande section'!H48))</f>
        <v/>
      </c>
      <c r="L128" s="51" t="str">
        <f>IF('Classe Grande section'!$B48="","",N('Classe Grande section'!I48))</f>
        <v/>
      </c>
      <c r="M128" s="51" t="str">
        <f>IF('Classe Grande section'!$B48="","",N('Classe Grande section'!J48))</f>
        <v/>
      </c>
      <c r="N128" s="51" t="str">
        <f>IF('Classe Grande section'!$B48="","",N('Classe Grande section'!K48))</f>
        <v/>
      </c>
      <c r="O128" s="51" t="str">
        <f>IF('Classe Grande section'!$B48="","",N('Classe Grande section'!L48))</f>
        <v/>
      </c>
      <c r="P128" s="51" t="str">
        <f>IF('Classe Grande section'!$B48="","",N('Classe Grande section'!M48))</f>
        <v/>
      </c>
      <c r="Q128" s="21" t="str">
        <f>IF('Classe Grande section'!$B48="","",IF('Classe Grande section'!Q48="","",'Classe Grande section'!Q48))</f>
        <v/>
      </c>
      <c r="R128" s="51" t="str">
        <f>IF('Classe Grande section'!$B48="","",N('Classe Grande section'!N48))</f>
        <v/>
      </c>
      <c r="S128" s="51" t="str">
        <f>IF('Classe Grande section'!$B48="","",N('Classe Grande section'!O48))</f>
        <v/>
      </c>
      <c r="T128" s="51" t="str">
        <f>IF('Classe Grande section'!$B48="","",N('Classe Grande section'!P48))</f>
        <v/>
      </c>
    </row>
    <row r="129">
      <c r="A129" s="16" t="str">
        <f>IF('Classe Grande section'!$B49="","",IF('Classe Grande section'!A49="","",'Classe Grande section'!A49))</f>
        <v/>
      </c>
      <c r="B129" s="16" t="str">
        <f>IF('Classe Grande section'!$B49="","",IF('Classe Grande section'!B49="","",'Classe Grande section'!B49))</f>
        <v/>
      </c>
      <c r="C129" s="16" t="str">
        <f>IF('Classe Grande section'!$B49="","",IF('Classe Grande section'!C49="","",'Classe Grande section'!C49))</f>
        <v/>
      </c>
      <c r="D129" s="16" t="str">
        <f>IF($B129="","",C129&amp;" "&amp;B129&amp;" - "&amp;E129)</f>
        <v/>
      </c>
      <c r="E129" s="17" t="str">
        <f>IF($B129="","",Paramètres!$A$16)</f>
        <v/>
      </c>
      <c r="F129" s="17" t="str">
        <f>IF($B129="","",Paramètres!$B$16)</f>
        <v/>
      </c>
      <c r="G129" s="17" t="str">
        <f>IF('Classe Grande section'!$B49="","",IF('Classe Grande section'!D49="","",'Classe Grande section'!D49))</f>
        <v/>
      </c>
      <c r="H129" s="78" t="str">
        <f>IF('Classe Grande section'!$B49="","",IF('Classe Grande section'!E49="","",'Classe Grande section'!E49))</f>
        <v/>
      </c>
      <c r="I129" s="16" t="str">
        <f>IF('Classe Grande section'!$B49="","",IF('Classe Grande section'!F49="","",'Classe Grande section'!F49))</f>
        <v/>
      </c>
      <c r="J129" s="16" t="str">
        <f>IF('Classe Grande section'!$B49="","",IF('Classe Grande section'!G49="","",'Classe Grande section'!G49))</f>
        <v/>
      </c>
      <c r="K129" s="18" t="str">
        <f>IF('Classe Grande section'!$B49="","",N('Classe Grande section'!H49))</f>
        <v/>
      </c>
      <c r="L129" s="18" t="str">
        <f>IF('Classe Grande section'!$B49="","",N('Classe Grande section'!I49))</f>
        <v/>
      </c>
      <c r="M129" s="18" t="str">
        <f>IF('Classe Grande section'!$B49="","",N('Classe Grande section'!J49))</f>
        <v/>
      </c>
      <c r="N129" s="18" t="str">
        <f>IF('Classe Grande section'!$B49="","",N('Classe Grande section'!K49))</f>
        <v/>
      </c>
      <c r="O129" s="18" t="str">
        <f>IF('Classe Grande section'!$B49="","",N('Classe Grande section'!L49))</f>
        <v/>
      </c>
      <c r="P129" s="18" t="str">
        <f>IF('Classe Grande section'!$B49="","",N('Classe Grande section'!M49))</f>
        <v/>
      </c>
      <c r="Q129" s="17" t="str">
        <f>IF('Classe Grande section'!$B49="","",IF('Classe Grande section'!Q49="","",'Classe Grande section'!Q49))</f>
        <v/>
      </c>
      <c r="R129" s="18" t="str">
        <f>IF('Classe Grande section'!$B49="","",N('Classe Grande section'!N49))</f>
        <v/>
      </c>
      <c r="S129" s="18" t="str">
        <f>IF('Classe Grande section'!$B49="","",N('Classe Grande section'!O49))</f>
        <v/>
      </c>
      <c r="T129" s="18" t="str">
        <f>IF('Classe Grande section'!$B49="","",N('Classe Grande section'!P49))</f>
        <v/>
      </c>
    </row>
    <row r="130">
      <c r="A130" s="20" t="str">
        <f>IF('Classe Grande section'!$B50="","",IF('Classe Grande section'!A50="","",'Classe Grande section'!A50))</f>
        <v/>
      </c>
      <c r="B130" s="20" t="str">
        <f>IF('Classe Grande section'!$B50="","",IF('Classe Grande section'!B50="","",'Classe Grande section'!B50))</f>
        <v/>
      </c>
      <c r="C130" s="20" t="str">
        <f>IF('Classe Grande section'!$B50="","",IF('Classe Grande section'!C50="","",'Classe Grande section'!C50))</f>
        <v/>
      </c>
      <c r="D130" s="20" t="str">
        <f>IF($B130="","",C130&amp;" "&amp;B130&amp;" - "&amp;E130)</f>
        <v/>
      </c>
      <c r="E130" s="21" t="str">
        <f>IF($B130="","",Paramètres!$A$16)</f>
        <v/>
      </c>
      <c r="F130" s="21" t="str">
        <f>IF($B130="","",Paramètres!$B$16)</f>
        <v/>
      </c>
      <c r="G130" s="21" t="str">
        <f>IF('Classe Grande section'!$B50="","",IF('Classe Grande section'!D50="","",'Classe Grande section'!D50))</f>
        <v/>
      </c>
      <c r="H130" s="77" t="str">
        <f>IF('Classe Grande section'!$B50="","",IF('Classe Grande section'!E50="","",'Classe Grande section'!E50))</f>
        <v/>
      </c>
      <c r="I130" s="20" t="str">
        <f>IF('Classe Grande section'!$B50="","",IF('Classe Grande section'!F50="","",'Classe Grande section'!F50))</f>
        <v/>
      </c>
      <c r="J130" s="20" t="str">
        <f>IF('Classe Grande section'!$B50="","",IF('Classe Grande section'!G50="","",'Classe Grande section'!G50))</f>
        <v/>
      </c>
      <c r="K130" s="51" t="str">
        <f>IF('Classe Grande section'!$B50="","",N('Classe Grande section'!H50))</f>
        <v/>
      </c>
      <c r="L130" s="51" t="str">
        <f>IF('Classe Grande section'!$B50="","",N('Classe Grande section'!I50))</f>
        <v/>
      </c>
      <c r="M130" s="51" t="str">
        <f>IF('Classe Grande section'!$B50="","",N('Classe Grande section'!J50))</f>
        <v/>
      </c>
      <c r="N130" s="51" t="str">
        <f>IF('Classe Grande section'!$B50="","",N('Classe Grande section'!K50))</f>
        <v/>
      </c>
      <c r="O130" s="51" t="str">
        <f>IF('Classe Grande section'!$B50="","",N('Classe Grande section'!L50))</f>
        <v/>
      </c>
      <c r="P130" s="51" t="str">
        <f>IF('Classe Grande section'!$B50="","",N('Classe Grande section'!M50))</f>
        <v/>
      </c>
      <c r="Q130" s="21" t="str">
        <f>IF('Classe Grande section'!$B50="","",IF('Classe Grande section'!Q50="","",'Classe Grande section'!Q50))</f>
        <v/>
      </c>
      <c r="R130" s="51" t="str">
        <f>IF('Classe Grande section'!$B50="","",N('Classe Grande section'!N50))</f>
        <v/>
      </c>
      <c r="S130" s="51" t="str">
        <f>IF('Classe Grande section'!$B50="","",N('Classe Grande section'!O50))</f>
        <v/>
      </c>
      <c r="T130" s="51" t="str">
        <f>IF('Classe Grande section'!$B50="","",N('Classe Grande section'!P50))</f>
        <v/>
      </c>
    </row>
    <row r="131">
      <c r="A131" s="16" t="str">
        <f>IF('Classe Grande section'!$B51="","",IF('Classe Grande section'!A51="","",'Classe Grande section'!A51))</f>
        <v/>
      </c>
      <c r="B131" s="16" t="str">
        <f>IF('Classe Grande section'!$B51="","",IF('Classe Grande section'!B51="","",'Classe Grande section'!B51))</f>
        <v/>
      </c>
      <c r="C131" s="16" t="str">
        <f>IF('Classe Grande section'!$B51="","",IF('Classe Grande section'!C51="","",'Classe Grande section'!C51))</f>
        <v/>
      </c>
      <c r="D131" s="16" t="str">
        <f>IF($B131="","",C131&amp;" "&amp;B131&amp;" - "&amp;E131)</f>
        <v/>
      </c>
      <c r="E131" s="17" t="str">
        <f>IF($B131="","",Paramètres!$A$16)</f>
        <v/>
      </c>
      <c r="F131" s="17" t="str">
        <f>IF($B131="","",Paramètres!$B$16)</f>
        <v/>
      </c>
      <c r="G131" s="17" t="str">
        <f>IF('Classe Grande section'!$B51="","",IF('Classe Grande section'!D51="","",'Classe Grande section'!D51))</f>
        <v/>
      </c>
      <c r="H131" s="78" t="str">
        <f>IF('Classe Grande section'!$B51="","",IF('Classe Grande section'!E51="","",'Classe Grande section'!E51))</f>
        <v/>
      </c>
      <c r="I131" s="16" t="str">
        <f>IF('Classe Grande section'!$B51="","",IF('Classe Grande section'!F51="","",'Classe Grande section'!F51))</f>
        <v/>
      </c>
      <c r="J131" s="16" t="str">
        <f>IF('Classe Grande section'!$B51="","",IF('Classe Grande section'!G51="","",'Classe Grande section'!G51))</f>
        <v/>
      </c>
      <c r="K131" s="18" t="str">
        <f>IF('Classe Grande section'!$B51="","",N('Classe Grande section'!H51))</f>
        <v/>
      </c>
      <c r="L131" s="18" t="str">
        <f>IF('Classe Grande section'!$B51="","",N('Classe Grande section'!I51))</f>
        <v/>
      </c>
      <c r="M131" s="18" t="str">
        <f>IF('Classe Grande section'!$B51="","",N('Classe Grande section'!J51))</f>
        <v/>
      </c>
      <c r="N131" s="18" t="str">
        <f>IF('Classe Grande section'!$B51="","",N('Classe Grande section'!K51))</f>
        <v/>
      </c>
      <c r="O131" s="18" t="str">
        <f>IF('Classe Grande section'!$B51="","",N('Classe Grande section'!L51))</f>
        <v/>
      </c>
      <c r="P131" s="18" t="str">
        <f>IF('Classe Grande section'!$B51="","",N('Classe Grande section'!M51))</f>
        <v/>
      </c>
      <c r="Q131" s="17" t="str">
        <f>IF('Classe Grande section'!$B51="","",IF('Classe Grande section'!Q51="","",'Classe Grande section'!Q51))</f>
        <v/>
      </c>
      <c r="R131" s="18" t="str">
        <f>IF('Classe Grande section'!$B51="","",N('Classe Grande section'!N51))</f>
        <v/>
      </c>
      <c r="S131" s="18" t="str">
        <f>IF('Classe Grande section'!$B51="","",N('Classe Grande section'!O51))</f>
        <v/>
      </c>
      <c r="T131" s="18" t="str">
        <f>IF('Classe Grande section'!$B51="","",N('Classe Grande section'!P51))</f>
        <v/>
      </c>
    </row>
    <row r="132">
      <c r="A132" s="20" t="str">
        <f>IF('Classe Grande section'!$B52="","",IF('Classe Grande section'!A52="","",'Classe Grande section'!A52))</f>
        <v/>
      </c>
      <c r="B132" s="20" t="str">
        <f>IF('Classe Grande section'!$B52="","",IF('Classe Grande section'!B52="","",'Classe Grande section'!B52))</f>
        <v/>
      </c>
      <c r="C132" s="20" t="str">
        <f>IF('Classe Grande section'!$B52="","",IF('Classe Grande section'!C52="","",'Classe Grande section'!C52))</f>
        <v/>
      </c>
      <c r="D132" s="20" t="str">
        <f>IF($B132="","",C132&amp;" "&amp;B132&amp;" - "&amp;E132)</f>
        <v/>
      </c>
      <c r="E132" s="21" t="str">
        <f>IF($B132="","",Paramètres!$A$16)</f>
        <v/>
      </c>
      <c r="F132" s="21" t="str">
        <f>IF($B132="","",Paramètres!$B$16)</f>
        <v/>
      </c>
      <c r="G132" s="21" t="str">
        <f>IF('Classe Grande section'!$B52="","",IF('Classe Grande section'!D52="","",'Classe Grande section'!D52))</f>
        <v/>
      </c>
      <c r="H132" s="77" t="str">
        <f>IF('Classe Grande section'!$B52="","",IF('Classe Grande section'!E52="","",'Classe Grande section'!E52))</f>
        <v/>
      </c>
      <c r="I132" s="20" t="str">
        <f>IF('Classe Grande section'!$B52="","",IF('Classe Grande section'!F52="","",'Classe Grande section'!F52))</f>
        <v/>
      </c>
      <c r="J132" s="20" t="str">
        <f>IF('Classe Grande section'!$B52="","",IF('Classe Grande section'!G52="","",'Classe Grande section'!G52))</f>
        <v/>
      </c>
      <c r="K132" s="51" t="str">
        <f>IF('Classe Grande section'!$B52="","",N('Classe Grande section'!H52))</f>
        <v/>
      </c>
      <c r="L132" s="51" t="str">
        <f>IF('Classe Grande section'!$B52="","",N('Classe Grande section'!I52))</f>
        <v/>
      </c>
      <c r="M132" s="51" t="str">
        <f>IF('Classe Grande section'!$B52="","",N('Classe Grande section'!J52))</f>
        <v/>
      </c>
      <c r="N132" s="51" t="str">
        <f>IF('Classe Grande section'!$B52="","",N('Classe Grande section'!K52))</f>
        <v/>
      </c>
      <c r="O132" s="51" t="str">
        <f>IF('Classe Grande section'!$B52="","",N('Classe Grande section'!L52))</f>
        <v/>
      </c>
      <c r="P132" s="51" t="str">
        <f>IF('Classe Grande section'!$B52="","",N('Classe Grande section'!M52))</f>
        <v/>
      </c>
      <c r="Q132" s="21" t="str">
        <f>IF('Classe Grande section'!$B52="","",IF('Classe Grande section'!Q52="","",'Classe Grande section'!Q52))</f>
        <v/>
      </c>
      <c r="R132" s="51" t="str">
        <f>IF('Classe Grande section'!$B52="","",N('Classe Grande section'!N52))</f>
        <v/>
      </c>
      <c r="S132" s="51" t="str">
        <f>IF('Classe Grande section'!$B52="","",N('Classe Grande section'!O52))</f>
        <v/>
      </c>
      <c r="T132" s="51" t="str">
        <f>IF('Classe Grande section'!$B52="","",N('Classe Grande section'!P52))</f>
        <v/>
      </c>
    </row>
    <row r="133">
      <c r="A133" s="16" t="str">
        <f>IF('Classe Grande section'!$B53="","",IF('Classe Grande section'!A53="","",'Classe Grande section'!A53))</f>
        <v/>
      </c>
      <c r="B133" s="16" t="str">
        <f>IF('Classe Grande section'!$B53="","",IF('Classe Grande section'!B53="","",'Classe Grande section'!B53))</f>
        <v/>
      </c>
      <c r="C133" s="16" t="str">
        <f>IF('Classe Grande section'!$B53="","",IF('Classe Grande section'!C53="","",'Classe Grande section'!C53))</f>
        <v/>
      </c>
      <c r="D133" s="16" t="str">
        <f>IF($B133="","",C133&amp;" "&amp;B133&amp;" - "&amp;E133)</f>
        <v/>
      </c>
      <c r="E133" s="17" t="str">
        <f>IF($B133="","",Paramètres!$A$16)</f>
        <v/>
      </c>
      <c r="F133" s="17" t="str">
        <f>IF($B133="","",Paramètres!$B$16)</f>
        <v/>
      </c>
      <c r="G133" s="17" t="str">
        <f>IF('Classe Grande section'!$B53="","",IF('Classe Grande section'!D53="","",'Classe Grande section'!D53))</f>
        <v/>
      </c>
      <c r="H133" s="78" t="str">
        <f>IF('Classe Grande section'!$B53="","",IF('Classe Grande section'!E53="","",'Classe Grande section'!E53))</f>
        <v/>
      </c>
      <c r="I133" s="16" t="str">
        <f>IF('Classe Grande section'!$B53="","",IF('Classe Grande section'!F53="","",'Classe Grande section'!F53))</f>
        <v/>
      </c>
      <c r="J133" s="16" t="str">
        <f>IF('Classe Grande section'!$B53="","",IF('Classe Grande section'!G53="","",'Classe Grande section'!G53))</f>
        <v/>
      </c>
      <c r="K133" s="18" t="str">
        <f>IF('Classe Grande section'!$B53="","",N('Classe Grande section'!H53))</f>
        <v/>
      </c>
      <c r="L133" s="18" t="str">
        <f>IF('Classe Grande section'!$B53="","",N('Classe Grande section'!I53))</f>
        <v/>
      </c>
      <c r="M133" s="18" t="str">
        <f>IF('Classe Grande section'!$B53="","",N('Classe Grande section'!J53))</f>
        <v/>
      </c>
      <c r="N133" s="18" t="str">
        <f>IF('Classe Grande section'!$B53="","",N('Classe Grande section'!K53))</f>
        <v/>
      </c>
      <c r="O133" s="18" t="str">
        <f>IF('Classe Grande section'!$B53="","",N('Classe Grande section'!L53))</f>
        <v/>
      </c>
      <c r="P133" s="18" t="str">
        <f>IF('Classe Grande section'!$B53="","",N('Classe Grande section'!M53))</f>
        <v/>
      </c>
      <c r="Q133" s="17" t="str">
        <f>IF('Classe Grande section'!$B53="","",IF('Classe Grande section'!Q53="","",'Classe Grande section'!Q53))</f>
        <v/>
      </c>
      <c r="R133" s="18" t="str">
        <f>IF('Classe Grande section'!$B53="","",N('Classe Grande section'!N53))</f>
        <v/>
      </c>
      <c r="S133" s="18" t="str">
        <f>IF('Classe Grande section'!$B53="","",N('Classe Grande section'!O53))</f>
        <v/>
      </c>
      <c r="T133" s="18" t="str">
        <f>IF('Classe Grande section'!$B53="","",N('Classe Grande section'!P53))</f>
        <v/>
      </c>
    </row>
    <row r="134">
      <c r="A134" s="20" t="str">
        <f>IF('Classe Grande section'!$B54="","",IF('Classe Grande section'!A54="","",'Classe Grande section'!A54))</f>
        <v/>
      </c>
      <c r="B134" s="20" t="str">
        <f>IF('Classe Grande section'!$B54="","",IF('Classe Grande section'!B54="","",'Classe Grande section'!B54))</f>
        <v/>
      </c>
      <c r="C134" s="20" t="str">
        <f>IF('Classe Grande section'!$B54="","",IF('Classe Grande section'!C54="","",'Classe Grande section'!C54))</f>
        <v/>
      </c>
      <c r="D134" s="20" t="str">
        <f>IF($B134="","",C134&amp;" "&amp;B134&amp;" - "&amp;E134)</f>
        <v/>
      </c>
      <c r="E134" s="21" t="str">
        <f>IF($B134="","",Paramètres!$A$16)</f>
        <v/>
      </c>
      <c r="F134" s="21" t="str">
        <f>IF($B134="","",Paramètres!$B$16)</f>
        <v/>
      </c>
      <c r="G134" s="21" t="str">
        <f>IF('Classe Grande section'!$B54="","",IF('Classe Grande section'!D54="","",'Classe Grande section'!D54))</f>
        <v/>
      </c>
      <c r="H134" s="77" t="str">
        <f>IF('Classe Grande section'!$B54="","",IF('Classe Grande section'!E54="","",'Classe Grande section'!E54))</f>
        <v/>
      </c>
      <c r="I134" s="20" t="str">
        <f>IF('Classe Grande section'!$B54="","",IF('Classe Grande section'!F54="","",'Classe Grande section'!F54))</f>
        <v/>
      </c>
      <c r="J134" s="20" t="str">
        <f>IF('Classe Grande section'!$B54="","",IF('Classe Grande section'!G54="","",'Classe Grande section'!G54))</f>
        <v/>
      </c>
      <c r="K134" s="51" t="str">
        <f>IF('Classe Grande section'!$B54="","",N('Classe Grande section'!H54))</f>
        <v/>
      </c>
      <c r="L134" s="51" t="str">
        <f>IF('Classe Grande section'!$B54="","",N('Classe Grande section'!I54))</f>
        <v/>
      </c>
      <c r="M134" s="51" t="str">
        <f>IF('Classe Grande section'!$B54="","",N('Classe Grande section'!J54))</f>
        <v/>
      </c>
      <c r="N134" s="51" t="str">
        <f>IF('Classe Grande section'!$B54="","",N('Classe Grande section'!K54))</f>
        <v/>
      </c>
      <c r="O134" s="51" t="str">
        <f>IF('Classe Grande section'!$B54="","",N('Classe Grande section'!L54))</f>
        <v/>
      </c>
      <c r="P134" s="51" t="str">
        <f>IF('Classe Grande section'!$B54="","",N('Classe Grande section'!M54))</f>
        <v/>
      </c>
      <c r="Q134" s="21" t="str">
        <f>IF('Classe Grande section'!$B54="","",IF('Classe Grande section'!Q54="","",'Classe Grande section'!Q54))</f>
        <v/>
      </c>
      <c r="R134" s="51" t="str">
        <f>IF('Classe Grande section'!$B54="","",N('Classe Grande section'!N54))</f>
        <v/>
      </c>
      <c r="S134" s="51" t="str">
        <f>IF('Classe Grande section'!$B54="","",N('Classe Grande section'!O54))</f>
        <v/>
      </c>
      <c r="T134" s="51" t="str">
        <f>IF('Classe Grande section'!$B54="","",N('Classe Grande section'!P54))</f>
        <v/>
      </c>
    </row>
    <row r="135">
      <c r="A135" s="16" t="str">
        <f>IF('Classe Grande section'!$B55="","",IF('Classe Grande section'!A55="","",'Classe Grande section'!A55))</f>
        <v/>
      </c>
      <c r="B135" s="16" t="str">
        <f>IF('Classe Grande section'!$B55="","",IF('Classe Grande section'!B55="","",'Classe Grande section'!B55))</f>
        <v/>
      </c>
      <c r="C135" s="16" t="str">
        <f>IF('Classe Grande section'!$B55="","",IF('Classe Grande section'!C55="","",'Classe Grande section'!C55))</f>
        <v/>
      </c>
      <c r="D135" s="16" t="str">
        <f>IF($B135="","",C135&amp;" "&amp;B135&amp;" - "&amp;E135)</f>
        <v/>
      </c>
      <c r="E135" s="17" t="str">
        <f>IF($B135="","",Paramètres!$A$16)</f>
        <v/>
      </c>
      <c r="F135" s="17" t="str">
        <f>IF($B135="","",Paramètres!$B$16)</f>
        <v/>
      </c>
      <c r="G135" s="17" t="str">
        <f>IF('Classe Grande section'!$B55="","",IF('Classe Grande section'!D55="","",'Classe Grande section'!D55))</f>
        <v/>
      </c>
      <c r="H135" s="78" t="str">
        <f>IF('Classe Grande section'!$B55="","",IF('Classe Grande section'!E55="","",'Classe Grande section'!E55))</f>
        <v/>
      </c>
      <c r="I135" s="16" t="str">
        <f>IF('Classe Grande section'!$B55="","",IF('Classe Grande section'!F55="","",'Classe Grande section'!F55))</f>
        <v/>
      </c>
      <c r="J135" s="16" t="str">
        <f>IF('Classe Grande section'!$B55="","",IF('Classe Grande section'!G55="","",'Classe Grande section'!G55))</f>
        <v/>
      </c>
      <c r="K135" s="18" t="str">
        <f>IF('Classe Grande section'!$B55="","",N('Classe Grande section'!H55))</f>
        <v/>
      </c>
      <c r="L135" s="18" t="str">
        <f>IF('Classe Grande section'!$B55="","",N('Classe Grande section'!I55))</f>
        <v/>
      </c>
      <c r="M135" s="18" t="str">
        <f>IF('Classe Grande section'!$B55="","",N('Classe Grande section'!J55))</f>
        <v/>
      </c>
      <c r="N135" s="18" t="str">
        <f>IF('Classe Grande section'!$B55="","",N('Classe Grande section'!K55))</f>
        <v/>
      </c>
      <c r="O135" s="18" t="str">
        <f>IF('Classe Grande section'!$B55="","",N('Classe Grande section'!L55))</f>
        <v/>
      </c>
      <c r="P135" s="18" t="str">
        <f>IF('Classe Grande section'!$B55="","",N('Classe Grande section'!M55))</f>
        <v/>
      </c>
      <c r="Q135" s="17" t="str">
        <f>IF('Classe Grande section'!$B55="","",IF('Classe Grande section'!Q55="","",'Classe Grande section'!Q55))</f>
        <v/>
      </c>
      <c r="R135" s="18" t="str">
        <f>IF('Classe Grande section'!$B55="","",N('Classe Grande section'!N55))</f>
        <v/>
      </c>
      <c r="S135" s="18" t="str">
        <f>IF('Classe Grande section'!$B55="","",N('Classe Grande section'!O55))</f>
        <v/>
      </c>
      <c r="T135" s="18" t="str">
        <f>IF('Classe Grande section'!$B55="","",N('Classe Grande section'!P55))</f>
        <v/>
      </c>
    </row>
    <row r="136">
      <c r="A136" s="20" t="str">
        <f>IF('Classe Grande section'!$B56="","",IF('Classe Grande section'!A56="","",'Classe Grande section'!A56))</f>
        <v/>
      </c>
      <c r="B136" s="20" t="str">
        <f>IF('Classe Grande section'!$B56="","",IF('Classe Grande section'!B56="","",'Classe Grande section'!B56))</f>
        <v/>
      </c>
      <c r="C136" s="20" t="str">
        <f>IF('Classe Grande section'!$B56="","",IF('Classe Grande section'!C56="","",'Classe Grande section'!C56))</f>
        <v/>
      </c>
      <c r="D136" s="20" t="str">
        <f>IF($B136="","",C136&amp;" "&amp;B136&amp;" - "&amp;E136)</f>
        <v/>
      </c>
      <c r="E136" s="21" t="str">
        <f>IF($B136="","",Paramètres!$A$16)</f>
        <v/>
      </c>
      <c r="F136" s="21" t="str">
        <f>IF($B136="","",Paramètres!$B$16)</f>
        <v/>
      </c>
      <c r="G136" s="21" t="str">
        <f>IF('Classe Grande section'!$B56="","",IF('Classe Grande section'!D56="","",'Classe Grande section'!D56))</f>
        <v/>
      </c>
      <c r="H136" s="77" t="str">
        <f>IF('Classe Grande section'!$B56="","",IF('Classe Grande section'!E56="","",'Classe Grande section'!E56))</f>
        <v/>
      </c>
      <c r="I136" s="20" t="str">
        <f>IF('Classe Grande section'!$B56="","",IF('Classe Grande section'!F56="","",'Classe Grande section'!F56))</f>
        <v/>
      </c>
      <c r="J136" s="20" t="str">
        <f>IF('Classe Grande section'!$B56="","",IF('Classe Grande section'!G56="","",'Classe Grande section'!G56))</f>
        <v/>
      </c>
      <c r="K136" s="51" t="str">
        <f>IF('Classe Grande section'!$B56="","",N('Classe Grande section'!H56))</f>
        <v/>
      </c>
      <c r="L136" s="51" t="str">
        <f>IF('Classe Grande section'!$B56="","",N('Classe Grande section'!I56))</f>
        <v/>
      </c>
      <c r="M136" s="51" t="str">
        <f>IF('Classe Grande section'!$B56="","",N('Classe Grande section'!J56))</f>
        <v/>
      </c>
      <c r="N136" s="51" t="str">
        <f>IF('Classe Grande section'!$B56="","",N('Classe Grande section'!K56))</f>
        <v/>
      </c>
      <c r="O136" s="51" t="str">
        <f>IF('Classe Grande section'!$B56="","",N('Classe Grande section'!L56))</f>
        <v/>
      </c>
      <c r="P136" s="51" t="str">
        <f>IF('Classe Grande section'!$B56="","",N('Classe Grande section'!M56))</f>
        <v/>
      </c>
      <c r="Q136" s="21" t="str">
        <f>IF('Classe Grande section'!$B56="","",IF('Classe Grande section'!Q56="","",'Classe Grande section'!Q56))</f>
        <v/>
      </c>
      <c r="R136" s="51" t="str">
        <f>IF('Classe Grande section'!$B56="","",N('Classe Grande section'!N56))</f>
        <v/>
      </c>
      <c r="S136" s="51" t="str">
        <f>IF('Classe Grande section'!$B56="","",N('Classe Grande section'!O56))</f>
        <v/>
      </c>
      <c r="T136" s="51" t="str">
        <f>IF('Classe Grande section'!$B56="","",N('Classe Grande section'!P56))</f>
        <v/>
      </c>
    </row>
    <row r="137">
      <c r="A137" s="16" t="str">
        <f>IF('Classe Grande section'!$B57="","",IF('Classe Grande section'!A57="","",'Classe Grande section'!A57))</f>
        <v/>
      </c>
      <c r="B137" s="16" t="str">
        <f>IF('Classe Grande section'!$B57="","",IF('Classe Grande section'!B57="","",'Classe Grande section'!B57))</f>
        <v/>
      </c>
      <c r="C137" s="16" t="str">
        <f>IF('Classe Grande section'!$B57="","",IF('Classe Grande section'!C57="","",'Classe Grande section'!C57))</f>
        <v/>
      </c>
      <c r="D137" s="16" t="str">
        <f>IF($B137="","",C137&amp;" "&amp;B137&amp;" - "&amp;E137)</f>
        <v/>
      </c>
      <c r="E137" s="17" t="str">
        <f>IF($B137="","",Paramètres!$A$16)</f>
        <v/>
      </c>
      <c r="F137" s="17" t="str">
        <f>IF($B137="","",Paramètres!$B$16)</f>
        <v/>
      </c>
      <c r="G137" s="17" t="str">
        <f>IF('Classe Grande section'!$B57="","",IF('Classe Grande section'!D57="","",'Classe Grande section'!D57))</f>
        <v/>
      </c>
      <c r="H137" s="78" t="str">
        <f>IF('Classe Grande section'!$B57="","",IF('Classe Grande section'!E57="","",'Classe Grande section'!E57))</f>
        <v/>
      </c>
      <c r="I137" s="16" t="str">
        <f>IF('Classe Grande section'!$B57="","",IF('Classe Grande section'!F57="","",'Classe Grande section'!F57))</f>
        <v/>
      </c>
      <c r="J137" s="16" t="str">
        <f>IF('Classe Grande section'!$B57="","",IF('Classe Grande section'!G57="","",'Classe Grande section'!G57))</f>
        <v/>
      </c>
      <c r="K137" s="18" t="str">
        <f>IF('Classe Grande section'!$B57="","",N('Classe Grande section'!H57))</f>
        <v/>
      </c>
      <c r="L137" s="18" t="str">
        <f>IF('Classe Grande section'!$B57="","",N('Classe Grande section'!I57))</f>
        <v/>
      </c>
      <c r="M137" s="18" t="str">
        <f>IF('Classe Grande section'!$B57="","",N('Classe Grande section'!J57))</f>
        <v/>
      </c>
      <c r="N137" s="18" t="str">
        <f>IF('Classe Grande section'!$B57="","",N('Classe Grande section'!K57))</f>
        <v/>
      </c>
      <c r="O137" s="18" t="str">
        <f>IF('Classe Grande section'!$B57="","",N('Classe Grande section'!L57))</f>
        <v/>
      </c>
      <c r="P137" s="18" t="str">
        <f>IF('Classe Grande section'!$B57="","",N('Classe Grande section'!M57))</f>
        <v/>
      </c>
      <c r="Q137" s="17" t="str">
        <f>IF('Classe Grande section'!$B57="","",IF('Classe Grande section'!Q57="","",'Classe Grande section'!Q57))</f>
        <v/>
      </c>
      <c r="R137" s="18" t="str">
        <f>IF('Classe Grande section'!$B57="","",N('Classe Grande section'!N57))</f>
        <v/>
      </c>
      <c r="S137" s="18" t="str">
        <f>IF('Classe Grande section'!$B57="","",N('Classe Grande section'!O57))</f>
        <v/>
      </c>
      <c r="T137" s="18" t="str">
        <f>IF('Classe Grande section'!$B57="","",N('Classe Grande section'!P57))</f>
        <v/>
      </c>
    </row>
    <row r="138">
      <c r="A138" s="20" t="str">
        <f>IF('Classe Grande section'!$B58="","",IF('Classe Grande section'!A58="","",'Classe Grande section'!A58))</f>
        <v/>
      </c>
      <c r="B138" s="20" t="str">
        <f>IF('Classe Grande section'!$B58="","",IF('Classe Grande section'!B58="","",'Classe Grande section'!B58))</f>
        <v/>
      </c>
      <c r="C138" s="20" t="str">
        <f>IF('Classe Grande section'!$B58="","",IF('Classe Grande section'!C58="","",'Classe Grande section'!C58))</f>
        <v/>
      </c>
      <c r="D138" s="20" t="str">
        <f>IF($B138="","",C138&amp;" "&amp;B138&amp;" - "&amp;E138)</f>
        <v/>
      </c>
      <c r="E138" s="21" t="str">
        <f>IF($B138="","",Paramètres!$A$16)</f>
        <v/>
      </c>
      <c r="F138" s="21" t="str">
        <f>IF($B138="","",Paramètres!$B$16)</f>
        <v/>
      </c>
      <c r="G138" s="21" t="str">
        <f>IF('Classe Grande section'!$B58="","",IF('Classe Grande section'!D58="","",'Classe Grande section'!D58))</f>
        <v/>
      </c>
      <c r="H138" s="77" t="str">
        <f>IF('Classe Grande section'!$B58="","",IF('Classe Grande section'!E58="","",'Classe Grande section'!E58))</f>
        <v/>
      </c>
      <c r="I138" s="20" t="str">
        <f>IF('Classe Grande section'!$B58="","",IF('Classe Grande section'!F58="","",'Classe Grande section'!F58))</f>
        <v/>
      </c>
      <c r="J138" s="20" t="str">
        <f>IF('Classe Grande section'!$B58="","",IF('Classe Grande section'!G58="","",'Classe Grande section'!G58))</f>
        <v/>
      </c>
      <c r="K138" s="51" t="str">
        <f>IF('Classe Grande section'!$B58="","",N('Classe Grande section'!H58))</f>
        <v/>
      </c>
      <c r="L138" s="51" t="str">
        <f>IF('Classe Grande section'!$B58="","",N('Classe Grande section'!I58))</f>
        <v/>
      </c>
      <c r="M138" s="51" t="str">
        <f>IF('Classe Grande section'!$B58="","",N('Classe Grande section'!J58))</f>
        <v/>
      </c>
      <c r="N138" s="51" t="str">
        <f>IF('Classe Grande section'!$B58="","",N('Classe Grande section'!K58))</f>
        <v/>
      </c>
      <c r="O138" s="51" t="str">
        <f>IF('Classe Grande section'!$B58="","",N('Classe Grande section'!L58))</f>
        <v/>
      </c>
      <c r="P138" s="51" t="str">
        <f>IF('Classe Grande section'!$B58="","",N('Classe Grande section'!M58))</f>
        <v/>
      </c>
      <c r="Q138" s="21" t="str">
        <f>IF('Classe Grande section'!$B58="","",IF('Classe Grande section'!Q58="","",'Classe Grande section'!Q58))</f>
        <v/>
      </c>
      <c r="R138" s="51" t="str">
        <f>IF('Classe Grande section'!$B58="","",N('Classe Grande section'!N58))</f>
        <v/>
      </c>
      <c r="S138" s="51" t="str">
        <f>IF('Classe Grande section'!$B58="","",N('Classe Grande section'!O58))</f>
        <v/>
      </c>
      <c r="T138" s="51" t="str">
        <f>IF('Classe Grande section'!$B58="","",N('Classe Grande section'!P58))</f>
        <v/>
      </c>
    </row>
    <row r="139">
      <c r="A139" s="16" t="str">
        <f>IF('Classe Grande section'!$B59="","",IF('Classe Grande section'!A59="","",'Classe Grande section'!A59))</f>
        <v/>
      </c>
      <c r="B139" s="16" t="str">
        <f>IF('Classe Grande section'!$B59="","",IF('Classe Grande section'!B59="","",'Classe Grande section'!B59))</f>
        <v/>
      </c>
      <c r="C139" s="16" t="str">
        <f>IF('Classe Grande section'!$B59="","",IF('Classe Grande section'!C59="","",'Classe Grande section'!C59))</f>
        <v/>
      </c>
      <c r="D139" s="16" t="str">
        <f>IF($B139="","",C139&amp;" "&amp;B139&amp;" - "&amp;E139)</f>
        <v/>
      </c>
      <c r="E139" s="17" t="str">
        <f>IF($B139="","",Paramètres!$A$16)</f>
        <v/>
      </c>
      <c r="F139" s="17" t="str">
        <f>IF($B139="","",Paramètres!$B$16)</f>
        <v/>
      </c>
      <c r="G139" s="17" t="str">
        <f>IF('Classe Grande section'!$B59="","",IF('Classe Grande section'!D59="","",'Classe Grande section'!D59))</f>
        <v/>
      </c>
      <c r="H139" s="78" t="str">
        <f>IF('Classe Grande section'!$B59="","",IF('Classe Grande section'!E59="","",'Classe Grande section'!E59))</f>
        <v/>
      </c>
      <c r="I139" s="16" t="str">
        <f>IF('Classe Grande section'!$B59="","",IF('Classe Grande section'!F59="","",'Classe Grande section'!F59))</f>
        <v/>
      </c>
      <c r="J139" s="16" t="str">
        <f>IF('Classe Grande section'!$B59="","",IF('Classe Grande section'!G59="","",'Classe Grande section'!G59))</f>
        <v/>
      </c>
      <c r="K139" s="18" t="str">
        <f>IF('Classe Grande section'!$B59="","",N('Classe Grande section'!H59))</f>
        <v/>
      </c>
      <c r="L139" s="18" t="str">
        <f>IF('Classe Grande section'!$B59="","",N('Classe Grande section'!I59))</f>
        <v/>
      </c>
      <c r="M139" s="18" t="str">
        <f>IF('Classe Grande section'!$B59="","",N('Classe Grande section'!J59))</f>
        <v/>
      </c>
      <c r="N139" s="18" t="str">
        <f>IF('Classe Grande section'!$B59="","",N('Classe Grande section'!K59))</f>
        <v/>
      </c>
      <c r="O139" s="18" t="str">
        <f>IF('Classe Grande section'!$B59="","",N('Classe Grande section'!L59))</f>
        <v/>
      </c>
      <c r="P139" s="18" t="str">
        <f>IF('Classe Grande section'!$B59="","",N('Classe Grande section'!M59))</f>
        <v/>
      </c>
      <c r="Q139" s="17" t="str">
        <f>IF('Classe Grande section'!$B59="","",IF('Classe Grande section'!Q59="","",'Classe Grande section'!Q59))</f>
        <v/>
      </c>
      <c r="R139" s="18" t="str">
        <f>IF('Classe Grande section'!$B59="","",N('Classe Grande section'!N59))</f>
        <v/>
      </c>
      <c r="S139" s="18" t="str">
        <f>IF('Classe Grande section'!$B59="","",N('Classe Grande section'!O59))</f>
        <v/>
      </c>
      <c r="T139" s="18" t="str">
        <f>IF('Classe Grande section'!$B59="","",N('Classe Grande section'!P59))</f>
        <v/>
      </c>
    </row>
    <row r="140">
      <c r="A140" s="20" t="str">
        <f>IF('Classe Grande section'!$B60="","",IF('Classe Grande section'!A60="","",'Classe Grande section'!A60))</f>
        <v/>
      </c>
      <c r="B140" s="20" t="str">
        <f>IF('Classe Grande section'!$B60="","",IF('Classe Grande section'!B60="","",'Classe Grande section'!B60))</f>
        <v/>
      </c>
      <c r="C140" s="20" t="str">
        <f>IF('Classe Grande section'!$B60="","",IF('Classe Grande section'!C60="","",'Classe Grande section'!C60))</f>
        <v/>
      </c>
      <c r="D140" s="20" t="str">
        <f>IF($B140="","",C140&amp;" "&amp;B140&amp;" - "&amp;E140)</f>
        <v/>
      </c>
      <c r="E140" s="21" t="str">
        <f>IF($B140="","",Paramètres!$A$16)</f>
        <v/>
      </c>
      <c r="F140" s="21" t="str">
        <f>IF($B140="","",Paramètres!$B$16)</f>
        <v/>
      </c>
      <c r="G140" s="21" t="str">
        <f>IF('Classe Grande section'!$B60="","",IF('Classe Grande section'!D60="","",'Classe Grande section'!D60))</f>
        <v/>
      </c>
      <c r="H140" s="77" t="str">
        <f>IF('Classe Grande section'!$B60="","",IF('Classe Grande section'!E60="","",'Classe Grande section'!E60))</f>
        <v/>
      </c>
      <c r="I140" s="20" t="str">
        <f>IF('Classe Grande section'!$B60="","",IF('Classe Grande section'!F60="","",'Classe Grande section'!F60))</f>
        <v/>
      </c>
      <c r="J140" s="20" t="str">
        <f>IF('Classe Grande section'!$B60="","",IF('Classe Grande section'!G60="","",'Classe Grande section'!G60))</f>
        <v/>
      </c>
      <c r="K140" s="51" t="str">
        <f>IF('Classe Grande section'!$B60="","",N('Classe Grande section'!H60))</f>
        <v/>
      </c>
      <c r="L140" s="51" t="str">
        <f>IF('Classe Grande section'!$B60="","",N('Classe Grande section'!I60))</f>
        <v/>
      </c>
      <c r="M140" s="51" t="str">
        <f>IF('Classe Grande section'!$B60="","",N('Classe Grande section'!J60))</f>
        <v/>
      </c>
      <c r="N140" s="51" t="str">
        <f>IF('Classe Grande section'!$B60="","",N('Classe Grande section'!K60))</f>
        <v/>
      </c>
      <c r="O140" s="51" t="str">
        <f>IF('Classe Grande section'!$B60="","",N('Classe Grande section'!L60))</f>
        <v/>
      </c>
      <c r="P140" s="51" t="str">
        <f>IF('Classe Grande section'!$B60="","",N('Classe Grande section'!M60))</f>
        <v/>
      </c>
      <c r="Q140" s="21" t="str">
        <f>IF('Classe Grande section'!$B60="","",IF('Classe Grande section'!Q60="","",'Classe Grande section'!Q60))</f>
        <v/>
      </c>
      <c r="R140" s="51" t="str">
        <f>IF('Classe Grande section'!$B60="","",N('Classe Grande section'!N60))</f>
        <v/>
      </c>
      <c r="S140" s="51" t="str">
        <f>IF('Classe Grande section'!$B60="","",N('Classe Grande section'!O60))</f>
        <v/>
      </c>
      <c r="T140" s="51" t="str">
        <f>IF('Classe Grande section'!$B60="","",N('Classe Grande section'!P60))</f>
        <v/>
      </c>
    </row>
    <row r="141">
      <c r="A141" s="16" t="str">
        <f>IF('Classe Grande section'!$B61="","",IF('Classe Grande section'!A61="","",'Classe Grande section'!A61))</f>
        <v/>
      </c>
      <c r="B141" s="16" t="str">
        <f>IF('Classe Grande section'!$B61="","",IF('Classe Grande section'!B61="","",'Classe Grande section'!B61))</f>
        <v/>
      </c>
      <c r="C141" s="16" t="str">
        <f>IF('Classe Grande section'!$B61="","",IF('Classe Grande section'!C61="","",'Classe Grande section'!C61))</f>
        <v/>
      </c>
      <c r="D141" s="16" t="str">
        <f>IF($B141="","",C141&amp;" "&amp;B141&amp;" - "&amp;E141)</f>
        <v/>
      </c>
      <c r="E141" s="17" t="str">
        <f>IF($B141="","",Paramètres!$A$16)</f>
        <v/>
      </c>
      <c r="F141" s="17" t="str">
        <f>IF($B141="","",Paramètres!$B$16)</f>
        <v/>
      </c>
      <c r="G141" s="17" t="str">
        <f>IF('Classe Grande section'!$B61="","",IF('Classe Grande section'!D61="","",'Classe Grande section'!D61))</f>
        <v/>
      </c>
      <c r="H141" s="78" t="str">
        <f>IF('Classe Grande section'!$B61="","",IF('Classe Grande section'!E61="","",'Classe Grande section'!E61))</f>
        <v/>
      </c>
      <c r="I141" s="16" t="str">
        <f>IF('Classe Grande section'!$B61="","",IF('Classe Grande section'!F61="","",'Classe Grande section'!F61))</f>
        <v/>
      </c>
      <c r="J141" s="16" t="str">
        <f>IF('Classe Grande section'!$B61="","",IF('Classe Grande section'!G61="","",'Classe Grande section'!G61))</f>
        <v/>
      </c>
      <c r="K141" s="18" t="str">
        <f>IF('Classe Grande section'!$B61="","",N('Classe Grande section'!H61))</f>
        <v/>
      </c>
      <c r="L141" s="18" t="str">
        <f>IF('Classe Grande section'!$B61="","",N('Classe Grande section'!I61))</f>
        <v/>
      </c>
      <c r="M141" s="18" t="str">
        <f>IF('Classe Grande section'!$B61="","",N('Classe Grande section'!J61))</f>
        <v/>
      </c>
      <c r="N141" s="18" t="str">
        <f>IF('Classe Grande section'!$B61="","",N('Classe Grande section'!K61))</f>
        <v/>
      </c>
      <c r="O141" s="18" t="str">
        <f>IF('Classe Grande section'!$B61="","",N('Classe Grande section'!L61))</f>
        <v/>
      </c>
      <c r="P141" s="18" t="str">
        <f>IF('Classe Grande section'!$B61="","",N('Classe Grande section'!M61))</f>
        <v/>
      </c>
      <c r="Q141" s="17" t="str">
        <f>IF('Classe Grande section'!$B61="","",IF('Classe Grande section'!Q61="","",'Classe Grande section'!Q61))</f>
        <v/>
      </c>
      <c r="R141" s="18" t="str">
        <f>IF('Classe Grande section'!$B61="","",N('Classe Grande section'!N61))</f>
        <v/>
      </c>
      <c r="S141" s="18" t="str">
        <f>IF('Classe Grande section'!$B61="","",N('Classe Grande section'!O61))</f>
        <v/>
      </c>
      <c r="T141" s="18" t="str">
        <f>IF('Classe Grande section'!$B61="","",N('Classe Grande section'!P61))</f>
        <v/>
      </c>
    </row>
    <row r="142">
      <c r="A142" s="20" t="str">
        <f>IF('Classe Grande section'!$B62="","",IF('Classe Grande section'!A62="","",'Classe Grande section'!A62))</f>
        <v/>
      </c>
      <c r="B142" s="20" t="str">
        <f>IF('Classe Grande section'!$B62="","",IF('Classe Grande section'!B62="","",'Classe Grande section'!B62))</f>
        <v/>
      </c>
      <c r="C142" s="20" t="str">
        <f>IF('Classe Grande section'!$B62="","",IF('Classe Grande section'!C62="","",'Classe Grande section'!C62))</f>
        <v/>
      </c>
      <c r="D142" s="20" t="str">
        <f>IF($B142="","",C142&amp;" "&amp;B142&amp;" - "&amp;E142)</f>
        <v/>
      </c>
      <c r="E142" s="21" t="str">
        <f>IF($B142="","",Paramètres!$A$16)</f>
        <v/>
      </c>
      <c r="F142" s="21" t="str">
        <f>IF($B142="","",Paramètres!$B$16)</f>
        <v/>
      </c>
      <c r="G142" s="21" t="str">
        <f>IF('Classe Grande section'!$B62="","",IF('Classe Grande section'!D62="","",'Classe Grande section'!D62))</f>
        <v/>
      </c>
      <c r="H142" s="77" t="str">
        <f>IF('Classe Grande section'!$B62="","",IF('Classe Grande section'!E62="","",'Classe Grande section'!E62))</f>
        <v/>
      </c>
      <c r="I142" s="20" t="str">
        <f>IF('Classe Grande section'!$B62="","",IF('Classe Grande section'!F62="","",'Classe Grande section'!F62))</f>
        <v/>
      </c>
      <c r="J142" s="20" t="str">
        <f>IF('Classe Grande section'!$B62="","",IF('Classe Grande section'!G62="","",'Classe Grande section'!G62))</f>
        <v/>
      </c>
      <c r="K142" s="51" t="str">
        <f>IF('Classe Grande section'!$B62="","",N('Classe Grande section'!H62))</f>
        <v/>
      </c>
      <c r="L142" s="51" t="str">
        <f>IF('Classe Grande section'!$B62="","",N('Classe Grande section'!I62))</f>
        <v/>
      </c>
      <c r="M142" s="51" t="str">
        <f>IF('Classe Grande section'!$B62="","",N('Classe Grande section'!J62))</f>
        <v/>
      </c>
      <c r="N142" s="51" t="str">
        <f>IF('Classe Grande section'!$B62="","",N('Classe Grande section'!K62))</f>
        <v/>
      </c>
      <c r="O142" s="51" t="str">
        <f>IF('Classe Grande section'!$B62="","",N('Classe Grande section'!L62))</f>
        <v/>
      </c>
      <c r="P142" s="51" t="str">
        <f>IF('Classe Grande section'!$B62="","",N('Classe Grande section'!M62))</f>
        <v/>
      </c>
      <c r="Q142" s="21" t="str">
        <f>IF('Classe Grande section'!$B62="","",IF('Classe Grande section'!Q62="","",'Classe Grande section'!Q62))</f>
        <v/>
      </c>
      <c r="R142" s="51" t="str">
        <f>IF('Classe Grande section'!$B62="","",N('Classe Grande section'!N62))</f>
        <v/>
      </c>
      <c r="S142" s="51" t="str">
        <f>IF('Classe Grande section'!$B62="","",N('Classe Grande section'!O62))</f>
        <v/>
      </c>
      <c r="T142" s="51" t="str">
        <f>IF('Classe Grande section'!$B62="","",N('Classe Grande section'!P62))</f>
        <v/>
      </c>
    </row>
    <row r="143">
      <c r="A143" s="16" t="str">
        <f>IF('Classe Grande section'!$B63="","",IF('Classe Grande section'!A63="","",'Classe Grande section'!A63))</f>
        <v/>
      </c>
      <c r="B143" s="16" t="str">
        <f>IF('Classe Grande section'!$B63="","",IF('Classe Grande section'!B63="","",'Classe Grande section'!B63))</f>
        <v/>
      </c>
      <c r="C143" s="16" t="str">
        <f>IF('Classe Grande section'!$B63="","",IF('Classe Grande section'!C63="","",'Classe Grande section'!C63))</f>
        <v/>
      </c>
      <c r="D143" s="16" t="str">
        <f>IF($B143="","",C143&amp;" "&amp;B143&amp;" - "&amp;E143)</f>
        <v/>
      </c>
      <c r="E143" s="17" t="str">
        <f>IF($B143="","",Paramètres!$A$16)</f>
        <v/>
      </c>
      <c r="F143" s="17" t="str">
        <f>IF($B143="","",Paramètres!$B$16)</f>
        <v/>
      </c>
      <c r="G143" s="17" t="str">
        <f>IF('Classe Grande section'!$B63="","",IF('Classe Grande section'!D63="","",'Classe Grande section'!D63))</f>
        <v/>
      </c>
      <c r="H143" s="78" t="str">
        <f>IF('Classe Grande section'!$B63="","",IF('Classe Grande section'!E63="","",'Classe Grande section'!E63))</f>
        <v/>
      </c>
      <c r="I143" s="16" t="str">
        <f>IF('Classe Grande section'!$B63="","",IF('Classe Grande section'!F63="","",'Classe Grande section'!F63))</f>
        <v/>
      </c>
      <c r="J143" s="16" t="str">
        <f>IF('Classe Grande section'!$B63="","",IF('Classe Grande section'!G63="","",'Classe Grande section'!G63))</f>
        <v/>
      </c>
      <c r="K143" s="18" t="str">
        <f>IF('Classe Grande section'!$B63="","",N('Classe Grande section'!H63))</f>
        <v/>
      </c>
      <c r="L143" s="18" t="str">
        <f>IF('Classe Grande section'!$B63="","",N('Classe Grande section'!I63))</f>
        <v/>
      </c>
      <c r="M143" s="18" t="str">
        <f>IF('Classe Grande section'!$B63="","",N('Classe Grande section'!J63))</f>
        <v/>
      </c>
      <c r="N143" s="18" t="str">
        <f>IF('Classe Grande section'!$B63="","",N('Classe Grande section'!K63))</f>
        <v/>
      </c>
      <c r="O143" s="18" t="str">
        <f>IF('Classe Grande section'!$B63="","",N('Classe Grande section'!L63))</f>
        <v/>
      </c>
      <c r="P143" s="18" t="str">
        <f>IF('Classe Grande section'!$B63="","",N('Classe Grande section'!M63))</f>
        <v/>
      </c>
      <c r="Q143" s="17" t="str">
        <f>IF('Classe Grande section'!$B63="","",IF('Classe Grande section'!Q63="","",'Classe Grande section'!Q63))</f>
        <v/>
      </c>
      <c r="R143" s="18" t="str">
        <f>IF('Classe Grande section'!$B63="","",N('Classe Grande section'!N63))</f>
        <v/>
      </c>
      <c r="S143" s="18" t="str">
        <f>IF('Classe Grande section'!$B63="","",N('Classe Grande section'!O63))</f>
        <v/>
      </c>
      <c r="T143" s="18" t="str">
        <f>IF('Classe Grande section'!$B63="","",N('Classe Grande section'!P63))</f>
        <v/>
      </c>
    </row>
    <row r="144">
      <c r="A144" s="20" t="str">
        <f>IF('Classe Grande section'!$B64="","",IF('Classe Grande section'!A64="","",'Classe Grande section'!A64))</f>
        <v/>
      </c>
      <c r="B144" s="20" t="str">
        <f>IF('Classe Grande section'!$B64="","",IF('Classe Grande section'!B64="","",'Classe Grande section'!B64))</f>
        <v/>
      </c>
      <c r="C144" s="20" t="str">
        <f>IF('Classe Grande section'!$B64="","",IF('Classe Grande section'!C64="","",'Classe Grande section'!C64))</f>
        <v/>
      </c>
      <c r="D144" s="20" t="str">
        <f>IF($B144="","",C144&amp;" "&amp;B144&amp;" - "&amp;E144)</f>
        <v/>
      </c>
      <c r="E144" s="21" t="str">
        <f>IF($B144="","",Paramètres!$A$16)</f>
        <v/>
      </c>
      <c r="F144" s="21" t="str">
        <f>IF($B144="","",Paramètres!$B$16)</f>
        <v/>
      </c>
      <c r="G144" s="21" t="str">
        <f>IF('Classe Grande section'!$B64="","",IF('Classe Grande section'!D64="","",'Classe Grande section'!D64))</f>
        <v/>
      </c>
      <c r="H144" s="77" t="str">
        <f>IF('Classe Grande section'!$B64="","",IF('Classe Grande section'!E64="","",'Classe Grande section'!E64))</f>
        <v/>
      </c>
      <c r="I144" s="20" t="str">
        <f>IF('Classe Grande section'!$B64="","",IF('Classe Grande section'!F64="","",'Classe Grande section'!F64))</f>
        <v/>
      </c>
      <c r="J144" s="20" t="str">
        <f>IF('Classe Grande section'!$B64="","",IF('Classe Grande section'!G64="","",'Classe Grande section'!G64))</f>
        <v/>
      </c>
      <c r="K144" s="51" t="str">
        <f>IF('Classe Grande section'!$B64="","",N('Classe Grande section'!H64))</f>
        <v/>
      </c>
      <c r="L144" s="51" t="str">
        <f>IF('Classe Grande section'!$B64="","",N('Classe Grande section'!I64))</f>
        <v/>
      </c>
      <c r="M144" s="51" t="str">
        <f>IF('Classe Grande section'!$B64="","",N('Classe Grande section'!J64))</f>
        <v/>
      </c>
      <c r="N144" s="51" t="str">
        <f>IF('Classe Grande section'!$B64="","",N('Classe Grande section'!K64))</f>
        <v/>
      </c>
      <c r="O144" s="51" t="str">
        <f>IF('Classe Grande section'!$B64="","",N('Classe Grande section'!L64))</f>
        <v/>
      </c>
      <c r="P144" s="51" t="str">
        <f>IF('Classe Grande section'!$B64="","",N('Classe Grande section'!M64))</f>
        <v/>
      </c>
      <c r="Q144" s="21" t="str">
        <f>IF('Classe Grande section'!$B64="","",IF('Classe Grande section'!Q64="","",'Classe Grande section'!Q64))</f>
        <v/>
      </c>
      <c r="R144" s="51" t="str">
        <f>IF('Classe Grande section'!$B64="","",N('Classe Grande section'!N64))</f>
        <v/>
      </c>
      <c r="S144" s="51" t="str">
        <f>IF('Classe Grande section'!$B64="","",N('Classe Grande section'!O64))</f>
        <v/>
      </c>
      <c r="T144" s="51" t="str">
        <f>IF('Classe Grande section'!$B64="","",N('Classe Grande section'!P64))</f>
        <v/>
      </c>
    </row>
    <row r="145">
      <c r="A145" s="16" t="str">
        <f>IF('Classe Grande section'!$B65="","",IF('Classe Grande section'!A65="","",'Classe Grande section'!A65))</f>
        <v/>
      </c>
      <c r="B145" s="16" t="str">
        <f>IF('Classe Grande section'!$B65="","",IF('Classe Grande section'!B65="","",'Classe Grande section'!B65))</f>
        <v/>
      </c>
      <c r="C145" s="16" t="str">
        <f>IF('Classe Grande section'!$B65="","",IF('Classe Grande section'!C65="","",'Classe Grande section'!C65))</f>
        <v/>
      </c>
      <c r="D145" s="16" t="str">
        <f>IF($B145="","",C145&amp;" "&amp;B145&amp;" - "&amp;E145)</f>
        <v/>
      </c>
      <c r="E145" s="17" t="str">
        <f>IF($B145="","",Paramètres!$A$16)</f>
        <v/>
      </c>
      <c r="F145" s="17" t="str">
        <f>IF($B145="","",Paramètres!$B$16)</f>
        <v/>
      </c>
      <c r="G145" s="17" t="str">
        <f>IF('Classe Grande section'!$B65="","",IF('Classe Grande section'!D65="","",'Classe Grande section'!D65))</f>
        <v/>
      </c>
      <c r="H145" s="78" t="str">
        <f>IF('Classe Grande section'!$B65="","",IF('Classe Grande section'!E65="","",'Classe Grande section'!E65))</f>
        <v/>
      </c>
      <c r="I145" s="16" t="str">
        <f>IF('Classe Grande section'!$B65="","",IF('Classe Grande section'!F65="","",'Classe Grande section'!F65))</f>
        <v/>
      </c>
      <c r="J145" s="16" t="str">
        <f>IF('Classe Grande section'!$B65="","",IF('Classe Grande section'!G65="","",'Classe Grande section'!G65))</f>
        <v/>
      </c>
      <c r="K145" s="18" t="str">
        <f>IF('Classe Grande section'!$B65="","",N('Classe Grande section'!H65))</f>
        <v/>
      </c>
      <c r="L145" s="18" t="str">
        <f>IF('Classe Grande section'!$B65="","",N('Classe Grande section'!I65))</f>
        <v/>
      </c>
      <c r="M145" s="18" t="str">
        <f>IF('Classe Grande section'!$B65="","",N('Classe Grande section'!J65))</f>
        <v/>
      </c>
      <c r="N145" s="18" t="str">
        <f>IF('Classe Grande section'!$B65="","",N('Classe Grande section'!K65))</f>
        <v/>
      </c>
      <c r="O145" s="18" t="str">
        <f>IF('Classe Grande section'!$B65="","",N('Classe Grande section'!L65))</f>
        <v/>
      </c>
      <c r="P145" s="18" t="str">
        <f>IF('Classe Grande section'!$B65="","",N('Classe Grande section'!M65))</f>
        <v/>
      </c>
      <c r="Q145" s="17" t="str">
        <f>IF('Classe Grande section'!$B65="","",IF('Classe Grande section'!Q65="","",'Classe Grande section'!Q65))</f>
        <v/>
      </c>
      <c r="R145" s="18" t="str">
        <f>IF('Classe Grande section'!$B65="","",N('Classe Grande section'!N65))</f>
        <v/>
      </c>
      <c r="S145" s="18" t="str">
        <f>IF('Classe Grande section'!$B65="","",N('Classe Grande section'!O65))</f>
        <v/>
      </c>
      <c r="T145" s="18" t="str">
        <f>IF('Classe Grande section'!$B65="","",N('Classe Grande section'!P65))</f>
        <v/>
      </c>
    </row>
    <row r="146">
      <c r="A146" s="20" t="str">
        <f>IF('Classe Grande section'!$B66="","",IF('Classe Grande section'!A66="","",'Classe Grande section'!A66))</f>
        <v/>
      </c>
      <c r="B146" s="20" t="str">
        <f>IF('Classe Grande section'!$B66="","",IF('Classe Grande section'!B66="","",'Classe Grande section'!B66))</f>
        <v/>
      </c>
      <c r="C146" s="20" t="str">
        <f>IF('Classe Grande section'!$B66="","",IF('Classe Grande section'!C66="","",'Classe Grande section'!C66))</f>
        <v/>
      </c>
      <c r="D146" s="20" t="str">
        <f>IF($B146="","",C146&amp;" "&amp;B146&amp;" - "&amp;E146)</f>
        <v/>
      </c>
      <c r="E146" s="21" t="str">
        <f>IF($B146="","",Paramètres!$A$16)</f>
        <v/>
      </c>
      <c r="F146" s="21" t="str">
        <f>IF($B146="","",Paramètres!$B$16)</f>
        <v/>
      </c>
      <c r="G146" s="21" t="str">
        <f>IF('Classe Grande section'!$B66="","",IF('Classe Grande section'!D66="","",'Classe Grande section'!D66))</f>
        <v/>
      </c>
      <c r="H146" s="77" t="str">
        <f>IF('Classe Grande section'!$B66="","",IF('Classe Grande section'!E66="","",'Classe Grande section'!E66))</f>
        <v/>
      </c>
      <c r="I146" s="20" t="str">
        <f>IF('Classe Grande section'!$B66="","",IF('Classe Grande section'!F66="","",'Classe Grande section'!F66))</f>
        <v/>
      </c>
      <c r="J146" s="20" t="str">
        <f>IF('Classe Grande section'!$B66="","",IF('Classe Grande section'!G66="","",'Classe Grande section'!G66))</f>
        <v/>
      </c>
      <c r="K146" s="51" t="str">
        <f>IF('Classe Grande section'!$B66="","",N('Classe Grande section'!H66))</f>
        <v/>
      </c>
      <c r="L146" s="51" t="str">
        <f>IF('Classe Grande section'!$B66="","",N('Classe Grande section'!I66))</f>
        <v/>
      </c>
      <c r="M146" s="51" t="str">
        <f>IF('Classe Grande section'!$B66="","",N('Classe Grande section'!J66))</f>
        <v/>
      </c>
      <c r="N146" s="51" t="str">
        <f>IF('Classe Grande section'!$B66="","",N('Classe Grande section'!K66))</f>
        <v/>
      </c>
      <c r="O146" s="51" t="str">
        <f>IF('Classe Grande section'!$B66="","",N('Classe Grande section'!L66))</f>
        <v/>
      </c>
      <c r="P146" s="51" t="str">
        <f>IF('Classe Grande section'!$B66="","",N('Classe Grande section'!M66))</f>
        <v/>
      </c>
      <c r="Q146" s="21" t="str">
        <f>IF('Classe Grande section'!$B66="","",IF('Classe Grande section'!Q66="","",'Classe Grande section'!Q66))</f>
        <v/>
      </c>
      <c r="R146" s="51" t="str">
        <f>IF('Classe Grande section'!$B66="","",N('Classe Grande section'!N66))</f>
        <v/>
      </c>
      <c r="S146" s="51" t="str">
        <f>IF('Classe Grande section'!$B66="","",N('Classe Grande section'!O66))</f>
        <v/>
      </c>
      <c r="T146" s="51" t="str">
        <f>IF('Classe Grande section'!$B66="","",N('Classe Grande section'!P66))</f>
        <v/>
      </c>
    </row>
    <row r="147">
      <c r="A147" s="16" t="str">
        <f>IF('Classe Grande section'!$B67="","",IF('Classe Grande section'!A67="","",'Classe Grande section'!A67))</f>
        <v/>
      </c>
      <c r="B147" s="16" t="str">
        <f>IF('Classe Grande section'!$B67="","",IF('Classe Grande section'!B67="","",'Classe Grande section'!B67))</f>
        <v/>
      </c>
      <c r="C147" s="16" t="str">
        <f>IF('Classe Grande section'!$B67="","",IF('Classe Grande section'!C67="","",'Classe Grande section'!C67))</f>
        <v/>
      </c>
      <c r="D147" s="16" t="str">
        <f>IF($B147="","",C147&amp;" "&amp;B147&amp;" - "&amp;E147)</f>
        <v/>
      </c>
      <c r="E147" s="17" t="str">
        <f>IF($B147="","",Paramètres!$A$16)</f>
        <v/>
      </c>
      <c r="F147" s="17" t="str">
        <f>IF($B147="","",Paramètres!$B$16)</f>
        <v/>
      </c>
      <c r="G147" s="17" t="str">
        <f>IF('Classe Grande section'!$B67="","",IF('Classe Grande section'!D67="","",'Classe Grande section'!D67))</f>
        <v/>
      </c>
      <c r="H147" s="78" t="str">
        <f>IF('Classe Grande section'!$B67="","",IF('Classe Grande section'!E67="","",'Classe Grande section'!E67))</f>
        <v/>
      </c>
      <c r="I147" s="16" t="str">
        <f>IF('Classe Grande section'!$B67="","",IF('Classe Grande section'!F67="","",'Classe Grande section'!F67))</f>
        <v/>
      </c>
      <c r="J147" s="16" t="str">
        <f>IF('Classe Grande section'!$B67="","",IF('Classe Grande section'!G67="","",'Classe Grande section'!G67))</f>
        <v/>
      </c>
      <c r="K147" s="18" t="str">
        <f>IF('Classe Grande section'!$B67="","",N('Classe Grande section'!H67))</f>
        <v/>
      </c>
      <c r="L147" s="18" t="str">
        <f>IF('Classe Grande section'!$B67="","",N('Classe Grande section'!I67))</f>
        <v/>
      </c>
      <c r="M147" s="18" t="str">
        <f>IF('Classe Grande section'!$B67="","",N('Classe Grande section'!J67))</f>
        <v/>
      </c>
      <c r="N147" s="18" t="str">
        <f>IF('Classe Grande section'!$B67="","",N('Classe Grande section'!K67))</f>
        <v/>
      </c>
      <c r="O147" s="18" t="str">
        <f>IF('Classe Grande section'!$B67="","",N('Classe Grande section'!L67))</f>
        <v/>
      </c>
      <c r="P147" s="18" t="str">
        <f>IF('Classe Grande section'!$B67="","",N('Classe Grande section'!M67))</f>
        <v/>
      </c>
      <c r="Q147" s="17" t="str">
        <f>IF('Classe Grande section'!$B67="","",IF('Classe Grande section'!Q67="","",'Classe Grande section'!Q67))</f>
        <v/>
      </c>
      <c r="R147" s="18" t="str">
        <f>IF('Classe Grande section'!$B67="","",N('Classe Grande section'!N67))</f>
        <v/>
      </c>
      <c r="S147" s="18" t="str">
        <f>IF('Classe Grande section'!$B67="","",N('Classe Grande section'!O67))</f>
        <v/>
      </c>
      <c r="T147" s="18" t="str">
        <f>IF('Classe Grande section'!$B67="","",N('Classe Grande section'!P67))</f>
        <v/>
      </c>
    </row>
    <row r="148">
      <c r="A148" s="20" t="str">
        <f>IF('Classe Grande section'!$B68="","",IF('Classe Grande section'!A68="","",'Classe Grande section'!A68))</f>
        <v/>
      </c>
      <c r="B148" s="20" t="str">
        <f>IF('Classe Grande section'!$B68="","",IF('Classe Grande section'!B68="","",'Classe Grande section'!B68))</f>
        <v/>
      </c>
      <c r="C148" s="20" t="str">
        <f>IF('Classe Grande section'!$B68="","",IF('Classe Grande section'!C68="","",'Classe Grande section'!C68))</f>
        <v/>
      </c>
      <c r="D148" s="20" t="str">
        <f>IF($B148="","",C148&amp;" "&amp;B148&amp;" - "&amp;E148)</f>
        <v/>
      </c>
      <c r="E148" s="21" t="str">
        <f>IF($B148="","",Paramètres!$A$16)</f>
        <v/>
      </c>
      <c r="F148" s="21" t="str">
        <f>IF($B148="","",Paramètres!$B$16)</f>
        <v/>
      </c>
      <c r="G148" s="21" t="str">
        <f>IF('Classe Grande section'!$B68="","",IF('Classe Grande section'!D68="","",'Classe Grande section'!D68))</f>
        <v/>
      </c>
      <c r="H148" s="77" t="str">
        <f>IF('Classe Grande section'!$B68="","",IF('Classe Grande section'!E68="","",'Classe Grande section'!E68))</f>
        <v/>
      </c>
      <c r="I148" s="20" t="str">
        <f>IF('Classe Grande section'!$B68="","",IF('Classe Grande section'!F68="","",'Classe Grande section'!F68))</f>
        <v/>
      </c>
      <c r="J148" s="20" t="str">
        <f>IF('Classe Grande section'!$B68="","",IF('Classe Grande section'!G68="","",'Classe Grande section'!G68))</f>
        <v/>
      </c>
      <c r="K148" s="51" t="str">
        <f>IF('Classe Grande section'!$B68="","",N('Classe Grande section'!H68))</f>
        <v/>
      </c>
      <c r="L148" s="51" t="str">
        <f>IF('Classe Grande section'!$B68="","",N('Classe Grande section'!I68))</f>
        <v/>
      </c>
      <c r="M148" s="51" t="str">
        <f>IF('Classe Grande section'!$B68="","",N('Classe Grande section'!J68))</f>
        <v/>
      </c>
      <c r="N148" s="51" t="str">
        <f>IF('Classe Grande section'!$B68="","",N('Classe Grande section'!K68))</f>
        <v/>
      </c>
      <c r="O148" s="51" t="str">
        <f>IF('Classe Grande section'!$B68="","",N('Classe Grande section'!L68))</f>
        <v/>
      </c>
      <c r="P148" s="51" t="str">
        <f>IF('Classe Grande section'!$B68="","",N('Classe Grande section'!M68))</f>
        <v/>
      </c>
      <c r="Q148" s="21" t="str">
        <f>IF('Classe Grande section'!$B68="","",IF('Classe Grande section'!Q68="","",'Classe Grande section'!Q68))</f>
        <v/>
      </c>
      <c r="R148" s="51" t="str">
        <f>IF('Classe Grande section'!$B68="","",N('Classe Grande section'!N68))</f>
        <v/>
      </c>
      <c r="S148" s="51" t="str">
        <f>IF('Classe Grande section'!$B68="","",N('Classe Grande section'!O68))</f>
        <v/>
      </c>
      <c r="T148" s="51" t="str">
        <f>IF('Classe Grande section'!$B68="","",N('Classe Grande section'!P68))</f>
        <v/>
      </c>
    </row>
    <row r="149">
      <c r="A149" s="16" t="str">
        <f>IF('Classe Grande section'!$B69="","",IF('Classe Grande section'!A69="","",'Classe Grande section'!A69))</f>
        <v/>
      </c>
      <c r="B149" s="16" t="str">
        <f>IF('Classe Grande section'!$B69="","",IF('Classe Grande section'!B69="","",'Classe Grande section'!B69))</f>
        <v/>
      </c>
      <c r="C149" s="16" t="str">
        <f>IF('Classe Grande section'!$B69="","",IF('Classe Grande section'!C69="","",'Classe Grande section'!C69))</f>
        <v/>
      </c>
      <c r="D149" s="16" t="str">
        <f>IF($B149="","",C149&amp;" "&amp;B149&amp;" - "&amp;E149)</f>
        <v/>
      </c>
      <c r="E149" s="17" t="str">
        <f>IF($B149="","",Paramètres!$A$16)</f>
        <v/>
      </c>
      <c r="F149" s="17" t="str">
        <f>IF($B149="","",Paramètres!$B$16)</f>
        <v/>
      </c>
      <c r="G149" s="17" t="str">
        <f>IF('Classe Grande section'!$B69="","",IF('Classe Grande section'!D69="","",'Classe Grande section'!D69))</f>
        <v/>
      </c>
      <c r="H149" s="78" t="str">
        <f>IF('Classe Grande section'!$B69="","",IF('Classe Grande section'!E69="","",'Classe Grande section'!E69))</f>
        <v/>
      </c>
      <c r="I149" s="16" t="str">
        <f>IF('Classe Grande section'!$B69="","",IF('Classe Grande section'!F69="","",'Classe Grande section'!F69))</f>
        <v/>
      </c>
      <c r="J149" s="16" t="str">
        <f>IF('Classe Grande section'!$B69="","",IF('Classe Grande section'!G69="","",'Classe Grande section'!G69))</f>
        <v/>
      </c>
      <c r="K149" s="18" t="str">
        <f>IF('Classe Grande section'!$B69="","",N('Classe Grande section'!H69))</f>
        <v/>
      </c>
      <c r="L149" s="18" t="str">
        <f>IF('Classe Grande section'!$B69="","",N('Classe Grande section'!I69))</f>
        <v/>
      </c>
      <c r="M149" s="18" t="str">
        <f>IF('Classe Grande section'!$B69="","",N('Classe Grande section'!J69))</f>
        <v/>
      </c>
      <c r="N149" s="18" t="str">
        <f>IF('Classe Grande section'!$B69="","",N('Classe Grande section'!K69))</f>
        <v/>
      </c>
      <c r="O149" s="18" t="str">
        <f>IF('Classe Grande section'!$B69="","",N('Classe Grande section'!L69))</f>
        <v/>
      </c>
      <c r="P149" s="18" t="str">
        <f>IF('Classe Grande section'!$B69="","",N('Classe Grande section'!M69))</f>
        <v/>
      </c>
      <c r="Q149" s="17" t="str">
        <f>IF('Classe Grande section'!$B69="","",IF('Classe Grande section'!Q69="","",'Classe Grande section'!Q69))</f>
        <v/>
      </c>
      <c r="R149" s="18" t="str">
        <f>IF('Classe Grande section'!$B69="","",N('Classe Grande section'!N69))</f>
        <v/>
      </c>
      <c r="S149" s="18" t="str">
        <f>IF('Classe Grande section'!$B69="","",N('Classe Grande section'!O69))</f>
        <v/>
      </c>
      <c r="T149" s="18" t="str">
        <f>IF('Classe Grande section'!$B69="","",N('Classe Grande section'!P69))</f>
        <v/>
      </c>
    </row>
    <row r="150">
      <c r="A150" s="20" t="str">
        <f>IF('Classe Grande section'!$B70="","",IF('Classe Grande section'!A70="","",'Classe Grande section'!A70))</f>
        <v/>
      </c>
      <c r="B150" s="20" t="str">
        <f>IF('Classe Grande section'!$B70="","",IF('Classe Grande section'!B70="","",'Classe Grande section'!B70))</f>
        <v/>
      </c>
      <c r="C150" s="20" t="str">
        <f>IF('Classe Grande section'!$B70="","",IF('Classe Grande section'!C70="","",'Classe Grande section'!C70))</f>
        <v/>
      </c>
      <c r="D150" s="20" t="str">
        <f>IF($B150="","",C150&amp;" "&amp;B150&amp;" - "&amp;E150)</f>
        <v/>
      </c>
      <c r="E150" s="21" t="str">
        <f>IF($B150="","",Paramètres!$A$16)</f>
        <v/>
      </c>
      <c r="F150" s="21" t="str">
        <f>IF($B150="","",Paramètres!$B$16)</f>
        <v/>
      </c>
      <c r="G150" s="21" t="str">
        <f>IF('Classe Grande section'!$B70="","",IF('Classe Grande section'!D70="","",'Classe Grande section'!D70))</f>
        <v/>
      </c>
      <c r="H150" s="77" t="str">
        <f>IF('Classe Grande section'!$B70="","",IF('Classe Grande section'!E70="","",'Classe Grande section'!E70))</f>
        <v/>
      </c>
      <c r="I150" s="20" t="str">
        <f>IF('Classe Grande section'!$B70="","",IF('Classe Grande section'!F70="","",'Classe Grande section'!F70))</f>
        <v/>
      </c>
      <c r="J150" s="20" t="str">
        <f>IF('Classe Grande section'!$B70="","",IF('Classe Grande section'!G70="","",'Classe Grande section'!G70))</f>
        <v/>
      </c>
      <c r="K150" s="51" t="str">
        <f>IF('Classe Grande section'!$B70="","",N('Classe Grande section'!H70))</f>
        <v/>
      </c>
      <c r="L150" s="51" t="str">
        <f>IF('Classe Grande section'!$B70="","",N('Classe Grande section'!I70))</f>
        <v/>
      </c>
      <c r="M150" s="51" t="str">
        <f>IF('Classe Grande section'!$B70="","",N('Classe Grande section'!J70))</f>
        <v/>
      </c>
      <c r="N150" s="51" t="str">
        <f>IF('Classe Grande section'!$B70="","",N('Classe Grande section'!K70))</f>
        <v/>
      </c>
      <c r="O150" s="51" t="str">
        <f>IF('Classe Grande section'!$B70="","",N('Classe Grande section'!L70))</f>
        <v/>
      </c>
      <c r="P150" s="51" t="str">
        <f>IF('Classe Grande section'!$B70="","",N('Classe Grande section'!M70))</f>
        <v/>
      </c>
      <c r="Q150" s="21" t="str">
        <f>IF('Classe Grande section'!$B70="","",IF('Classe Grande section'!Q70="","",'Classe Grande section'!Q70))</f>
        <v/>
      </c>
      <c r="R150" s="51" t="str">
        <f>IF('Classe Grande section'!$B70="","",N('Classe Grande section'!N70))</f>
        <v/>
      </c>
      <c r="S150" s="51" t="str">
        <f>IF('Classe Grande section'!$B70="","",N('Classe Grande section'!O70))</f>
        <v/>
      </c>
      <c r="T150" s="51" t="str">
        <f>IF('Classe Grande section'!$B70="","",N('Classe Grande section'!P70))</f>
        <v/>
      </c>
    </row>
    <row r="151">
      <c r="A151" s="16" t="str">
        <f>IF('Classe Grande section'!$B71="","",IF('Classe Grande section'!A71="","",'Classe Grande section'!A71))</f>
        <v/>
      </c>
      <c r="B151" s="16" t="str">
        <f>IF('Classe Grande section'!$B71="","",IF('Classe Grande section'!B71="","",'Classe Grande section'!B71))</f>
        <v/>
      </c>
      <c r="C151" s="16" t="str">
        <f>IF('Classe Grande section'!$B71="","",IF('Classe Grande section'!C71="","",'Classe Grande section'!C71))</f>
        <v/>
      </c>
      <c r="D151" s="16" t="str">
        <f>IF($B151="","",C151&amp;" "&amp;B151&amp;" - "&amp;E151)</f>
        <v/>
      </c>
      <c r="E151" s="17" t="str">
        <f>IF($B151="","",Paramètres!$A$16)</f>
        <v/>
      </c>
      <c r="F151" s="17" t="str">
        <f>IF($B151="","",Paramètres!$B$16)</f>
        <v/>
      </c>
      <c r="G151" s="17" t="str">
        <f>IF('Classe Grande section'!$B71="","",IF('Classe Grande section'!D71="","",'Classe Grande section'!D71))</f>
        <v/>
      </c>
      <c r="H151" s="78" t="str">
        <f>IF('Classe Grande section'!$B71="","",IF('Classe Grande section'!E71="","",'Classe Grande section'!E71))</f>
        <v/>
      </c>
      <c r="I151" s="16" t="str">
        <f>IF('Classe Grande section'!$B71="","",IF('Classe Grande section'!F71="","",'Classe Grande section'!F71))</f>
        <v/>
      </c>
      <c r="J151" s="16" t="str">
        <f>IF('Classe Grande section'!$B71="","",IF('Classe Grande section'!G71="","",'Classe Grande section'!G71))</f>
        <v/>
      </c>
      <c r="K151" s="18" t="str">
        <f>IF('Classe Grande section'!$B71="","",N('Classe Grande section'!H71))</f>
        <v/>
      </c>
      <c r="L151" s="18" t="str">
        <f>IF('Classe Grande section'!$B71="","",N('Classe Grande section'!I71))</f>
        <v/>
      </c>
      <c r="M151" s="18" t="str">
        <f>IF('Classe Grande section'!$B71="","",N('Classe Grande section'!J71))</f>
        <v/>
      </c>
      <c r="N151" s="18" t="str">
        <f>IF('Classe Grande section'!$B71="","",N('Classe Grande section'!K71))</f>
        <v/>
      </c>
      <c r="O151" s="18" t="str">
        <f>IF('Classe Grande section'!$B71="","",N('Classe Grande section'!L71))</f>
        <v/>
      </c>
      <c r="P151" s="18" t="str">
        <f>IF('Classe Grande section'!$B71="","",N('Classe Grande section'!M71))</f>
        <v/>
      </c>
      <c r="Q151" s="17" t="str">
        <f>IF('Classe Grande section'!$B71="","",IF('Classe Grande section'!Q71="","",'Classe Grande section'!Q71))</f>
        <v/>
      </c>
      <c r="R151" s="18" t="str">
        <f>IF('Classe Grande section'!$B71="","",N('Classe Grande section'!N71))</f>
        <v/>
      </c>
      <c r="S151" s="18" t="str">
        <f>IF('Classe Grande section'!$B71="","",N('Classe Grande section'!O71))</f>
        <v/>
      </c>
      <c r="T151" s="18" t="str">
        <f>IF('Classe Grande section'!$B71="","",N('Classe Grande section'!P71))</f>
        <v/>
      </c>
    </row>
    <row r="152">
      <c r="A152" s="20" t="str">
        <f>IF('Classe Grande section'!$B72="","",IF('Classe Grande section'!A72="","",'Classe Grande section'!A72))</f>
        <v/>
      </c>
      <c r="B152" s="20" t="str">
        <f>IF('Classe Grande section'!$B72="","",IF('Classe Grande section'!B72="","",'Classe Grande section'!B72))</f>
        <v/>
      </c>
      <c r="C152" s="20" t="str">
        <f>IF('Classe Grande section'!$B72="","",IF('Classe Grande section'!C72="","",'Classe Grande section'!C72))</f>
        <v/>
      </c>
      <c r="D152" s="20" t="str">
        <f>IF($B152="","",C152&amp;" "&amp;B152&amp;" - "&amp;E152)</f>
        <v/>
      </c>
      <c r="E152" s="21" t="str">
        <f>IF($B152="","",Paramètres!$A$16)</f>
        <v/>
      </c>
      <c r="F152" s="21" t="str">
        <f>IF($B152="","",Paramètres!$B$16)</f>
        <v/>
      </c>
      <c r="G152" s="21" t="str">
        <f>IF('Classe Grande section'!$B72="","",IF('Classe Grande section'!D72="","",'Classe Grande section'!D72))</f>
        <v/>
      </c>
      <c r="H152" s="77" t="str">
        <f>IF('Classe Grande section'!$B72="","",IF('Classe Grande section'!E72="","",'Classe Grande section'!E72))</f>
        <v/>
      </c>
      <c r="I152" s="20" t="str">
        <f>IF('Classe Grande section'!$B72="","",IF('Classe Grande section'!F72="","",'Classe Grande section'!F72))</f>
        <v/>
      </c>
      <c r="J152" s="20" t="str">
        <f>IF('Classe Grande section'!$B72="","",IF('Classe Grande section'!G72="","",'Classe Grande section'!G72))</f>
        <v/>
      </c>
      <c r="K152" s="51" t="str">
        <f>IF('Classe Grande section'!$B72="","",N('Classe Grande section'!H72))</f>
        <v/>
      </c>
      <c r="L152" s="51" t="str">
        <f>IF('Classe Grande section'!$B72="","",N('Classe Grande section'!I72))</f>
        <v/>
      </c>
      <c r="M152" s="51" t="str">
        <f>IF('Classe Grande section'!$B72="","",N('Classe Grande section'!J72))</f>
        <v/>
      </c>
      <c r="N152" s="51" t="str">
        <f>IF('Classe Grande section'!$B72="","",N('Classe Grande section'!K72))</f>
        <v/>
      </c>
      <c r="O152" s="51" t="str">
        <f>IF('Classe Grande section'!$B72="","",N('Classe Grande section'!L72))</f>
        <v/>
      </c>
      <c r="P152" s="51" t="str">
        <f>IF('Classe Grande section'!$B72="","",N('Classe Grande section'!M72))</f>
        <v/>
      </c>
      <c r="Q152" s="21" t="str">
        <f>IF('Classe Grande section'!$B72="","",IF('Classe Grande section'!Q72="","",'Classe Grande section'!Q72))</f>
        <v/>
      </c>
      <c r="R152" s="51" t="str">
        <f>IF('Classe Grande section'!$B72="","",N('Classe Grande section'!N72))</f>
        <v/>
      </c>
      <c r="S152" s="51" t="str">
        <f>IF('Classe Grande section'!$B72="","",N('Classe Grande section'!O72))</f>
        <v/>
      </c>
      <c r="T152" s="51" t="str">
        <f>IF('Classe Grande section'!$B72="","",N('Classe Grande section'!P72))</f>
        <v/>
      </c>
    </row>
    <row r="153">
      <c r="A153" s="16" t="str">
        <f>IF('Classe Grande section'!$B73="","",IF('Classe Grande section'!A73="","",'Classe Grande section'!A73))</f>
        <v/>
      </c>
      <c r="B153" s="16" t="str">
        <f>IF('Classe Grande section'!$B73="","",IF('Classe Grande section'!B73="","",'Classe Grande section'!B73))</f>
        <v/>
      </c>
      <c r="C153" s="16" t="str">
        <f>IF('Classe Grande section'!$B73="","",IF('Classe Grande section'!C73="","",'Classe Grande section'!C73))</f>
        <v/>
      </c>
      <c r="D153" s="16" t="str">
        <f>IF($B153="","",C153&amp;" "&amp;B153&amp;" - "&amp;E153)</f>
        <v/>
      </c>
      <c r="E153" s="17" t="str">
        <f>IF($B153="","",Paramètres!$A$16)</f>
        <v/>
      </c>
      <c r="F153" s="17" t="str">
        <f>IF($B153="","",Paramètres!$B$16)</f>
        <v/>
      </c>
      <c r="G153" s="17" t="str">
        <f>IF('Classe Grande section'!$B73="","",IF('Classe Grande section'!D73="","",'Classe Grande section'!D73))</f>
        <v/>
      </c>
      <c r="H153" s="78" t="str">
        <f>IF('Classe Grande section'!$B73="","",IF('Classe Grande section'!E73="","",'Classe Grande section'!E73))</f>
        <v/>
      </c>
      <c r="I153" s="16" t="str">
        <f>IF('Classe Grande section'!$B73="","",IF('Classe Grande section'!F73="","",'Classe Grande section'!F73))</f>
        <v/>
      </c>
      <c r="J153" s="16" t="str">
        <f>IF('Classe Grande section'!$B73="","",IF('Classe Grande section'!G73="","",'Classe Grande section'!G73))</f>
        <v/>
      </c>
      <c r="K153" s="18" t="str">
        <f>IF('Classe Grande section'!$B73="","",N('Classe Grande section'!H73))</f>
        <v/>
      </c>
      <c r="L153" s="18" t="str">
        <f>IF('Classe Grande section'!$B73="","",N('Classe Grande section'!I73))</f>
        <v/>
      </c>
      <c r="M153" s="18" t="str">
        <f>IF('Classe Grande section'!$B73="","",N('Classe Grande section'!J73))</f>
        <v/>
      </c>
      <c r="N153" s="18" t="str">
        <f>IF('Classe Grande section'!$B73="","",N('Classe Grande section'!K73))</f>
        <v/>
      </c>
      <c r="O153" s="18" t="str">
        <f>IF('Classe Grande section'!$B73="","",N('Classe Grande section'!L73))</f>
        <v/>
      </c>
      <c r="P153" s="18" t="str">
        <f>IF('Classe Grande section'!$B73="","",N('Classe Grande section'!M73))</f>
        <v/>
      </c>
      <c r="Q153" s="17" t="str">
        <f>IF('Classe Grande section'!$B73="","",IF('Classe Grande section'!Q73="","",'Classe Grande section'!Q73))</f>
        <v/>
      </c>
      <c r="R153" s="18" t="str">
        <f>IF('Classe Grande section'!$B73="","",N('Classe Grande section'!N73))</f>
        <v/>
      </c>
      <c r="S153" s="18" t="str">
        <f>IF('Classe Grande section'!$B73="","",N('Classe Grande section'!O73))</f>
        <v/>
      </c>
      <c r="T153" s="18" t="str">
        <f>IF('Classe Grande section'!$B73="","",N('Classe Grande section'!P73))</f>
        <v/>
      </c>
    </row>
    <row r="154">
      <c r="A154" s="20" t="str">
        <f>IF('Classe Grande section'!$B74="","",IF('Classe Grande section'!A74="","",'Classe Grande section'!A74))</f>
        <v/>
      </c>
      <c r="B154" s="20" t="str">
        <f>IF('Classe Grande section'!$B74="","",IF('Classe Grande section'!B74="","",'Classe Grande section'!B74))</f>
        <v/>
      </c>
      <c r="C154" s="20" t="str">
        <f>IF('Classe Grande section'!$B74="","",IF('Classe Grande section'!C74="","",'Classe Grande section'!C74))</f>
        <v/>
      </c>
      <c r="D154" s="20" t="str">
        <f>IF($B154="","",C154&amp;" "&amp;B154&amp;" - "&amp;E154)</f>
        <v/>
      </c>
      <c r="E154" s="21" t="str">
        <f>IF($B154="","",Paramètres!$A$16)</f>
        <v/>
      </c>
      <c r="F154" s="21" t="str">
        <f>IF($B154="","",Paramètres!$B$16)</f>
        <v/>
      </c>
      <c r="G154" s="21" t="str">
        <f>IF('Classe Grande section'!$B74="","",IF('Classe Grande section'!D74="","",'Classe Grande section'!D74))</f>
        <v/>
      </c>
      <c r="H154" s="77" t="str">
        <f>IF('Classe Grande section'!$B74="","",IF('Classe Grande section'!E74="","",'Classe Grande section'!E74))</f>
        <v/>
      </c>
      <c r="I154" s="20" t="str">
        <f>IF('Classe Grande section'!$B74="","",IF('Classe Grande section'!F74="","",'Classe Grande section'!F74))</f>
        <v/>
      </c>
      <c r="J154" s="20" t="str">
        <f>IF('Classe Grande section'!$B74="","",IF('Classe Grande section'!G74="","",'Classe Grande section'!G74))</f>
        <v/>
      </c>
      <c r="K154" s="51" t="str">
        <f>IF('Classe Grande section'!$B74="","",N('Classe Grande section'!H74))</f>
        <v/>
      </c>
      <c r="L154" s="51" t="str">
        <f>IF('Classe Grande section'!$B74="","",N('Classe Grande section'!I74))</f>
        <v/>
      </c>
      <c r="M154" s="51" t="str">
        <f>IF('Classe Grande section'!$B74="","",N('Classe Grande section'!J74))</f>
        <v/>
      </c>
      <c r="N154" s="51" t="str">
        <f>IF('Classe Grande section'!$B74="","",N('Classe Grande section'!K74))</f>
        <v/>
      </c>
      <c r="O154" s="51" t="str">
        <f>IF('Classe Grande section'!$B74="","",N('Classe Grande section'!L74))</f>
        <v/>
      </c>
      <c r="P154" s="51" t="str">
        <f>IF('Classe Grande section'!$B74="","",N('Classe Grande section'!M74))</f>
        <v/>
      </c>
      <c r="Q154" s="21" t="str">
        <f>IF('Classe Grande section'!$B74="","",IF('Classe Grande section'!Q74="","",'Classe Grande section'!Q74))</f>
        <v/>
      </c>
      <c r="R154" s="51" t="str">
        <f>IF('Classe Grande section'!$B74="","",N('Classe Grande section'!N74))</f>
        <v/>
      </c>
      <c r="S154" s="51" t="str">
        <f>IF('Classe Grande section'!$B74="","",N('Classe Grande section'!O74))</f>
        <v/>
      </c>
      <c r="T154" s="51" t="str">
        <f>IF('Classe Grande section'!$B74="","",N('Classe Grande section'!P74))</f>
        <v/>
      </c>
    </row>
    <row r="155">
      <c r="A155" s="16" t="str">
        <f>IF('Classe Grande section'!$B75="","",IF('Classe Grande section'!A75="","",'Classe Grande section'!A75))</f>
        <v/>
      </c>
      <c r="B155" s="16" t="str">
        <f>IF('Classe Grande section'!$B75="","",IF('Classe Grande section'!B75="","",'Classe Grande section'!B75))</f>
        <v/>
      </c>
      <c r="C155" s="16" t="str">
        <f>IF('Classe Grande section'!$B75="","",IF('Classe Grande section'!C75="","",'Classe Grande section'!C75))</f>
        <v/>
      </c>
      <c r="D155" s="16" t="str">
        <f>IF($B155="","",C155&amp;" "&amp;B155&amp;" - "&amp;E155)</f>
        <v/>
      </c>
      <c r="E155" s="17" t="str">
        <f>IF($B155="","",Paramètres!$A$16)</f>
        <v/>
      </c>
      <c r="F155" s="17" t="str">
        <f>IF($B155="","",Paramètres!$B$16)</f>
        <v/>
      </c>
      <c r="G155" s="17" t="str">
        <f>IF('Classe Grande section'!$B75="","",IF('Classe Grande section'!D75="","",'Classe Grande section'!D75))</f>
        <v/>
      </c>
      <c r="H155" s="78" t="str">
        <f>IF('Classe Grande section'!$B75="","",IF('Classe Grande section'!E75="","",'Classe Grande section'!E75))</f>
        <v/>
      </c>
      <c r="I155" s="16" t="str">
        <f>IF('Classe Grande section'!$B75="","",IF('Classe Grande section'!F75="","",'Classe Grande section'!F75))</f>
        <v/>
      </c>
      <c r="J155" s="16" t="str">
        <f>IF('Classe Grande section'!$B75="","",IF('Classe Grande section'!G75="","",'Classe Grande section'!G75))</f>
        <v/>
      </c>
      <c r="K155" s="18" t="str">
        <f>IF('Classe Grande section'!$B75="","",N('Classe Grande section'!H75))</f>
        <v/>
      </c>
      <c r="L155" s="18" t="str">
        <f>IF('Classe Grande section'!$B75="","",N('Classe Grande section'!I75))</f>
        <v/>
      </c>
      <c r="M155" s="18" t="str">
        <f>IF('Classe Grande section'!$B75="","",N('Classe Grande section'!J75))</f>
        <v/>
      </c>
      <c r="N155" s="18" t="str">
        <f>IF('Classe Grande section'!$B75="","",N('Classe Grande section'!K75))</f>
        <v/>
      </c>
      <c r="O155" s="18" t="str">
        <f>IF('Classe Grande section'!$B75="","",N('Classe Grande section'!L75))</f>
        <v/>
      </c>
      <c r="P155" s="18" t="str">
        <f>IF('Classe Grande section'!$B75="","",N('Classe Grande section'!M75))</f>
        <v/>
      </c>
      <c r="Q155" s="17" t="str">
        <f>IF('Classe Grande section'!$B75="","",IF('Classe Grande section'!Q75="","",'Classe Grande section'!Q75))</f>
        <v/>
      </c>
      <c r="R155" s="18" t="str">
        <f>IF('Classe Grande section'!$B75="","",N('Classe Grande section'!N75))</f>
        <v/>
      </c>
      <c r="S155" s="18" t="str">
        <f>IF('Classe Grande section'!$B75="","",N('Classe Grande section'!O75))</f>
        <v/>
      </c>
      <c r="T155" s="18" t="str">
        <f>IF('Classe Grande section'!$B75="","",N('Classe Grande section'!P75))</f>
        <v/>
      </c>
    </row>
    <row r="156">
      <c r="A156" s="20" t="str">
        <f>IF('Classe Grande section'!$B76="","",IF('Classe Grande section'!A76="","",'Classe Grande section'!A76))</f>
        <v/>
      </c>
      <c r="B156" s="20" t="str">
        <f>IF('Classe Grande section'!$B76="","",IF('Classe Grande section'!B76="","",'Classe Grande section'!B76))</f>
        <v/>
      </c>
      <c r="C156" s="20" t="str">
        <f>IF('Classe Grande section'!$B76="","",IF('Classe Grande section'!C76="","",'Classe Grande section'!C76))</f>
        <v/>
      </c>
      <c r="D156" s="20" t="str">
        <f>IF($B156="","",C156&amp;" "&amp;B156&amp;" - "&amp;E156)</f>
        <v/>
      </c>
      <c r="E156" s="21" t="str">
        <f>IF($B156="","",Paramètres!$A$16)</f>
        <v/>
      </c>
      <c r="F156" s="21" t="str">
        <f>IF($B156="","",Paramètres!$B$16)</f>
        <v/>
      </c>
      <c r="G156" s="21" t="str">
        <f>IF('Classe Grande section'!$B76="","",IF('Classe Grande section'!D76="","",'Classe Grande section'!D76))</f>
        <v/>
      </c>
      <c r="H156" s="77" t="str">
        <f>IF('Classe Grande section'!$B76="","",IF('Classe Grande section'!E76="","",'Classe Grande section'!E76))</f>
        <v/>
      </c>
      <c r="I156" s="20" t="str">
        <f>IF('Classe Grande section'!$B76="","",IF('Classe Grande section'!F76="","",'Classe Grande section'!F76))</f>
        <v/>
      </c>
      <c r="J156" s="20" t="str">
        <f>IF('Classe Grande section'!$B76="","",IF('Classe Grande section'!G76="","",'Classe Grande section'!G76))</f>
        <v/>
      </c>
      <c r="K156" s="51" t="str">
        <f>IF('Classe Grande section'!$B76="","",N('Classe Grande section'!H76))</f>
        <v/>
      </c>
      <c r="L156" s="51" t="str">
        <f>IF('Classe Grande section'!$B76="","",N('Classe Grande section'!I76))</f>
        <v/>
      </c>
      <c r="M156" s="51" t="str">
        <f>IF('Classe Grande section'!$B76="","",N('Classe Grande section'!J76))</f>
        <v/>
      </c>
      <c r="N156" s="51" t="str">
        <f>IF('Classe Grande section'!$B76="","",N('Classe Grande section'!K76))</f>
        <v/>
      </c>
      <c r="O156" s="51" t="str">
        <f>IF('Classe Grande section'!$B76="","",N('Classe Grande section'!L76))</f>
        <v/>
      </c>
      <c r="P156" s="51" t="str">
        <f>IF('Classe Grande section'!$B76="","",N('Classe Grande section'!M76))</f>
        <v/>
      </c>
      <c r="Q156" s="21" t="str">
        <f>IF('Classe Grande section'!$B76="","",IF('Classe Grande section'!Q76="","",'Classe Grande section'!Q76))</f>
        <v/>
      </c>
      <c r="R156" s="51" t="str">
        <f>IF('Classe Grande section'!$B76="","",N('Classe Grande section'!N76))</f>
        <v/>
      </c>
      <c r="S156" s="51" t="str">
        <f>IF('Classe Grande section'!$B76="","",N('Classe Grande section'!O76))</f>
        <v/>
      </c>
      <c r="T156" s="51" t="str">
        <f>IF('Classe Grande section'!$B76="","",N('Classe Grande section'!P76))</f>
        <v/>
      </c>
    </row>
    <row r="157">
      <c r="A157" s="16" t="str">
        <f>IF('Classe Grande section'!$B77="","",IF('Classe Grande section'!A77="","",'Classe Grande section'!A77))</f>
        <v/>
      </c>
      <c r="B157" s="16" t="str">
        <f>IF('Classe Grande section'!$B77="","",IF('Classe Grande section'!B77="","",'Classe Grande section'!B77))</f>
        <v/>
      </c>
      <c r="C157" s="16" t="str">
        <f>IF('Classe Grande section'!$B77="","",IF('Classe Grande section'!C77="","",'Classe Grande section'!C77))</f>
        <v/>
      </c>
      <c r="D157" s="16" t="str">
        <f>IF($B157="","",C157&amp;" "&amp;B157&amp;" - "&amp;E157)</f>
        <v/>
      </c>
      <c r="E157" s="17" t="str">
        <f>IF($B157="","",Paramètres!$A$16)</f>
        <v/>
      </c>
      <c r="F157" s="17" t="str">
        <f>IF($B157="","",Paramètres!$B$16)</f>
        <v/>
      </c>
      <c r="G157" s="17" t="str">
        <f>IF('Classe Grande section'!$B77="","",IF('Classe Grande section'!D77="","",'Classe Grande section'!D77))</f>
        <v/>
      </c>
      <c r="H157" s="78" t="str">
        <f>IF('Classe Grande section'!$B77="","",IF('Classe Grande section'!E77="","",'Classe Grande section'!E77))</f>
        <v/>
      </c>
      <c r="I157" s="16" t="str">
        <f>IF('Classe Grande section'!$B77="","",IF('Classe Grande section'!F77="","",'Classe Grande section'!F77))</f>
        <v/>
      </c>
      <c r="J157" s="16" t="str">
        <f>IF('Classe Grande section'!$B77="","",IF('Classe Grande section'!G77="","",'Classe Grande section'!G77))</f>
        <v/>
      </c>
      <c r="K157" s="18" t="str">
        <f>IF('Classe Grande section'!$B77="","",N('Classe Grande section'!H77))</f>
        <v/>
      </c>
      <c r="L157" s="18" t="str">
        <f>IF('Classe Grande section'!$B77="","",N('Classe Grande section'!I77))</f>
        <v/>
      </c>
      <c r="M157" s="18" t="str">
        <f>IF('Classe Grande section'!$B77="","",N('Classe Grande section'!J77))</f>
        <v/>
      </c>
      <c r="N157" s="18" t="str">
        <f>IF('Classe Grande section'!$B77="","",N('Classe Grande section'!K77))</f>
        <v/>
      </c>
      <c r="O157" s="18" t="str">
        <f>IF('Classe Grande section'!$B77="","",N('Classe Grande section'!L77))</f>
        <v/>
      </c>
      <c r="P157" s="18" t="str">
        <f>IF('Classe Grande section'!$B77="","",N('Classe Grande section'!M77))</f>
        <v/>
      </c>
      <c r="Q157" s="17" t="str">
        <f>IF('Classe Grande section'!$B77="","",IF('Classe Grande section'!Q77="","",'Classe Grande section'!Q77))</f>
        <v/>
      </c>
      <c r="R157" s="18" t="str">
        <f>IF('Classe Grande section'!$B77="","",N('Classe Grande section'!N77))</f>
        <v/>
      </c>
      <c r="S157" s="18" t="str">
        <f>IF('Classe Grande section'!$B77="","",N('Classe Grande section'!O77))</f>
        <v/>
      </c>
      <c r="T157" s="18" t="str">
        <f>IF('Classe Grande section'!$B77="","",N('Classe Grande section'!P77))</f>
        <v/>
      </c>
    </row>
    <row r="158">
      <c r="A158" s="20" t="str">
        <f>IF('Classe Grande section'!$B78="","",IF('Classe Grande section'!A78="","",'Classe Grande section'!A78))</f>
        <v/>
      </c>
      <c r="B158" s="20" t="str">
        <f>IF('Classe Grande section'!$B78="","",IF('Classe Grande section'!B78="","",'Classe Grande section'!B78))</f>
        <v/>
      </c>
      <c r="C158" s="20" t="str">
        <f>IF('Classe Grande section'!$B78="","",IF('Classe Grande section'!C78="","",'Classe Grande section'!C78))</f>
        <v/>
      </c>
      <c r="D158" s="20" t="str">
        <f>IF($B158="","",C158&amp;" "&amp;B158&amp;" - "&amp;E158)</f>
        <v/>
      </c>
      <c r="E158" s="21" t="str">
        <f>IF($B158="","",Paramètres!$A$16)</f>
        <v/>
      </c>
      <c r="F158" s="21" t="str">
        <f>IF($B158="","",Paramètres!$B$16)</f>
        <v/>
      </c>
      <c r="G158" s="21" t="str">
        <f>IF('Classe Grande section'!$B78="","",IF('Classe Grande section'!D78="","",'Classe Grande section'!D78))</f>
        <v/>
      </c>
      <c r="H158" s="77" t="str">
        <f>IF('Classe Grande section'!$B78="","",IF('Classe Grande section'!E78="","",'Classe Grande section'!E78))</f>
        <v/>
      </c>
      <c r="I158" s="20" t="str">
        <f>IF('Classe Grande section'!$B78="","",IF('Classe Grande section'!F78="","",'Classe Grande section'!F78))</f>
        <v/>
      </c>
      <c r="J158" s="20" t="str">
        <f>IF('Classe Grande section'!$B78="","",IF('Classe Grande section'!G78="","",'Classe Grande section'!G78))</f>
        <v/>
      </c>
      <c r="K158" s="51" t="str">
        <f>IF('Classe Grande section'!$B78="","",N('Classe Grande section'!H78))</f>
        <v/>
      </c>
      <c r="L158" s="51" t="str">
        <f>IF('Classe Grande section'!$B78="","",N('Classe Grande section'!I78))</f>
        <v/>
      </c>
      <c r="M158" s="51" t="str">
        <f>IF('Classe Grande section'!$B78="","",N('Classe Grande section'!J78))</f>
        <v/>
      </c>
      <c r="N158" s="51" t="str">
        <f>IF('Classe Grande section'!$B78="","",N('Classe Grande section'!K78))</f>
        <v/>
      </c>
      <c r="O158" s="51" t="str">
        <f>IF('Classe Grande section'!$B78="","",N('Classe Grande section'!L78))</f>
        <v/>
      </c>
      <c r="P158" s="51" t="str">
        <f>IF('Classe Grande section'!$B78="","",N('Classe Grande section'!M78))</f>
        <v/>
      </c>
      <c r="Q158" s="21" t="str">
        <f>IF('Classe Grande section'!$B78="","",IF('Classe Grande section'!Q78="","",'Classe Grande section'!Q78))</f>
        <v/>
      </c>
      <c r="R158" s="51" t="str">
        <f>IF('Classe Grande section'!$B78="","",N('Classe Grande section'!N78))</f>
        <v/>
      </c>
      <c r="S158" s="51" t="str">
        <f>IF('Classe Grande section'!$B78="","",N('Classe Grande section'!O78))</f>
        <v/>
      </c>
      <c r="T158" s="51" t="str">
        <f>IF('Classe Grande section'!$B78="","",N('Classe Grande section'!P78))</f>
        <v/>
      </c>
    </row>
    <row r="159">
      <c r="A159" s="16" t="str">
        <f>IF('Classe Grande section'!$B79="","",IF('Classe Grande section'!A79="","",'Classe Grande section'!A79))</f>
        <v/>
      </c>
      <c r="B159" s="16" t="str">
        <f>IF('Classe Grande section'!$B79="","",IF('Classe Grande section'!B79="","",'Classe Grande section'!B79))</f>
        <v/>
      </c>
      <c r="C159" s="16" t="str">
        <f>IF('Classe Grande section'!$B79="","",IF('Classe Grande section'!C79="","",'Classe Grande section'!C79))</f>
        <v/>
      </c>
      <c r="D159" s="16" t="str">
        <f>IF($B159="","",C159&amp;" "&amp;B159&amp;" - "&amp;E159)</f>
        <v/>
      </c>
      <c r="E159" s="17" t="str">
        <f>IF($B159="","",Paramètres!$A$16)</f>
        <v/>
      </c>
      <c r="F159" s="17" t="str">
        <f>IF($B159="","",Paramètres!$B$16)</f>
        <v/>
      </c>
      <c r="G159" s="17" t="str">
        <f>IF('Classe Grande section'!$B79="","",IF('Classe Grande section'!D79="","",'Classe Grande section'!D79))</f>
        <v/>
      </c>
      <c r="H159" s="78" t="str">
        <f>IF('Classe Grande section'!$B79="","",IF('Classe Grande section'!E79="","",'Classe Grande section'!E79))</f>
        <v/>
      </c>
      <c r="I159" s="16" t="str">
        <f>IF('Classe Grande section'!$B79="","",IF('Classe Grande section'!F79="","",'Classe Grande section'!F79))</f>
        <v/>
      </c>
      <c r="J159" s="16" t="str">
        <f>IF('Classe Grande section'!$B79="","",IF('Classe Grande section'!G79="","",'Classe Grande section'!G79))</f>
        <v/>
      </c>
      <c r="K159" s="18" t="str">
        <f>IF('Classe Grande section'!$B79="","",N('Classe Grande section'!H79))</f>
        <v/>
      </c>
      <c r="L159" s="18" t="str">
        <f>IF('Classe Grande section'!$B79="","",N('Classe Grande section'!I79))</f>
        <v/>
      </c>
      <c r="M159" s="18" t="str">
        <f>IF('Classe Grande section'!$B79="","",N('Classe Grande section'!J79))</f>
        <v/>
      </c>
      <c r="N159" s="18" t="str">
        <f>IF('Classe Grande section'!$B79="","",N('Classe Grande section'!K79))</f>
        <v/>
      </c>
      <c r="O159" s="18" t="str">
        <f>IF('Classe Grande section'!$B79="","",N('Classe Grande section'!L79))</f>
        <v/>
      </c>
      <c r="P159" s="18" t="str">
        <f>IF('Classe Grande section'!$B79="","",N('Classe Grande section'!M79))</f>
        <v/>
      </c>
      <c r="Q159" s="17" t="str">
        <f>IF('Classe Grande section'!$B79="","",IF('Classe Grande section'!Q79="","",'Classe Grande section'!Q79))</f>
        <v/>
      </c>
      <c r="R159" s="18" t="str">
        <f>IF('Classe Grande section'!$B79="","",N('Classe Grande section'!N79))</f>
        <v/>
      </c>
      <c r="S159" s="18" t="str">
        <f>IF('Classe Grande section'!$B79="","",N('Classe Grande section'!O79))</f>
        <v/>
      </c>
      <c r="T159" s="18" t="str">
        <f>IF('Classe Grande section'!$B79="","",N('Classe Grande section'!P79))</f>
        <v/>
      </c>
    </row>
    <row r="160">
      <c r="A160" s="20" t="str">
        <f>IF('Classe Grande section'!$B80="","",IF('Classe Grande section'!A80="","",'Classe Grande section'!A80))</f>
        <v/>
      </c>
      <c r="B160" s="20" t="str">
        <f>IF('Classe Grande section'!$B80="","",IF('Classe Grande section'!B80="","",'Classe Grande section'!B80))</f>
        <v/>
      </c>
      <c r="C160" s="20" t="str">
        <f>IF('Classe Grande section'!$B80="","",IF('Classe Grande section'!C80="","",'Classe Grande section'!C80))</f>
        <v/>
      </c>
      <c r="D160" s="20" t="str">
        <f>IF($B160="","",C160&amp;" "&amp;B160&amp;" - "&amp;E160)</f>
        <v/>
      </c>
      <c r="E160" s="21" t="str">
        <f>IF($B160="","",Paramètres!$A$16)</f>
        <v/>
      </c>
      <c r="F160" s="21" t="str">
        <f>IF($B160="","",Paramètres!$B$16)</f>
        <v/>
      </c>
      <c r="G160" s="21" t="str">
        <f>IF('Classe Grande section'!$B80="","",IF('Classe Grande section'!D80="","",'Classe Grande section'!D80))</f>
        <v/>
      </c>
      <c r="H160" s="77" t="str">
        <f>IF('Classe Grande section'!$B80="","",IF('Classe Grande section'!E80="","",'Classe Grande section'!E80))</f>
        <v/>
      </c>
      <c r="I160" s="20" t="str">
        <f>IF('Classe Grande section'!$B80="","",IF('Classe Grande section'!F80="","",'Classe Grande section'!F80))</f>
        <v/>
      </c>
      <c r="J160" s="20" t="str">
        <f>IF('Classe Grande section'!$B80="","",IF('Classe Grande section'!G80="","",'Classe Grande section'!G80))</f>
        <v/>
      </c>
      <c r="K160" s="51" t="str">
        <f>IF('Classe Grande section'!$B80="","",N('Classe Grande section'!H80))</f>
        <v/>
      </c>
      <c r="L160" s="51" t="str">
        <f>IF('Classe Grande section'!$B80="","",N('Classe Grande section'!I80))</f>
        <v/>
      </c>
      <c r="M160" s="51" t="str">
        <f>IF('Classe Grande section'!$B80="","",N('Classe Grande section'!J80))</f>
        <v/>
      </c>
      <c r="N160" s="51" t="str">
        <f>IF('Classe Grande section'!$B80="","",N('Classe Grande section'!K80))</f>
        <v/>
      </c>
      <c r="O160" s="51" t="str">
        <f>IF('Classe Grande section'!$B80="","",N('Classe Grande section'!L80))</f>
        <v/>
      </c>
      <c r="P160" s="51" t="str">
        <f>IF('Classe Grande section'!$B80="","",N('Classe Grande section'!M80))</f>
        <v/>
      </c>
      <c r="Q160" s="21" t="str">
        <f>IF('Classe Grande section'!$B80="","",IF('Classe Grande section'!Q80="","",'Classe Grande section'!Q80))</f>
        <v/>
      </c>
      <c r="R160" s="51" t="str">
        <f>IF('Classe Grande section'!$B80="","",N('Classe Grande section'!N80))</f>
        <v/>
      </c>
      <c r="S160" s="51" t="str">
        <f>IF('Classe Grande section'!$B80="","",N('Classe Grande section'!O80))</f>
        <v/>
      </c>
      <c r="T160" s="51" t="str">
        <f>IF('Classe Grande section'!$B80="","",N('Classe Grande section'!P80))</f>
        <v/>
      </c>
    </row>
    <row r="161">
      <c r="A161" s="16" t="str">
        <f>IF('Classe Grande section'!$B81="","",IF('Classe Grande section'!A81="","",'Classe Grande section'!A81))</f>
        <v/>
      </c>
      <c r="B161" s="16" t="str">
        <f>IF('Classe Grande section'!$B81="","",IF('Classe Grande section'!B81="","",'Classe Grande section'!B81))</f>
        <v/>
      </c>
      <c r="C161" s="16" t="str">
        <f>IF('Classe Grande section'!$B81="","",IF('Classe Grande section'!C81="","",'Classe Grande section'!C81))</f>
        <v/>
      </c>
      <c r="D161" s="16" t="str">
        <f>IF($B161="","",C161&amp;" "&amp;B161&amp;" - "&amp;E161)</f>
        <v/>
      </c>
      <c r="E161" s="17" t="str">
        <f>IF($B161="","",Paramètres!$A$16)</f>
        <v/>
      </c>
      <c r="F161" s="17" t="str">
        <f>IF($B161="","",Paramètres!$B$16)</f>
        <v/>
      </c>
      <c r="G161" s="17" t="str">
        <f>IF('Classe Grande section'!$B81="","",IF('Classe Grande section'!D81="","",'Classe Grande section'!D81))</f>
        <v/>
      </c>
      <c r="H161" s="78" t="str">
        <f>IF('Classe Grande section'!$B81="","",IF('Classe Grande section'!E81="","",'Classe Grande section'!E81))</f>
        <v/>
      </c>
      <c r="I161" s="16" t="str">
        <f>IF('Classe Grande section'!$B81="","",IF('Classe Grande section'!F81="","",'Classe Grande section'!F81))</f>
        <v/>
      </c>
      <c r="J161" s="16" t="str">
        <f>IF('Classe Grande section'!$B81="","",IF('Classe Grande section'!G81="","",'Classe Grande section'!G81))</f>
        <v/>
      </c>
      <c r="K161" s="18" t="str">
        <f>IF('Classe Grande section'!$B81="","",N('Classe Grande section'!H81))</f>
        <v/>
      </c>
      <c r="L161" s="18" t="str">
        <f>IF('Classe Grande section'!$B81="","",N('Classe Grande section'!I81))</f>
        <v/>
      </c>
      <c r="M161" s="18" t="str">
        <f>IF('Classe Grande section'!$B81="","",N('Classe Grande section'!J81))</f>
        <v/>
      </c>
      <c r="N161" s="18" t="str">
        <f>IF('Classe Grande section'!$B81="","",N('Classe Grande section'!K81))</f>
        <v/>
      </c>
      <c r="O161" s="18" t="str">
        <f>IF('Classe Grande section'!$B81="","",N('Classe Grande section'!L81))</f>
        <v/>
      </c>
      <c r="P161" s="18" t="str">
        <f>IF('Classe Grande section'!$B81="","",N('Classe Grande section'!M81))</f>
        <v/>
      </c>
      <c r="Q161" s="17" t="str">
        <f>IF('Classe Grande section'!$B81="","",IF('Classe Grande section'!Q81="","",'Classe Grande section'!Q81))</f>
        <v/>
      </c>
      <c r="R161" s="18" t="str">
        <f>IF('Classe Grande section'!$B81="","",N('Classe Grande section'!N81))</f>
        <v/>
      </c>
      <c r="S161" s="18" t="str">
        <f>IF('Classe Grande section'!$B81="","",N('Classe Grande section'!O81))</f>
        <v/>
      </c>
      <c r="T161" s="18" t="str">
        <f>IF('Classe Grande section'!$B81="","",N('Classe Grande section'!P81))</f>
        <v/>
      </c>
    </row>
    <row r="162">
      <c r="A162" s="20" t="str">
        <f>IF('Classe Grande section'!$B82="","",IF('Classe Grande section'!A82="","",'Classe Grande section'!A82))</f>
        <v/>
      </c>
      <c r="B162" s="20" t="str">
        <f>IF('Classe Grande section'!$B82="","",IF('Classe Grande section'!B82="","",'Classe Grande section'!B82))</f>
        <v/>
      </c>
      <c r="C162" s="20" t="str">
        <f>IF('Classe Grande section'!$B82="","",IF('Classe Grande section'!C82="","",'Classe Grande section'!C82))</f>
        <v/>
      </c>
      <c r="D162" s="20" t="str">
        <f>IF($B162="","",C162&amp;" "&amp;B162&amp;" - "&amp;E162)</f>
        <v/>
      </c>
      <c r="E162" s="21" t="str">
        <f>IF($B162="","",Paramètres!$A$16)</f>
        <v/>
      </c>
      <c r="F162" s="21" t="str">
        <f>IF($B162="","",Paramètres!$B$16)</f>
        <v/>
      </c>
      <c r="G162" s="21" t="str">
        <f>IF('Classe Grande section'!$B82="","",IF('Classe Grande section'!D82="","",'Classe Grande section'!D82))</f>
        <v/>
      </c>
      <c r="H162" s="77" t="str">
        <f>IF('Classe Grande section'!$B82="","",IF('Classe Grande section'!E82="","",'Classe Grande section'!E82))</f>
        <v/>
      </c>
      <c r="I162" s="20" t="str">
        <f>IF('Classe Grande section'!$B82="","",IF('Classe Grande section'!F82="","",'Classe Grande section'!F82))</f>
        <v/>
      </c>
      <c r="J162" s="20" t="str">
        <f>IF('Classe Grande section'!$B82="","",IF('Classe Grande section'!G82="","",'Classe Grande section'!G82))</f>
        <v/>
      </c>
      <c r="K162" s="51" t="str">
        <f>IF('Classe Grande section'!$B82="","",N('Classe Grande section'!H82))</f>
        <v/>
      </c>
      <c r="L162" s="51" t="str">
        <f>IF('Classe Grande section'!$B82="","",N('Classe Grande section'!I82))</f>
        <v/>
      </c>
      <c r="M162" s="51" t="str">
        <f>IF('Classe Grande section'!$B82="","",N('Classe Grande section'!J82))</f>
        <v/>
      </c>
      <c r="N162" s="51" t="str">
        <f>IF('Classe Grande section'!$B82="","",N('Classe Grande section'!K82))</f>
        <v/>
      </c>
      <c r="O162" s="51" t="str">
        <f>IF('Classe Grande section'!$B82="","",N('Classe Grande section'!L82))</f>
        <v/>
      </c>
      <c r="P162" s="51" t="str">
        <f>IF('Classe Grande section'!$B82="","",N('Classe Grande section'!M82))</f>
        <v/>
      </c>
      <c r="Q162" s="21" t="str">
        <f>IF('Classe Grande section'!$B82="","",IF('Classe Grande section'!Q82="","",'Classe Grande section'!Q82))</f>
        <v/>
      </c>
      <c r="R162" s="51" t="str">
        <f>IF('Classe Grande section'!$B82="","",N('Classe Grande section'!N82))</f>
        <v/>
      </c>
      <c r="S162" s="51" t="str">
        <f>IF('Classe Grande section'!$B82="","",N('Classe Grande section'!O82))</f>
        <v/>
      </c>
      <c r="T162" s="51" t="str">
        <f>IF('Classe Grande section'!$B82="","",N('Classe Grande section'!P82))</f>
        <v/>
      </c>
    </row>
    <row r="163">
      <c r="A163" s="16" t="str">
        <f>IF('Classe Grande section'!$B83="","",IF('Classe Grande section'!A83="","",'Classe Grande section'!A83))</f>
        <v/>
      </c>
      <c r="B163" s="16" t="str">
        <f>IF('Classe Grande section'!$B83="","",IF('Classe Grande section'!B83="","",'Classe Grande section'!B83))</f>
        <v/>
      </c>
      <c r="C163" s="16" t="str">
        <f>IF('Classe Grande section'!$B83="","",IF('Classe Grande section'!C83="","",'Classe Grande section'!C83))</f>
        <v/>
      </c>
      <c r="D163" s="16" t="str">
        <f>IF($B163="","",C163&amp;" "&amp;B163&amp;" - "&amp;E163)</f>
        <v/>
      </c>
      <c r="E163" s="17" t="str">
        <f>IF($B163="","",Paramètres!$A$16)</f>
        <v/>
      </c>
      <c r="F163" s="17" t="str">
        <f>IF($B163="","",Paramètres!$B$16)</f>
        <v/>
      </c>
      <c r="G163" s="17" t="str">
        <f>IF('Classe Grande section'!$B83="","",IF('Classe Grande section'!D83="","",'Classe Grande section'!D83))</f>
        <v/>
      </c>
      <c r="H163" s="78" t="str">
        <f>IF('Classe Grande section'!$B83="","",IF('Classe Grande section'!E83="","",'Classe Grande section'!E83))</f>
        <v/>
      </c>
      <c r="I163" s="16" t="str">
        <f>IF('Classe Grande section'!$B83="","",IF('Classe Grande section'!F83="","",'Classe Grande section'!F83))</f>
        <v/>
      </c>
      <c r="J163" s="16" t="str">
        <f>IF('Classe Grande section'!$B83="","",IF('Classe Grande section'!G83="","",'Classe Grande section'!G83))</f>
        <v/>
      </c>
      <c r="K163" s="18" t="str">
        <f>IF('Classe Grande section'!$B83="","",N('Classe Grande section'!H83))</f>
        <v/>
      </c>
      <c r="L163" s="18" t="str">
        <f>IF('Classe Grande section'!$B83="","",N('Classe Grande section'!I83))</f>
        <v/>
      </c>
      <c r="M163" s="18" t="str">
        <f>IF('Classe Grande section'!$B83="","",N('Classe Grande section'!J83))</f>
        <v/>
      </c>
      <c r="N163" s="18" t="str">
        <f>IF('Classe Grande section'!$B83="","",N('Classe Grande section'!K83))</f>
        <v/>
      </c>
      <c r="O163" s="18" t="str">
        <f>IF('Classe Grande section'!$B83="","",N('Classe Grande section'!L83))</f>
        <v/>
      </c>
      <c r="P163" s="18" t="str">
        <f>IF('Classe Grande section'!$B83="","",N('Classe Grande section'!M83))</f>
        <v/>
      </c>
      <c r="Q163" s="17" t="str">
        <f>IF('Classe Grande section'!$B83="","",IF('Classe Grande section'!Q83="","",'Classe Grande section'!Q83))</f>
        <v/>
      </c>
      <c r="R163" s="18" t="str">
        <f>IF('Classe Grande section'!$B83="","",N('Classe Grande section'!N83))</f>
        <v/>
      </c>
      <c r="S163" s="18" t="str">
        <f>IF('Classe Grande section'!$B83="","",N('Classe Grande section'!O83))</f>
        <v/>
      </c>
      <c r="T163" s="18" t="str">
        <f>IF('Classe Grande section'!$B83="","",N('Classe Grande section'!P83))</f>
        <v/>
      </c>
    </row>
    <row r="164">
      <c r="A164" s="20" t="str">
        <f>IF('Classe CI'!$B4="","",IF('Classe CI'!A4="","",'Classe CI'!A4))</f>
        <v/>
      </c>
      <c r="B164" s="20" t="str">
        <f>IF('Classe CI'!$B4="","",IF('Classe CI'!B4="","",'Classe CI'!B4))</f>
        <v/>
      </c>
      <c r="C164" s="20" t="str">
        <f>IF('Classe CI'!$B4="","",IF('Classe CI'!C4="","",'Classe CI'!C4))</f>
        <v/>
      </c>
      <c r="D164" s="20" t="str">
        <f>IF($B164="","",C164&amp;" "&amp;B164&amp;" - "&amp;E164)</f>
        <v/>
      </c>
      <c r="E164" s="21" t="str">
        <f>IF($B164="","",Paramètres!$A$17)</f>
        <v/>
      </c>
      <c r="F164" s="21" t="str">
        <f>IF($B164="","",Paramètres!$B$17)</f>
        <v/>
      </c>
      <c r="G164" s="21" t="str">
        <f>IF('Classe CI'!$B4="","",IF('Classe CI'!D4="","",'Classe CI'!D4))</f>
        <v/>
      </c>
      <c r="H164" s="77" t="str">
        <f>IF('Classe CI'!$B4="","",IF('Classe CI'!E4="","",'Classe CI'!E4))</f>
        <v/>
      </c>
      <c r="I164" s="20" t="str">
        <f>IF('Classe CI'!$B4="","",IF('Classe CI'!F4="","",'Classe CI'!F4))</f>
        <v/>
      </c>
      <c r="J164" s="20" t="str">
        <f>IF('Classe CI'!$B4="","",IF('Classe CI'!G4="","",'Classe CI'!G4))</f>
        <v/>
      </c>
      <c r="K164" s="51" t="str">
        <f>IF('Classe CI'!$B4="","",N('Classe CI'!H4))</f>
        <v/>
      </c>
      <c r="L164" s="51" t="str">
        <f>IF('Classe CI'!$B4="","",N('Classe CI'!I4))</f>
        <v/>
      </c>
      <c r="M164" s="51" t="str">
        <f>IF('Classe CI'!$B4="","",N('Classe CI'!J4))</f>
        <v/>
      </c>
      <c r="N164" s="51" t="str">
        <f>IF('Classe CI'!$B4="","",N('Classe CI'!K4))</f>
        <v/>
      </c>
      <c r="O164" s="51" t="str">
        <f>IF('Classe CI'!$B4="","",N('Classe CI'!L4))</f>
        <v/>
      </c>
      <c r="P164" s="51" t="str">
        <f>IF('Classe CI'!$B4="","",N('Classe CI'!M4))</f>
        <v/>
      </c>
      <c r="Q164" s="21" t="str">
        <f>IF('Classe CI'!$B4="","",IF('Classe CI'!Q4="","",'Classe CI'!Q4))</f>
        <v/>
      </c>
      <c r="R164" s="51" t="str">
        <f>IF('Classe CI'!$B4="","",N('Classe CI'!N4))</f>
        <v/>
      </c>
      <c r="S164" s="51" t="str">
        <f>IF('Classe CI'!$B4="","",N('Classe CI'!O4))</f>
        <v/>
      </c>
      <c r="T164" s="51" t="str">
        <f>IF('Classe CI'!$B4="","",N('Classe CI'!P4))</f>
        <v/>
      </c>
    </row>
    <row r="165">
      <c r="A165" s="16" t="str">
        <f>IF('Classe CI'!$B5="","",IF('Classe CI'!A5="","",'Classe CI'!A5))</f>
        <v/>
      </c>
      <c r="B165" s="16" t="str">
        <f>IF('Classe CI'!$B5="","",IF('Classe CI'!B5="","",'Classe CI'!B5))</f>
        <v/>
      </c>
      <c r="C165" s="16" t="str">
        <f>IF('Classe CI'!$B5="","",IF('Classe CI'!C5="","",'Classe CI'!C5))</f>
        <v/>
      </c>
      <c r="D165" s="16" t="str">
        <f>IF($B165="","",C165&amp;" "&amp;B165&amp;" - "&amp;E165)</f>
        <v/>
      </c>
      <c r="E165" s="17" t="str">
        <f>IF($B165="","",Paramètres!$A$17)</f>
        <v/>
      </c>
      <c r="F165" s="17" t="str">
        <f>IF($B165="","",Paramètres!$B$17)</f>
        <v/>
      </c>
      <c r="G165" s="17" t="str">
        <f>IF('Classe CI'!$B5="","",IF('Classe CI'!D5="","",'Classe CI'!D5))</f>
        <v/>
      </c>
      <c r="H165" s="78" t="str">
        <f>IF('Classe CI'!$B5="","",IF('Classe CI'!E5="","",'Classe CI'!E5))</f>
        <v/>
      </c>
      <c r="I165" s="16" t="str">
        <f>IF('Classe CI'!$B5="","",IF('Classe CI'!F5="","",'Classe CI'!F5))</f>
        <v/>
      </c>
      <c r="J165" s="16" t="str">
        <f>IF('Classe CI'!$B5="","",IF('Classe CI'!G5="","",'Classe CI'!G5))</f>
        <v/>
      </c>
      <c r="K165" s="18" t="str">
        <f>IF('Classe CI'!$B5="","",N('Classe CI'!H5))</f>
        <v/>
      </c>
      <c r="L165" s="18" t="str">
        <f>IF('Classe CI'!$B5="","",N('Classe CI'!I5))</f>
        <v/>
      </c>
      <c r="M165" s="18" t="str">
        <f>IF('Classe CI'!$B5="","",N('Classe CI'!J5))</f>
        <v/>
      </c>
      <c r="N165" s="18" t="str">
        <f>IF('Classe CI'!$B5="","",N('Classe CI'!K5))</f>
        <v/>
      </c>
      <c r="O165" s="18" t="str">
        <f>IF('Classe CI'!$B5="","",N('Classe CI'!L5))</f>
        <v/>
      </c>
      <c r="P165" s="18" t="str">
        <f>IF('Classe CI'!$B5="","",N('Classe CI'!M5))</f>
        <v/>
      </c>
      <c r="Q165" s="17" t="str">
        <f>IF('Classe CI'!$B5="","",IF('Classe CI'!Q5="","",'Classe CI'!Q5))</f>
        <v/>
      </c>
      <c r="R165" s="18" t="str">
        <f>IF('Classe CI'!$B5="","",N('Classe CI'!N5))</f>
        <v/>
      </c>
      <c r="S165" s="18" t="str">
        <f>IF('Classe CI'!$B5="","",N('Classe CI'!O5))</f>
        <v/>
      </c>
      <c r="T165" s="18" t="str">
        <f>IF('Classe CI'!$B5="","",N('Classe CI'!P5))</f>
        <v/>
      </c>
    </row>
    <row r="166">
      <c r="A166" s="20" t="str">
        <f>IF('Classe CI'!$B6="","",IF('Classe CI'!A6="","",'Classe CI'!A6))</f>
        <v/>
      </c>
      <c r="B166" s="20" t="str">
        <f>IF('Classe CI'!$B6="","",IF('Classe CI'!B6="","",'Classe CI'!B6))</f>
        <v/>
      </c>
      <c r="C166" s="20" t="str">
        <f>IF('Classe CI'!$B6="","",IF('Classe CI'!C6="","",'Classe CI'!C6))</f>
        <v/>
      </c>
      <c r="D166" s="20" t="str">
        <f>IF($B166="","",C166&amp;" "&amp;B166&amp;" - "&amp;E166)</f>
        <v/>
      </c>
      <c r="E166" s="21" t="str">
        <f>IF($B166="","",Paramètres!$A$17)</f>
        <v/>
      </c>
      <c r="F166" s="21" t="str">
        <f>IF($B166="","",Paramètres!$B$17)</f>
        <v/>
      </c>
      <c r="G166" s="21" t="str">
        <f>IF('Classe CI'!$B6="","",IF('Classe CI'!D6="","",'Classe CI'!D6))</f>
        <v/>
      </c>
      <c r="H166" s="77" t="str">
        <f>IF('Classe CI'!$B6="","",IF('Classe CI'!E6="","",'Classe CI'!E6))</f>
        <v/>
      </c>
      <c r="I166" s="20" t="str">
        <f>IF('Classe CI'!$B6="","",IF('Classe CI'!F6="","",'Classe CI'!F6))</f>
        <v/>
      </c>
      <c r="J166" s="20" t="str">
        <f>IF('Classe CI'!$B6="","",IF('Classe CI'!G6="","",'Classe CI'!G6))</f>
        <v/>
      </c>
      <c r="K166" s="51" t="str">
        <f>IF('Classe CI'!$B6="","",N('Classe CI'!H6))</f>
        <v/>
      </c>
      <c r="L166" s="51" t="str">
        <f>IF('Classe CI'!$B6="","",N('Classe CI'!I6))</f>
        <v/>
      </c>
      <c r="M166" s="51" t="str">
        <f>IF('Classe CI'!$B6="","",N('Classe CI'!J6))</f>
        <v/>
      </c>
      <c r="N166" s="51" t="str">
        <f>IF('Classe CI'!$B6="","",N('Classe CI'!K6))</f>
        <v/>
      </c>
      <c r="O166" s="51" t="str">
        <f>IF('Classe CI'!$B6="","",N('Classe CI'!L6))</f>
        <v/>
      </c>
      <c r="P166" s="51" t="str">
        <f>IF('Classe CI'!$B6="","",N('Classe CI'!M6))</f>
        <v/>
      </c>
      <c r="Q166" s="21" t="str">
        <f>IF('Classe CI'!$B6="","",IF('Classe CI'!Q6="","",'Classe CI'!Q6))</f>
        <v/>
      </c>
      <c r="R166" s="51" t="str">
        <f>IF('Classe CI'!$B6="","",N('Classe CI'!N6))</f>
        <v/>
      </c>
      <c r="S166" s="51" t="str">
        <f>IF('Classe CI'!$B6="","",N('Classe CI'!O6))</f>
        <v/>
      </c>
      <c r="T166" s="51" t="str">
        <f>IF('Classe CI'!$B6="","",N('Classe CI'!P6))</f>
        <v/>
      </c>
    </row>
    <row r="167">
      <c r="A167" s="16" t="str">
        <f>IF('Classe CI'!$B7="","",IF('Classe CI'!A7="","",'Classe CI'!A7))</f>
        <v/>
      </c>
      <c r="B167" s="16" t="str">
        <f>IF('Classe CI'!$B7="","",IF('Classe CI'!B7="","",'Classe CI'!B7))</f>
        <v/>
      </c>
      <c r="C167" s="16" t="str">
        <f>IF('Classe CI'!$B7="","",IF('Classe CI'!C7="","",'Classe CI'!C7))</f>
        <v/>
      </c>
      <c r="D167" s="16" t="str">
        <f>IF($B167="","",C167&amp;" "&amp;B167&amp;" - "&amp;E167)</f>
        <v/>
      </c>
      <c r="E167" s="17" t="str">
        <f>IF($B167="","",Paramètres!$A$17)</f>
        <v/>
      </c>
      <c r="F167" s="17" t="str">
        <f>IF($B167="","",Paramètres!$B$17)</f>
        <v/>
      </c>
      <c r="G167" s="17" t="str">
        <f>IF('Classe CI'!$B7="","",IF('Classe CI'!D7="","",'Classe CI'!D7))</f>
        <v/>
      </c>
      <c r="H167" s="78" t="str">
        <f>IF('Classe CI'!$B7="","",IF('Classe CI'!E7="","",'Classe CI'!E7))</f>
        <v/>
      </c>
      <c r="I167" s="16" t="str">
        <f>IF('Classe CI'!$B7="","",IF('Classe CI'!F7="","",'Classe CI'!F7))</f>
        <v/>
      </c>
      <c r="J167" s="16" t="str">
        <f>IF('Classe CI'!$B7="","",IF('Classe CI'!G7="","",'Classe CI'!G7))</f>
        <v/>
      </c>
      <c r="K167" s="18" t="str">
        <f>IF('Classe CI'!$B7="","",N('Classe CI'!H7))</f>
        <v/>
      </c>
      <c r="L167" s="18" t="str">
        <f>IF('Classe CI'!$B7="","",N('Classe CI'!I7))</f>
        <v/>
      </c>
      <c r="M167" s="18" t="str">
        <f>IF('Classe CI'!$B7="","",N('Classe CI'!J7))</f>
        <v/>
      </c>
      <c r="N167" s="18" t="str">
        <f>IF('Classe CI'!$B7="","",N('Classe CI'!K7))</f>
        <v/>
      </c>
      <c r="O167" s="18" t="str">
        <f>IF('Classe CI'!$B7="","",N('Classe CI'!L7))</f>
        <v/>
      </c>
      <c r="P167" s="18" t="str">
        <f>IF('Classe CI'!$B7="","",N('Classe CI'!M7))</f>
        <v/>
      </c>
      <c r="Q167" s="17" t="str">
        <f>IF('Classe CI'!$B7="","",IF('Classe CI'!Q7="","",'Classe CI'!Q7))</f>
        <v/>
      </c>
      <c r="R167" s="18" t="str">
        <f>IF('Classe CI'!$B7="","",N('Classe CI'!N7))</f>
        <v/>
      </c>
      <c r="S167" s="18" t="str">
        <f>IF('Classe CI'!$B7="","",N('Classe CI'!O7))</f>
        <v/>
      </c>
      <c r="T167" s="18" t="str">
        <f>IF('Classe CI'!$B7="","",N('Classe CI'!P7))</f>
        <v/>
      </c>
    </row>
    <row r="168">
      <c r="A168" s="20" t="str">
        <f>IF('Classe CI'!$B8="","",IF('Classe CI'!A8="","",'Classe CI'!A8))</f>
        <v/>
      </c>
      <c r="B168" s="20" t="str">
        <f>IF('Classe CI'!$B8="","",IF('Classe CI'!B8="","",'Classe CI'!B8))</f>
        <v/>
      </c>
      <c r="C168" s="20" t="str">
        <f>IF('Classe CI'!$B8="","",IF('Classe CI'!C8="","",'Classe CI'!C8))</f>
        <v/>
      </c>
      <c r="D168" s="20" t="str">
        <f>IF($B168="","",C168&amp;" "&amp;B168&amp;" - "&amp;E168)</f>
        <v/>
      </c>
      <c r="E168" s="21" t="str">
        <f>IF($B168="","",Paramètres!$A$17)</f>
        <v/>
      </c>
      <c r="F168" s="21" t="str">
        <f>IF($B168="","",Paramètres!$B$17)</f>
        <v/>
      </c>
      <c r="G168" s="21" t="str">
        <f>IF('Classe CI'!$B8="","",IF('Classe CI'!D8="","",'Classe CI'!D8))</f>
        <v/>
      </c>
      <c r="H168" s="77" t="str">
        <f>IF('Classe CI'!$B8="","",IF('Classe CI'!E8="","",'Classe CI'!E8))</f>
        <v/>
      </c>
      <c r="I168" s="20" t="str">
        <f>IF('Classe CI'!$B8="","",IF('Classe CI'!F8="","",'Classe CI'!F8))</f>
        <v/>
      </c>
      <c r="J168" s="20" t="str">
        <f>IF('Classe CI'!$B8="","",IF('Classe CI'!G8="","",'Classe CI'!G8))</f>
        <v/>
      </c>
      <c r="K168" s="51" t="str">
        <f>IF('Classe CI'!$B8="","",N('Classe CI'!H8))</f>
        <v/>
      </c>
      <c r="L168" s="51" t="str">
        <f>IF('Classe CI'!$B8="","",N('Classe CI'!I8))</f>
        <v/>
      </c>
      <c r="M168" s="51" t="str">
        <f>IF('Classe CI'!$B8="","",N('Classe CI'!J8))</f>
        <v/>
      </c>
      <c r="N168" s="51" t="str">
        <f>IF('Classe CI'!$B8="","",N('Classe CI'!K8))</f>
        <v/>
      </c>
      <c r="O168" s="51" t="str">
        <f>IF('Classe CI'!$B8="","",N('Classe CI'!L8))</f>
        <v/>
      </c>
      <c r="P168" s="51" t="str">
        <f>IF('Classe CI'!$B8="","",N('Classe CI'!M8))</f>
        <v/>
      </c>
      <c r="Q168" s="21" t="str">
        <f>IF('Classe CI'!$B8="","",IF('Classe CI'!Q8="","",'Classe CI'!Q8))</f>
        <v/>
      </c>
      <c r="R168" s="51" t="str">
        <f>IF('Classe CI'!$B8="","",N('Classe CI'!N8))</f>
        <v/>
      </c>
      <c r="S168" s="51" t="str">
        <f>IF('Classe CI'!$B8="","",N('Classe CI'!O8))</f>
        <v/>
      </c>
      <c r="T168" s="51" t="str">
        <f>IF('Classe CI'!$B8="","",N('Classe CI'!P8))</f>
        <v/>
      </c>
    </row>
    <row r="169">
      <c r="A169" s="16" t="str">
        <f>IF('Classe CI'!$B9="","",IF('Classe CI'!A9="","",'Classe CI'!A9))</f>
        <v/>
      </c>
      <c r="B169" s="16" t="str">
        <f>IF('Classe CI'!$B9="","",IF('Classe CI'!B9="","",'Classe CI'!B9))</f>
        <v/>
      </c>
      <c r="C169" s="16" t="str">
        <f>IF('Classe CI'!$B9="","",IF('Classe CI'!C9="","",'Classe CI'!C9))</f>
        <v/>
      </c>
      <c r="D169" s="16" t="str">
        <f>IF($B169="","",C169&amp;" "&amp;B169&amp;" - "&amp;E169)</f>
        <v/>
      </c>
      <c r="E169" s="17" t="str">
        <f>IF($B169="","",Paramètres!$A$17)</f>
        <v/>
      </c>
      <c r="F169" s="17" t="str">
        <f>IF($B169="","",Paramètres!$B$17)</f>
        <v/>
      </c>
      <c r="G169" s="17" t="str">
        <f>IF('Classe CI'!$B9="","",IF('Classe CI'!D9="","",'Classe CI'!D9))</f>
        <v/>
      </c>
      <c r="H169" s="78" t="str">
        <f>IF('Classe CI'!$B9="","",IF('Classe CI'!E9="","",'Classe CI'!E9))</f>
        <v/>
      </c>
      <c r="I169" s="16" t="str">
        <f>IF('Classe CI'!$B9="","",IF('Classe CI'!F9="","",'Classe CI'!F9))</f>
        <v/>
      </c>
      <c r="J169" s="16" t="str">
        <f>IF('Classe CI'!$B9="","",IF('Classe CI'!G9="","",'Classe CI'!G9))</f>
        <v/>
      </c>
      <c r="K169" s="18" t="str">
        <f>IF('Classe CI'!$B9="","",N('Classe CI'!H9))</f>
        <v/>
      </c>
      <c r="L169" s="18" t="str">
        <f>IF('Classe CI'!$B9="","",N('Classe CI'!I9))</f>
        <v/>
      </c>
      <c r="M169" s="18" t="str">
        <f>IF('Classe CI'!$B9="","",N('Classe CI'!J9))</f>
        <v/>
      </c>
      <c r="N169" s="18" t="str">
        <f>IF('Classe CI'!$B9="","",N('Classe CI'!K9))</f>
        <v/>
      </c>
      <c r="O169" s="18" t="str">
        <f>IF('Classe CI'!$B9="","",N('Classe CI'!L9))</f>
        <v/>
      </c>
      <c r="P169" s="18" t="str">
        <f>IF('Classe CI'!$B9="","",N('Classe CI'!M9))</f>
        <v/>
      </c>
      <c r="Q169" s="17" t="str">
        <f>IF('Classe CI'!$B9="","",IF('Classe CI'!Q9="","",'Classe CI'!Q9))</f>
        <v/>
      </c>
      <c r="R169" s="18" t="str">
        <f>IF('Classe CI'!$B9="","",N('Classe CI'!N9))</f>
        <v/>
      </c>
      <c r="S169" s="18" t="str">
        <f>IF('Classe CI'!$B9="","",N('Classe CI'!O9))</f>
        <v/>
      </c>
      <c r="T169" s="18" t="str">
        <f>IF('Classe CI'!$B9="","",N('Classe CI'!P9))</f>
        <v/>
      </c>
    </row>
    <row r="170">
      <c r="A170" s="20" t="str">
        <f>IF('Classe CI'!$B10="","",IF('Classe CI'!A10="","",'Classe CI'!A10))</f>
        <v/>
      </c>
      <c r="B170" s="20" t="str">
        <f>IF('Classe CI'!$B10="","",IF('Classe CI'!B10="","",'Classe CI'!B10))</f>
        <v/>
      </c>
      <c r="C170" s="20" t="str">
        <f>IF('Classe CI'!$B10="","",IF('Classe CI'!C10="","",'Classe CI'!C10))</f>
        <v/>
      </c>
      <c r="D170" s="20" t="str">
        <f>IF($B170="","",C170&amp;" "&amp;B170&amp;" - "&amp;E170)</f>
        <v/>
      </c>
      <c r="E170" s="21" t="str">
        <f>IF($B170="","",Paramètres!$A$17)</f>
        <v/>
      </c>
      <c r="F170" s="21" t="str">
        <f>IF($B170="","",Paramètres!$B$17)</f>
        <v/>
      </c>
      <c r="G170" s="21" t="str">
        <f>IF('Classe CI'!$B10="","",IF('Classe CI'!D10="","",'Classe CI'!D10))</f>
        <v/>
      </c>
      <c r="H170" s="77" t="str">
        <f>IF('Classe CI'!$B10="","",IF('Classe CI'!E10="","",'Classe CI'!E10))</f>
        <v/>
      </c>
      <c r="I170" s="20" t="str">
        <f>IF('Classe CI'!$B10="","",IF('Classe CI'!F10="","",'Classe CI'!F10))</f>
        <v/>
      </c>
      <c r="J170" s="20" t="str">
        <f>IF('Classe CI'!$B10="","",IF('Classe CI'!G10="","",'Classe CI'!G10))</f>
        <v/>
      </c>
      <c r="K170" s="51" t="str">
        <f>IF('Classe CI'!$B10="","",N('Classe CI'!H10))</f>
        <v/>
      </c>
      <c r="L170" s="51" t="str">
        <f>IF('Classe CI'!$B10="","",N('Classe CI'!I10))</f>
        <v/>
      </c>
      <c r="M170" s="51" t="str">
        <f>IF('Classe CI'!$B10="","",N('Classe CI'!J10))</f>
        <v/>
      </c>
      <c r="N170" s="51" t="str">
        <f>IF('Classe CI'!$B10="","",N('Classe CI'!K10))</f>
        <v/>
      </c>
      <c r="O170" s="51" t="str">
        <f>IF('Classe CI'!$B10="","",N('Classe CI'!L10))</f>
        <v/>
      </c>
      <c r="P170" s="51" t="str">
        <f>IF('Classe CI'!$B10="","",N('Classe CI'!M10))</f>
        <v/>
      </c>
      <c r="Q170" s="21" t="str">
        <f>IF('Classe CI'!$B10="","",IF('Classe CI'!Q10="","",'Classe CI'!Q10))</f>
        <v/>
      </c>
      <c r="R170" s="51" t="str">
        <f>IF('Classe CI'!$B10="","",N('Classe CI'!N10))</f>
        <v/>
      </c>
      <c r="S170" s="51" t="str">
        <f>IF('Classe CI'!$B10="","",N('Classe CI'!O10))</f>
        <v/>
      </c>
      <c r="T170" s="51" t="str">
        <f>IF('Classe CI'!$B10="","",N('Classe CI'!P10))</f>
        <v/>
      </c>
    </row>
    <row r="171">
      <c r="A171" s="16" t="str">
        <f>IF('Classe CI'!$B11="","",IF('Classe CI'!A11="","",'Classe CI'!A11))</f>
        <v/>
      </c>
      <c r="B171" s="16" t="str">
        <f>IF('Classe CI'!$B11="","",IF('Classe CI'!B11="","",'Classe CI'!B11))</f>
        <v/>
      </c>
      <c r="C171" s="16" t="str">
        <f>IF('Classe CI'!$B11="","",IF('Classe CI'!C11="","",'Classe CI'!C11))</f>
        <v/>
      </c>
      <c r="D171" s="16" t="str">
        <f>IF($B171="","",C171&amp;" "&amp;B171&amp;" - "&amp;E171)</f>
        <v/>
      </c>
      <c r="E171" s="17" t="str">
        <f>IF($B171="","",Paramètres!$A$17)</f>
        <v/>
      </c>
      <c r="F171" s="17" t="str">
        <f>IF($B171="","",Paramètres!$B$17)</f>
        <v/>
      </c>
      <c r="G171" s="17" t="str">
        <f>IF('Classe CI'!$B11="","",IF('Classe CI'!D11="","",'Classe CI'!D11))</f>
        <v/>
      </c>
      <c r="H171" s="78" t="str">
        <f>IF('Classe CI'!$B11="","",IF('Classe CI'!E11="","",'Classe CI'!E11))</f>
        <v/>
      </c>
      <c r="I171" s="16" t="str">
        <f>IF('Classe CI'!$B11="","",IF('Classe CI'!F11="","",'Classe CI'!F11))</f>
        <v/>
      </c>
      <c r="J171" s="16" t="str">
        <f>IF('Classe CI'!$B11="","",IF('Classe CI'!G11="","",'Classe CI'!G11))</f>
        <v/>
      </c>
      <c r="K171" s="18" t="str">
        <f>IF('Classe CI'!$B11="","",N('Classe CI'!H11))</f>
        <v/>
      </c>
      <c r="L171" s="18" t="str">
        <f>IF('Classe CI'!$B11="","",N('Classe CI'!I11))</f>
        <v/>
      </c>
      <c r="M171" s="18" t="str">
        <f>IF('Classe CI'!$B11="","",N('Classe CI'!J11))</f>
        <v/>
      </c>
      <c r="N171" s="18" t="str">
        <f>IF('Classe CI'!$B11="","",N('Classe CI'!K11))</f>
        <v/>
      </c>
      <c r="O171" s="18" t="str">
        <f>IF('Classe CI'!$B11="","",N('Classe CI'!L11))</f>
        <v/>
      </c>
      <c r="P171" s="18" t="str">
        <f>IF('Classe CI'!$B11="","",N('Classe CI'!M11))</f>
        <v/>
      </c>
      <c r="Q171" s="17" t="str">
        <f>IF('Classe CI'!$B11="","",IF('Classe CI'!Q11="","",'Classe CI'!Q11))</f>
        <v/>
      </c>
      <c r="R171" s="18" t="str">
        <f>IF('Classe CI'!$B11="","",N('Classe CI'!N11))</f>
        <v/>
      </c>
      <c r="S171" s="18" t="str">
        <f>IF('Classe CI'!$B11="","",N('Classe CI'!O11))</f>
        <v/>
      </c>
      <c r="T171" s="18" t="str">
        <f>IF('Classe CI'!$B11="","",N('Classe CI'!P11))</f>
        <v/>
      </c>
    </row>
    <row r="172">
      <c r="A172" s="20" t="str">
        <f>IF('Classe CI'!$B12="","",IF('Classe CI'!A12="","",'Classe CI'!A12))</f>
        <v/>
      </c>
      <c r="B172" s="20" t="str">
        <f>IF('Classe CI'!$B12="","",IF('Classe CI'!B12="","",'Classe CI'!B12))</f>
        <v/>
      </c>
      <c r="C172" s="20" t="str">
        <f>IF('Classe CI'!$B12="","",IF('Classe CI'!C12="","",'Classe CI'!C12))</f>
        <v/>
      </c>
      <c r="D172" s="20" t="str">
        <f>IF($B172="","",C172&amp;" "&amp;B172&amp;" - "&amp;E172)</f>
        <v/>
      </c>
      <c r="E172" s="21" t="str">
        <f>IF($B172="","",Paramètres!$A$17)</f>
        <v/>
      </c>
      <c r="F172" s="21" t="str">
        <f>IF($B172="","",Paramètres!$B$17)</f>
        <v/>
      </c>
      <c r="G172" s="21" t="str">
        <f>IF('Classe CI'!$B12="","",IF('Classe CI'!D12="","",'Classe CI'!D12))</f>
        <v/>
      </c>
      <c r="H172" s="77" t="str">
        <f>IF('Classe CI'!$B12="","",IF('Classe CI'!E12="","",'Classe CI'!E12))</f>
        <v/>
      </c>
      <c r="I172" s="20" t="str">
        <f>IF('Classe CI'!$B12="","",IF('Classe CI'!F12="","",'Classe CI'!F12))</f>
        <v/>
      </c>
      <c r="J172" s="20" t="str">
        <f>IF('Classe CI'!$B12="","",IF('Classe CI'!G12="","",'Classe CI'!G12))</f>
        <v/>
      </c>
      <c r="K172" s="51" t="str">
        <f>IF('Classe CI'!$B12="","",N('Classe CI'!H12))</f>
        <v/>
      </c>
      <c r="L172" s="51" t="str">
        <f>IF('Classe CI'!$B12="","",N('Classe CI'!I12))</f>
        <v/>
      </c>
      <c r="M172" s="51" t="str">
        <f>IF('Classe CI'!$B12="","",N('Classe CI'!J12))</f>
        <v/>
      </c>
      <c r="N172" s="51" t="str">
        <f>IF('Classe CI'!$B12="","",N('Classe CI'!K12))</f>
        <v/>
      </c>
      <c r="O172" s="51" t="str">
        <f>IF('Classe CI'!$B12="","",N('Classe CI'!L12))</f>
        <v/>
      </c>
      <c r="P172" s="51" t="str">
        <f>IF('Classe CI'!$B12="","",N('Classe CI'!M12))</f>
        <v/>
      </c>
      <c r="Q172" s="21" t="str">
        <f>IF('Classe CI'!$B12="","",IF('Classe CI'!Q12="","",'Classe CI'!Q12))</f>
        <v/>
      </c>
      <c r="R172" s="51" t="str">
        <f>IF('Classe CI'!$B12="","",N('Classe CI'!N12))</f>
        <v/>
      </c>
      <c r="S172" s="51" t="str">
        <f>IF('Classe CI'!$B12="","",N('Classe CI'!O12))</f>
        <v/>
      </c>
      <c r="T172" s="51" t="str">
        <f>IF('Classe CI'!$B12="","",N('Classe CI'!P12))</f>
        <v/>
      </c>
    </row>
    <row r="173">
      <c r="A173" s="16" t="str">
        <f>IF('Classe CI'!$B13="","",IF('Classe CI'!A13="","",'Classe CI'!A13))</f>
        <v/>
      </c>
      <c r="B173" s="16" t="str">
        <f>IF('Classe CI'!$B13="","",IF('Classe CI'!B13="","",'Classe CI'!B13))</f>
        <v/>
      </c>
      <c r="C173" s="16" t="str">
        <f>IF('Classe CI'!$B13="","",IF('Classe CI'!C13="","",'Classe CI'!C13))</f>
        <v/>
      </c>
      <c r="D173" s="16" t="str">
        <f>IF($B173="","",C173&amp;" "&amp;B173&amp;" - "&amp;E173)</f>
        <v/>
      </c>
      <c r="E173" s="17" t="str">
        <f>IF($B173="","",Paramètres!$A$17)</f>
        <v/>
      </c>
      <c r="F173" s="17" t="str">
        <f>IF($B173="","",Paramètres!$B$17)</f>
        <v/>
      </c>
      <c r="G173" s="17" t="str">
        <f>IF('Classe CI'!$B13="","",IF('Classe CI'!D13="","",'Classe CI'!D13))</f>
        <v/>
      </c>
      <c r="H173" s="78" t="str">
        <f>IF('Classe CI'!$B13="","",IF('Classe CI'!E13="","",'Classe CI'!E13))</f>
        <v/>
      </c>
      <c r="I173" s="16" t="str">
        <f>IF('Classe CI'!$B13="","",IF('Classe CI'!F13="","",'Classe CI'!F13))</f>
        <v/>
      </c>
      <c r="J173" s="16" t="str">
        <f>IF('Classe CI'!$B13="","",IF('Classe CI'!G13="","",'Classe CI'!G13))</f>
        <v/>
      </c>
      <c r="K173" s="18" t="str">
        <f>IF('Classe CI'!$B13="","",N('Classe CI'!H13))</f>
        <v/>
      </c>
      <c r="L173" s="18" t="str">
        <f>IF('Classe CI'!$B13="","",N('Classe CI'!I13))</f>
        <v/>
      </c>
      <c r="M173" s="18" t="str">
        <f>IF('Classe CI'!$B13="","",N('Classe CI'!J13))</f>
        <v/>
      </c>
      <c r="N173" s="18" t="str">
        <f>IF('Classe CI'!$B13="","",N('Classe CI'!K13))</f>
        <v/>
      </c>
      <c r="O173" s="18" t="str">
        <f>IF('Classe CI'!$B13="","",N('Classe CI'!L13))</f>
        <v/>
      </c>
      <c r="P173" s="18" t="str">
        <f>IF('Classe CI'!$B13="","",N('Classe CI'!M13))</f>
        <v/>
      </c>
      <c r="Q173" s="17" t="str">
        <f>IF('Classe CI'!$B13="","",IF('Classe CI'!Q13="","",'Classe CI'!Q13))</f>
        <v/>
      </c>
      <c r="R173" s="18" t="str">
        <f>IF('Classe CI'!$B13="","",N('Classe CI'!N13))</f>
        <v/>
      </c>
      <c r="S173" s="18" t="str">
        <f>IF('Classe CI'!$B13="","",N('Classe CI'!O13))</f>
        <v/>
      </c>
      <c r="T173" s="18" t="str">
        <f>IF('Classe CI'!$B13="","",N('Classe CI'!P13))</f>
        <v/>
      </c>
    </row>
    <row r="174">
      <c r="A174" s="20" t="str">
        <f>IF('Classe CI'!$B14="","",IF('Classe CI'!A14="","",'Classe CI'!A14))</f>
        <v/>
      </c>
      <c r="B174" s="20" t="str">
        <f>IF('Classe CI'!$B14="","",IF('Classe CI'!B14="","",'Classe CI'!B14))</f>
        <v/>
      </c>
      <c r="C174" s="20" t="str">
        <f>IF('Classe CI'!$B14="","",IF('Classe CI'!C14="","",'Classe CI'!C14))</f>
        <v/>
      </c>
      <c r="D174" s="20" t="str">
        <f>IF($B174="","",C174&amp;" "&amp;B174&amp;" - "&amp;E174)</f>
        <v/>
      </c>
      <c r="E174" s="21" t="str">
        <f>IF($B174="","",Paramètres!$A$17)</f>
        <v/>
      </c>
      <c r="F174" s="21" t="str">
        <f>IF($B174="","",Paramètres!$B$17)</f>
        <v/>
      </c>
      <c r="G174" s="21" t="str">
        <f>IF('Classe CI'!$B14="","",IF('Classe CI'!D14="","",'Classe CI'!D14))</f>
        <v/>
      </c>
      <c r="H174" s="77" t="str">
        <f>IF('Classe CI'!$B14="","",IF('Classe CI'!E14="","",'Classe CI'!E14))</f>
        <v/>
      </c>
      <c r="I174" s="20" t="str">
        <f>IF('Classe CI'!$B14="","",IF('Classe CI'!F14="","",'Classe CI'!F14))</f>
        <v/>
      </c>
      <c r="J174" s="20" t="str">
        <f>IF('Classe CI'!$B14="","",IF('Classe CI'!G14="","",'Classe CI'!G14))</f>
        <v/>
      </c>
      <c r="K174" s="51" t="str">
        <f>IF('Classe CI'!$B14="","",N('Classe CI'!H14))</f>
        <v/>
      </c>
      <c r="L174" s="51" t="str">
        <f>IF('Classe CI'!$B14="","",N('Classe CI'!I14))</f>
        <v/>
      </c>
      <c r="M174" s="51" t="str">
        <f>IF('Classe CI'!$B14="","",N('Classe CI'!J14))</f>
        <v/>
      </c>
      <c r="N174" s="51" t="str">
        <f>IF('Classe CI'!$B14="","",N('Classe CI'!K14))</f>
        <v/>
      </c>
      <c r="O174" s="51" t="str">
        <f>IF('Classe CI'!$B14="","",N('Classe CI'!L14))</f>
        <v/>
      </c>
      <c r="P174" s="51" t="str">
        <f>IF('Classe CI'!$B14="","",N('Classe CI'!M14))</f>
        <v/>
      </c>
      <c r="Q174" s="21" t="str">
        <f>IF('Classe CI'!$B14="","",IF('Classe CI'!Q14="","",'Classe CI'!Q14))</f>
        <v/>
      </c>
      <c r="R174" s="51" t="str">
        <f>IF('Classe CI'!$B14="","",N('Classe CI'!N14))</f>
        <v/>
      </c>
      <c r="S174" s="51" t="str">
        <f>IF('Classe CI'!$B14="","",N('Classe CI'!O14))</f>
        <v/>
      </c>
      <c r="T174" s="51" t="str">
        <f>IF('Classe CI'!$B14="","",N('Classe CI'!P14))</f>
        <v/>
      </c>
    </row>
    <row r="175">
      <c r="A175" s="16" t="str">
        <f>IF('Classe CI'!$B15="","",IF('Classe CI'!A15="","",'Classe CI'!A15))</f>
        <v/>
      </c>
      <c r="B175" s="16" t="str">
        <f>IF('Classe CI'!$B15="","",IF('Classe CI'!B15="","",'Classe CI'!B15))</f>
        <v/>
      </c>
      <c r="C175" s="16" t="str">
        <f>IF('Classe CI'!$B15="","",IF('Classe CI'!C15="","",'Classe CI'!C15))</f>
        <v/>
      </c>
      <c r="D175" s="16" t="str">
        <f>IF($B175="","",C175&amp;" "&amp;B175&amp;" - "&amp;E175)</f>
        <v/>
      </c>
      <c r="E175" s="17" t="str">
        <f>IF($B175="","",Paramètres!$A$17)</f>
        <v/>
      </c>
      <c r="F175" s="17" t="str">
        <f>IF($B175="","",Paramètres!$B$17)</f>
        <v/>
      </c>
      <c r="G175" s="17" t="str">
        <f>IF('Classe CI'!$B15="","",IF('Classe CI'!D15="","",'Classe CI'!D15))</f>
        <v/>
      </c>
      <c r="H175" s="78" t="str">
        <f>IF('Classe CI'!$B15="","",IF('Classe CI'!E15="","",'Classe CI'!E15))</f>
        <v/>
      </c>
      <c r="I175" s="16" t="str">
        <f>IF('Classe CI'!$B15="","",IF('Classe CI'!F15="","",'Classe CI'!F15))</f>
        <v/>
      </c>
      <c r="J175" s="16" t="str">
        <f>IF('Classe CI'!$B15="","",IF('Classe CI'!G15="","",'Classe CI'!G15))</f>
        <v/>
      </c>
      <c r="K175" s="18" t="str">
        <f>IF('Classe CI'!$B15="","",N('Classe CI'!H15))</f>
        <v/>
      </c>
      <c r="L175" s="18" t="str">
        <f>IF('Classe CI'!$B15="","",N('Classe CI'!I15))</f>
        <v/>
      </c>
      <c r="M175" s="18" t="str">
        <f>IF('Classe CI'!$B15="","",N('Classe CI'!J15))</f>
        <v/>
      </c>
      <c r="N175" s="18" t="str">
        <f>IF('Classe CI'!$B15="","",N('Classe CI'!K15))</f>
        <v/>
      </c>
      <c r="O175" s="18" t="str">
        <f>IF('Classe CI'!$B15="","",N('Classe CI'!L15))</f>
        <v/>
      </c>
      <c r="P175" s="18" t="str">
        <f>IF('Classe CI'!$B15="","",N('Classe CI'!M15))</f>
        <v/>
      </c>
      <c r="Q175" s="17" t="str">
        <f>IF('Classe CI'!$B15="","",IF('Classe CI'!Q15="","",'Classe CI'!Q15))</f>
        <v/>
      </c>
      <c r="R175" s="18" t="str">
        <f>IF('Classe CI'!$B15="","",N('Classe CI'!N15))</f>
        <v/>
      </c>
      <c r="S175" s="18" t="str">
        <f>IF('Classe CI'!$B15="","",N('Classe CI'!O15))</f>
        <v/>
      </c>
      <c r="T175" s="18" t="str">
        <f>IF('Classe CI'!$B15="","",N('Classe CI'!P15))</f>
        <v/>
      </c>
    </row>
    <row r="176">
      <c r="A176" s="20" t="str">
        <f>IF('Classe CI'!$B16="","",IF('Classe CI'!A16="","",'Classe CI'!A16))</f>
        <v/>
      </c>
      <c r="B176" s="20" t="str">
        <f>IF('Classe CI'!$B16="","",IF('Classe CI'!B16="","",'Classe CI'!B16))</f>
        <v/>
      </c>
      <c r="C176" s="20" t="str">
        <f>IF('Classe CI'!$B16="","",IF('Classe CI'!C16="","",'Classe CI'!C16))</f>
        <v/>
      </c>
      <c r="D176" s="20" t="str">
        <f>IF($B176="","",C176&amp;" "&amp;B176&amp;" - "&amp;E176)</f>
        <v/>
      </c>
      <c r="E176" s="21" t="str">
        <f>IF($B176="","",Paramètres!$A$17)</f>
        <v/>
      </c>
      <c r="F176" s="21" t="str">
        <f>IF($B176="","",Paramètres!$B$17)</f>
        <v/>
      </c>
      <c r="G176" s="21" t="str">
        <f>IF('Classe CI'!$B16="","",IF('Classe CI'!D16="","",'Classe CI'!D16))</f>
        <v/>
      </c>
      <c r="H176" s="77" t="str">
        <f>IF('Classe CI'!$B16="","",IF('Classe CI'!E16="","",'Classe CI'!E16))</f>
        <v/>
      </c>
      <c r="I176" s="20" t="str">
        <f>IF('Classe CI'!$B16="","",IF('Classe CI'!F16="","",'Classe CI'!F16))</f>
        <v/>
      </c>
      <c r="J176" s="20" t="str">
        <f>IF('Classe CI'!$B16="","",IF('Classe CI'!G16="","",'Classe CI'!G16))</f>
        <v/>
      </c>
      <c r="K176" s="51" t="str">
        <f>IF('Classe CI'!$B16="","",N('Classe CI'!H16))</f>
        <v/>
      </c>
      <c r="L176" s="51" t="str">
        <f>IF('Classe CI'!$B16="","",N('Classe CI'!I16))</f>
        <v/>
      </c>
      <c r="M176" s="51" t="str">
        <f>IF('Classe CI'!$B16="","",N('Classe CI'!J16))</f>
        <v/>
      </c>
      <c r="N176" s="51" t="str">
        <f>IF('Classe CI'!$B16="","",N('Classe CI'!K16))</f>
        <v/>
      </c>
      <c r="O176" s="51" t="str">
        <f>IF('Classe CI'!$B16="","",N('Classe CI'!L16))</f>
        <v/>
      </c>
      <c r="P176" s="51" t="str">
        <f>IF('Classe CI'!$B16="","",N('Classe CI'!M16))</f>
        <v/>
      </c>
      <c r="Q176" s="21" t="str">
        <f>IF('Classe CI'!$B16="","",IF('Classe CI'!Q16="","",'Classe CI'!Q16))</f>
        <v/>
      </c>
      <c r="R176" s="51" t="str">
        <f>IF('Classe CI'!$B16="","",N('Classe CI'!N16))</f>
        <v/>
      </c>
      <c r="S176" s="51" t="str">
        <f>IF('Classe CI'!$B16="","",N('Classe CI'!O16))</f>
        <v/>
      </c>
      <c r="T176" s="51" t="str">
        <f>IF('Classe CI'!$B16="","",N('Classe CI'!P16))</f>
        <v/>
      </c>
    </row>
    <row r="177">
      <c r="A177" s="16" t="str">
        <f>IF('Classe CI'!$B17="","",IF('Classe CI'!A17="","",'Classe CI'!A17))</f>
        <v/>
      </c>
      <c r="B177" s="16" t="str">
        <f>IF('Classe CI'!$B17="","",IF('Classe CI'!B17="","",'Classe CI'!B17))</f>
        <v/>
      </c>
      <c r="C177" s="16" t="str">
        <f>IF('Classe CI'!$B17="","",IF('Classe CI'!C17="","",'Classe CI'!C17))</f>
        <v/>
      </c>
      <c r="D177" s="16" t="str">
        <f>IF($B177="","",C177&amp;" "&amp;B177&amp;" - "&amp;E177)</f>
        <v/>
      </c>
      <c r="E177" s="17" t="str">
        <f>IF($B177="","",Paramètres!$A$17)</f>
        <v/>
      </c>
      <c r="F177" s="17" t="str">
        <f>IF($B177="","",Paramètres!$B$17)</f>
        <v/>
      </c>
      <c r="G177" s="17" t="str">
        <f>IF('Classe CI'!$B17="","",IF('Classe CI'!D17="","",'Classe CI'!D17))</f>
        <v/>
      </c>
      <c r="H177" s="78" t="str">
        <f>IF('Classe CI'!$B17="","",IF('Classe CI'!E17="","",'Classe CI'!E17))</f>
        <v/>
      </c>
      <c r="I177" s="16" t="str">
        <f>IF('Classe CI'!$B17="","",IF('Classe CI'!F17="","",'Classe CI'!F17))</f>
        <v/>
      </c>
      <c r="J177" s="16" t="str">
        <f>IF('Classe CI'!$B17="","",IF('Classe CI'!G17="","",'Classe CI'!G17))</f>
        <v/>
      </c>
      <c r="K177" s="18" t="str">
        <f>IF('Classe CI'!$B17="","",N('Classe CI'!H17))</f>
        <v/>
      </c>
      <c r="L177" s="18" t="str">
        <f>IF('Classe CI'!$B17="","",N('Classe CI'!I17))</f>
        <v/>
      </c>
      <c r="M177" s="18" t="str">
        <f>IF('Classe CI'!$B17="","",N('Classe CI'!J17))</f>
        <v/>
      </c>
      <c r="N177" s="18" t="str">
        <f>IF('Classe CI'!$B17="","",N('Classe CI'!K17))</f>
        <v/>
      </c>
      <c r="O177" s="18" t="str">
        <f>IF('Classe CI'!$B17="","",N('Classe CI'!L17))</f>
        <v/>
      </c>
      <c r="P177" s="18" t="str">
        <f>IF('Classe CI'!$B17="","",N('Classe CI'!M17))</f>
        <v/>
      </c>
      <c r="Q177" s="17" t="str">
        <f>IF('Classe CI'!$B17="","",IF('Classe CI'!Q17="","",'Classe CI'!Q17))</f>
        <v/>
      </c>
      <c r="R177" s="18" t="str">
        <f>IF('Classe CI'!$B17="","",N('Classe CI'!N17))</f>
        <v/>
      </c>
      <c r="S177" s="18" t="str">
        <f>IF('Classe CI'!$B17="","",N('Classe CI'!O17))</f>
        <v/>
      </c>
      <c r="T177" s="18" t="str">
        <f>IF('Classe CI'!$B17="","",N('Classe CI'!P17))</f>
        <v/>
      </c>
    </row>
    <row r="178">
      <c r="A178" s="20" t="str">
        <f>IF('Classe CI'!$B18="","",IF('Classe CI'!A18="","",'Classe CI'!A18))</f>
        <v/>
      </c>
      <c r="B178" s="20" t="str">
        <f>IF('Classe CI'!$B18="","",IF('Classe CI'!B18="","",'Classe CI'!B18))</f>
        <v/>
      </c>
      <c r="C178" s="20" t="str">
        <f>IF('Classe CI'!$B18="","",IF('Classe CI'!C18="","",'Classe CI'!C18))</f>
        <v/>
      </c>
      <c r="D178" s="20" t="str">
        <f>IF($B178="","",C178&amp;" "&amp;B178&amp;" - "&amp;E178)</f>
        <v/>
      </c>
      <c r="E178" s="21" t="str">
        <f>IF($B178="","",Paramètres!$A$17)</f>
        <v/>
      </c>
      <c r="F178" s="21" t="str">
        <f>IF($B178="","",Paramètres!$B$17)</f>
        <v/>
      </c>
      <c r="G178" s="21" t="str">
        <f>IF('Classe CI'!$B18="","",IF('Classe CI'!D18="","",'Classe CI'!D18))</f>
        <v/>
      </c>
      <c r="H178" s="77" t="str">
        <f>IF('Classe CI'!$B18="","",IF('Classe CI'!E18="","",'Classe CI'!E18))</f>
        <v/>
      </c>
      <c r="I178" s="20" t="str">
        <f>IF('Classe CI'!$B18="","",IF('Classe CI'!F18="","",'Classe CI'!F18))</f>
        <v/>
      </c>
      <c r="J178" s="20" t="str">
        <f>IF('Classe CI'!$B18="","",IF('Classe CI'!G18="","",'Classe CI'!G18))</f>
        <v/>
      </c>
      <c r="K178" s="51" t="str">
        <f>IF('Classe CI'!$B18="","",N('Classe CI'!H18))</f>
        <v/>
      </c>
      <c r="L178" s="51" t="str">
        <f>IF('Classe CI'!$B18="","",N('Classe CI'!I18))</f>
        <v/>
      </c>
      <c r="M178" s="51" t="str">
        <f>IF('Classe CI'!$B18="","",N('Classe CI'!J18))</f>
        <v/>
      </c>
      <c r="N178" s="51" t="str">
        <f>IF('Classe CI'!$B18="","",N('Classe CI'!K18))</f>
        <v/>
      </c>
      <c r="O178" s="51" t="str">
        <f>IF('Classe CI'!$B18="","",N('Classe CI'!L18))</f>
        <v/>
      </c>
      <c r="P178" s="51" t="str">
        <f>IF('Classe CI'!$B18="","",N('Classe CI'!M18))</f>
        <v/>
      </c>
      <c r="Q178" s="21" t="str">
        <f>IF('Classe CI'!$B18="","",IF('Classe CI'!Q18="","",'Classe CI'!Q18))</f>
        <v/>
      </c>
      <c r="R178" s="51" t="str">
        <f>IF('Classe CI'!$B18="","",N('Classe CI'!N18))</f>
        <v/>
      </c>
      <c r="S178" s="51" t="str">
        <f>IF('Classe CI'!$B18="","",N('Classe CI'!O18))</f>
        <v/>
      </c>
      <c r="T178" s="51" t="str">
        <f>IF('Classe CI'!$B18="","",N('Classe CI'!P18))</f>
        <v/>
      </c>
    </row>
    <row r="179">
      <c r="A179" s="16" t="str">
        <f>IF('Classe CI'!$B19="","",IF('Classe CI'!A19="","",'Classe CI'!A19))</f>
        <v/>
      </c>
      <c r="B179" s="16" t="str">
        <f>IF('Classe CI'!$B19="","",IF('Classe CI'!B19="","",'Classe CI'!B19))</f>
        <v/>
      </c>
      <c r="C179" s="16" t="str">
        <f>IF('Classe CI'!$B19="","",IF('Classe CI'!C19="","",'Classe CI'!C19))</f>
        <v/>
      </c>
      <c r="D179" s="16" t="str">
        <f>IF($B179="","",C179&amp;" "&amp;B179&amp;" - "&amp;E179)</f>
        <v/>
      </c>
      <c r="E179" s="17" t="str">
        <f>IF($B179="","",Paramètres!$A$17)</f>
        <v/>
      </c>
      <c r="F179" s="17" t="str">
        <f>IF($B179="","",Paramètres!$B$17)</f>
        <v/>
      </c>
      <c r="G179" s="17" t="str">
        <f>IF('Classe CI'!$B19="","",IF('Classe CI'!D19="","",'Classe CI'!D19))</f>
        <v/>
      </c>
      <c r="H179" s="78" t="str">
        <f>IF('Classe CI'!$B19="","",IF('Classe CI'!E19="","",'Classe CI'!E19))</f>
        <v/>
      </c>
      <c r="I179" s="16" t="str">
        <f>IF('Classe CI'!$B19="","",IF('Classe CI'!F19="","",'Classe CI'!F19))</f>
        <v/>
      </c>
      <c r="J179" s="16" t="str">
        <f>IF('Classe CI'!$B19="","",IF('Classe CI'!G19="","",'Classe CI'!G19))</f>
        <v/>
      </c>
      <c r="K179" s="18" t="str">
        <f>IF('Classe CI'!$B19="","",N('Classe CI'!H19))</f>
        <v/>
      </c>
      <c r="L179" s="18" t="str">
        <f>IF('Classe CI'!$B19="","",N('Classe CI'!I19))</f>
        <v/>
      </c>
      <c r="M179" s="18" t="str">
        <f>IF('Classe CI'!$B19="","",N('Classe CI'!J19))</f>
        <v/>
      </c>
      <c r="N179" s="18" t="str">
        <f>IF('Classe CI'!$B19="","",N('Classe CI'!K19))</f>
        <v/>
      </c>
      <c r="O179" s="18" t="str">
        <f>IF('Classe CI'!$B19="","",N('Classe CI'!L19))</f>
        <v/>
      </c>
      <c r="P179" s="18" t="str">
        <f>IF('Classe CI'!$B19="","",N('Classe CI'!M19))</f>
        <v/>
      </c>
      <c r="Q179" s="17" t="str">
        <f>IF('Classe CI'!$B19="","",IF('Classe CI'!Q19="","",'Classe CI'!Q19))</f>
        <v/>
      </c>
      <c r="R179" s="18" t="str">
        <f>IF('Classe CI'!$B19="","",N('Classe CI'!N19))</f>
        <v/>
      </c>
      <c r="S179" s="18" t="str">
        <f>IF('Classe CI'!$B19="","",N('Classe CI'!O19))</f>
        <v/>
      </c>
      <c r="T179" s="18" t="str">
        <f>IF('Classe CI'!$B19="","",N('Classe CI'!P19))</f>
        <v/>
      </c>
    </row>
    <row r="180">
      <c r="A180" s="20" t="str">
        <f>IF('Classe CI'!$B20="","",IF('Classe CI'!A20="","",'Classe CI'!A20))</f>
        <v/>
      </c>
      <c r="B180" s="20" t="str">
        <f>IF('Classe CI'!$B20="","",IF('Classe CI'!B20="","",'Classe CI'!B20))</f>
        <v/>
      </c>
      <c r="C180" s="20" t="str">
        <f>IF('Classe CI'!$B20="","",IF('Classe CI'!C20="","",'Classe CI'!C20))</f>
        <v/>
      </c>
      <c r="D180" s="20" t="str">
        <f>IF($B180="","",C180&amp;" "&amp;B180&amp;" - "&amp;E180)</f>
        <v/>
      </c>
      <c r="E180" s="21" t="str">
        <f>IF($B180="","",Paramètres!$A$17)</f>
        <v/>
      </c>
      <c r="F180" s="21" t="str">
        <f>IF($B180="","",Paramètres!$B$17)</f>
        <v/>
      </c>
      <c r="G180" s="21" t="str">
        <f>IF('Classe CI'!$B20="","",IF('Classe CI'!D20="","",'Classe CI'!D20))</f>
        <v/>
      </c>
      <c r="H180" s="77" t="str">
        <f>IF('Classe CI'!$B20="","",IF('Classe CI'!E20="","",'Classe CI'!E20))</f>
        <v/>
      </c>
      <c r="I180" s="20" t="str">
        <f>IF('Classe CI'!$B20="","",IF('Classe CI'!F20="","",'Classe CI'!F20))</f>
        <v/>
      </c>
      <c r="J180" s="20" t="str">
        <f>IF('Classe CI'!$B20="","",IF('Classe CI'!G20="","",'Classe CI'!G20))</f>
        <v/>
      </c>
      <c r="K180" s="51" t="str">
        <f>IF('Classe CI'!$B20="","",N('Classe CI'!H20))</f>
        <v/>
      </c>
      <c r="L180" s="51" t="str">
        <f>IF('Classe CI'!$B20="","",N('Classe CI'!I20))</f>
        <v/>
      </c>
      <c r="M180" s="51" t="str">
        <f>IF('Classe CI'!$B20="","",N('Classe CI'!J20))</f>
        <v/>
      </c>
      <c r="N180" s="51" t="str">
        <f>IF('Classe CI'!$B20="","",N('Classe CI'!K20))</f>
        <v/>
      </c>
      <c r="O180" s="51" t="str">
        <f>IF('Classe CI'!$B20="","",N('Classe CI'!L20))</f>
        <v/>
      </c>
      <c r="P180" s="51" t="str">
        <f>IF('Classe CI'!$B20="","",N('Classe CI'!M20))</f>
        <v/>
      </c>
      <c r="Q180" s="21" t="str">
        <f>IF('Classe CI'!$B20="","",IF('Classe CI'!Q20="","",'Classe CI'!Q20))</f>
        <v/>
      </c>
      <c r="R180" s="51" t="str">
        <f>IF('Classe CI'!$B20="","",N('Classe CI'!N20))</f>
        <v/>
      </c>
      <c r="S180" s="51" t="str">
        <f>IF('Classe CI'!$B20="","",N('Classe CI'!O20))</f>
        <v/>
      </c>
      <c r="T180" s="51" t="str">
        <f>IF('Classe CI'!$B20="","",N('Classe CI'!P20))</f>
        <v/>
      </c>
    </row>
    <row r="181">
      <c r="A181" s="16" t="str">
        <f>IF('Classe CI'!$B21="","",IF('Classe CI'!A21="","",'Classe CI'!A21))</f>
        <v/>
      </c>
      <c r="B181" s="16" t="str">
        <f>IF('Classe CI'!$B21="","",IF('Classe CI'!B21="","",'Classe CI'!B21))</f>
        <v/>
      </c>
      <c r="C181" s="16" t="str">
        <f>IF('Classe CI'!$B21="","",IF('Classe CI'!C21="","",'Classe CI'!C21))</f>
        <v/>
      </c>
      <c r="D181" s="16" t="str">
        <f>IF($B181="","",C181&amp;" "&amp;B181&amp;" - "&amp;E181)</f>
        <v/>
      </c>
      <c r="E181" s="17" t="str">
        <f>IF($B181="","",Paramètres!$A$17)</f>
        <v/>
      </c>
      <c r="F181" s="17" t="str">
        <f>IF($B181="","",Paramètres!$B$17)</f>
        <v/>
      </c>
      <c r="G181" s="17" t="str">
        <f>IF('Classe CI'!$B21="","",IF('Classe CI'!D21="","",'Classe CI'!D21))</f>
        <v/>
      </c>
      <c r="H181" s="78" t="str">
        <f>IF('Classe CI'!$B21="","",IF('Classe CI'!E21="","",'Classe CI'!E21))</f>
        <v/>
      </c>
      <c r="I181" s="16" t="str">
        <f>IF('Classe CI'!$B21="","",IF('Classe CI'!F21="","",'Classe CI'!F21))</f>
        <v/>
      </c>
      <c r="J181" s="16" t="str">
        <f>IF('Classe CI'!$B21="","",IF('Classe CI'!G21="","",'Classe CI'!G21))</f>
        <v/>
      </c>
      <c r="K181" s="18" t="str">
        <f>IF('Classe CI'!$B21="","",N('Classe CI'!H21))</f>
        <v/>
      </c>
      <c r="L181" s="18" t="str">
        <f>IF('Classe CI'!$B21="","",N('Classe CI'!I21))</f>
        <v/>
      </c>
      <c r="M181" s="18" t="str">
        <f>IF('Classe CI'!$B21="","",N('Classe CI'!J21))</f>
        <v/>
      </c>
      <c r="N181" s="18" t="str">
        <f>IF('Classe CI'!$B21="","",N('Classe CI'!K21))</f>
        <v/>
      </c>
      <c r="O181" s="18" t="str">
        <f>IF('Classe CI'!$B21="","",N('Classe CI'!L21))</f>
        <v/>
      </c>
      <c r="P181" s="18" t="str">
        <f>IF('Classe CI'!$B21="","",N('Classe CI'!M21))</f>
        <v/>
      </c>
      <c r="Q181" s="17" t="str">
        <f>IF('Classe CI'!$B21="","",IF('Classe CI'!Q21="","",'Classe CI'!Q21))</f>
        <v/>
      </c>
      <c r="R181" s="18" t="str">
        <f>IF('Classe CI'!$B21="","",N('Classe CI'!N21))</f>
        <v/>
      </c>
      <c r="S181" s="18" t="str">
        <f>IF('Classe CI'!$B21="","",N('Classe CI'!O21))</f>
        <v/>
      </c>
      <c r="T181" s="18" t="str">
        <f>IF('Classe CI'!$B21="","",N('Classe CI'!P21))</f>
        <v/>
      </c>
    </row>
    <row r="182">
      <c r="A182" s="20" t="str">
        <f>IF('Classe CI'!$B22="","",IF('Classe CI'!A22="","",'Classe CI'!A22))</f>
        <v/>
      </c>
      <c r="B182" s="20" t="str">
        <f>IF('Classe CI'!$B22="","",IF('Classe CI'!B22="","",'Classe CI'!B22))</f>
        <v/>
      </c>
      <c r="C182" s="20" t="str">
        <f>IF('Classe CI'!$B22="","",IF('Classe CI'!C22="","",'Classe CI'!C22))</f>
        <v/>
      </c>
      <c r="D182" s="20" t="str">
        <f>IF($B182="","",C182&amp;" "&amp;B182&amp;" - "&amp;E182)</f>
        <v/>
      </c>
      <c r="E182" s="21" t="str">
        <f>IF($B182="","",Paramètres!$A$17)</f>
        <v/>
      </c>
      <c r="F182" s="21" t="str">
        <f>IF($B182="","",Paramètres!$B$17)</f>
        <v/>
      </c>
      <c r="G182" s="21" t="str">
        <f>IF('Classe CI'!$B22="","",IF('Classe CI'!D22="","",'Classe CI'!D22))</f>
        <v/>
      </c>
      <c r="H182" s="77" t="str">
        <f>IF('Classe CI'!$B22="","",IF('Classe CI'!E22="","",'Classe CI'!E22))</f>
        <v/>
      </c>
      <c r="I182" s="20" t="str">
        <f>IF('Classe CI'!$B22="","",IF('Classe CI'!F22="","",'Classe CI'!F22))</f>
        <v/>
      </c>
      <c r="J182" s="20" t="str">
        <f>IF('Classe CI'!$B22="","",IF('Classe CI'!G22="","",'Classe CI'!G22))</f>
        <v/>
      </c>
      <c r="K182" s="51" t="str">
        <f>IF('Classe CI'!$B22="","",N('Classe CI'!H22))</f>
        <v/>
      </c>
      <c r="L182" s="51" t="str">
        <f>IF('Classe CI'!$B22="","",N('Classe CI'!I22))</f>
        <v/>
      </c>
      <c r="M182" s="51" t="str">
        <f>IF('Classe CI'!$B22="","",N('Classe CI'!J22))</f>
        <v/>
      </c>
      <c r="N182" s="51" t="str">
        <f>IF('Classe CI'!$B22="","",N('Classe CI'!K22))</f>
        <v/>
      </c>
      <c r="O182" s="51" t="str">
        <f>IF('Classe CI'!$B22="","",N('Classe CI'!L22))</f>
        <v/>
      </c>
      <c r="P182" s="51" t="str">
        <f>IF('Classe CI'!$B22="","",N('Classe CI'!M22))</f>
        <v/>
      </c>
      <c r="Q182" s="21" t="str">
        <f>IF('Classe CI'!$B22="","",IF('Classe CI'!Q22="","",'Classe CI'!Q22))</f>
        <v/>
      </c>
      <c r="R182" s="51" t="str">
        <f>IF('Classe CI'!$B22="","",N('Classe CI'!N22))</f>
        <v/>
      </c>
      <c r="S182" s="51" t="str">
        <f>IF('Classe CI'!$B22="","",N('Classe CI'!O22))</f>
        <v/>
      </c>
      <c r="T182" s="51" t="str">
        <f>IF('Classe CI'!$B22="","",N('Classe CI'!P22))</f>
        <v/>
      </c>
    </row>
    <row r="183">
      <c r="A183" s="16" t="str">
        <f>IF('Classe CI'!$B23="","",IF('Classe CI'!A23="","",'Classe CI'!A23))</f>
        <v/>
      </c>
      <c r="B183" s="16" t="str">
        <f>IF('Classe CI'!$B23="","",IF('Classe CI'!B23="","",'Classe CI'!B23))</f>
        <v/>
      </c>
      <c r="C183" s="16" t="str">
        <f>IF('Classe CI'!$B23="","",IF('Classe CI'!C23="","",'Classe CI'!C23))</f>
        <v/>
      </c>
      <c r="D183" s="16" t="str">
        <f>IF($B183="","",C183&amp;" "&amp;B183&amp;" - "&amp;E183)</f>
        <v/>
      </c>
      <c r="E183" s="17" t="str">
        <f>IF($B183="","",Paramètres!$A$17)</f>
        <v/>
      </c>
      <c r="F183" s="17" t="str">
        <f>IF($B183="","",Paramètres!$B$17)</f>
        <v/>
      </c>
      <c r="G183" s="17" t="str">
        <f>IF('Classe CI'!$B23="","",IF('Classe CI'!D23="","",'Classe CI'!D23))</f>
        <v/>
      </c>
      <c r="H183" s="78" t="str">
        <f>IF('Classe CI'!$B23="","",IF('Classe CI'!E23="","",'Classe CI'!E23))</f>
        <v/>
      </c>
      <c r="I183" s="16" t="str">
        <f>IF('Classe CI'!$B23="","",IF('Classe CI'!F23="","",'Classe CI'!F23))</f>
        <v/>
      </c>
      <c r="J183" s="16" t="str">
        <f>IF('Classe CI'!$B23="","",IF('Classe CI'!G23="","",'Classe CI'!G23))</f>
        <v/>
      </c>
      <c r="K183" s="18" t="str">
        <f>IF('Classe CI'!$B23="","",N('Classe CI'!H23))</f>
        <v/>
      </c>
      <c r="L183" s="18" t="str">
        <f>IF('Classe CI'!$B23="","",N('Classe CI'!I23))</f>
        <v/>
      </c>
      <c r="M183" s="18" t="str">
        <f>IF('Classe CI'!$B23="","",N('Classe CI'!J23))</f>
        <v/>
      </c>
      <c r="N183" s="18" t="str">
        <f>IF('Classe CI'!$B23="","",N('Classe CI'!K23))</f>
        <v/>
      </c>
      <c r="O183" s="18" t="str">
        <f>IF('Classe CI'!$B23="","",N('Classe CI'!L23))</f>
        <v/>
      </c>
      <c r="P183" s="18" t="str">
        <f>IF('Classe CI'!$B23="","",N('Classe CI'!M23))</f>
        <v/>
      </c>
      <c r="Q183" s="17" t="str">
        <f>IF('Classe CI'!$B23="","",IF('Classe CI'!Q23="","",'Classe CI'!Q23))</f>
        <v/>
      </c>
      <c r="R183" s="18" t="str">
        <f>IF('Classe CI'!$B23="","",N('Classe CI'!N23))</f>
        <v/>
      </c>
      <c r="S183" s="18" t="str">
        <f>IF('Classe CI'!$B23="","",N('Classe CI'!O23))</f>
        <v/>
      </c>
      <c r="T183" s="18" t="str">
        <f>IF('Classe CI'!$B23="","",N('Classe CI'!P23))</f>
        <v/>
      </c>
    </row>
    <row r="184">
      <c r="A184" s="20" t="str">
        <f>IF('Classe CI'!$B24="","",IF('Classe CI'!A24="","",'Classe CI'!A24))</f>
        <v/>
      </c>
      <c r="B184" s="20" t="str">
        <f>IF('Classe CI'!$B24="","",IF('Classe CI'!B24="","",'Classe CI'!B24))</f>
        <v/>
      </c>
      <c r="C184" s="20" t="str">
        <f>IF('Classe CI'!$B24="","",IF('Classe CI'!C24="","",'Classe CI'!C24))</f>
        <v/>
      </c>
      <c r="D184" s="20" t="str">
        <f>IF($B184="","",C184&amp;" "&amp;B184&amp;" - "&amp;E184)</f>
        <v/>
      </c>
      <c r="E184" s="21" t="str">
        <f>IF($B184="","",Paramètres!$A$17)</f>
        <v/>
      </c>
      <c r="F184" s="21" t="str">
        <f>IF($B184="","",Paramètres!$B$17)</f>
        <v/>
      </c>
      <c r="G184" s="21" t="str">
        <f>IF('Classe CI'!$B24="","",IF('Classe CI'!D24="","",'Classe CI'!D24))</f>
        <v/>
      </c>
      <c r="H184" s="77" t="str">
        <f>IF('Classe CI'!$B24="","",IF('Classe CI'!E24="","",'Classe CI'!E24))</f>
        <v/>
      </c>
      <c r="I184" s="20" t="str">
        <f>IF('Classe CI'!$B24="","",IF('Classe CI'!F24="","",'Classe CI'!F24))</f>
        <v/>
      </c>
      <c r="J184" s="20" t="str">
        <f>IF('Classe CI'!$B24="","",IF('Classe CI'!G24="","",'Classe CI'!G24))</f>
        <v/>
      </c>
      <c r="K184" s="51" t="str">
        <f>IF('Classe CI'!$B24="","",N('Classe CI'!H24))</f>
        <v/>
      </c>
      <c r="L184" s="51" t="str">
        <f>IF('Classe CI'!$B24="","",N('Classe CI'!I24))</f>
        <v/>
      </c>
      <c r="M184" s="51" t="str">
        <f>IF('Classe CI'!$B24="","",N('Classe CI'!J24))</f>
        <v/>
      </c>
      <c r="N184" s="51" t="str">
        <f>IF('Classe CI'!$B24="","",N('Classe CI'!K24))</f>
        <v/>
      </c>
      <c r="O184" s="51" t="str">
        <f>IF('Classe CI'!$B24="","",N('Classe CI'!L24))</f>
        <v/>
      </c>
      <c r="P184" s="51" t="str">
        <f>IF('Classe CI'!$B24="","",N('Classe CI'!M24))</f>
        <v/>
      </c>
      <c r="Q184" s="21" t="str">
        <f>IF('Classe CI'!$B24="","",IF('Classe CI'!Q24="","",'Classe CI'!Q24))</f>
        <v/>
      </c>
      <c r="R184" s="51" t="str">
        <f>IF('Classe CI'!$B24="","",N('Classe CI'!N24))</f>
        <v/>
      </c>
      <c r="S184" s="51" t="str">
        <f>IF('Classe CI'!$B24="","",N('Classe CI'!O24))</f>
        <v/>
      </c>
      <c r="T184" s="51" t="str">
        <f>IF('Classe CI'!$B24="","",N('Classe CI'!P24))</f>
        <v/>
      </c>
    </row>
    <row r="185">
      <c r="A185" s="16" t="str">
        <f>IF('Classe CI'!$B25="","",IF('Classe CI'!A25="","",'Classe CI'!A25))</f>
        <v/>
      </c>
      <c r="B185" s="16" t="str">
        <f>IF('Classe CI'!$B25="","",IF('Classe CI'!B25="","",'Classe CI'!B25))</f>
        <v/>
      </c>
      <c r="C185" s="16" t="str">
        <f>IF('Classe CI'!$B25="","",IF('Classe CI'!C25="","",'Classe CI'!C25))</f>
        <v/>
      </c>
      <c r="D185" s="16" t="str">
        <f>IF($B185="","",C185&amp;" "&amp;B185&amp;" - "&amp;E185)</f>
        <v/>
      </c>
      <c r="E185" s="17" t="str">
        <f>IF($B185="","",Paramètres!$A$17)</f>
        <v/>
      </c>
      <c r="F185" s="17" t="str">
        <f>IF($B185="","",Paramètres!$B$17)</f>
        <v/>
      </c>
      <c r="G185" s="17" t="str">
        <f>IF('Classe CI'!$B25="","",IF('Classe CI'!D25="","",'Classe CI'!D25))</f>
        <v/>
      </c>
      <c r="H185" s="78" t="str">
        <f>IF('Classe CI'!$B25="","",IF('Classe CI'!E25="","",'Classe CI'!E25))</f>
        <v/>
      </c>
      <c r="I185" s="16" t="str">
        <f>IF('Classe CI'!$B25="","",IF('Classe CI'!F25="","",'Classe CI'!F25))</f>
        <v/>
      </c>
      <c r="J185" s="16" t="str">
        <f>IF('Classe CI'!$B25="","",IF('Classe CI'!G25="","",'Classe CI'!G25))</f>
        <v/>
      </c>
      <c r="K185" s="18" t="str">
        <f>IF('Classe CI'!$B25="","",N('Classe CI'!H25))</f>
        <v/>
      </c>
      <c r="L185" s="18" t="str">
        <f>IF('Classe CI'!$B25="","",N('Classe CI'!I25))</f>
        <v/>
      </c>
      <c r="M185" s="18" t="str">
        <f>IF('Classe CI'!$B25="","",N('Classe CI'!J25))</f>
        <v/>
      </c>
      <c r="N185" s="18" t="str">
        <f>IF('Classe CI'!$B25="","",N('Classe CI'!K25))</f>
        <v/>
      </c>
      <c r="O185" s="18" t="str">
        <f>IF('Classe CI'!$B25="","",N('Classe CI'!L25))</f>
        <v/>
      </c>
      <c r="P185" s="18" t="str">
        <f>IF('Classe CI'!$B25="","",N('Classe CI'!M25))</f>
        <v/>
      </c>
      <c r="Q185" s="17" t="str">
        <f>IF('Classe CI'!$B25="","",IF('Classe CI'!Q25="","",'Classe CI'!Q25))</f>
        <v/>
      </c>
      <c r="R185" s="18" t="str">
        <f>IF('Classe CI'!$B25="","",N('Classe CI'!N25))</f>
        <v/>
      </c>
      <c r="S185" s="18" t="str">
        <f>IF('Classe CI'!$B25="","",N('Classe CI'!O25))</f>
        <v/>
      </c>
      <c r="T185" s="18" t="str">
        <f>IF('Classe CI'!$B25="","",N('Classe CI'!P25))</f>
        <v/>
      </c>
    </row>
    <row r="186">
      <c r="A186" s="20" t="str">
        <f>IF('Classe CI'!$B26="","",IF('Classe CI'!A26="","",'Classe CI'!A26))</f>
        <v/>
      </c>
      <c r="B186" s="20" t="str">
        <f>IF('Classe CI'!$B26="","",IF('Classe CI'!B26="","",'Classe CI'!B26))</f>
        <v/>
      </c>
      <c r="C186" s="20" t="str">
        <f>IF('Classe CI'!$B26="","",IF('Classe CI'!C26="","",'Classe CI'!C26))</f>
        <v/>
      </c>
      <c r="D186" s="20" t="str">
        <f>IF($B186="","",C186&amp;" "&amp;B186&amp;" - "&amp;E186)</f>
        <v/>
      </c>
      <c r="E186" s="21" t="str">
        <f>IF($B186="","",Paramètres!$A$17)</f>
        <v/>
      </c>
      <c r="F186" s="21" t="str">
        <f>IF($B186="","",Paramètres!$B$17)</f>
        <v/>
      </c>
      <c r="G186" s="21" t="str">
        <f>IF('Classe CI'!$B26="","",IF('Classe CI'!D26="","",'Classe CI'!D26))</f>
        <v/>
      </c>
      <c r="H186" s="77" t="str">
        <f>IF('Classe CI'!$B26="","",IF('Classe CI'!E26="","",'Classe CI'!E26))</f>
        <v/>
      </c>
      <c r="I186" s="20" t="str">
        <f>IF('Classe CI'!$B26="","",IF('Classe CI'!F26="","",'Classe CI'!F26))</f>
        <v/>
      </c>
      <c r="J186" s="20" t="str">
        <f>IF('Classe CI'!$B26="","",IF('Classe CI'!G26="","",'Classe CI'!G26))</f>
        <v/>
      </c>
      <c r="K186" s="51" t="str">
        <f>IF('Classe CI'!$B26="","",N('Classe CI'!H26))</f>
        <v/>
      </c>
      <c r="L186" s="51" t="str">
        <f>IF('Classe CI'!$B26="","",N('Classe CI'!I26))</f>
        <v/>
      </c>
      <c r="M186" s="51" t="str">
        <f>IF('Classe CI'!$B26="","",N('Classe CI'!J26))</f>
        <v/>
      </c>
      <c r="N186" s="51" t="str">
        <f>IF('Classe CI'!$B26="","",N('Classe CI'!K26))</f>
        <v/>
      </c>
      <c r="O186" s="51" t="str">
        <f>IF('Classe CI'!$B26="","",N('Classe CI'!L26))</f>
        <v/>
      </c>
      <c r="P186" s="51" t="str">
        <f>IF('Classe CI'!$B26="","",N('Classe CI'!M26))</f>
        <v/>
      </c>
      <c r="Q186" s="21" t="str">
        <f>IF('Classe CI'!$B26="","",IF('Classe CI'!Q26="","",'Classe CI'!Q26))</f>
        <v/>
      </c>
      <c r="R186" s="51" t="str">
        <f>IF('Classe CI'!$B26="","",N('Classe CI'!N26))</f>
        <v/>
      </c>
      <c r="S186" s="51" t="str">
        <f>IF('Classe CI'!$B26="","",N('Classe CI'!O26))</f>
        <v/>
      </c>
      <c r="T186" s="51" t="str">
        <f>IF('Classe CI'!$B26="","",N('Classe CI'!P26))</f>
        <v/>
      </c>
    </row>
    <row r="187">
      <c r="A187" s="16" t="str">
        <f>IF('Classe CI'!$B27="","",IF('Classe CI'!A27="","",'Classe CI'!A27))</f>
        <v/>
      </c>
      <c r="B187" s="16" t="str">
        <f>IF('Classe CI'!$B27="","",IF('Classe CI'!B27="","",'Classe CI'!B27))</f>
        <v/>
      </c>
      <c r="C187" s="16" t="str">
        <f>IF('Classe CI'!$B27="","",IF('Classe CI'!C27="","",'Classe CI'!C27))</f>
        <v/>
      </c>
      <c r="D187" s="16" t="str">
        <f>IF($B187="","",C187&amp;" "&amp;B187&amp;" - "&amp;E187)</f>
        <v/>
      </c>
      <c r="E187" s="17" t="str">
        <f>IF($B187="","",Paramètres!$A$17)</f>
        <v/>
      </c>
      <c r="F187" s="17" t="str">
        <f>IF($B187="","",Paramètres!$B$17)</f>
        <v/>
      </c>
      <c r="G187" s="17" t="str">
        <f>IF('Classe CI'!$B27="","",IF('Classe CI'!D27="","",'Classe CI'!D27))</f>
        <v/>
      </c>
      <c r="H187" s="78" t="str">
        <f>IF('Classe CI'!$B27="","",IF('Classe CI'!E27="","",'Classe CI'!E27))</f>
        <v/>
      </c>
      <c r="I187" s="16" t="str">
        <f>IF('Classe CI'!$B27="","",IF('Classe CI'!F27="","",'Classe CI'!F27))</f>
        <v/>
      </c>
      <c r="J187" s="16" t="str">
        <f>IF('Classe CI'!$B27="","",IF('Classe CI'!G27="","",'Classe CI'!G27))</f>
        <v/>
      </c>
      <c r="K187" s="18" t="str">
        <f>IF('Classe CI'!$B27="","",N('Classe CI'!H27))</f>
        <v/>
      </c>
      <c r="L187" s="18" t="str">
        <f>IF('Classe CI'!$B27="","",N('Classe CI'!I27))</f>
        <v/>
      </c>
      <c r="M187" s="18" t="str">
        <f>IF('Classe CI'!$B27="","",N('Classe CI'!J27))</f>
        <v/>
      </c>
      <c r="N187" s="18" t="str">
        <f>IF('Classe CI'!$B27="","",N('Classe CI'!K27))</f>
        <v/>
      </c>
      <c r="O187" s="18" t="str">
        <f>IF('Classe CI'!$B27="","",N('Classe CI'!L27))</f>
        <v/>
      </c>
      <c r="P187" s="18" t="str">
        <f>IF('Classe CI'!$B27="","",N('Classe CI'!M27))</f>
        <v/>
      </c>
      <c r="Q187" s="17" t="str">
        <f>IF('Classe CI'!$B27="","",IF('Classe CI'!Q27="","",'Classe CI'!Q27))</f>
        <v/>
      </c>
      <c r="R187" s="18" t="str">
        <f>IF('Classe CI'!$B27="","",N('Classe CI'!N27))</f>
        <v/>
      </c>
      <c r="S187" s="18" t="str">
        <f>IF('Classe CI'!$B27="","",N('Classe CI'!O27))</f>
        <v/>
      </c>
      <c r="T187" s="18" t="str">
        <f>IF('Classe CI'!$B27="","",N('Classe CI'!P27))</f>
        <v/>
      </c>
    </row>
    <row r="188">
      <c r="A188" s="20" t="str">
        <f>IF('Classe CI'!$B28="","",IF('Classe CI'!A28="","",'Classe CI'!A28))</f>
        <v/>
      </c>
      <c r="B188" s="20" t="str">
        <f>IF('Classe CI'!$B28="","",IF('Classe CI'!B28="","",'Classe CI'!B28))</f>
        <v/>
      </c>
      <c r="C188" s="20" t="str">
        <f>IF('Classe CI'!$B28="","",IF('Classe CI'!C28="","",'Classe CI'!C28))</f>
        <v/>
      </c>
      <c r="D188" s="20" t="str">
        <f>IF($B188="","",C188&amp;" "&amp;B188&amp;" - "&amp;E188)</f>
        <v/>
      </c>
      <c r="E188" s="21" t="str">
        <f>IF($B188="","",Paramètres!$A$17)</f>
        <v/>
      </c>
      <c r="F188" s="21" t="str">
        <f>IF($B188="","",Paramètres!$B$17)</f>
        <v/>
      </c>
      <c r="G188" s="21" t="str">
        <f>IF('Classe CI'!$B28="","",IF('Classe CI'!D28="","",'Classe CI'!D28))</f>
        <v/>
      </c>
      <c r="H188" s="77" t="str">
        <f>IF('Classe CI'!$B28="","",IF('Classe CI'!E28="","",'Classe CI'!E28))</f>
        <v/>
      </c>
      <c r="I188" s="20" t="str">
        <f>IF('Classe CI'!$B28="","",IF('Classe CI'!F28="","",'Classe CI'!F28))</f>
        <v/>
      </c>
      <c r="J188" s="20" t="str">
        <f>IF('Classe CI'!$B28="","",IF('Classe CI'!G28="","",'Classe CI'!G28))</f>
        <v/>
      </c>
      <c r="K188" s="51" t="str">
        <f>IF('Classe CI'!$B28="","",N('Classe CI'!H28))</f>
        <v/>
      </c>
      <c r="L188" s="51" t="str">
        <f>IF('Classe CI'!$B28="","",N('Classe CI'!I28))</f>
        <v/>
      </c>
      <c r="M188" s="51" t="str">
        <f>IF('Classe CI'!$B28="","",N('Classe CI'!J28))</f>
        <v/>
      </c>
      <c r="N188" s="51" t="str">
        <f>IF('Classe CI'!$B28="","",N('Classe CI'!K28))</f>
        <v/>
      </c>
      <c r="O188" s="51" t="str">
        <f>IF('Classe CI'!$B28="","",N('Classe CI'!L28))</f>
        <v/>
      </c>
      <c r="P188" s="51" t="str">
        <f>IF('Classe CI'!$B28="","",N('Classe CI'!M28))</f>
        <v/>
      </c>
      <c r="Q188" s="21" t="str">
        <f>IF('Classe CI'!$B28="","",IF('Classe CI'!Q28="","",'Classe CI'!Q28))</f>
        <v/>
      </c>
      <c r="R188" s="51" t="str">
        <f>IF('Classe CI'!$B28="","",N('Classe CI'!N28))</f>
        <v/>
      </c>
      <c r="S188" s="51" t="str">
        <f>IF('Classe CI'!$B28="","",N('Classe CI'!O28))</f>
        <v/>
      </c>
      <c r="T188" s="51" t="str">
        <f>IF('Classe CI'!$B28="","",N('Classe CI'!P28))</f>
        <v/>
      </c>
    </row>
    <row r="189">
      <c r="A189" s="16" t="str">
        <f>IF('Classe CI'!$B29="","",IF('Classe CI'!A29="","",'Classe CI'!A29))</f>
        <v/>
      </c>
      <c r="B189" s="16" t="str">
        <f>IF('Classe CI'!$B29="","",IF('Classe CI'!B29="","",'Classe CI'!B29))</f>
        <v/>
      </c>
      <c r="C189" s="16" t="str">
        <f>IF('Classe CI'!$B29="","",IF('Classe CI'!C29="","",'Classe CI'!C29))</f>
        <v/>
      </c>
      <c r="D189" s="16" t="str">
        <f>IF($B189="","",C189&amp;" "&amp;B189&amp;" - "&amp;E189)</f>
        <v/>
      </c>
      <c r="E189" s="17" t="str">
        <f>IF($B189="","",Paramètres!$A$17)</f>
        <v/>
      </c>
      <c r="F189" s="17" t="str">
        <f>IF($B189="","",Paramètres!$B$17)</f>
        <v/>
      </c>
      <c r="G189" s="17" t="str">
        <f>IF('Classe CI'!$B29="","",IF('Classe CI'!D29="","",'Classe CI'!D29))</f>
        <v/>
      </c>
      <c r="H189" s="78" t="str">
        <f>IF('Classe CI'!$B29="","",IF('Classe CI'!E29="","",'Classe CI'!E29))</f>
        <v/>
      </c>
      <c r="I189" s="16" t="str">
        <f>IF('Classe CI'!$B29="","",IF('Classe CI'!F29="","",'Classe CI'!F29))</f>
        <v/>
      </c>
      <c r="J189" s="16" t="str">
        <f>IF('Classe CI'!$B29="","",IF('Classe CI'!G29="","",'Classe CI'!G29))</f>
        <v/>
      </c>
      <c r="K189" s="18" t="str">
        <f>IF('Classe CI'!$B29="","",N('Classe CI'!H29))</f>
        <v/>
      </c>
      <c r="L189" s="18" t="str">
        <f>IF('Classe CI'!$B29="","",N('Classe CI'!I29))</f>
        <v/>
      </c>
      <c r="M189" s="18" t="str">
        <f>IF('Classe CI'!$B29="","",N('Classe CI'!J29))</f>
        <v/>
      </c>
      <c r="N189" s="18" t="str">
        <f>IF('Classe CI'!$B29="","",N('Classe CI'!K29))</f>
        <v/>
      </c>
      <c r="O189" s="18" t="str">
        <f>IF('Classe CI'!$B29="","",N('Classe CI'!L29))</f>
        <v/>
      </c>
      <c r="P189" s="18" t="str">
        <f>IF('Classe CI'!$B29="","",N('Classe CI'!M29))</f>
        <v/>
      </c>
      <c r="Q189" s="17" t="str">
        <f>IF('Classe CI'!$B29="","",IF('Classe CI'!Q29="","",'Classe CI'!Q29))</f>
        <v/>
      </c>
      <c r="R189" s="18" t="str">
        <f>IF('Classe CI'!$B29="","",N('Classe CI'!N29))</f>
        <v/>
      </c>
      <c r="S189" s="18" t="str">
        <f>IF('Classe CI'!$B29="","",N('Classe CI'!O29))</f>
        <v/>
      </c>
      <c r="T189" s="18" t="str">
        <f>IF('Classe CI'!$B29="","",N('Classe CI'!P29))</f>
        <v/>
      </c>
    </row>
    <row r="190">
      <c r="A190" s="20" t="str">
        <f>IF('Classe CI'!$B30="","",IF('Classe CI'!A30="","",'Classe CI'!A30))</f>
        <v/>
      </c>
      <c r="B190" s="20" t="str">
        <f>IF('Classe CI'!$B30="","",IF('Classe CI'!B30="","",'Classe CI'!B30))</f>
        <v/>
      </c>
      <c r="C190" s="20" t="str">
        <f>IF('Classe CI'!$B30="","",IF('Classe CI'!C30="","",'Classe CI'!C30))</f>
        <v/>
      </c>
      <c r="D190" s="20" t="str">
        <f>IF($B190="","",C190&amp;" "&amp;B190&amp;" - "&amp;E190)</f>
        <v/>
      </c>
      <c r="E190" s="21" t="str">
        <f>IF($B190="","",Paramètres!$A$17)</f>
        <v/>
      </c>
      <c r="F190" s="21" t="str">
        <f>IF($B190="","",Paramètres!$B$17)</f>
        <v/>
      </c>
      <c r="G190" s="21" t="str">
        <f>IF('Classe CI'!$B30="","",IF('Classe CI'!D30="","",'Classe CI'!D30))</f>
        <v/>
      </c>
      <c r="H190" s="77" t="str">
        <f>IF('Classe CI'!$B30="","",IF('Classe CI'!E30="","",'Classe CI'!E30))</f>
        <v/>
      </c>
      <c r="I190" s="20" t="str">
        <f>IF('Classe CI'!$B30="","",IF('Classe CI'!F30="","",'Classe CI'!F30))</f>
        <v/>
      </c>
      <c r="J190" s="20" t="str">
        <f>IF('Classe CI'!$B30="","",IF('Classe CI'!G30="","",'Classe CI'!G30))</f>
        <v/>
      </c>
      <c r="K190" s="51" t="str">
        <f>IF('Classe CI'!$B30="","",N('Classe CI'!H30))</f>
        <v/>
      </c>
      <c r="L190" s="51" t="str">
        <f>IF('Classe CI'!$B30="","",N('Classe CI'!I30))</f>
        <v/>
      </c>
      <c r="M190" s="51" t="str">
        <f>IF('Classe CI'!$B30="","",N('Classe CI'!J30))</f>
        <v/>
      </c>
      <c r="N190" s="51" t="str">
        <f>IF('Classe CI'!$B30="","",N('Classe CI'!K30))</f>
        <v/>
      </c>
      <c r="O190" s="51" t="str">
        <f>IF('Classe CI'!$B30="","",N('Classe CI'!L30))</f>
        <v/>
      </c>
      <c r="P190" s="51" t="str">
        <f>IF('Classe CI'!$B30="","",N('Classe CI'!M30))</f>
        <v/>
      </c>
      <c r="Q190" s="21" t="str">
        <f>IF('Classe CI'!$B30="","",IF('Classe CI'!Q30="","",'Classe CI'!Q30))</f>
        <v/>
      </c>
      <c r="R190" s="51" t="str">
        <f>IF('Classe CI'!$B30="","",N('Classe CI'!N30))</f>
        <v/>
      </c>
      <c r="S190" s="51" t="str">
        <f>IF('Classe CI'!$B30="","",N('Classe CI'!O30))</f>
        <v/>
      </c>
      <c r="T190" s="51" t="str">
        <f>IF('Classe CI'!$B30="","",N('Classe CI'!P30))</f>
        <v/>
      </c>
    </row>
    <row r="191">
      <c r="A191" s="16" t="str">
        <f>IF('Classe CI'!$B31="","",IF('Classe CI'!A31="","",'Classe CI'!A31))</f>
        <v/>
      </c>
      <c r="B191" s="16" t="str">
        <f>IF('Classe CI'!$B31="","",IF('Classe CI'!B31="","",'Classe CI'!B31))</f>
        <v/>
      </c>
      <c r="C191" s="16" t="str">
        <f>IF('Classe CI'!$B31="","",IF('Classe CI'!C31="","",'Classe CI'!C31))</f>
        <v/>
      </c>
      <c r="D191" s="16" t="str">
        <f>IF($B191="","",C191&amp;" "&amp;B191&amp;" - "&amp;E191)</f>
        <v/>
      </c>
      <c r="E191" s="17" t="str">
        <f>IF($B191="","",Paramètres!$A$17)</f>
        <v/>
      </c>
      <c r="F191" s="17" t="str">
        <f>IF($B191="","",Paramètres!$B$17)</f>
        <v/>
      </c>
      <c r="G191" s="17" t="str">
        <f>IF('Classe CI'!$B31="","",IF('Classe CI'!D31="","",'Classe CI'!D31))</f>
        <v/>
      </c>
      <c r="H191" s="78" t="str">
        <f>IF('Classe CI'!$B31="","",IF('Classe CI'!E31="","",'Classe CI'!E31))</f>
        <v/>
      </c>
      <c r="I191" s="16" t="str">
        <f>IF('Classe CI'!$B31="","",IF('Classe CI'!F31="","",'Classe CI'!F31))</f>
        <v/>
      </c>
      <c r="J191" s="16" t="str">
        <f>IF('Classe CI'!$B31="","",IF('Classe CI'!G31="","",'Classe CI'!G31))</f>
        <v/>
      </c>
      <c r="K191" s="18" t="str">
        <f>IF('Classe CI'!$B31="","",N('Classe CI'!H31))</f>
        <v/>
      </c>
      <c r="L191" s="18" t="str">
        <f>IF('Classe CI'!$B31="","",N('Classe CI'!I31))</f>
        <v/>
      </c>
      <c r="M191" s="18" t="str">
        <f>IF('Classe CI'!$B31="","",N('Classe CI'!J31))</f>
        <v/>
      </c>
      <c r="N191" s="18" t="str">
        <f>IF('Classe CI'!$B31="","",N('Classe CI'!K31))</f>
        <v/>
      </c>
      <c r="O191" s="18" t="str">
        <f>IF('Classe CI'!$B31="","",N('Classe CI'!L31))</f>
        <v/>
      </c>
      <c r="P191" s="18" t="str">
        <f>IF('Classe CI'!$B31="","",N('Classe CI'!M31))</f>
        <v/>
      </c>
      <c r="Q191" s="17" t="str">
        <f>IF('Classe CI'!$B31="","",IF('Classe CI'!Q31="","",'Classe CI'!Q31))</f>
        <v/>
      </c>
      <c r="R191" s="18" t="str">
        <f>IF('Classe CI'!$B31="","",N('Classe CI'!N31))</f>
        <v/>
      </c>
      <c r="S191" s="18" t="str">
        <f>IF('Classe CI'!$B31="","",N('Classe CI'!O31))</f>
        <v/>
      </c>
      <c r="T191" s="18" t="str">
        <f>IF('Classe CI'!$B31="","",N('Classe CI'!P31))</f>
        <v/>
      </c>
    </row>
    <row r="192">
      <c r="A192" s="20" t="str">
        <f>IF('Classe CI'!$B32="","",IF('Classe CI'!A32="","",'Classe CI'!A32))</f>
        <v/>
      </c>
      <c r="B192" s="20" t="str">
        <f>IF('Classe CI'!$B32="","",IF('Classe CI'!B32="","",'Classe CI'!B32))</f>
        <v/>
      </c>
      <c r="C192" s="20" t="str">
        <f>IF('Classe CI'!$B32="","",IF('Classe CI'!C32="","",'Classe CI'!C32))</f>
        <v/>
      </c>
      <c r="D192" s="20" t="str">
        <f>IF($B192="","",C192&amp;" "&amp;B192&amp;" - "&amp;E192)</f>
        <v/>
      </c>
      <c r="E192" s="21" t="str">
        <f>IF($B192="","",Paramètres!$A$17)</f>
        <v/>
      </c>
      <c r="F192" s="21" t="str">
        <f>IF($B192="","",Paramètres!$B$17)</f>
        <v/>
      </c>
      <c r="G192" s="21" t="str">
        <f>IF('Classe CI'!$B32="","",IF('Classe CI'!D32="","",'Classe CI'!D32))</f>
        <v/>
      </c>
      <c r="H192" s="77" t="str">
        <f>IF('Classe CI'!$B32="","",IF('Classe CI'!E32="","",'Classe CI'!E32))</f>
        <v/>
      </c>
      <c r="I192" s="20" t="str">
        <f>IF('Classe CI'!$B32="","",IF('Classe CI'!F32="","",'Classe CI'!F32))</f>
        <v/>
      </c>
      <c r="J192" s="20" t="str">
        <f>IF('Classe CI'!$B32="","",IF('Classe CI'!G32="","",'Classe CI'!G32))</f>
        <v/>
      </c>
      <c r="K192" s="51" t="str">
        <f>IF('Classe CI'!$B32="","",N('Classe CI'!H32))</f>
        <v/>
      </c>
      <c r="L192" s="51" t="str">
        <f>IF('Classe CI'!$B32="","",N('Classe CI'!I32))</f>
        <v/>
      </c>
      <c r="M192" s="51" t="str">
        <f>IF('Classe CI'!$B32="","",N('Classe CI'!J32))</f>
        <v/>
      </c>
      <c r="N192" s="51" t="str">
        <f>IF('Classe CI'!$B32="","",N('Classe CI'!K32))</f>
        <v/>
      </c>
      <c r="O192" s="51" t="str">
        <f>IF('Classe CI'!$B32="","",N('Classe CI'!L32))</f>
        <v/>
      </c>
      <c r="P192" s="51" t="str">
        <f>IF('Classe CI'!$B32="","",N('Classe CI'!M32))</f>
        <v/>
      </c>
      <c r="Q192" s="21" t="str">
        <f>IF('Classe CI'!$B32="","",IF('Classe CI'!Q32="","",'Classe CI'!Q32))</f>
        <v/>
      </c>
      <c r="R192" s="51" t="str">
        <f>IF('Classe CI'!$B32="","",N('Classe CI'!N32))</f>
        <v/>
      </c>
      <c r="S192" s="51" t="str">
        <f>IF('Classe CI'!$B32="","",N('Classe CI'!O32))</f>
        <v/>
      </c>
      <c r="T192" s="51" t="str">
        <f>IF('Classe CI'!$B32="","",N('Classe CI'!P32))</f>
        <v/>
      </c>
    </row>
    <row r="193">
      <c r="A193" s="16" t="str">
        <f>IF('Classe CI'!$B33="","",IF('Classe CI'!A33="","",'Classe CI'!A33))</f>
        <v/>
      </c>
      <c r="B193" s="16" t="str">
        <f>IF('Classe CI'!$B33="","",IF('Classe CI'!B33="","",'Classe CI'!B33))</f>
        <v/>
      </c>
      <c r="C193" s="16" t="str">
        <f>IF('Classe CI'!$B33="","",IF('Classe CI'!C33="","",'Classe CI'!C33))</f>
        <v/>
      </c>
      <c r="D193" s="16" t="str">
        <f>IF($B193="","",C193&amp;" "&amp;B193&amp;" - "&amp;E193)</f>
        <v/>
      </c>
      <c r="E193" s="17" t="str">
        <f>IF($B193="","",Paramètres!$A$17)</f>
        <v/>
      </c>
      <c r="F193" s="17" t="str">
        <f>IF($B193="","",Paramètres!$B$17)</f>
        <v/>
      </c>
      <c r="G193" s="17" t="str">
        <f>IF('Classe CI'!$B33="","",IF('Classe CI'!D33="","",'Classe CI'!D33))</f>
        <v/>
      </c>
      <c r="H193" s="78" t="str">
        <f>IF('Classe CI'!$B33="","",IF('Classe CI'!E33="","",'Classe CI'!E33))</f>
        <v/>
      </c>
      <c r="I193" s="16" t="str">
        <f>IF('Classe CI'!$B33="","",IF('Classe CI'!F33="","",'Classe CI'!F33))</f>
        <v/>
      </c>
      <c r="J193" s="16" t="str">
        <f>IF('Classe CI'!$B33="","",IF('Classe CI'!G33="","",'Classe CI'!G33))</f>
        <v/>
      </c>
      <c r="K193" s="18" t="str">
        <f>IF('Classe CI'!$B33="","",N('Classe CI'!H33))</f>
        <v/>
      </c>
      <c r="L193" s="18" t="str">
        <f>IF('Classe CI'!$B33="","",N('Classe CI'!I33))</f>
        <v/>
      </c>
      <c r="M193" s="18" t="str">
        <f>IF('Classe CI'!$B33="","",N('Classe CI'!J33))</f>
        <v/>
      </c>
      <c r="N193" s="18" t="str">
        <f>IF('Classe CI'!$B33="","",N('Classe CI'!K33))</f>
        <v/>
      </c>
      <c r="O193" s="18" t="str">
        <f>IF('Classe CI'!$B33="","",N('Classe CI'!L33))</f>
        <v/>
      </c>
      <c r="P193" s="18" t="str">
        <f>IF('Classe CI'!$B33="","",N('Classe CI'!M33))</f>
        <v/>
      </c>
      <c r="Q193" s="17" t="str">
        <f>IF('Classe CI'!$B33="","",IF('Classe CI'!Q33="","",'Classe CI'!Q33))</f>
        <v/>
      </c>
      <c r="R193" s="18" t="str">
        <f>IF('Classe CI'!$B33="","",N('Classe CI'!N33))</f>
        <v/>
      </c>
      <c r="S193" s="18" t="str">
        <f>IF('Classe CI'!$B33="","",N('Classe CI'!O33))</f>
        <v/>
      </c>
      <c r="T193" s="18" t="str">
        <f>IF('Classe CI'!$B33="","",N('Classe CI'!P33))</f>
        <v/>
      </c>
    </row>
    <row r="194">
      <c r="A194" s="20" t="str">
        <f>IF('Classe CI'!$B34="","",IF('Classe CI'!A34="","",'Classe CI'!A34))</f>
        <v/>
      </c>
      <c r="B194" s="20" t="str">
        <f>IF('Classe CI'!$B34="","",IF('Classe CI'!B34="","",'Classe CI'!B34))</f>
        <v/>
      </c>
      <c r="C194" s="20" t="str">
        <f>IF('Classe CI'!$B34="","",IF('Classe CI'!C34="","",'Classe CI'!C34))</f>
        <v/>
      </c>
      <c r="D194" s="20" t="str">
        <f>IF($B194="","",C194&amp;" "&amp;B194&amp;" - "&amp;E194)</f>
        <v/>
      </c>
      <c r="E194" s="21" t="str">
        <f>IF($B194="","",Paramètres!$A$17)</f>
        <v/>
      </c>
      <c r="F194" s="21" t="str">
        <f>IF($B194="","",Paramètres!$B$17)</f>
        <v/>
      </c>
      <c r="G194" s="21" t="str">
        <f>IF('Classe CI'!$B34="","",IF('Classe CI'!D34="","",'Classe CI'!D34))</f>
        <v/>
      </c>
      <c r="H194" s="77" t="str">
        <f>IF('Classe CI'!$B34="","",IF('Classe CI'!E34="","",'Classe CI'!E34))</f>
        <v/>
      </c>
      <c r="I194" s="20" t="str">
        <f>IF('Classe CI'!$B34="","",IF('Classe CI'!F34="","",'Classe CI'!F34))</f>
        <v/>
      </c>
      <c r="J194" s="20" t="str">
        <f>IF('Classe CI'!$B34="","",IF('Classe CI'!G34="","",'Classe CI'!G34))</f>
        <v/>
      </c>
      <c r="K194" s="51" t="str">
        <f>IF('Classe CI'!$B34="","",N('Classe CI'!H34))</f>
        <v/>
      </c>
      <c r="L194" s="51" t="str">
        <f>IF('Classe CI'!$B34="","",N('Classe CI'!I34))</f>
        <v/>
      </c>
      <c r="M194" s="51" t="str">
        <f>IF('Classe CI'!$B34="","",N('Classe CI'!J34))</f>
        <v/>
      </c>
      <c r="N194" s="51" t="str">
        <f>IF('Classe CI'!$B34="","",N('Classe CI'!K34))</f>
        <v/>
      </c>
      <c r="O194" s="51" t="str">
        <f>IF('Classe CI'!$B34="","",N('Classe CI'!L34))</f>
        <v/>
      </c>
      <c r="P194" s="51" t="str">
        <f>IF('Classe CI'!$B34="","",N('Classe CI'!M34))</f>
        <v/>
      </c>
      <c r="Q194" s="21" t="str">
        <f>IF('Classe CI'!$B34="","",IF('Classe CI'!Q34="","",'Classe CI'!Q34))</f>
        <v/>
      </c>
      <c r="R194" s="51" t="str">
        <f>IF('Classe CI'!$B34="","",N('Classe CI'!N34))</f>
        <v/>
      </c>
      <c r="S194" s="51" t="str">
        <f>IF('Classe CI'!$B34="","",N('Classe CI'!O34))</f>
        <v/>
      </c>
      <c r="T194" s="51" t="str">
        <f>IF('Classe CI'!$B34="","",N('Classe CI'!P34))</f>
        <v/>
      </c>
    </row>
    <row r="195">
      <c r="A195" s="16" t="str">
        <f>IF('Classe CI'!$B35="","",IF('Classe CI'!A35="","",'Classe CI'!A35))</f>
        <v/>
      </c>
      <c r="B195" s="16" t="str">
        <f>IF('Classe CI'!$B35="","",IF('Classe CI'!B35="","",'Classe CI'!B35))</f>
        <v/>
      </c>
      <c r="C195" s="16" t="str">
        <f>IF('Classe CI'!$B35="","",IF('Classe CI'!C35="","",'Classe CI'!C35))</f>
        <v/>
      </c>
      <c r="D195" s="16" t="str">
        <f>IF($B195="","",C195&amp;" "&amp;B195&amp;" - "&amp;E195)</f>
        <v/>
      </c>
      <c r="E195" s="17" t="str">
        <f>IF($B195="","",Paramètres!$A$17)</f>
        <v/>
      </c>
      <c r="F195" s="17" t="str">
        <f>IF($B195="","",Paramètres!$B$17)</f>
        <v/>
      </c>
      <c r="G195" s="17" t="str">
        <f>IF('Classe CI'!$B35="","",IF('Classe CI'!D35="","",'Classe CI'!D35))</f>
        <v/>
      </c>
      <c r="H195" s="78" t="str">
        <f>IF('Classe CI'!$B35="","",IF('Classe CI'!E35="","",'Classe CI'!E35))</f>
        <v/>
      </c>
      <c r="I195" s="16" t="str">
        <f>IF('Classe CI'!$B35="","",IF('Classe CI'!F35="","",'Classe CI'!F35))</f>
        <v/>
      </c>
      <c r="J195" s="16" t="str">
        <f>IF('Classe CI'!$B35="","",IF('Classe CI'!G35="","",'Classe CI'!G35))</f>
        <v/>
      </c>
      <c r="K195" s="18" t="str">
        <f>IF('Classe CI'!$B35="","",N('Classe CI'!H35))</f>
        <v/>
      </c>
      <c r="L195" s="18" t="str">
        <f>IF('Classe CI'!$B35="","",N('Classe CI'!I35))</f>
        <v/>
      </c>
      <c r="M195" s="18" t="str">
        <f>IF('Classe CI'!$B35="","",N('Classe CI'!J35))</f>
        <v/>
      </c>
      <c r="N195" s="18" t="str">
        <f>IF('Classe CI'!$B35="","",N('Classe CI'!K35))</f>
        <v/>
      </c>
      <c r="O195" s="18" t="str">
        <f>IF('Classe CI'!$B35="","",N('Classe CI'!L35))</f>
        <v/>
      </c>
      <c r="P195" s="18" t="str">
        <f>IF('Classe CI'!$B35="","",N('Classe CI'!M35))</f>
        <v/>
      </c>
      <c r="Q195" s="17" t="str">
        <f>IF('Classe CI'!$B35="","",IF('Classe CI'!Q35="","",'Classe CI'!Q35))</f>
        <v/>
      </c>
      <c r="R195" s="18" t="str">
        <f>IF('Classe CI'!$B35="","",N('Classe CI'!N35))</f>
        <v/>
      </c>
      <c r="S195" s="18" t="str">
        <f>IF('Classe CI'!$B35="","",N('Classe CI'!O35))</f>
        <v/>
      </c>
      <c r="T195" s="18" t="str">
        <f>IF('Classe CI'!$B35="","",N('Classe CI'!P35))</f>
        <v/>
      </c>
    </row>
    <row r="196">
      <c r="A196" s="20" t="str">
        <f>IF('Classe CI'!$B36="","",IF('Classe CI'!A36="","",'Classe CI'!A36))</f>
        <v/>
      </c>
      <c r="B196" s="20" t="str">
        <f>IF('Classe CI'!$B36="","",IF('Classe CI'!B36="","",'Classe CI'!B36))</f>
        <v/>
      </c>
      <c r="C196" s="20" t="str">
        <f>IF('Classe CI'!$B36="","",IF('Classe CI'!C36="","",'Classe CI'!C36))</f>
        <v/>
      </c>
      <c r="D196" s="20" t="str">
        <f>IF($B196="","",C196&amp;" "&amp;B196&amp;" - "&amp;E196)</f>
        <v/>
      </c>
      <c r="E196" s="21" t="str">
        <f>IF($B196="","",Paramètres!$A$17)</f>
        <v/>
      </c>
      <c r="F196" s="21" t="str">
        <f>IF($B196="","",Paramètres!$B$17)</f>
        <v/>
      </c>
      <c r="G196" s="21" t="str">
        <f>IF('Classe CI'!$B36="","",IF('Classe CI'!D36="","",'Classe CI'!D36))</f>
        <v/>
      </c>
      <c r="H196" s="77" t="str">
        <f>IF('Classe CI'!$B36="","",IF('Classe CI'!E36="","",'Classe CI'!E36))</f>
        <v/>
      </c>
      <c r="I196" s="20" t="str">
        <f>IF('Classe CI'!$B36="","",IF('Classe CI'!F36="","",'Classe CI'!F36))</f>
        <v/>
      </c>
      <c r="J196" s="20" t="str">
        <f>IF('Classe CI'!$B36="","",IF('Classe CI'!G36="","",'Classe CI'!G36))</f>
        <v/>
      </c>
      <c r="K196" s="51" t="str">
        <f>IF('Classe CI'!$B36="","",N('Classe CI'!H36))</f>
        <v/>
      </c>
      <c r="L196" s="51" t="str">
        <f>IF('Classe CI'!$B36="","",N('Classe CI'!I36))</f>
        <v/>
      </c>
      <c r="M196" s="51" t="str">
        <f>IF('Classe CI'!$B36="","",N('Classe CI'!J36))</f>
        <v/>
      </c>
      <c r="N196" s="51" t="str">
        <f>IF('Classe CI'!$B36="","",N('Classe CI'!K36))</f>
        <v/>
      </c>
      <c r="O196" s="51" t="str">
        <f>IF('Classe CI'!$B36="","",N('Classe CI'!L36))</f>
        <v/>
      </c>
      <c r="P196" s="51" t="str">
        <f>IF('Classe CI'!$B36="","",N('Classe CI'!M36))</f>
        <v/>
      </c>
      <c r="Q196" s="21" t="str">
        <f>IF('Classe CI'!$B36="","",IF('Classe CI'!Q36="","",'Classe CI'!Q36))</f>
        <v/>
      </c>
      <c r="R196" s="51" t="str">
        <f>IF('Classe CI'!$B36="","",N('Classe CI'!N36))</f>
        <v/>
      </c>
      <c r="S196" s="51" t="str">
        <f>IF('Classe CI'!$B36="","",N('Classe CI'!O36))</f>
        <v/>
      </c>
      <c r="T196" s="51" t="str">
        <f>IF('Classe CI'!$B36="","",N('Classe CI'!P36))</f>
        <v/>
      </c>
    </row>
    <row r="197">
      <c r="A197" s="16" t="str">
        <f>IF('Classe CI'!$B37="","",IF('Classe CI'!A37="","",'Classe CI'!A37))</f>
        <v/>
      </c>
      <c r="B197" s="16" t="str">
        <f>IF('Classe CI'!$B37="","",IF('Classe CI'!B37="","",'Classe CI'!B37))</f>
        <v/>
      </c>
      <c r="C197" s="16" t="str">
        <f>IF('Classe CI'!$B37="","",IF('Classe CI'!C37="","",'Classe CI'!C37))</f>
        <v/>
      </c>
      <c r="D197" s="16" t="str">
        <f>IF($B197="","",C197&amp;" "&amp;B197&amp;" - "&amp;E197)</f>
        <v/>
      </c>
      <c r="E197" s="17" t="str">
        <f>IF($B197="","",Paramètres!$A$17)</f>
        <v/>
      </c>
      <c r="F197" s="17" t="str">
        <f>IF($B197="","",Paramètres!$B$17)</f>
        <v/>
      </c>
      <c r="G197" s="17" t="str">
        <f>IF('Classe CI'!$B37="","",IF('Classe CI'!D37="","",'Classe CI'!D37))</f>
        <v/>
      </c>
      <c r="H197" s="78" t="str">
        <f>IF('Classe CI'!$B37="","",IF('Classe CI'!E37="","",'Classe CI'!E37))</f>
        <v/>
      </c>
      <c r="I197" s="16" t="str">
        <f>IF('Classe CI'!$B37="","",IF('Classe CI'!F37="","",'Classe CI'!F37))</f>
        <v/>
      </c>
      <c r="J197" s="16" t="str">
        <f>IF('Classe CI'!$B37="","",IF('Classe CI'!G37="","",'Classe CI'!G37))</f>
        <v/>
      </c>
      <c r="K197" s="18" t="str">
        <f>IF('Classe CI'!$B37="","",N('Classe CI'!H37))</f>
        <v/>
      </c>
      <c r="L197" s="18" t="str">
        <f>IF('Classe CI'!$B37="","",N('Classe CI'!I37))</f>
        <v/>
      </c>
      <c r="M197" s="18" t="str">
        <f>IF('Classe CI'!$B37="","",N('Classe CI'!J37))</f>
        <v/>
      </c>
      <c r="N197" s="18" t="str">
        <f>IF('Classe CI'!$B37="","",N('Classe CI'!K37))</f>
        <v/>
      </c>
      <c r="O197" s="18" t="str">
        <f>IF('Classe CI'!$B37="","",N('Classe CI'!L37))</f>
        <v/>
      </c>
      <c r="P197" s="18" t="str">
        <f>IF('Classe CI'!$B37="","",N('Classe CI'!M37))</f>
        <v/>
      </c>
      <c r="Q197" s="17" t="str">
        <f>IF('Classe CI'!$B37="","",IF('Classe CI'!Q37="","",'Classe CI'!Q37))</f>
        <v/>
      </c>
      <c r="R197" s="18" t="str">
        <f>IF('Classe CI'!$B37="","",N('Classe CI'!N37))</f>
        <v/>
      </c>
      <c r="S197" s="18" t="str">
        <f>IF('Classe CI'!$B37="","",N('Classe CI'!O37))</f>
        <v/>
      </c>
      <c r="T197" s="18" t="str">
        <f>IF('Classe CI'!$B37="","",N('Classe CI'!P37))</f>
        <v/>
      </c>
    </row>
    <row r="198">
      <c r="A198" s="20" t="str">
        <f>IF('Classe CI'!$B38="","",IF('Classe CI'!A38="","",'Classe CI'!A38))</f>
        <v/>
      </c>
      <c r="B198" s="20" t="str">
        <f>IF('Classe CI'!$B38="","",IF('Classe CI'!B38="","",'Classe CI'!B38))</f>
        <v/>
      </c>
      <c r="C198" s="20" t="str">
        <f>IF('Classe CI'!$B38="","",IF('Classe CI'!C38="","",'Classe CI'!C38))</f>
        <v/>
      </c>
      <c r="D198" s="20" t="str">
        <f>IF($B198="","",C198&amp;" "&amp;B198&amp;" - "&amp;E198)</f>
        <v/>
      </c>
      <c r="E198" s="21" t="str">
        <f>IF($B198="","",Paramètres!$A$17)</f>
        <v/>
      </c>
      <c r="F198" s="21" t="str">
        <f>IF($B198="","",Paramètres!$B$17)</f>
        <v/>
      </c>
      <c r="G198" s="21" t="str">
        <f>IF('Classe CI'!$B38="","",IF('Classe CI'!D38="","",'Classe CI'!D38))</f>
        <v/>
      </c>
      <c r="H198" s="77" t="str">
        <f>IF('Classe CI'!$B38="","",IF('Classe CI'!E38="","",'Classe CI'!E38))</f>
        <v/>
      </c>
      <c r="I198" s="20" t="str">
        <f>IF('Classe CI'!$B38="","",IF('Classe CI'!F38="","",'Classe CI'!F38))</f>
        <v/>
      </c>
      <c r="J198" s="20" t="str">
        <f>IF('Classe CI'!$B38="","",IF('Classe CI'!G38="","",'Classe CI'!G38))</f>
        <v/>
      </c>
      <c r="K198" s="51" t="str">
        <f>IF('Classe CI'!$B38="","",N('Classe CI'!H38))</f>
        <v/>
      </c>
      <c r="L198" s="51" t="str">
        <f>IF('Classe CI'!$B38="","",N('Classe CI'!I38))</f>
        <v/>
      </c>
      <c r="M198" s="51" t="str">
        <f>IF('Classe CI'!$B38="","",N('Classe CI'!J38))</f>
        <v/>
      </c>
      <c r="N198" s="51" t="str">
        <f>IF('Classe CI'!$B38="","",N('Classe CI'!K38))</f>
        <v/>
      </c>
      <c r="O198" s="51" t="str">
        <f>IF('Classe CI'!$B38="","",N('Classe CI'!L38))</f>
        <v/>
      </c>
      <c r="P198" s="51" t="str">
        <f>IF('Classe CI'!$B38="","",N('Classe CI'!M38))</f>
        <v/>
      </c>
      <c r="Q198" s="21" t="str">
        <f>IF('Classe CI'!$B38="","",IF('Classe CI'!Q38="","",'Classe CI'!Q38))</f>
        <v/>
      </c>
      <c r="R198" s="51" t="str">
        <f>IF('Classe CI'!$B38="","",N('Classe CI'!N38))</f>
        <v/>
      </c>
      <c r="S198" s="51" t="str">
        <f>IF('Classe CI'!$B38="","",N('Classe CI'!O38))</f>
        <v/>
      </c>
      <c r="T198" s="51" t="str">
        <f>IF('Classe CI'!$B38="","",N('Classe CI'!P38))</f>
        <v/>
      </c>
    </row>
    <row r="199">
      <c r="A199" s="16" t="str">
        <f>IF('Classe CI'!$B39="","",IF('Classe CI'!A39="","",'Classe CI'!A39))</f>
        <v/>
      </c>
      <c r="B199" s="16" t="str">
        <f>IF('Classe CI'!$B39="","",IF('Classe CI'!B39="","",'Classe CI'!B39))</f>
        <v/>
      </c>
      <c r="C199" s="16" t="str">
        <f>IF('Classe CI'!$B39="","",IF('Classe CI'!C39="","",'Classe CI'!C39))</f>
        <v/>
      </c>
      <c r="D199" s="16" t="str">
        <f>IF($B199="","",C199&amp;" "&amp;B199&amp;" - "&amp;E199)</f>
        <v/>
      </c>
      <c r="E199" s="17" t="str">
        <f>IF($B199="","",Paramètres!$A$17)</f>
        <v/>
      </c>
      <c r="F199" s="17" t="str">
        <f>IF($B199="","",Paramètres!$B$17)</f>
        <v/>
      </c>
      <c r="G199" s="17" t="str">
        <f>IF('Classe CI'!$B39="","",IF('Classe CI'!D39="","",'Classe CI'!D39))</f>
        <v/>
      </c>
      <c r="H199" s="78" t="str">
        <f>IF('Classe CI'!$B39="","",IF('Classe CI'!E39="","",'Classe CI'!E39))</f>
        <v/>
      </c>
      <c r="I199" s="16" t="str">
        <f>IF('Classe CI'!$B39="","",IF('Classe CI'!F39="","",'Classe CI'!F39))</f>
        <v/>
      </c>
      <c r="J199" s="16" t="str">
        <f>IF('Classe CI'!$B39="","",IF('Classe CI'!G39="","",'Classe CI'!G39))</f>
        <v/>
      </c>
      <c r="K199" s="18" t="str">
        <f>IF('Classe CI'!$B39="","",N('Classe CI'!H39))</f>
        <v/>
      </c>
      <c r="L199" s="18" t="str">
        <f>IF('Classe CI'!$B39="","",N('Classe CI'!I39))</f>
        <v/>
      </c>
      <c r="M199" s="18" t="str">
        <f>IF('Classe CI'!$B39="","",N('Classe CI'!J39))</f>
        <v/>
      </c>
      <c r="N199" s="18" t="str">
        <f>IF('Classe CI'!$B39="","",N('Classe CI'!K39))</f>
        <v/>
      </c>
      <c r="O199" s="18" t="str">
        <f>IF('Classe CI'!$B39="","",N('Classe CI'!L39))</f>
        <v/>
      </c>
      <c r="P199" s="18" t="str">
        <f>IF('Classe CI'!$B39="","",N('Classe CI'!M39))</f>
        <v/>
      </c>
      <c r="Q199" s="17" t="str">
        <f>IF('Classe CI'!$B39="","",IF('Classe CI'!Q39="","",'Classe CI'!Q39))</f>
        <v/>
      </c>
      <c r="R199" s="18" t="str">
        <f>IF('Classe CI'!$B39="","",N('Classe CI'!N39))</f>
        <v/>
      </c>
      <c r="S199" s="18" t="str">
        <f>IF('Classe CI'!$B39="","",N('Classe CI'!O39))</f>
        <v/>
      </c>
      <c r="T199" s="18" t="str">
        <f>IF('Classe CI'!$B39="","",N('Classe CI'!P39))</f>
        <v/>
      </c>
    </row>
    <row r="200">
      <c r="A200" s="20" t="str">
        <f>IF('Classe CI'!$B40="","",IF('Classe CI'!A40="","",'Classe CI'!A40))</f>
        <v/>
      </c>
      <c r="B200" s="20" t="str">
        <f>IF('Classe CI'!$B40="","",IF('Classe CI'!B40="","",'Classe CI'!B40))</f>
        <v/>
      </c>
      <c r="C200" s="20" t="str">
        <f>IF('Classe CI'!$B40="","",IF('Classe CI'!C40="","",'Classe CI'!C40))</f>
        <v/>
      </c>
      <c r="D200" s="20" t="str">
        <f>IF($B200="","",C200&amp;" "&amp;B200&amp;" - "&amp;E200)</f>
        <v/>
      </c>
      <c r="E200" s="21" t="str">
        <f>IF($B200="","",Paramètres!$A$17)</f>
        <v/>
      </c>
      <c r="F200" s="21" t="str">
        <f>IF($B200="","",Paramètres!$B$17)</f>
        <v/>
      </c>
      <c r="G200" s="21" t="str">
        <f>IF('Classe CI'!$B40="","",IF('Classe CI'!D40="","",'Classe CI'!D40))</f>
        <v/>
      </c>
      <c r="H200" s="77" t="str">
        <f>IF('Classe CI'!$B40="","",IF('Classe CI'!E40="","",'Classe CI'!E40))</f>
        <v/>
      </c>
      <c r="I200" s="20" t="str">
        <f>IF('Classe CI'!$B40="","",IF('Classe CI'!F40="","",'Classe CI'!F40))</f>
        <v/>
      </c>
      <c r="J200" s="20" t="str">
        <f>IF('Classe CI'!$B40="","",IF('Classe CI'!G40="","",'Classe CI'!G40))</f>
        <v/>
      </c>
      <c r="K200" s="51" t="str">
        <f>IF('Classe CI'!$B40="","",N('Classe CI'!H40))</f>
        <v/>
      </c>
      <c r="L200" s="51" t="str">
        <f>IF('Classe CI'!$B40="","",N('Classe CI'!I40))</f>
        <v/>
      </c>
      <c r="M200" s="51" t="str">
        <f>IF('Classe CI'!$B40="","",N('Classe CI'!J40))</f>
        <v/>
      </c>
      <c r="N200" s="51" t="str">
        <f>IF('Classe CI'!$B40="","",N('Classe CI'!K40))</f>
        <v/>
      </c>
      <c r="O200" s="51" t="str">
        <f>IF('Classe CI'!$B40="","",N('Classe CI'!L40))</f>
        <v/>
      </c>
      <c r="P200" s="51" t="str">
        <f>IF('Classe CI'!$B40="","",N('Classe CI'!M40))</f>
        <v/>
      </c>
      <c r="Q200" s="21" t="str">
        <f>IF('Classe CI'!$B40="","",IF('Classe CI'!Q40="","",'Classe CI'!Q40))</f>
        <v/>
      </c>
      <c r="R200" s="51" t="str">
        <f>IF('Classe CI'!$B40="","",N('Classe CI'!N40))</f>
        <v/>
      </c>
      <c r="S200" s="51" t="str">
        <f>IF('Classe CI'!$B40="","",N('Classe CI'!O40))</f>
        <v/>
      </c>
      <c r="T200" s="51" t="str">
        <f>IF('Classe CI'!$B40="","",N('Classe CI'!P40))</f>
        <v/>
      </c>
    </row>
    <row r="201">
      <c r="A201" s="16" t="str">
        <f>IF('Classe CI'!$B41="","",IF('Classe CI'!A41="","",'Classe CI'!A41))</f>
        <v/>
      </c>
      <c r="B201" s="16" t="str">
        <f>IF('Classe CI'!$B41="","",IF('Classe CI'!B41="","",'Classe CI'!B41))</f>
        <v/>
      </c>
      <c r="C201" s="16" t="str">
        <f>IF('Classe CI'!$B41="","",IF('Classe CI'!C41="","",'Classe CI'!C41))</f>
        <v/>
      </c>
      <c r="D201" s="16" t="str">
        <f>IF($B201="","",C201&amp;" "&amp;B201&amp;" - "&amp;E201)</f>
        <v/>
      </c>
      <c r="E201" s="17" t="str">
        <f>IF($B201="","",Paramètres!$A$17)</f>
        <v/>
      </c>
      <c r="F201" s="17" t="str">
        <f>IF($B201="","",Paramètres!$B$17)</f>
        <v/>
      </c>
      <c r="G201" s="17" t="str">
        <f>IF('Classe CI'!$B41="","",IF('Classe CI'!D41="","",'Classe CI'!D41))</f>
        <v/>
      </c>
      <c r="H201" s="78" t="str">
        <f>IF('Classe CI'!$B41="","",IF('Classe CI'!E41="","",'Classe CI'!E41))</f>
        <v/>
      </c>
      <c r="I201" s="16" t="str">
        <f>IF('Classe CI'!$B41="","",IF('Classe CI'!F41="","",'Classe CI'!F41))</f>
        <v/>
      </c>
      <c r="J201" s="16" t="str">
        <f>IF('Classe CI'!$B41="","",IF('Classe CI'!G41="","",'Classe CI'!G41))</f>
        <v/>
      </c>
      <c r="K201" s="18" t="str">
        <f>IF('Classe CI'!$B41="","",N('Classe CI'!H41))</f>
        <v/>
      </c>
      <c r="L201" s="18" t="str">
        <f>IF('Classe CI'!$B41="","",N('Classe CI'!I41))</f>
        <v/>
      </c>
      <c r="M201" s="18" t="str">
        <f>IF('Classe CI'!$B41="","",N('Classe CI'!J41))</f>
        <v/>
      </c>
      <c r="N201" s="18" t="str">
        <f>IF('Classe CI'!$B41="","",N('Classe CI'!K41))</f>
        <v/>
      </c>
      <c r="O201" s="18" t="str">
        <f>IF('Classe CI'!$B41="","",N('Classe CI'!L41))</f>
        <v/>
      </c>
      <c r="P201" s="18" t="str">
        <f>IF('Classe CI'!$B41="","",N('Classe CI'!M41))</f>
        <v/>
      </c>
      <c r="Q201" s="17" t="str">
        <f>IF('Classe CI'!$B41="","",IF('Classe CI'!Q41="","",'Classe CI'!Q41))</f>
        <v/>
      </c>
      <c r="R201" s="18" t="str">
        <f>IF('Classe CI'!$B41="","",N('Classe CI'!N41))</f>
        <v/>
      </c>
      <c r="S201" s="18" t="str">
        <f>IF('Classe CI'!$B41="","",N('Classe CI'!O41))</f>
        <v/>
      </c>
      <c r="T201" s="18" t="str">
        <f>IF('Classe CI'!$B41="","",N('Classe CI'!P41))</f>
        <v/>
      </c>
    </row>
    <row r="202">
      <c r="A202" s="20" t="str">
        <f>IF('Classe CI'!$B42="","",IF('Classe CI'!A42="","",'Classe CI'!A42))</f>
        <v/>
      </c>
      <c r="B202" s="20" t="str">
        <f>IF('Classe CI'!$B42="","",IF('Classe CI'!B42="","",'Classe CI'!B42))</f>
        <v/>
      </c>
      <c r="C202" s="20" t="str">
        <f>IF('Classe CI'!$B42="","",IF('Classe CI'!C42="","",'Classe CI'!C42))</f>
        <v/>
      </c>
      <c r="D202" s="20" t="str">
        <f>IF($B202="","",C202&amp;" "&amp;B202&amp;" - "&amp;E202)</f>
        <v/>
      </c>
      <c r="E202" s="21" t="str">
        <f>IF($B202="","",Paramètres!$A$17)</f>
        <v/>
      </c>
      <c r="F202" s="21" t="str">
        <f>IF($B202="","",Paramètres!$B$17)</f>
        <v/>
      </c>
      <c r="G202" s="21" t="str">
        <f>IF('Classe CI'!$B42="","",IF('Classe CI'!D42="","",'Classe CI'!D42))</f>
        <v/>
      </c>
      <c r="H202" s="77" t="str">
        <f>IF('Classe CI'!$B42="","",IF('Classe CI'!E42="","",'Classe CI'!E42))</f>
        <v/>
      </c>
      <c r="I202" s="20" t="str">
        <f>IF('Classe CI'!$B42="","",IF('Classe CI'!F42="","",'Classe CI'!F42))</f>
        <v/>
      </c>
      <c r="J202" s="20" t="str">
        <f>IF('Classe CI'!$B42="","",IF('Classe CI'!G42="","",'Classe CI'!G42))</f>
        <v/>
      </c>
      <c r="K202" s="51" t="str">
        <f>IF('Classe CI'!$B42="","",N('Classe CI'!H42))</f>
        <v/>
      </c>
      <c r="L202" s="51" t="str">
        <f>IF('Classe CI'!$B42="","",N('Classe CI'!I42))</f>
        <v/>
      </c>
      <c r="M202" s="51" t="str">
        <f>IF('Classe CI'!$B42="","",N('Classe CI'!J42))</f>
        <v/>
      </c>
      <c r="N202" s="51" t="str">
        <f>IF('Classe CI'!$B42="","",N('Classe CI'!K42))</f>
        <v/>
      </c>
      <c r="O202" s="51" t="str">
        <f>IF('Classe CI'!$B42="","",N('Classe CI'!L42))</f>
        <v/>
      </c>
      <c r="P202" s="51" t="str">
        <f>IF('Classe CI'!$B42="","",N('Classe CI'!M42))</f>
        <v/>
      </c>
      <c r="Q202" s="21" t="str">
        <f>IF('Classe CI'!$B42="","",IF('Classe CI'!Q42="","",'Classe CI'!Q42))</f>
        <v/>
      </c>
      <c r="R202" s="51" t="str">
        <f>IF('Classe CI'!$B42="","",N('Classe CI'!N42))</f>
        <v/>
      </c>
      <c r="S202" s="51" t="str">
        <f>IF('Classe CI'!$B42="","",N('Classe CI'!O42))</f>
        <v/>
      </c>
      <c r="T202" s="51" t="str">
        <f>IF('Classe CI'!$B42="","",N('Classe CI'!P42))</f>
        <v/>
      </c>
    </row>
    <row r="203">
      <c r="A203" s="16" t="str">
        <f>IF('Classe CI'!$B43="","",IF('Classe CI'!A43="","",'Classe CI'!A43))</f>
        <v/>
      </c>
      <c r="B203" s="16" t="str">
        <f>IF('Classe CI'!$B43="","",IF('Classe CI'!B43="","",'Classe CI'!B43))</f>
        <v/>
      </c>
      <c r="C203" s="16" t="str">
        <f>IF('Classe CI'!$B43="","",IF('Classe CI'!C43="","",'Classe CI'!C43))</f>
        <v/>
      </c>
      <c r="D203" s="16" t="str">
        <f>IF($B203="","",C203&amp;" "&amp;B203&amp;" - "&amp;E203)</f>
        <v/>
      </c>
      <c r="E203" s="17" t="str">
        <f>IF($B203="","",Paramètres!$A$17)</f>
        <v/>
      </c>
      <c r="F203" s="17" t="str">
        <f>IF($B203="","",Paramètres!$B$17)</f>
        <v/>
      </c>
      <c r="G203" s="17" t="str">
        <f>IF('Classe CI'!$B43="","",IF('Classe CI'!D43="","",'Classe CI'!D43))</f>
        <v/>
      </c>
      <c r="H203" s="78" t="str">
        <f>IF('Classe CI'!$B43="","",IF('Classe CI'!E43="","",'Classe CI'!E43))</f>
        <v/>
      </c>
      <c r="I203" s="16" t="str">
        <f>IF('Classe CI'!$B43="","",IF('Classe CI'!F43="","",'Classe CI'!F43))</f>
        <v/>
      </c>
      <c r="J203" s="16" t="str">
        <f>IF('Classe CI'!$B43="","",IF('Classe CI'!G43="","",'Classe CI'!G43))</f>
        <v/>
      </c>
      <c r="K203" s="18" t="str">
        <f>IF('Classe CI'!$B43="","",N('Classe CI'!H43))</f>
        <v/>
      </c>
      <c r="L203" s="18" t="str">
        <f>IF('Classe CI'!$B43="","",N('Classe CI'!I43))</f>
        <v/>
      </c>
      <c r="M203" s="18" t="str">
        <f>IF('Classe CI'!$B43="","",N('Classe CI'!J43))</f>
        <v/>
      </c>
      <c r="N203" s="18" t="str">
        <f>IF('Classe CI'!$B43="","",N('Classe CI'!K43))</f>
        <v/>
      </c>
      <c r="O203" s="18" t="str">
        <f>IF('Classe CI'!$B43="","",N('Classe CI'!L43))</f>
        <v/>
      </c>
      <c r="P203" s="18" t="str">
        <f>IF('Classe CI'!$B43="","",N('Classe CI'!M43))</f>
        <v/>
      </c>
      <c r="Q203" s="17" t="str">
        <f>IF('Classe CI'!$B43="","",IF('Classe CI'!Q43="","",'Classe CI'!Q43))</f>
        <v/>
      </c>
      <c r="R203" s="18" t="str">
        <f>IF('Classe CI'!$B43="","",N('Classe CI'!N43))</f>
        <v/>
      </c>
      <c r="S203" s="18" t="str">
        <f>IF('Classe CI'!$B43="","",N('Classe CI'!O43))</f>
        <v/>
      </c>
      <c r="T203" s="18" t="str">
        <f>IF('Classe CI'!$B43="","",N('Classe CI'!P43))</f>
        <v/>
      </c>
    </row>
    <row r="204">
      <c r="A204" s="20" t="str">
        <f>IF('Classe CI'!$B44="","",IF('Classe CI'!A44="","",'Classe CI'!A44))</f>
        <v/>
      </c>
      <c r="B204" s="20" t="str">
        <f>IF('Classe CI'!$B44="","",IF('Classe CI'!B44="","",'Classe CI'!B44))</f>
        <v/>
      </c>
      <c r="C204" s="20" t="str">
        <f>IF('Classe CI'!$B44="","",IF('Classe CI'!C44="","",'Classe CI'!C44))</f>
        <v/>
      </c>
      <c r="D204" s="20" t="str">
        <f>IF($B204="","",C204&amp;" "&amp;B204&amp;" - "&amp;E204)</f>
        <v/>
      </c>
      <c r="E204" s="21" t="str">
        <f>IF($B204="","",Paramètres!$A$17)</f>
        <v/>
      </c>
      <c r="F204" s="21" t="str">
        <f>IF($B204="","",Paramètres!$B$17)</f>
        <v/>
      </c>
      <c r="G204" s="21" t="str">
        <f>IF('Classe CI'!$B44="","",IF('Classe CI'!D44="","",'Classe CI'!D44))</f>
        <v/>
      </c>
      <c r="H204" s="77" t="str">
        <f>IF('Classe CI'!$B44="","",IF('Classe CI'!E44="","",'Classe CI'!E44))</f>
        <v/>
      </c>
      <c r="I204" s="20" t="str">
        <f>IF('Classe CI'!$B44="","",IF('Classe CI'!F44="","",'Classe CI'!F44))</f>
        <v/>
      </c>
      <c r="J204" s="20" t="str">
        <f>IF('Classe CI'!$B44="","",IF('Classe CI'!G44="","",'Classe CI'!G44))</f>
        <v/>
      </c>
      <c r="K204" s="51" t="str">
        <f>IF('Classe CI'!$B44="","",N('Classe CI'!H44))</f>
        <v/>
      </c>
      <c r="L204" s="51" t="str">
        <f>IF('Classe CI'!$B44="","",N('Classe CI'!I44))</f>
        <v/>
      </c>
      <c r="M204" s="51" t="str">
        <f>IF('Classe CI'!$B44="","",N('Classe CI'!J44))</f>
        <v/>
      </c>
      <c r="N204" s="51" t="str">
        <f>IF('Classe CI'!$B44="","",N('Classe CI'!K44))</f>
        <v/>
      </c>
      <c r="O204" s="51" t="str">
        <f>IF('Classe CI'!$B44="","",N('Classe CI'!L44))</f>
        <v/>
      </c>
      <c r="P204" s="51" t="str">
        <f>IF('Classe CI'!$B44="","",N('Classe CI'!M44))</f>
        <v/>
      </c>
      <c r="Q204" s="21" t="str">
        <f>IF('Classe CI'!$B44="","",IF('Classe CI'!Q44="","",'Classe CI'!Q44))</f>
        <v/>
      </c>
      <c r="R204" s="51" t="str">
        <f>IF('Classe CI'!$B44="","",N('Classe CI'!N44))</f>
        <v/>
      </c>
      <c r="S204" s="51" t="str">
        <f>IF('Classe CI'!$B44="","",N('Classe CI'!O44))</f>
        <v/>
      </c>
      <c r="T204" s="51" t="str">
        <f>IF('Classe CI'!$B44="","",N('Classe CI'!P44))</f>
        <v/>
      </c>
    </row>
    <row r="205">
      <c r="A205" s="16" t="str">
        <f>IF('Classe CI'!$B45="","",IF('Classe CI'!A45="","",'Classe CI'!A45))</f>
        <v/>
      </c>
      <c r="B205" s="16" t="str">
        <f>IF('Classe CI'!$B45="","",IF('Classe CI'!B45="","",'Classe CI'!B45))</f>
        <v/>
      </c>
      <c r="C205" s="16" t="str">
        <f>IF('Classe CI'!$B45="","",IF('Classe CI'!C45="","",'Classe CI'!C45))</f>
        <v/>
      </c>
      <c r="D205" s="16" t="str">
        <f>IF($B205="","",C205&amp;" "&amp;B205&amp;" - "&amp;E205)</f>
        <v/>
      </c>
      <c r="E205" s="17" t="str">
        <f>IF($B205="","",Paramètres!$A$17)</f>
        <v/>
      </c>
      <c r="F205" s="17" t="str">
        <f>IF($B205="","",Paramètres!$B$17)</f>
        <v/>
      </c>
      <c r="G205" s="17" t="str">
        <f>IF('Classe CI'!$B45="","",IF('Classe CI'!D45="","",'Classe CI'!D45))</f>
        <v/>
      </c>
      <c r="H205" s="78" t="str">
        <f>IF('Classe CI'!$B45="","",IF('Classe CI'!E45="","",'Classe CI'!E45))</f>
        <v/>
      </c>
      <c r="I205" s="16" t="str">
        <f>IF('Classe CI'!$B45="","",IF('Classe CI'!F45="","",'Classe CI'!F45))</f>
        <v/>
      </c>
      <c r="J205" s="16" t="str">
        <f>IF('Classe CI'!$B45="","",IF('Classe CI'!G45="","",'Classe CI'!G45))</f>
        <v/>
      </c>
      <c r="K205" s="18" t="str">
        <f>IF('Classe CI'!$B45="","",N('Classe CI'!H45))</f>
        <v/>
      </c>
      <c r="L205" s="18" t="str">
        <f>IF('Classe CI'!$B45="","",N('Classe CI'!I45))</f>
        <v/>
      </c>
      <c r="M205" s="18" t="str">
        <f>IF('Classe CI'!$B45="","",N('Classe CI'!J45))</f>
        <v/>
      </c>
      <c r="N205" s="18" t="str">
        <f>IF('Classe CI'!$B45="","",N('Classe CI'!K45))</f>
        <v/>
      </c>
      <c r="O205" s="18" t="str">
        <f>IF('Classe CI'!$B45="","",N('Classe CI'!L45))</f>
        <v/>
      </c>
      <c r="P205" s="18" t="str">
        <f>IF('Classe CI'!$B45="","",N('Classe CI'!M45))</f>
        <v/>
      </c>
      <c r="Q205" s="17" t="str">
        <f>IF('Classe CI'!$B45="","",IF('Classe CI'!Q45="","",'Classe CI'!Q45))</f>
        <v/>
      </c>
      <c r="R205" s="18" t="str">
        <f>IF('Classe CI'!$B45="","",N('Classe CI'!N45))</f>
        <v/>
      </c>
      <c r="S205" s="18" t="str">
        <f>IF('Classe CI'!$B45="","",N('Classe CI'!O45))</f>
        <v/>
      </c>
      <c r="T205" s="18" t="str">
        <f>IF('Classe CI'!$B45="","",N('Classe CI'!P45))</f>
        <v/>
      </c>
    </row>
    <row r="206">
      <c r="A206" s="20" t="str">
        <f>IF('Classe CI'!$B46="","",IF('Classe CI'!A46="","",'Classe CI'!A46))</f>
        <v/>
      </c>
      <c r="B206" s="20" t="str">
        <f>IF('Classe CI'!$B46="","",IF('Classe CI'!B46="","",'Classe CI'!B46))</f>
        <v/>
      </c>
      <c r="C206" s="20" t="str">
        <f>IF('Classe CI'!$B46="","",IF('Classe CI'!C46="","",'Classe CI'!C46))</f>
        <v/>
      </c>
      <c r="D206" s="20" t="str">
        <f>IF($B206="","",C206&amp;" "&amp;B206&amp;" - "&amp;E206)</f>
        <v/>
      </c>
      <c r="E206" s="21" t="str">
        <f>IF($B206="","",Paramètres!$A$17)</f>
        <v/>
      </c>
      <c r="F206" s="21" t="str">
        <f>IF($B206="","",Paramètres!$B$17)</f>
        <v/>
      </c>
      <c r="G206" s="21" t="str">
        <f>IF('Classe CI'!$B46="","",IF('Classe CI'!D46="","",'Classe CI'!D46))</f>
        <v/>
      </c>
      <c r="H206" s="77" t="str">
        <f>IF('Classe CI'!$B46="","",IF('Classe CI'!E46="","",'Classe CI'!E46))</f>
        <v/>
      </c>
      <c r="I206" s="20" t="str">
        <f>IF('Classe CI'!$B46="","",IF('Classe CI'!F46="","",'Classe CI'!F46))</f>
        <v/>
      </c>
      <c r="J206" s="20" t="str">
        <f>IF('Classe CI'!$B46="","",IF('Classe CI'!G46="","",'Classe CI'!G46))</f>
        <v/>
      </c>
      <c r="K206" s="51" t="str">
        <f>IF('Classe CI'!$B46="","",N('Classe CI'!H46))</f>
        <v/>
      </c>
      <c r="L206" s="51" t="str">
        <f>IF('Classe CI'!$B46="","",N('Classe CI'!I46))</f>
        <v/>
      </c>
      <c r="M206" s="51" t="str">
        <f>IF('Classe CI'!$B46="","",N('Classe CI'!J46))</f>
        <v/>
      </c>
      <c r="N206" s="51" t="str">
        <f>IF('Classe CI'!$B46="","",N('Classe CI'!K46))</f>
        <v/>
      </c>
      <c r="O206" s="51" t="str">
        <f>IF('Classe CI'!$B46="","",N('Classe CI'!L46))</f>
        <v/>
      </c>
      <c r="P206" s="51" t="str">
        <f>IF('Classe CI'!$B46="","",N('Classe CI'!M46))</f>
        <v/>
      </c>
      <c r="Q206" s="21" t="str">
        <f>IF('Classe CI'!$B46="","",IF('Classe CI'!Q46="","",'Classe CI'!Q46))</f>
        <v/>
      </c>
      <c r="R206" s="51" t="str">
        <f>IF('Classe CI'!$B46="","",N('Classe CI'!N46))</f>
        <v/>
      </c>
      <c r="S206" s="51" t="str">
        <f>IF('Classe CI'!$B46="","",N('Classe CI'!O46))</f>
        <v/>
      </c>
      <c r="T206" s="51" t="str">
        <f>IF('Classe CI'!$B46="","",N('Classe CI'!P46))</f>
        <v/>
      </c>
    </row>
    <row r="207">
      <c r="A207" s="16" t="str">
        <f>IF('Classe CI'!$B47="","",IF('Classe CI'!A47="","",'Classe CI'!A47))</f>
        <v/>
      </c>
      <c r="B207" s="16" t="str">
        <f>IF('Classe CI'!$B47="","",IF('Classe CI'!B47="","",'Classe CI'!B47))</f>
        <v/>
      </c>
      <c r="C207" s="16" t="str">
        <f>IF('Classe CI'!$B47="","",IF('Classe CI'!C47="","",'Classe CI'!C47))</f>
        <v/>
      </c>
      <c r="D207" s="16" t="str">
        <f>IF($B207="","",C207&amp;" "&amp;B207&amp;" - "&amp;E207)</f>
        <v/>
      </c>
      <c r="E207" s="17" t="str">
        <f>IF($B207="","",Paramètres!$A$17)</f>
        <v/>
      </c>
      <c r="F207" s="17" t="str">
        <f>IF($B207="","",Paramètres!$B$17)</f>
        <v/>
      </c>
      <c r="G207" s="17" t="str">
        <f>IF('Classe CI'!$B47="","",IF('Classe CI'!D47="","",'Classe CI'!D47))</f>
        <v/>
      </c>
      <c r="H207" s="78" t="str">
        <f>IF('Classe CI'!$B47="","",IF('Classe CI'!E47="","",'Classe CI'!E47))</f>
        <v/>
      </c>
      <c r="I207" s="16" t="str">
        <f>IF('Classe CI'!$B47="","",IF('Classe CI'!F47="","",'Classe CI'!F47))</f>
        <v/>
      </c>
      <c r="J207" s="16" t="str">
        <f>IF('Classe CI'!$B47="","",IF('Classe CI'!G47="","",'Classe CI'!G47))</f>
        <v/>
      </c>
      <c r="K207" s="18" t="str">
        <f>IF('Classe CI'!$B47="","",N('Classe CI'!H47))</f>
        <v/>
      </c>
      <c r="L207" s="18" t="str">
        <f>IF('Classe CI'!$B47="","",N('Classe CI'!I47))</f>
        <v/>
      </c>
      <c r="M207" s="18" t="str">
        <f>IF('Classe CI'!$B47="","",N('Classe CI'!J47))</f>
        <v/>
      </c>
      <c r="N207" s="18" t="str">
        <f>IF('Classe CI'!$B47="","",N('Classe CI'!K47))</f>
        <v/>
      </c>
      <c r="O207" s="18" t="str">
        <f>IF('Classe CI'!$B47="","",N('Classe CI'!L47))</f>
        <v/>
      </c>
      <c r="P207" s="18" t="str">
        <f>IF('Classe CI'!$B47="","",N('Classe CI'!M47))</f>
        <v/>
      </c>
      <c r="Q207" s="17" t="str">
        <f>IF('Classe CI'!$B47="","",IF('Classe CI'!Q47="","",'Classe CI'!Q47))</f>
        <v/>
      </c>
      <c r="R207" s="18" t="str">
        <f>IF('Classe CI'!$B47="","",N('Classe CI'!N47))</f>
        <v/>
      </c>
      <c r="S207" s="18" t="str">
        <f>IF('Classe CI'!$B47="","",N('Classe CI'!O47))</f>
        <v/>
      </c>
      <c r="T207" s="18" t="str">
        <f>IF('Classe CI'!$B47="","",N('Classe CI'!P47))</f>
        <v/>
      </c>
    </row>
    <row r="208">
      <c r="A208" s="20" t="str">
        <f>IF('Classe CI'!$B48="","",IF('Classe CI'!A48="","",'Classe CI'!A48))</f>
        <v/>
      </c>
      <c r="B208" s="20" t="str">
        <f>IF('Classe CI'!$B48="","",IF('Classe CI'!B48="","",'Classe CI'!B48))</f>
        <v/>
      </c>
      <c r="C208" s="20" t="str">
        <f>IF('Classe CI'!$B48="","",IF('Classe CI'!C48="","",'Classe CI'!C48))</f>
        <v/>
      </c>
      <c r="D208" s="20" t="str">
        <f>IF($B208="","",C208&amp;" "&amp;B208&amp;" - "&amp;E208)</f>
        <v/>
      </c>
      <c r="E208" s="21" t="str">
        <f>IF($B208="","",Paramètres!$A$17)</f>
        <v/>
      </c>
      <c r="F208" s="21" t="str">
        <f>IF($B208="","",Paramètres!$B$17)</f>
        <v/>
      </c>
      <c r="G208" s="21" t="str">
        <f>IF('Classe CI'!$B48="","",IF('Classe CI'!D48="","",'Classe CI'!D48))</f>
        <v/>
      </c>
      <c r="H208" s="77" t="str">
        <f>IF('Classe CI'!$B48="","",IF('Classe CI'!E48="","",'Classe CI'!E48))</f>
        <v/>
      </c>
      <c r="I208" s="20" t="str">
        <f>IF('Classe CI'!$B48="","",IF('Classe CI'!F48="","",'Classe CI'!F48))</f>
        <v/>
      </c>
      <c r="J208" s="20" t="str">
        <f>IF('Classe CI'!$B48="","",IF('Classe CI'!G48="","",'Classe CI'!G48))</f>
        <v/>
      </c>
      <c r="K208" s="51" t="str">
        <f>IF('Classe CI'!$B48="","",N('Classe CI'!H48))</f>
        <v/>
      </c>
      <c r="L208" s="51" t="str">
        <f>IF('Classe CI'!$B48="","",N('Classe CI'!I48))</f>
        <v/>
      </c>
      <c r="M208" s="51" t="str">
        <f>IF('Classe CI'!$B48="","",N('Classe CI'!J48))</f>
        <v/>
      </c>
      <c r="N208" s="51" t="str">
        <f>IF('Classe CI'!$B48="","",N('Classe CI'!K48))</f>
        <v/>
      </c>
      <c r="O208" s="51" t="str">
        <f>IF('Classe CI'!$B48="","",N('Classe CI'!L48))</f>
        <v/>
      </c>
      <c r="P208" s="51" t="str">
        <f>IF('Classe CI'!$B48="","",N('Classe CI'!M48))</f>
        <v/>
      </c>
      <c r="Q208" s="21" t="str">
        <f>IF('Classe CI'!$B48="","",IF('Classe CI'!Q48="","",'Classe CI'!Q48))</f>
        <v/>
      </c>
      <c r="R208" s="51" t="str">
        <f>IF('Classe CI'!$B48="","",N('Classe CI'!N48))</f>
        <v/>
      </c>
      <c r="S208" s="51" t="str">
        <f>IF('Classe CI'!$B48="","",N('Classe CI'!O48))</f>
        <v/>
      </c>
      <c r="T208" s="51" t="str">
        <f>IF('Classe CI'!$B48="","",N('Classe CI'!P48))</f>
        <v/>
      </c>
    </row>
    <row r="209">
      <c r="A209" s="16" t="str">
        <f>IF('Classe CI'!$B49="","",IF('Classe CI'!A49="","",'Classe CI'!A49))</f>
        <v/>
      </c>
      <c r="B209" s="16" t="str">
        <f>IF('Classe CI'!$B49="","",IF('Classe CI'!B49="","",'Classe CI'!B49))</f>
        <v/>
      </c>
      <c r="C209" s="16" t="str">
        <f>IF('Classe CI'!$B49="","",IF('Classe CI'!C49="","",'Classe CI'!C49))</f>
        <v/>
      </c>
      <c r="D209" s="16" t="str">
        <f>IF($B209="","",C209&amp;" "&amp;B209&amp;" - "&amp;E209)</f>
        <v/>
      </c>
      <c r="E209" s="17" t="str">
        <f>IF($B209="","",Paramètres!$A$17)</f>
        <v/>
      </c>
      <c r="F209" s="17" t="str">
        <f>IF($B209="","",Paramètres!$B$17)</f>
        <v/>
      </c>
      <c r="G209" s="17" t="str">
        <f>IF('Classe CI'!$B49="","",IF('Classe CI'!D49="","",'Classe CI'!D49))</f>
        <v/>
      </c>
      <c r="H209" s="78" t="str">
        <f>IF('Classe CI'!$B49="","",IF('Classe CI'!E49="","",'Classe CI'!E49))</f>
        <v/>
      </c>
      <c r="I209" s="16" t="str">
        <f>IF('Classe CI'!$B49="","",IF('Classe CI'!F49="","",'Classe CI'!F49))</f>
        <v/>
      </c>
      <c r="J209" s="16" t="str">
        <f>IF('Classe CI'!$B49="","",IF('Classe CI'!G49="","",'Classe CI'!G49))</f>
        <v/>
      </c>
      <c r="K209" s="18" t="str">
        <f>IF('Classe CI'!$B49="","",N('Classe CI'!H49))</f>
        <v/>
      </c>
      <c r="L209" s="18" t="str">
        <f>IF('Classe CI'!$B49="","",N('Classe CI'!I49))</f>
        <v/>
      </c>
      <c r="M209" s="18" t="str">
        <f>IF('Classe CI'!$B49="","",N('Classe CI'!J49))</f>
        <v/>
      </c>
      <c r="N209" s="18" t="str">
        <f>IF('Classe CI'!$B49="","",N('Classe CI'!K49))</f>
        <v/>
      </c>
      <c r="O209" s="18" t="str">
        <f>IF('Classe CI'!$B49="","",N('Classe CI'!L49))</f>
        <v/>
      </c>
      <c r="P209" s="18" t="str">
        <f>IF('Classe CI'!$B49="","",N('Classe CI'!M49))</f>
        <v/>
      </c>
      <c r="Q209" s="17" t="str">
        <f>IF('Classe CI'!$B49="","",IF('Classe CI'!Q49="","",'Classe CI'!Q49))</f>
        <v/>
      </c>
      <c r="R209" s="18" t="str">
        <f>IF('Classe CI'!$B49="","",N('Classe CI'!N49))</f>
        <v/>
      </c>
      <c r="S209" s="18" t="str">
        <f>IF('Classe CI'!$B49="","",N('Classe CI'!O49))</f>
        <v/>
      </c>
      <c r="T209" s="18" t="str">
        <f>IF('Classe CI'!$B49="","",N('Classe CI'!P49))</f>
        <v/>
      </c>
    </row>
    <row r="210">
      <c r="A210" s="20" t="str">
        <f>IF('Classe CI'!$B50="","",IF('Classe CI'!A50="","",'Classe CI'!A50))</f>
        <v/>
      </c>
      <c r="B210" s="20" t="str">
        <f>IF('Classe CI'!$B50="","",IF('Classe CI'!B50="","",'Classe CI'!B50))</f>
        <v/>
      </c>
      <c r="C210" s="20" t="str">
        <f>IF('Classe CI'!$B50="","",IF('Classe CI'!C50="","",'Classe CI'!C50))</f>
        <v/>
      </c>
      <c r="D210" s="20" t="str">
        <f>IF($B210="","",C210&amp;" "&amp;B210&amp;" - "&amp;E210)</f>
        <v/>
      </c>
      <c r="E210" s="21" t="str">
        <f>IF($B210="","",Paramètres!$A$17)</f>
        <v/>
      </c>
      <c r="F210" s="21" t="str">
        <f>IF($B210="","",Paramètres!$B$17)</f>
        <v/>
      </c>
      <c r="G210" s="21" t="str">
        <f>IF('Classe CI'!$B50="","",IF('Classe CI'!D50="","",'Classe CI'!D50))</f>
        <v/>
      </c>
      <c r="H210" s="77" t="str">
        <f>IF('Classe CI'!$B50="","",IF('Classe CI'!E50="","",'Classe CI'!E50))</f>
        <v/>
      </c>
      <c r="I210" s="20" t="str">
        <f>IF('Classe CI'!$B50="","",IF('Classe CI'!F50="","",'Classe CI'!F50))</f>
        <v/>
      </c>
      <c r="J210" s="20" t="str">
        <f>IF('Classe CI'!$B50="","",IF('Classe CI'!G50="","",'Classe CI'!G50))</f>
        <v/>
      </c>
      <c r="K210" s="51" t="str">
        <f>IF('Classe CI'!$B50="","",N('Classe CI'!H50))</f>
        <v/>
      </c>
      <c r="L210" s="51" t="str">
        <f>IF('Classe CI'!$B50="","",N('Classe CI'!I50))</f>
        <v/>
      </c>
      <c r="M210" s="51" t="str">
        <f>IF('Classe CI'!$B50="","",N('Classe CI'!J50))</f>
        <v/>
      </c>
      <c r="N210" s="51" t="str">
        <f>IF('Classe CI'!$B50="","",N('Classe CI'!K50))</f>
        <v/>
      </c>
      <c r="O210" s="51" t="str">
        <f>IF('Classe CI'!$B50="","",N('Classe CI'!L50))</f>
        <v/>
      </c>
      <c r="P210" s="51" t="str">
        <f>IF('Classe CI'!$B50="","",N('Classe CI'!M50))</f>
        <v/>
      </c>
      <c r="Q210" s="21" t="str">
        <f>IF('Classe CI'!$B50="","",IF('Classe CI'!Q50="","",'Classe CI'!Q50))</f>
        <v/>
      </c>
      <c r="R210" s="51" t="str">
        <f>IF('Classe CI'!$B50="","",N('Classe CI'!N50))</f>
        <v/>
      </c>
      <c r="S210" s="51" t="str">
        <f>IF('Classe CI'!$B50="","",N('Classe CI'!O50))</f>
        <v/>
      </c>
      <c r="T210" s="51" t="str">
        <f>IF('Classe CI'!$B50="","",N('Classe CI'!P50))</f>
        <v/>
      </c>
    </row>
    <row r="211">
      <c r="A211" s="16" t="str">
        <f>IF('Classe CI'!$B51="","",IF('Classe CI'!A51="","",'Classe CI'!A51))</f>
        <v/>
      </c>
      <c r="B211" s="16" t="str">
        <f>IF('Classe CI'!$B51="","",IF('Classe CI'!B51="","",'Classe CI'!B51))</f>
        <v/>
      </c>
      <c r="C211" s="16" t="str">
        <f>IF('Classe CI'!$B51="","",IF('Classe CI'!C51="","",'Classe CI'!C51))</f>
        <v/>
      </c>
      <c r="D211" s="16" t="str">
        <f>IF($B211="","",C211&amp;" "&amp;B211&amp;" - "&amp;E211)</f>
        <v/>
      </c>
      <c r="E211" s="17" t="str">
        <f>IF($B211="","",Paramètres!$A$17)</f>
        <v/>
      </c>
      <c r="F211" s="17" t="str">
        <f>IF($B211="","",Paramètres!$B$17)</f>
        <v/>
      </c>
      <c r="G211" s="17" t="str">
        <f>IF('Classe CI'!$B51="","",IF('Classe CI'!D51="","",'Classe CI'!D51))</f>
        <v/>
      </c>
      <c r="H211" s="78" t="str">
        <f>IF('Classe CI'!$B51="","",IF('Classe CI'!E51="","",'Classe CI'!E51))</f>
        <v/>
      </c>
      <c r="I211" s="16" t="str">
        <f>IF('Classe CI'!$B51="","",IF('Classe CI'!F51="","",'Classe CI'!F51))</f>
        <v/>
      </c>
      <c r="J211" s="16" t="str">
        <f>IF('Classe CI'!$B51="","",IF('Classe CI'!G51="","",'Classe CI'!G51))</f>
        <v/>
      </c>
      <c r="K211" s="18" t="str">
        <f>IF('Classe CI'!$B51="","",N('Classe CI'!H51))</f>
        <v/>
      </c>
      <c r="L211" s="18" t="str">
        <f>IF('Classe CI'!$B51="","",N('Classe CI'!I51))</f>
        <v/>
      </c>
      <c r="M211" s="18" t="str">
        <f>IF('Classe CI'!$B51="","",N('Classe CI'!J51))</f>
        <v/>
      </c>
      <c r="N211" s="18" t="str">
        <f>IF('Classe CI'!$B51="","",N('Classe CI'!K51))</f>
        <v/>
      </c>
      <c r="O211" s="18" t="str">
        <f>IF('Classe CI'!$B51="","",N('Classe CI'!L51))</f>
        <v/>
      </c>
      <c r="P211" s="18" t="str">
        <f>IF('Classe CI'!$B51="","",N('Classe CI'!M51))</f>
        <v/>
      </c>
      <c r="Q211" s="17" t="str">
        <f>IF('Classe CI'!$B51="","",IF('Classe CI'!Q51="","",'Classe CI'!Q51))</f>
        <v/>
      </c>
      <c r="R211" s="18" t="str">
        <f>IF('Classe CI'!$B51="","",N('Classe CI'!N51))</f>
        <v/>
      </c>
      <c r="S211" s="18" t="str">
        <f>IF('Classe CI'!$B51="","",N('Classe CI'!O51))</f>
        <v/>
      </c>
      <c r="T211" s="18" t="str">
        <f>IF('Classe CI'!$B51="","",N('Classe CI'!P51))</f>
        <v/>
      </c>
    </row>
    <row r="212">
      <c r="A212" s="20" t="str">
        <f>IF('Classe CI'!$B52="","",IF('Classe CI'!A52="","",'Classe CI'!A52))</f>
        <v/>
      </c>
      <c r="B212" s="20" t="str">
        <f>IF('Classe CI'!$B52="","",IF('Classe CI'!B52="","",'Classe CI'!B52))</f>
        <v/>
      </c>
      <c r="C212" s="20" t="str">
        <f>IF('Classe CI'!$B52="","",IF('Classe CI'!C52="","",'Classe CI'!C52))</f>
        <v/>
      </c>
      <c r="D212" s="20" t="str">
        <f>IF($B212="","",C212&amp;" "&amp;B212&amp;" - "&amp;E212)</f>
        <v/>
      </c>
      <c r="E212" s="21" t="str">
        <f>IF($B212="","",Paramètres!$A$17)</f>
        <v/>
      </c>
      <c r="F212" s="21" t="str">
        <f>IF($B212="","",Paramètres!$B$17)</f>
        <v/>
      </c>
      <c r="G212" s="21" t="str">
        <f>IF('Classe CI'!$B52="","",IF('Classe CI'!D52="","",'Classe CI'!D52))</f>
        <v/>
      </c>
      <c r="H212" s="77" t="str">
        <f>IF('Classe CI'!$B52="","",IF('Classe CI'!E52="","",'Classe CI'!E52))</f>
        <v/>
      </c>
      <c r="I212" s="20" t="str">
        <f>IF('Classe CI'!$B52="","",IF('Classe CI'!F52="","",'Classe CI'!F52))</f>
        <v/>
      </c>
      <c r="J212" s="20" t="str">
        <f>IF('Classe CI'!$B52="","",IF('Classe CI'!G52="","",'Classe CI'!G52))</f>
        <v/>
      </c>
      <c r="K212" s="51" t="str">
        <f>IF('Classe CI'!$B52="","",N('Classe CI'!H52))</f>
        <v/>
      </c>
      <c r="L212" s="51" t="str">
        <f>IF('Classe CI'!$B52="","",N('Classe CI'!I52))</f>
        <v/>
      </c>
      <c r="M212" s="51" t="str">
        <f>IF('Classe CI'!$B52="","",N('Classe CI'!J52))</f>
        <v/>
      </c>
      <c r="N212" s="51" t="str">
        <f>IF('Classe CI'!$B52="","",N('Classe CI'!K52))</f>
        <v/>
      </c>
      <c r="O212" s="51" t="str">
        <f>IF('Classe CI'!$B52="","",N('Classe CI'!L52))</f>
        <v/>
      </c>
      <c r="P212" s="51" t="str">
        <f>IF('Classe CI'!$B52="","",N('Classe CI'!M52))</f>
        <v/>
      </c>
      <c r="Q212" s="21" t="str">
        <f>IF('Classe CI'!$B52="","",IF('Classe CI'!Q52="","",'Classe CI'!Q52))</f>
        <v/>
      </c>
      <c r="R212" s="51" t="str">
        <f>IF('Classe CI'!$B52="","",N('Classe CI'!N52))</f>
        <v/>
      </c>
      <c r="S212" s="51" t="str">
        <f>IF('Classe CI'!$B52="","",N('Classe CI'!O52))</f>
        <v/>
      </c>
      <c r="T212" s="51" t="str">
        <f>IF('Classe CI'!$B52="","",N('Classe CI'!P52))</f>
        <v/>
      </c>
    </row>
    <row r="213">
      <c r="A213" s="16" t="str">
        <f>IF('Classe CI'!$B53="","",IF('Classe CI'!A53="","",'Classe CI'!A53))</f>
        <v/>
      </c>
      <c r="B213" s="16" t="str">
        <f>IF('Classe CI'!$B53="","",IF('Classe CI'!B53="","",'Classe CI'!B53))</f>
        <v/>
      </c>
      <c r="C213" s="16" t="str">
        <f>IF('Classe CI'!$B53="","",IF('Classe CI'!C53="","",'Classe CI'!C53))</f>
        <v/>
      </c>
      <c r="D213" s="16" t="str">
        <f>IF($B213="","",C213&amp;" "&amp;B213&amp;" - "&amp;E213)</f>
        <v/>
      </c>
      <c r="E213" s="17" t="str">
        <f>IF($B213="","",Paramètres!$A$17)</f>
        <v/>
      </c>
      <c r="F213" s="17" t="str">
        <f>IF($B213="","",Paramètres!$B$17)</f>
        <v/>
      </c>
      <c r="G213" s="17" t="str">
        <f>IF('Classe CI'!$B53="","",IF('Classe CI'!D53="","",'Classe CI'!D53))</f>
        <v/>
      </c>
      <c r="H213" s="78" t="str">
        <f>IF('Classe CI'!$B53="","",IF('Classe CI'!E53="","",'Classe CI'!E53))</f>
        <v/>
      </c>
      <c r="I213" s="16" t="str">
        <f>IF('Classe CI'!$B53="","",IF('Classe CI'!F53="","",'Classe CI'!F53))</f>
        <v/>
      </c>
      <c r="J213" s="16" t="str">
        <f>IF('Classe CI'!$B53="","",IF('Classe CI'!G53="","",'Classe CI'!G53))</f>
        <v/>
      </c>
      <c r="K213" s="18" t="str">
        <f>IF('Classe CI'!$B53="","",N('Classe CI'!H53))</f>
        <v/>
      </c>
      <c r="L213" s="18" t="str">
        <f>IF('Classe CI'!$B53="","",N('Classe CI'!I53))</f>
        <v/>
      </c>
      <c r="M213" s="18" t="str">
        <f>IF('Classe CI'!$B53="","",N('Classe CI'!J53))</f>
        <v/>
      </c>
      <c r="N213" s="18" t="str">
        <f>IF('Classe CI'!$B53="","",N('Classe CI'!K53))</f>
        <v/>
      </c>
      <c r="O213" s="18" t="str">
        <f>IF('Classe CI'!$B53="","",N('Classe CI'!L53))</f>
        <v/>
      </c>
      <c r="P213" s="18" t="str">
        <f>IF('Classe CI'!$B53="","",N('Classe CI'!M53))</f>
        <v/>
      </c>
      <c r="Q213" s="17" t="str">
        <f>IF('Classe CI'!$B53="","",IF('Classe CI'!Q53="","",'Classe CI'!Q53))</f>
        <v/>
      </c>
      <c r="R213" s="18" t="str">
        <f>IF('Classe CI'!$B53="","",N('Classe CI'!N53))</f>
        <v/>
      </c>
      <c r="S213" s="18" t="str">
        <f>IF('Classe CI'!$B53="","",N('Classe CI'!O53))</f>
        <v/>
      </c>
      <c r="T213" s="18" t="str">
        <f>IF('Classe CI'!$B53="","",N('Classe CI'!P53))</f>
        <v/>
      </c>
    </row>
    <row r="214">
      <c r="A214" s="20" t="str">
        <f>IF('Classe CI'!$B54="","",IF('Classe CI'!A54="","",'Classe CI'!A54))</f>
        <v/>
      </c>
      <c r="B214" s="20" t="str">
        <f>IF('Classe CI'!$B54="","",IF('Classe CI'!B54="","",'Classe CI'!B54))</f>
        <v/>
      </c>
      <c r="C214" s="20" t="str">
        <f>IF('Classe CI'!$B54="","",IF('Classe CI'!C54="","",'Classe CI'!C54))</f>
        <v/>
      </c>
      <c r="D214" s="20" t="str">
        <f>IF($B214="","",C214&amp;" "&amp;B214&amp;" - "&amp;E214)</f>
        <v/>
      </c>
      <c r="E214" s="21" t="str">
        <f>IF($B214="","",Paramètres!$A$17)</f>
        <v/>
      </c>
      <c r="F214" s="21" t="str">
        <f>IF($B214="","",Paramètres!$B$17)</f>
        <v/>
      </c>
      <c r="G214" s="21" t="str">
        <f>IF('Classe CI'!$B54="","",IF('Classe CI'!D54="","",'Classe CI'!D54))</f>
        <v/>
      </c>
      <c r="H214" s="77" t="str">
        <f>IF('Classe CI'!$B54="","",IF('Classe CI'!E54="","",'Classe CI'!E54))</f>
        <v/>
      </c>
      <c r="I214" s="20" t="str">
        <f>IF('Classe CI'!$B54="","",IF('Classe CI'!F54="","",'Classe CI'!F54))</f>
        <v/>
      </c>
      <c r="J214" s="20" t="str">
        <f>IF('Classe CI'!$B54="","",IF('Classe CI'!G54="","",'Classe CI'!G54))</f>
        <v/>
      </c>
      <c r="K214" s="51" t="str">
        <f>IF('Classe CI'!$B54="","",N('Classe CI'!H54))</f>
        <v/>
      </c>
      <c r="L214" s="51" t="str">
        <f>IF('Classe CI'!$B54="","",N('Classe CI'!I54))</f>
        <v/>
      </c>
      <c r="M214" s="51" t="str">
        <f>IF('Classe CI'!$B54="","",N('Classe CI'!J54))</f>
        <v/>
      </c>
      <c r="N214" s="51" t="str">
        <f>IF('Classe CI'!$B54="","",N('Classe CI'!K54))</f>
        <v/>
      </c>
      <c r="O214" s="51" t="str">
        <f>IF('Classe CI'!$B54="","",N('Classe CI'!L54))</f>
        <v/>
      </c>
      <c r="P214" s="51" t="str">
        <f>IF('Classe CI'!$B54="","",N('Classe CI'!M54))</f>
        <v/>
      </c>
      <c r="Q214" s="21" t="str">
        <f>IF('Classe CI'!$B54="","",IF('Classe CI'!Q54="","",'Classe CI'!Q54))</f>
        <v/>
      </c>
      <c r="R214" s="51" t="str">
        <f>IF('Classe CI'!$B54="","",N('Classe CI'!N54))</f>
        <v/>
      </c>
      <c r="S214" s="51" t="str">
        <f>IF('Classe CI'!$B54="","",N('Classe CI'!O54))</f>
        <v/>
      </c>
      <c r="T214" s="51" t="str">
        <f>IF('Classe CI'!$B54="","",N('Classe CI'!P54))</f>
        <v/>
      </c>
    </row>
    <row r="215">
      <c r="A215" s="16" t="str">
        <f>IF('Classe CI'!$B55="","",IF('Classe CI'!A55="","",'Classe CI'!A55))</f>
        <v/>
      </c>
      <c r="B215" s="16" t="str">
        <f>IF('Classe CI'!$B55="","",IF('Classe CI'!B55="","",'Classe CI'!B55))</f>
        <v/>
      </c>
      <c r="C215" s="16" t="str">
        <f>IF('Classe CI'!$B55="","",IF('Classe CI'!C55="","",'Classe CI'!C55))</f>
        <v/>
      </c>
      <c r="D215" s="16" t="str">
        <f>IF($B215="","",C215&amp;" "&amp;B215&amp;" - "&amp;E215)</f>
        <v/>
      </c>
      <c r="E215" s="17" t="str">
        <f>IF($B215="","",Paramètres!$A$17)</f>
        <v/>
      </c>
      <c r="F215" s="17" t="str">
        <f>IF($B215="","",Paramètres!$B$17)</f>
        <v/>
      </c>
      <c r="G215" s="17" t="str">
        <f>IF('Classe CI'!$B55="","",IF('Classe CI'!D55="","",'Classe CI'!D55))</f>
        <v/>
      </c>
      <c r="H215" s="78" t="str">
        <f>IF('Classe CI'!$B55="","",IF('Classe CI'!E55="","",'Classe CI'!E55))</f>
        <v/>
      </c>
      <c r="I215" s="16" t="str">
        <f>IF('Classe CI'!$B55="","",IF('Classe CI'!F55="","",'Classe CI'!F55))</f>
        <v/>
      </c>
      <c r="J215" s="16" t="str">
        <f>IF('Classe CI'!$B55="","",IF('Classe CI'!G55="","",'Classe CI'!G55))</f>
        <v/>
      </c>
      <c r="K215" s="18" t="str">
        <f>IF('Classe CI'!$B55="","",N('Classe CI'!H55))</f>
        <v/>
      </c>
      <c r="L215" s="18" t="str">
        <f>IF('Classe CI'!$B55="","",N('Classe CI'!I55))</f>
        <v/>
      </c>
      <c r="M215" s="18" t="str">
        <f>IF('Classe CI'!$B55="","",N('Classe CI'!J55))</f>
        <v/>
      </c>
      <c r="N215" s="18" t="str">
        <f>IF('Classe CI'!$B55="","",N('Classe CI'!K55))</f>
        <v/>
      </c>
      <c r="O215" s="18" t="str">
        <f>IF('Classe CI'!$B55="","",N('Classe CI'!L55))</f>
        <v/>
      </c>
      <c r="P215" s="18" t="str">
        <f>IF('Classe CI'!$B55="","",N('Classe CI'!M55))</f>
        <v/>
      </c>
      <c r="Q215" s="17" t="str">
        <f>IF('Classe CI'!$B55="","",IF('Classe CI'!Q55="","",'Classe CI'!Q55))</f>
        <v/>
      </c>
      <c r="R215" s="18" t="str">
        <f>IF('Classe CI'!$B55="","",N('Classe CI'!N55))</f>
        <v/>
      </c>
      <c r="S215" s="18" t="str">
        <f>IF('Classe CI'!$B55="","",N('Classe CI'!O55))</f>
        <v/>
      </c>
      <c r="T215" s="18" t="str">
        <f>IF('Classe CI'!$B55="","",N('Classe CI'!P55))</f>
        <v/>
      </c>
    </row>
    <row r="216">
      <c r="A216" s="20" t="str">
        <f>IF('Classe CI'!$B56="","",IF('Classe CI'!A56="","",'Classe CI'!A56))</f>
        <v/>
      </c>
      <c r="B216" s="20" t="str">
        <f>IF('Classe CI'!$B56="","",IF('Classe CI'!B56="","",'Classe CI'!B56))</f>
        <v/>
      </c>
      <c r="C216" s="20" t="str">
        <f>IF('Classe CI'!$B56="","",IF('Classe CI'!C56="","",'Classe CI'!C56))</f>
        <v/>
      </c>
      <c r="D216" s="20" t="str">
        <f>IF($B216="","",C216&amp;" "&amp;B216&amp;" - "&amp;E216)</f>
        <v/>
      </c>
      <c r="E216" s="21" t="str">
        <f>IF($B216="","",Paramètres!$A$17)</f>
        <v/>
      </c>
      <c r="F216" s="21" t="str">
        <f>IF($B216="","",Paramètres!$B$17)</f>
        <v/>
      </c>
      <c r="G216" s="21" t="str">
        <f>IF('Classe CI'!$B56="","",IF('Classe CI'!D56="","",'Classe CI'!D56))</f>
        <v/>
      </c>
      <c r="H216" s="77" t="str">
        <f>IF('Classe CI'!$B56="","",IF('Classe CI'!E56="","",'Classe CI'!E56))</f>
        <v/>
      </c>
      <c r="I216" s="20" t="str">
        <f>IF('Classe CI'!$B56="","",IF('Classe CI'!F56="","",'Classe CI'!F56))</f>
        <v/>
      </c>
      <c r="J216" s="20" t="str">
        <f>IF('Classe CI'!$B56="","",IF('Classe CI'!G56="","",'Classe CI'!G56))</f>
        <v/>
      </c>
      <c r="K216" s="51" t="str">
        <f>IF('Classe CI'!$B56="","",N('Classe CI'!H56))</f>
        <v/>
      </c>
      <c r="L216" s="51" t="str">
        <f>IF('Classe CI'!$B56="","",N('Classe CI'!I56))</f>
        <v/>
      </c>
      <c r="M216" s="51" t="str">
        <f>IF('Classe CI'!$B56="","",N('Classe CI'!J56))</f>
        <v/>
      </c>
      <c r="N216" s="51" t="str">
        <f>IF('Classe CI'!$B56="","",N('Classe CI'!K56))</f>
        <v/>
      </c>
      <c r="O216" s="51" t="str">
        <f>IF('Classe CI'!$B56="","",N('Classe CI'!L56))</f>
        <v/>
      </c>
      <c r="P216" s="51" t="str">
        <f>IF('Classe CI'!$B56="","",N('Classe CI'!M56))</f>
        <v/>
      </c>
      <c r="Q216" s="21" t="str">
        <f>IF('Classe CI'!$B56="","",IF('Classe CI'!Q56="","",'Classe CI'!Q56))</f>
        <v/>
      </c>
      <c r="R216" s="51" t="str">
        <f>IF('Classe CI'!$B56="","",N('Classe CI'!N56))</f>
        <v/>
      </c>
      <c r="S216" s="51" t="str">
        <f>IF('Classe CI'!$B56="","",N('Classe CI'!O56))</f>
        <v/>
      </c>
      <c r="T216" s="51" t="str">
        <f>IF('Classe CI'!$B56="","",N('Classe CI'!P56))</f>
        <v/>
      </c>
    </row>
    <row r="217">
      <c r="A217" s="16" t="str">
        <f>IF('Classe CI'!$B57="","",IF('Classe CI'!A57="","",'Classe CI'!A57))</f>
        <v/>
      </c>
      <c r="B217" s="16" t="str">
        <f>IF('Classe CI'!$B57="","",IF('Classe CI'!B57="","",'Classe CI'!B57))</f>
        <v/>
      </c>
      <c r="C217" s="16" t="str">
        <f>IF('Classe CI'!$B57="","",IF('Classe CI'!C57="","",'Classe CI'!C57))</f>
        <v/>
      </c>
      <c r="D217" s="16" t="str">
        <f>IF($B217="","",C217&amp;" "&amp;B217&amp;" - "&amp;E217)</f>
        <v/>
      </c>
      <c r="E217" s="17" t="str">
        <f>IF($B217="","",Paramètres!$A$17)</f>
        <v/>
      </c>
      <c r="F217" s="17" t="str">
        <f>IF($B217="","",Paramètres!$B$17)</f>
        <v/>
      </c>
      <c r="G217" s="17" t="str">
        <f>IF('Classe CI'!$B57="","",IF('Classe CI'!D57="","",'Classe CI'!D57))</f>
        <v/>
      </c>
      <c r="H217" s="78" t="str">
        <f>IF('Classe CI'!$B57="","",IF('Classe CI'!E57="","",'Classe CI'!E57))</f>
        <v/>
      </c>
      <c r="I217" s="16" t="str">
        <f>IF('Classe CI'!$B57="","",IF('Classe CI'!F57="","",'Classe CI'!F57))</f>
        <v/>
      </c>
      <c r="J217" s="16" t="str">
        <f>IF('Classe CI'!$B57="","",IF('Classe CI'!G57="","",'Classe CI'!G57))</f>
        <v/>
      </c>
      <c r="K217" s="18" t="str">
        <f>IF('Classe CI'!$B57="","",N('Classe CI'!H57))</f>
        <v/>
      </c>
      <c r="L217" s="18" t="str">
        <f>IF('Classe CI'!$B57="","",N('Classe CI'!I57))</f>
        <v/>
      </c>
      <c r="M217" s="18" t="str">
        <f>IF('Classe CI'!$B57="","",N('Classe CI'!J57))</f>
        <v/>
      </c>
      <c r="N217" s="18" t="str">
        <f>IF('Classe CI'!$B57="","",N('Classe CI'!K57))</f>
        <v/>
      </c>
      <c r="O217" s="18" t="str">
        <f>IF('Classe CI'!$B57="","",N('Classe CI'!L57))</f>
        <v/>
      </c>
      <c r="P217" s="18" t="str">
        <f>IF('Classe CI'!$B57="","",N('Classe CI'!M57))</f>
        <v/>
      </c>
      <c r="Q217" s="17" t="str">
        <f>IF('Classe CI'!$B57="","",IF('Classe CI'!Q57="","",'Classe CI'!Q57))</f>
        <v/>
      </c>
      <c r="R217" s="18" t="str">
        <f>IF('Classe CI'!$B57="","",N('Classe CI'!N57))</f>
        <v/>
      </c>
      <c r="S217" s="18" t="str">
        <f>IF('Classe CI'!$B57="","",N('Classe CI'!O57))</f>
        <v/>
      </c>
      <c r="T217" s="18" t="str">
        <f>IF('Classe CI'!$B57="","",N('Classe CI'!P57))</f>
        <v/>
      </c>
    </row>
    <row r="218">
      <c r="A218" s="20" t="str">
        <f>IF('Classe CI'!$B58="","",IF('Classe CI'!A58="","",'Classe CI'!A58))</f>
        <v/>
      </c>
      <c r="B218" s="20" t="str">
        <f>IF('Classe CI'!$B58="","",IF('Classe CI'!B58="","",'Classe CI'!B58))</f>
        <v/>
      </c>
      <c r="C218" s="20" t="str">
        <f>IF('Classe CI'!$B58="","",IF('Classe CI'!C58="","",'Classe CI'!C58))</f>
        <v/>
      </c>
      <c r="D218" s="20" t="str">
        <f>IF($B218="","",C218&amp;" "&amp;B218&amp;" - "&amp;E218)</f>
        <v/>
      </c>
      <c r="E218" s="21" t="str">
        <f>IF($B218="","",Paramètres!$A$17)</f>
        <v/>
      </c>
      <c r="F218" s="21" t="str">
        <f>IF($B218="","",Paramètres!$B$17)</f>
        <v/>
      </c>
      <c r="G218" s="21" t="str">
        <f>IF('Classe CI'!$B58="","",IF('Classe CI'!D58="","",'Classe CI'!D58))</f>
        <v/>
      </c>
      <c r="H218" s="77" t="str">
        <f>IF('Classe CI'!$B58="","",IF('Classe CI'!E58="","",'Classe CI'!E58))</f>
        <v/>
      </c>
      <c r="I218" s="20" t="str">
        <f>IF('Classe CI'!$B58="","",IF('Classe CI'!F58="","",'Classe CI'!F58))</f>
        <v/>
      </c>
      <c r="J218" s="20" t="str">
        <f>IF('Classe CI'!$B58="","",IF('Classe CI'!G58="","",'Classe CI'!G58))</f>
        <v/>
      </c>
      <c r="K218" s="51" t="str">
        <f>IF('Classe CI'!$B58="","",N('Classe CI'!H58))</f>
        <v/>
      </c>
      <c r="L218" s="51" t="str">
        <f>IF('Classe CI'!$B58="","",N('Classe CI'!I58))</f>
        <v/>
      </c>
      <c r="M218" s="51" t="str">
        <f>IF('Classe CI'!$B58="","",N('Classe CI'!J58))</f>
        <v/>
      </c>
      <c r="N218" s="51" t="str">
        <f>IF('Classe CI'!$B58="","",N('Classe CI'!K58))</f>
        <v/>
      </c>
      <c r="O218" s="51" t="str">
        <f>IF('Classe CI'!$B58="","",N('Classe CI'!L58))</f>
        <v/>
      </c>
      <c r="P218" s="51" t="str">
        <f>IF('Classe CI'!$B58="","",N('Classe CI'!M58))</f>
        <v/>
      </c>
      <c r="Q218" s="21" t="str">
        <f>IF('Classe CI'!$B58="","",IF('Classe CI'!Q58="","",'Classe CI'!Q58))</f>
        <v/>
      </c>
      <c r="R218" s="51" t="str">
        <f>IF('Classe CI'!$B58="","",N('Classe CI'!N58))</f>
        <v/>
      </c>
      <c r="S218" s="51" t="str">
        <f>IF('Classe CI'!$B58="","",N('Classe CI'!O58))</f>
        <v/>
      </c>
      <c r="T218" s="51" t="str">
        <f>IF('Classe CI'!$B58="","",N('Classe CI'!P58))</f>
        <v/>
      </c>
    </row>
    <row r="219">
      <c r="A219" s="16" t="str">
        <f>IF('Classe CI'!$B59="","",IF('Classe CI'!A59="","",'Classe CI'!A59))</f>
        <v/>
      </c>
      <c r="B219" s="16" t="str">
        <f>IF('Classe CI'!$B59="","",IF('Classe CI'!B59="","",'Classe CI'!B59))</f>
        <v/>
      </c>
      <c r="C219" s="16" t="str">
        <f>IF('Classe CI'!$B59="","",IF('Classe CI'!C59="","",'Classe CI'!C59))</f>
        <v/>
      </c>
      <c r="D219" s="16" t="str">
        <f>IF($B219="","",C219&amp;" "&amp;B219&amp;" - "&amp;E219)</f>
        <v/>
      </c>
      <c r="E219" s="17" t="str">
        <f>IF($B219="","",Paramètres!$A$17)</f>
        <v/>
      </c>
      <c r="F219" s="17" t="str">
        <f>IF($B219="","",Paramètres!$B$17)</f>
        <v/>
      </c>
      <c r="G219" s="17" t="str">
        <f>IF('Classe CI'!$B59="","",IF('Classe CI'!D59="","",'Classe CI'!D59))</f>
        <v/>
      </c>
      <c r="H219" s="78" t="str">
        <f>IF('Classe CI'!$B59="","",IF('Classe CI'!E59="","",'Classe CI'!E59))</f>
        <v/>
      </c>
      <c r="I219" s="16" t="str">
        <f>IF('Classe CI'!$B59="","",IF('Classe CI'!F59="","",'Classe CI'!F59))</f>
        <v/>
      </c>
      <c r="J219" s="16" t="str">
        <f>IF('Classe CI'!$B59="","",IF('Classe CI'!G59="","",'Classe CI'!G59))</f>
        <v/>
      </c>
      <c r="K219" s="18" t="str">
        <f>IF('Classe CI'!$B59="","",N('Classe CI'!H59))</f>
        <v/>
      </c>
      <c r="L219" s="18" t="str">
        <f>IF('Classe CI'!$B59="","",N('Classe CI'!I59))</f>
        <v/>
      </c>
      <c r="M219" s="18" t="str">
        <f>IF('Classe CI'!$B59="","",N('Classe CI'!J59))</f>
        <v/>
      </c>
      <c r="N219" s="18" t="str">
        <f>IF('Classe CI'!$B59="","",N('Classe CI'!K59))</f>
        <v/>
      </c>
      <c r="O219" s="18" t="str">
        <f>IF('Classe CI'!$B59="","",N('Classe CI'!L59))</f>
        <v/>
      </c>
      <c r="P219" s="18" t="str">
        <f>IF('Classe CI'!$B59="","",N('Classe CI'!M59))</f>
        <v/>
      </c>
      <c r="Q219" s="17" t="str">
        <f>IF('Classe CI'!$B59="","",IF('Classe CI'!Q59="","",'Classe CI'!Q59))</f>
        <v/>
      </c>
      <c r="R219" s="18" t="str">
        <f>IF('Classe CI'!$B59="","",N('Classe CI'!N59))</f>
        <v/>
      </c>
      <c r="S219" s="18" t="str">
        <f>IF('Classe CI'!$B59="","",N('Classe CI'!O59))</f>
        <v/>
      </c>
      <c r="T219" s="18" t="str">
        <f>IF('Classe CI'!$B59="","",N('Classe CI'!P59))</f>
        <v/>
      </c>
    </row>
    <row r="220">
      <c r="A220" s="20" t="str">
        <f>IF('Classe CI'!$B60="","",IF('Classe CI'!A60="","",'Classe CI'!A60))</f>
        <v/>
      </c>
      <c r="B220" s="20" t="str">
        <f>IF('Classe CI'!$B60="","",IF('Classe CI'!B60="","",'Classe CI'!B60))</f>
        <v/>
      </c>
      <c r="C220" s="20" t="str">
        <f>IF('Classe CI'!$B60="","",IF('Classe CI'!C60="","",'Classe CI'!C60))</f>
        <v/>
      </c>
      <c r="D220" s="20" t="str">
        <f>IF($B220="","",C220&amp;" "&amp;B220&amp;" - "&amp;E220)</f>
        <v/>
      </c>
      <c r="E220" s="21" t="str">
        <f>IF($B220="","",Paramètres!$A$17)</f>
        <v/>
      </c>
      <c r="F220" s="21" t="str">
        <f>IF($B220="","",Paramètres!$B$17)</f>
        <v/>
      </c>
      <c r="G220" s="21" t="str">
        <f>IF('Classe CI'!$B60="","",IF('Classe CI'!D60="","",'Classe CI'!D60))</f>
        <v/>
      </c>
      <c r="H220" s="77" t="str">
        <f>IF('Classe CI'!$B60="","",IF('Classe CI'!E60="","",'Classe CI'!E60))</f>
        <v/>
      </c>
      <c r="I220" s="20" t="str">
        <f>IF('Classe CI'!$B60="","",IF('Classe CI'!F60="","",'Classe CI'!F60))</f>
        <v/>
      </c>
      <c r="J220" s="20" t="str">
        <f>IF('Classe CI'!$B60="","",IF('Classe CI'!G60="","",'Classe CI'!G60))</f>
        <v/>
      </c>
      <c r="K220" s="51" t="str">
        <f>IF('Classe CI'!$B60="","",N('Classe CI'!H60))</f>
        <v/>
      </c>
      <c r="L220" s="51" t="str">
        <f>IF('Classe CI'!$B60="","",N('Classe CI'!I60))</f>
        <v/>
      </c>
      <c r="M220" s="51" t="str">
        <f>IF('Classe CI'!$B60="","",N('Classe CI'!J60))</f>
        <v/>
      </c>
      <c r="N220" s="51" t="str">
        <f>IF('Classe CI'!$B60="","",N('Classe CI'!K60))</f>
        <v/>
      </c>
      <c r="O220" s="51" t="str">
        <f>IF('Classe CI'!$B60="","",N('Classe CI'!L60))</f>
        <v/>
      </c>
      <c r="P220" s="51" t="str">
        <f>IF('Classe CI'!$B60="","",N('Classe CI'!M60))</f>
        <v/>
      </c>
      <c r="Q220" s="21" t="str">
        <f>IF('Classe CI'!$B60="","",IF('Classe CI'!Q60="","",'Classe CI'!Q60))</f>
        <v/>
      </c>
      <c r="R220" s="51" t="str">
        <f>IF('Classe CI'!$B60="","",N('Classe CI'!N60))</f>
        <v/>
      </c>
      <c r="S220" s="51" t="str">
        <f>IF('Classe CI'!$B60="","",N('Classe CI'!O60))</f>
        <v/>
      </c>
      <c r="T220" s="51" t="str">
        <f>IF('Classe CI'!$B60="","",N('Classe CI'!P60))</f>
        <v/>
      </c>
    </row>
    <row r="221">
      <c r="A221" s="16" t="str">
        <f>IF('Classe CI'!$B61="","",IF('Classe CI'!A61="","",'Classe CI'!A61))</f>
        <v/>
      </c>
      <c r="B221" s="16" t="str">
        <f>IF('Classe CI'!$B61="","",IF('Classe CI'!B61="","",'Classe CI'!B61))</f>
        <v/>
      </c>
      <c r="C221" s="16" t="str">
        <f>IF('Classe CI'!$B61="","",IF('Classe CI'!C61="","",'Classe CI'!C61))</f>
        <v/>
      </c>
      <c r="D221" s="16" t="str">
        <f>IF($B221="","",C221&amp;" "&amp;B221&amp;" - "&amp;E221)</f>
        <v/>
      </c>
      <c r="E221" s="17" t="str">
        <f>IF($B221="","",Paramètres!$A$17)</f>
        <v/>
      </c>
      <c r="F221" s="17" t="str">
        <f>IF($B221="","",Paramètres!$B$17)</f>
        <v/>
      </c>
      <c r="G221" s="17" t="str">
        <f>IF('Classe CI'!$B61="","",IF('Classe CI'!D61="","",'Classe CI'!D61))</f>
        <v/>
      </c>
      <c r="H221" s="78" t="str">
        <f>IF('Classe CI'!$B61="","",IF('Classe CI'!E61="","",'Classe CI'!E61))</f>
        <v/>
      </c>
      <c r="I221" s="16" t="str">
        <f>IF('Classe CI'!$B61="","",IF('Classe CI'!F61="","",'Classe CI'!F61))</f>
        <v/>
      </c>
      <c r="J221" s="16" t="str">
        <f>IF('Classe CI'!$B61="","",IF('Classe CI'!G61="","",'Classe CI'!G61))</f>
        <v/>
      </c>
      <c r="K221" s="18" t="str">
        <f>IF('Classe CI'!$B61="","",N('Classe CI'!H61))</f>
        <v/>
      </c>
      <c r="L221" s="18" t="str">
        <f>IF('Classe CI'!$B61="","",N('Classe CI'!I61))</f>
        <v/>
      </c>
      <c r="M221" s="18" t="str">
        <f>IF('Classe CI'!$B61="","",N('Classe CI'!J61))</f>
        <v/>
      </c>
      <c r="N221" s="18" t="str">
        <f>IF('Classe CI'!$B61="","",N('Classe CI'!K61))</f>
        <v/>
      </c>
      <c r="O221" s="18" t="str">
        <f>IF('Classe CI'!$B61="","",N('Classe CI'!L61))</f>
        <v/>
      </c>
      <c r="P221" s="18" t="str">
        <f>IF('Classe CI'!$B61="","",N('Classe CI'!M61))</f>
        <v/>
      </c>
      <c r="Q221" s="17" t="str">
        <f>IF('Classe CI'!$B61="","",IF('Classe CI'!Q61="","",'Classe CI'!Q61))</f>
        <v/>
      </c>
      <c r="R221" s="18" t="str">
        <f>IF('Classe CI'!$B61="","",N('Classe CI'!N61))</f>
        <v/>
      </c>
      <c r="S221" s="18" t="str">
        <f>IF('Classe CI'!$B61="","",N('Classe CI'!O61))</f>
        <v/>
      </c>
      <c r="T221" s="18" t="str">
        <f>IF('Classe CI'!$B61="","",N('Classe CI'!P61))</f>
        <v/>
      </c>
    </row>
    <row r="222">
      <c r="A222" s="20" t="str">
        <f>IF('Classe CI'!$B62="","",IF('Classe CI'!A62="","",'Classe CI'!A62))</f>
        <v/>
      </c>
      <c r="B222" s="20" t="str">
        <f>IF('Classe CI'!$B62="","",IF('Classe CI'!B62="","",'Classe CI'!B62))</f>
        <v/>
      </c>
      <c r="C222" s="20" t="str">
        <f>IF('Classe CI'!$B62="","",IF('Classe CI'!C62="","",'Classe CI'!C62))</f>
        <v/>
      </c>
      <c r="D222" s="20" t="str">
        <f>IF($B222="","",C222&amp;" "&amp;B222&amp;" - "&amp;E222)</f>
        <v/>
      </c>
      <c r="E222" s="21" t="str">
        <f>IF($B222="","",Paramètres!$A$17)</f>
        <v/>
      </c>
      <c r="F222" s="21" t="str">
        <f>IF($B222="","",Paramètres!$B$17)</f>
        <v/>
      </c>
      <c r="G222" s="21" t="str">
        <f>IF('Classe CI'!$B62="","",IF('Classe CI'!D62="","",'Classe CI'!D62))</f>
        <v/>
      </c>
      <c r="H222" s="77" t="str">
        <f>IF('Classe CI'!$B62="","",IF('Classe CI'!E62="","",'Classe CI'!E62))</f>
        <v/>
      </c>
      <c r="I222" s="20" t="str">
        <f>IF('Classe CI'!$B62="","",IF('Classe CI'!F62="","",'Classe CI'!F62))</f>
        <v/>
      </c>
      <c r="J222" s="20" t="str">
        <f>IF('Classe CI'!$B62="","",IF('Classe CI'!G62="","",'Classe CI'!G62))</f>
        <v/>
      </c>
      <c r="K222" s="51" t="str">
        <f>IF('Classe CI'!$B62="","",N('Classe CI'!H62))</f>
        <v/>
      </c>
      <c r="L222" s="51" t="str">
        <f>IF('Classe CI'!$B62="","",N('Classe CI'!I62))</f>
        <v/>
      </c>
      <c r="M222" s="51" t="str">
        <f>IF('Classe CI'!$B62="","",N('Classe CI'!J62))</f>
        <v/>
      </c>
      <c r="N222" s="51" t="str">
        <f>IF('Classe CI'!$B62="","",N('Classe CI'!K62))</f>
        <v/>
      </c>
      <c r="O222" s="51" t="str">
        <f>IF('Classe CI'!$B62="","",N('Classe CI'!L62))</f>
        <v/>
      </c>
      <c r="P222" s="51" t="str">
        <f>IF('Classe CI'!$B62="","",N('Classe CI'!M62))</f>
        <v/>
      </c>
      <c r="Q222" s="21" t="str">
        <f>IF('Classe CI'!$B62="","",IF('Classe CI'!Q62="","",'Classe CI'!Q62))</f>
        <v/>
      </c>
      <c r="R222" s="51" t="str">
        <f>IF('Classe CI'!$B62="","",N('Classe CI'!N62))</f>
        <v/>
      </c>
      <c r="S222" s="51" t="str">
        <f>IF('Classe CI'!$B62="","",N('Classe CI'!O62))</f>
        <v/>
      </c>
      <c r="T222" s="51" t="str">
        <f>IF('Classe CI'!$B62="","",N('Classe CI'!P62))</f>
        <v/>
      </c>
    </row>
    <row r="223">
      <c r="A223" s="16" t="str">
        <f>IF('Classe CI'!$B63="","",IF('Classe CI'!A63="","",'Classe CI'!A63))</f>
        <v/>
      </c>
      <c r="B223" s="16" t="str">
        <f>IF('Classe CI'!$B63="","",IF('Classe CI'!B63="","",'Classe CI'!B63))</f>
        <v/>
      </c>
      <c r="C223" s="16" t="str">
        <f>IF('Classe CI'!$B63="","",IF('Classe CI'!C63="","",'Classe CI'!C63))</f>
        <v/>
      </c>
      <c r="D223" s="16" t="str">
        <f>IF($B223="","",C223&amp;" "&amp;B223&amp;" - "&amp;E223)</f>
        <v/>
      </c>
      <c r="E223" s="17" t="str">
        <f>IF($B223="","",Paramètres!$A$17)</f>
        <v/>
      </c>
      <c r="F223" s="17" t="str">
        <f>IF($B223="","",Paramètres!$B$17)</f>
        <v/>
      </c>
      <c r="G223" s="17" t="str">
        <f>IF('Classe CI'!$B63="","",IF('Classe CI'!D63="","",'Classe CI'!D63))</f>
        <v/>
      </c>
      <c r="H223" s="78" t="str">
        <f>IF('Classe CI'!$B63="","",IF('Classe CI'!E63="","",'Classe CI'!E63))</f>
        <v/>
      </c>
      <c r="I223" s="16" t="str">
        <f>IF('Classe CI'!$B63="","",IF('Classe CI'!F63="","",'Classe CI'!F63))</f>
        <v/>
      </c>
      <c r="J223" s="16" t="str">
        <f>IF('Classe CI'!$B63="","",IF('Classe CI'!G63="","",'Classe CI'!G63))</f>
        <v/>
      </c>
      <c r="K223" s="18" t="str">
        <f>IF('Classe CI'!$B63="","",N('Classe CI'!H63))</f>
        <v/>
      </c>
      <c r="L223" s="18" t="str">
        <f>IF('Classe CI'!$B63="","",N('Classe CI'!I63))</f>
        <v/>
      </c>
      <c r="M223" s="18" t="str">
        <f>IF('Classe CI'!$B63="","",N('Classe CI'!J63))</f>
        <v/>
      </c>
      <c r="N223" s="18" t="str">
        <f>IF('Classe CI'!$B63="","",N('Classe CI'!K63))</f>
        <v/>
      </c>
      <c r="O223" s="18" t="str">
        <f>IF('Classe CI'!$B63="","",N('Classe CI'!L63))</f>
        <v/>
      </c>
      <c r="P223" s="18" t="str">
        <f>IF('Classe CI'!$B63="","",N('Classe CI'!M63))</f>
        <v/>
      </c>
      <c r="Q223" s="17" t="str">
        <f>IF('Classe CI'!$B63="","",IF('Classe CI'!Q63="","",'Classe CI'!Q63))</f>
        <v/>
      </c>
      <c r="R223" s="18" t="str">
        <f>IF('Classe CI'!$B63="","",N('Classe CI'!N63))</f>
        <v/>
      </c>
      <c r="S223" s="18" t="str">
        <f>IF('Classe CI'!$B63="","",N('Classe CI'!O63))</f>
        <v/>
      </c>
      <c r="T223" s="18" t="str">
        <f>IF('Classe CI'!$B63="","",N('Classe CI'!P63))</f>
        <v/>
      </c>
    </row>
    <row r="224">
      <c r="A224" s="20" t="str">
        <f>IF('Classe CI'!$B64="","",IF('Classe CI'!A64="","",'Classe CI'!A64))</f>
        <v/>
      </c>
      <c r="B224" s="20" t="str">
        <f>IF('Classe CI'!$B64="","",IF('Classe CI'!B64="","",'Classe CI'!B64))</f>
        <v/>
      </c>
      <c r="C224" s="20" t="str">
        <f>IF('Classe CI'!$B64="","",IF('Classe CI'!C64="","",'Classe CI'!C64))</f>
        <v/>
      </c>
      <c r="D224" s="20" t="str">
        <f>IF($B224="","",C224&amp;" "&amp;B224&amp;" - "&amp;E224)</f>
        <v/>
      </c>
      <c r="E224" s="21" t="str">
        <f>IF($B224="","",Paramètres!$A$17)</f>
        <v/>
      </c>
      <c r="F224" s="21" t="str">
        <f>IF($B224="","",Paramètres!$B$17)</f>
        <v/>
      </c>
      <c r="G224" s="21" t="str">
        <f>IF('Classe CI'!$B64="","",IF('Classe CI'!D64="","",'Classe CI'!D64))</f>
        <v/>
      </c>
      <c r="H224" s="77" t="str">
        <f>IF('Classe CI'!$B64="","",IF('Classe CI'!E64="","",'Classe CI'!E64))</f>
        <v/>
      </c>
      <c r="I224" s="20" t="str">
        <f>IF('Classe CI'!$B64="","",IF('Classe CI'!F64="","",'Classe CI'!F64))</f>
        <v/>
      </c>
      <c r="J224" s="20" t="str">
        <f>IF('Classe CI'!$B64="","",IF('Classe CI'!G64="","",'Classe CI'!G64))</f>
        <v/>
      </c>
      <c r="K224" s="51" t="str">
        <f>IF('Classe CI'!$B64="","",N('Classe CI'!H64))</f>
        <v/>
      </c>
      <c r="L224" s="51" t="str">
        <f>IF('Classe CI'!$B64="","",N('Classe CI'!I64))</f>
        <v/>
      </c>
      <c r="M224" s="51" t="str">
        <f>IF('Classe CI'!$B64="","",N('Classe CI'!J64))</f>
        <v/>
      </c>
      <c r="N224" s="51" t="str">
        <f>IF('Classe CI'!$B64="","",N('Classe CI'!K64))</f>
        <v/>
      </c>
      <c r="O224" s="51" t="str">
        <f>IF('Classe CI'!$B64="","",N('Classe CI'!L64))</f>
        <v/>
      </c>
      <c r="P224" s="51" t="str">
        <f>IF('Classe CI'!$B64="","",N('Classe CI'!M64))</f>
        <v/>
      </c>
      <c r="Q224" s="21" t="str">
        <f>IF('Classe CI'!$B64="","",IF('Classe CI'!Q64="","",'Classe CI'!Q64))</f>
        <v/>
      </c>
      <c r="R224" s="51" t="str">
        <f>IF('Classe CI'!$B64="","",N('Classe CI'!N64))</f>
        <v/>
      </c>
      <c r="S224" s="51" t="str">
        <f>IF('Classe CI'!$B64="","",N('Classe CI'!O64))</f>
        <v/>
      </c>
      <c r="T224" s="51" t="str">
        <f>IF('Classe CI'!$B64="","",N('Classe CI'!P64))</f>
        <v/>
      </c>
    </row>
    <row r="225">
      <c r="A225" s="16" t="str">
        <f>IF('Classe CI'!$B65="","",IF('Classe CI'!A65="","",'Classe CI'!A65))</f>
        <v/>
      </c>
      <c r="B225" s="16" t="str">
        <f>IF('Classe CI'!$B65="","",IF('Classe CI'!B65="","",'Classe CI'!B65))</f>
        <v/>
      </c>
      <c r="C225" s="16" t="str">
        <f>IF('Classe CI'!$B65="","",IF('Classe CI'!C65="","",'Classe CI'!C65))</f>
        <v/>
      </c>
      <c r="D225" s="16" t="str">
        <f>IF($B225="","",C225&amp;" "&amp;B225&amp;" - "&amp;E225)</f>
        <v/>
      </c>
      <c r="E225" s="17" t="str">
        <f>IF($B225="","",Paramètres!$A$17)</f>
        <v/>
      </c>
      <c r="F225" s="17" t="str">
        <f>IF($B225="","",Paramètres!$B$17)</f>
        <v/>
      </c>
      <c r="G225" s="17" t="str">
        <f>IF('Classe CI'!$B65="","",IF('Classe CI'!D65="","",'Classe CI'!D65))</f>
        <v/>
      </c>
      <c r="H225" s="78" t="str">
        <f>IF('Classe CI'!$B65="","",IF('Classe CI'!E65="","",'Classe CI'!E65))</f>
        <v/>
      </c>
      <c r="I225" s="16" t="str">
        <f>IF('Classe CI'!$B65="","",IF('Classe CI'!F65="","",'Classe CI'!F65))</f>
        <v/>
      </c>
      <c r="J225" s="16" t="str">
        <f>IF('Classe CI'!$B65="","",IF('Classe CI'!G65="","",'Classe CI'!G65))</f>
        <v/>
      </c>
      <c r="K225" s="18" t="str">
        <f>IF('Classe CI'!$B65="","",N('Classe CI'!H65))</f>
        <v/>
      </c>
      <c r="L225" s="18" t="str">
        <f>IF('Classe CI'!$B65="","",N('Classe CI'!I65))</f>
        <v/>
      </c>
      <c r="M225" s="18" t="str">
        <f>IF('Classe CI'!$B65="","",N('Classe CI'!J65))</f>
        <v/>
      </c>
      <c r="N225" s="18" t="str">
        <f>IF('Classe CI'!$B65="","",N('Classe CI'!K65))</f>
        <v/>
      </c>
      <c r="O225" s="18" t="str">
        <f>IF('Classe CI'!$B65="","",N('Classe CI'!L65))</f>
        <v/>
      </c>
      <c r="P225" s="18" t="str">
        <f>IF('Classe CI'!$B65="","",N('Classe CI'!M65))</f>
        <v/>
      </c>
      <c r="Q225" s="17" t="str">
        <f>IF('Classe CI'!$B65="","",IF('Classe CI'!Q65="","",'Classe CI'!Q65))</f>
        <v/>
      </c>
      <c r="R225" s="18" t="str">
        <f>IF('Classe CI'!$B65="","",N('Classe CI'!N65))</f>
        <v/>
      </c>
      <c r="S225" s="18" t="str">
        <f>IF('Classe CI'!$B65="","",N('Classe CI'!O65))</f>
        <v/>
      </c>
      <c r="T225" s="18" t="str">
        <f>IF('Classe CI'!$B65="","",N('Classe CI'!P65))</f>
        <v/>
      </c>
    </row>
    <row r="226">
      <c r="A226" s="20" t="str">
        <f>IF('Classe CI'!$B66="","",IF('Classe CI'!A66="","",'Classe CI'!A66))</f>
        <v/>
      </c>
      <c r="B226" s="20" t="str">
        <f>IF('Classe CI'!$B66="","",IF('Classe CI'!B66="","",'Classe CI'!B66))</f>
        <v/>
      </c>
      <c r="C226" s="20" t="str">
        <f>IF('Classe CI'!$B66="","",IF('Classe CI'!C66="","",'Classe CI'!C66))</f>
        <v/>
      </c>
      <c r="D226" s="20" t="str">
        <f>IF($B226="","",C226&amp;" "&amp;B226&amp;" - "&amp;E226)</f>
        <v/>
      </c>
      <c r="E226" s="21" t="str">
        <f>IF($B226="","",Paramètres!$A$17)</f>
        <v/>
      </c>
      <c r="F226" s="21" t="str">
        <f>IF($B226="","",Paramètres!$B$17)</f>
        <v/>
      </c>
      <c r="G226" s="21" t="str">
        <f>IF('Classe CI'!$B66="","",IF('Classe CI'!D66="","",'Classe CI'!D66))</f>
        <v/>
      </c>
      <c r="H226" s="77" t="str">
        <f>IF('Classe CI'!$B66="","",IF('Classe CI'!E66="","",'Classe CI'!E66))</f>
        <v/>
      </c>
      <c r="I226" s="20" t="str">
        <f>IF('Classe CI'!$B66="","",IF('Classe CI'!F66="","",'Classe CI'!F66))</f>
        <v/>
      </c>
      <c r="J226" s="20" t="str">
        <f>IF('Classe CI'!$B66="","",IF('Classe CI'!G66="","",'Classe CI'!G66))</f>
        <v/>
      </c>
      <c r="K226" s="51" t="str">
        <f>IF('Classe CI'!$B66="","",N('Classe CI'!H66))</f>
        <v/>
      </c>
      <c r="L226" s="51" t="str">
        <f>IF('Classe CI'!$B66="","",N('Classe CI'!I66))</f>
        <v/>
      </c>
      <c r="M226" s="51" t="str">
        <f>IF('Classe CI'!$B66="","",N('Classe CI'!J66))</f>
        <v/>
      </c>
      <c r="N226" s="51" t="str">
        <f>IF('Classe CI'!$B66="","",N('Classe CI'!K66))</f>
        <v/>
      </c>
      <c r="O226" s="51" t="str">
        <f>IF('Classe CI'!$B66="","",N('Classe CI'!L66))</f>
        <v/>
      </c>
      <c r="P226" s="51" t="str">
        <f>IF('Classe CI'!$B66="","",N('Classe CI'!M66))</f>
        <v/>
      </c>
      <c r="Q226" s="21" t="str">
        <f>IF('Classe CI'!$B66="","",IF('Classe CI'!Q66="","",'Classe CI'!Q66))</f>
        <v/>
      </c>
      <c r="R226" s="51" t="str">
        <f>IF('Classe CI'!$B66="","",N('Classe CI'!N66))</f>
        <v/>
      </c>
      <c r="S226" s="51" t="str">
        <f>IF('Classe CI'!$B66="","",N('Classe CI'!O66))</f>
        <v/>
      </c>
      <c r="T226" s="51" t="str">
        <f>IF('Classe CI'!$B66="","",N('Classe CI'!P66))</f>
        <v/>
      </c>
    </row>
    <row r="227">
      <c r="A227" s="16" t="str">
        <f>IF('Classe CI'!$B67="","",IF('Classe CI'!A67="","",'Classe CI'!A67))</f>
        <v/>
      </c>
      <c r="B227" s="16" t="str">
        <f>IF('Classe CI'!$B67="","",IF('Classe CI'!B67="","",'Classe CI'!B67))</f>
        <v/>
      </c>
      <c r="C227" s="16" t="str">
        <f>IF('Classe CI'!$B67="","",IF('Classe CI'!C67="","",'Classe CI'!C67))</f>
        <v/>
      </c>
      <c r="D227" s="16" t="str">
        <f>IF($B227="","",C227&amp;" "&amp;B227&amp;" - "&amp;E227)</f>
        <v/>
      </c>
      <c r="E227" s="17" t="str">
        <f>IF($B227="","",Paramètres!$A$17)</f>
        <v/>
      </c>
      <c r="F227" s="17" t="str">
        <f>IF($B227="","",Paramètres!$B$17)</f>
        <v/>
      </c>
      <c r="G227" s="17" t="str">
        <f>IF('Classe CI'!$B67="","",IF('Classe CI'!D67="","",'Classe CI'!D67))</f>
        <v/>
      </c>
      <c r="H227" s="78" t="str">
        <f>IF('Classe CI'!$B67="","",IF('Classe CI'!E67="","",'Classe CI'!E67))</f>
        <v/>
      </c>
      <c r="I227" s="16" t="str">
        <f>IF('Classe CI'!$B67="","",IF('Classe CI'!F67="","",'Classe CI'!F67))</f>
        <v/>
      </c>
      <c r="J227" s="16" t="str">
        <f>IF('Classe CI'!$B67="","",IF('Classe CI'!G67="","",'Classe CI'!G67))</f>
        <v/>
      </c>
      <c r="K227" s="18" t="str">
        <f>IF('Classe CI'!$B67="","",N('Classe CI'!H67))</f>
        <v/>
      </c>
      <c r="L227" s="18" t="str">
        <f>IF('Classe CI'!$B67="","",N('Classe CI'!I67))</f>
        <v/>
      </c>
      <c r="M227" s="18" t="str">
        <f>IF('Classe CI'!$B67="","",N('Classe CI'!J67))</f>
        <v/>
      </c>
      <c r="N227" s="18" t="str">
        <f>IF('Classe CI'!$B67="","",N('Classe CI'!K67))</f>
        <v/>
      </c>
      <c r="O227" s="18" t="str">
        <f>IF('Classe CI'!$B67="","",N('Classe CI'!L67))</f>
        <v/>
      </c>
      <c r="P227" s="18" t="str">
        <f>IF('Classe CI'!$B67="","",N('Classe CI'!M67))</f>
        <v/>
      </c>
      <c r="Q227" s="17" t="str">
        <f>IF('Classe CI'!$B67="","",IF('Classe CI'!Q67="","",'Classe CI'!Q67))</f>
        <v/>
      </c>
      <c r="R227" s="18" t="str">
        <f>IF('Classe CI'!$B67="","",N('Classe CI'!N67))</f>
        <v/>
      </c>
      <c r="S227" s="18" t="str">
        <f>IF('Classe CI'!$B67="","",N('Classe CI'!O67))</f>
        <v/>
      </c>
      <c r="T227" s="18" t="str">
        <f>IF('Classe CI'!$B67="","",N('Classe CI'!P67))</f>
        <v/>
      </c>
    </row>
    <row r="228">
      <c r="A228" s="20" t="str">
        <f>IF('Classe CI'!$B68="","",IF('Classe CI'!A68="","",'Classe CI'!A68))</f>
        <v/>
      </c>
      <c r="B228" s="20" t="str">
        <f>IF('Classe CI'!$B68="","",IF('Classe CI'!B68="","",'Classe CI'!B68))</f>
        <v/>
      </c>
      <c r="C228" s="20" t="str">
        <f>IF('Classe CI'!$B68="","",IF('Classe CI'!C68="","",'Classe CI'!C68))</f>
        <v/>
      </c>
      <c r="D228" s="20" t="str">
        <f>IF($B228="","",C228&amp;" "&amp;B228&amp;" - "&amp;E228)</f>
        <v/>
      </c>
      <c r="E228" s="21" t="str">
        <f>IF($B228="","",Paramètres!$A$17)</f>
        <v/>
      </c>
      <c r="F228" s="21" t="str">
        <f>IF($B228="","",Paramètres!$B$17)</f>
        <v/>
      </c>
      <c r="G228" s="21" t="str">
        <f>IF('Classe CI'!$B68="","",IF('Classe CI'!D68="","",'Classe CI'!D68))</f>
        <v/>
      </c>
      <c r="H228" s="77" t="str">
        <f>IF('Classe CI'!$B68="","",IF('Classe CI'!E68="","",'Classe CI'!E68))</f>
        <v/>
      </c>
      <c r="I228" s="20" t="str">
        <f>IF('Classe CI'!$B68="","",IF('Classe CI'!F68="","",'Classe CI'!F68))</f>
        <v/>
      </c>
      <c r="J228" s="20" t="str">
        <f>IF('Classe CI'!$B68="","",IF('Classe CI'!G68="","",'Classe CI'!G68))</f>
        <v/>
      </c>
      <c r="K228" s="51" t="str">
        <f>IF('Classe CI'!$B68="","",N('Classe CI'!H68))</f>
        <v/>
      </c>
      <c r="L228" s="51" t="str">
        <f>IF('Classe CI'!$B68="","",N('Classe CI'!I68))</f>
        <v/>
      </c>
      <c r="M228" s="51" t="str">
        <f>IF('Classe CI'!$B68="","",N('Classe CI'!J68))</f>
        <v/>
      </c>
      <c r="N228" s="51" t="str">
        <f>IF('Classe CI'!$B68="","",N('Classe CI'!K68))</f>
        <v/>
      </c>
      <c r="O228" s="51" t="str">
        <f>IF('Classe CI'!$B68="","",N('Classe CI'!L68))</f>
        <v/>
      </c>
      <c r="P228" s="51" t="str">
        <f>IF('Classe CI'!$B68="","",N('Classe CI'!M68))</f>
        <v/>
      </c>
      <c r="Q228" s="21" t="str">
        <f>IF('Classe CI'!$B68="","",IF('Classe CI'!Q68="","",'Classe CI'!Q68))</f>
        <v/>
      </c>
      <c r="R228" s="51" t="str">
        <f>IF('Classe CI'!$B68="","",N('Classe CI'!N68))</f>
        <v/>
      </c>
      <c r="S228" s="51" t="str">
        <f>IF('Classe CI'!$B68="","",N('Classe CI'!O68))</f>
        <v/>
      </c>
      <c r="T228" s="51" t="str">
        <f>IF('Classe CI'!$B68="","",N('Classe CI'!P68))</f>
        <v/>
      </c>
    </row>
    <row r="229">
      <c r="A229" s="16" t="str">
        <f>IF('Classe CI'!$B69="","",IF('Classe CI'!A69="","",'Classe CI'!A69))</f>
        <v/>
      </c>
      <c r="B229" s="16" t="str">
        <f>IF('Classe CI'!$B69="","",IF('Classe CI'!B69="","",'Classe CI'!B69))</f>
        <v/>
      </c>
      <c r="C229" s="16" t="str">
        <f>IF('Classe CI'!$B69="","",IF('Classe CI'!C69="","",'Classe CI'!C69))</f>
        <v/>
      </c>
      <c r="D229" s="16" t="str">
        <f>IF($B229="","",C229&amp;" "&amp;B229&amp;" - "&amp;E229)</f>
        <v/>
      </c>
      <c r="E229" s="17" t="str">
        <f>IF($B229="","",Paramètres!$A$17)</f>
        <v/>
      </c>
      <c r="F229" s="17" t="str">
        <f>IF($B229="","",Paramètres!$B$17)</f>
        <v/>
      </c>
      <c r="G229" s="17" t="str">
        <f>IF('Classe CI'!$B69="","",IF('Classe CI'!D69="","",'Classe CI'!D69))</f>
        <v/>
      </c>
      <c r="H229" s="78" t="str">
        <f>IF('Classe CI'!$B69="","",IF('Classe CI'!E69="","",'Classe CI'!E69))</f>
        <v/>
      </c>
      <c r="I229" s="16" t="str">
        <f>IF('Classe CI'!$B69="","",IF('Classe CI'!F69="","",'Classe CI'!F69))</f>
        <v/>
      </c>
      <c r="J229" s="16" t="str">
        <f>IF('Classe CI'!$B69="","",IF('Classe CI'!G69="","",'Classe CI'!G69))</f>
        <v/>
      </c>
      <c r="K229" s="18" t="str">
        <f>IF('Classe CI'!$B69="","",N('Classe CI'!H69))</f>
        <v/>
      </c>
      <c r="L229" s="18" t="str">
        <f>IF('Classe CI'!$B69="","",N('Classe CI'!I69))</f>
        <v/>
      </c>
      <c r="M229" s="18" t="str">
        <f>IF('Classe CI'!$B69="","",N('Classe CI'!J69))</f>
        <v/>
      </c>
      <c r="N229" s="18" t="str">
        <f>IF('Classe CI'!$B69="","",N('Classe CI'!K69))</f>
        <v/>
      </c>
      <c r="O229" s="18" t="str">
        <f>IF('Classe CI'!$B69="","",N('Classe CI'!L69))</f>
        <v/>
      </c>
      <c r="P229" s="18" t="str">
        <f>IF('Classe CI'!$B69="","",N('Classe CI'!M69))</f>
        <v/>
      </c>
      <c r="Q229" s="17" t="str">
        <f>IF('Classe CI'!$B69="","",IF('Classe CI'!Q69="","",'Classe CI'!Q69))</f>
        <v/>
      </c>
      <c r="R229" s="18" t="str">
        <f>IF('Classe CI'!$B69="","",N('Classe CI'!N69))</f>
        <v/>
      </c>
      <c r="S229" s="18" t="str">
        <f>IF('Classe CI'!$B69="","",N('Classe CI'!O69))</f>
        <v/>
      </c>
      <c r="T229" s="18" t="str">
        <f>IF('Classe CI'!$B69="","",N('Classe CI'!P69))</f>
        <v/>
      </c>
    </row>
    <row r="230">
      <c r="A230" s="20" t="str">
        <f>IF('Classe CI'!$B70="","",IF('Classe CI'!A70="","",'Classe CI'!A70))</f>
        <v/>
      </c>
      <c r="B230" s="20" t="str">
        <f>IF('Classe CI'!$B70="","",IF('Classe CI'!B70="","",'Classe CI'!B70))</f>
        <v/>
      </c>
      <c r="C230" s="20" t="str">
        <f>IF('Classe CI'!$B70="","",IF('Classe CI'!C70="","",'Classe CI'!C70))</f>
        <v/>
      </c>
      <c r="D230" s="20" t="str">
        <f>IF($B230="","",C230&amp;" "&amp;B230&amp;" - "&amp;E230)</f>
        <v/>
      </c>
      <c r="E230" s="21" t="str">
        <f>IF($B230="","",Paramètres!$A$17)</f>
        <v/>
      </c>
      <c r="F230" s="21" t="str">
        <f>IF($B230="","",Paramètres!$B$17)</f>
        <v/>
      </c>
      <c r="G230" s="21" t="str">
        <f>IF('Classe CI'!$B70="","",IF('Classe CI'!D70="","",'Classe CI'!D70))</f>
        <v/>
      </c>
      <c r="H230" s="77" t="str">
        <f>IF('Classe CI'!$B70="","",IF('Classe CI'!E70="","",'Classe CI'!E70))</f>
        <v/>
      </c>
      <c r="I230" s="20" t="str">
        <f>IF('Classe CI'!$B70="","",IF('Classe CI'!F70="","",'Classe CI'!F70))</f>
        <v/>
      </c>
      <c r="J230" s="20" t="str">
        <f>IF('Classe CI'!$B70="","",IF('Classe CI'!G70="","",'Classe CI'!G70))</f>
        <v/>
      </c>
      <c r="K230" s="51" t="str">
        <f>IF('Classe CI'!$B70="","",N('Classe CI'!H70))</f>
        <v/>
      </c>
      <c r="L230" s="51" t="str">
        <f>IF('Classe CI'!$B70="","",N('Classe CI'!I70))</f>
        <v/>
      </c>
      <c r="M230" s="51" t="str">
        <f>IF('Classe CI'!$B70="","",N('Classe CI'!J70))</f>
        <v/>
      </c>
      <c r="N230" s="51" t="str">
        <f>IF('Classe CI'!$B70="","",N('Classe CI'!K70))</f>
        <v/>
      </c>
      <c r="O230" s="51" t="str">
        <f>IF('Classe CI'!$B70="","",N('Classe CI'!L70))</f>
        <v/>
      </c>
      <c r="P230" s="51" t="str">
        <f>IF('Classe CI'!$B70="","",N('Classe CI'!M70))</f>
        <v/>
      </c>
      <c r="Q230" s="21" t="str">
        <f>IF('Classe CI'!$B70="","",IF('Classe CI'!Q70="","",'Classe CI'!Q70))</f>
        <v/>
      </c>
      <c r="R230" s="51" t="str">
        <f>IF('Classe CI'!$B70="","",N('Classe CI'!N70))</f>
        <v/>
      </c>
      <c r="S230" s="51" t="str">
        <f>IF('Classe CI'!$B70="","",N('Classe CI'!O70))</f>
        <v/>
      </c>
      <c r="T230" s="51" t="str">
        <f>IF('Classe CI'!$B70="","",N('Classe CI'!P70))</f>
        <v/>
      </c>
    </row>
    <row r="231">
      <c r="A231" s="16" t="str">
        <f>IF('Classe CI'!$B71="","",IF('Classe CI'!A71="","",'Classe CI'!A71))</f>
        <v/>
      </c>
      <c r="B231" s="16" t="str">
        <f>IF('Classe CI'!$B71="","",IF('Classe CI'!B71="","",'Classe CI'!B71))</f>
        <v/>
      </c>
      <c r="C231" s="16" t="str">
        <f>IF('Classe CI'!$B71="","",IF('Classe CI'!C71="","",'Classe CI'!C71))</f>
        <v/>
      </c>
      <c r="D231" s="16" t="str">
        <f>IF($B231="","",C231&amp;" "&amp;B231&amp;" - "&amp;E231)</f>
        <v/>
      </c>
      <c r="E231" s="17" t="str">
        <f>IF($B231="","",Paramètres!$A$17)</f>
        <v/>
      </c>
      <c r="F231" s="17" t="str">
        <f>IF($B231="","",Paramètres!$B$17)</f>
        <v/>
      </c>
      <c r="G231" s="17" t="str">
        <f>IF('Classe CI'!$B71="","",IF('Classe CI'!D71="","",'Classe CI'!D71))</f>
        <v/>
      </c>
      <c r="H231" s="78" t="str">
        <f>IF('Classe CI'!$B71="","",IF('Classe CI'!E71="","",'Classe CI'!E71))</f>
        <v/>
      </c>
      <c r="I231" s="16" t="str">
        <f>IF('Classe CI'!$B71="","",IF('Classe CI'!F71="","",'Classe CI'!F71))</f>
        <v/>
      </c>
      <c r="J231" s="16" t="str">
        <f>IF('Classe CI'!$B71="","",IF('Classe CI'!G71="","",'Classe CI'!G71))</f>
        <v/>
      </c>
      <c r="K231" s="18" t="str">
        <f>IF('Classe CI'!$B71="","",N('Classe CI'!H71))</f>
        <v/>
      </c>
      <c r="L231" s="18" t="str">
        <f>IF('Classe CI'!$B71="","",N('Classe CI'!I71))</f>
        <v/>
      </c>
      <c r="M231" s="18" t="str">
        <f>IF('Classe CI'!$B71="","",N('Classe CI'!J71))</f>
        <v/>
      </c>
      <c r="N231" s="18" t="str">
        <f>IF('Classe CI'!$B71="","",N('Classe CI'!K71))</f>
        <v/>
      </c>
      <c r="O231" s="18" t="str">
        <f>IF('Classe CI'!$B71="","",N('Classe CI'!L71))</f>
        <v/>
      </c>
      <c r="P231" s="18" t="str">
        <f>IF('Classe CI'!$B71="","",N('Classe CI'!M71))</f>
        <v/>
      </c>
      <c r="Q231" s="17" t="str">
        <f>IF('Classe CI'!$B71="","",IF('Classe CI'!Q71="","",'Classe CI'!Q71))</f>
        <v/>
      </c>
      <c r="R231" s="18" t="str">
        <f>IF('Classe CI'!$B71="","",N('Classe CI'!N71))</f>
        <v/>
      </c>
      <c r="S231" s="18" t="str">
        <f>IF('Classe CI'!$B71="","",N('Classe CI'!O71))</f>
        <v/>
      </c>
      <c r="T231" s="18" t="str">
        <f>IF('Classe CI'!$B71="","",N('Classe CI'!P71))</f>
        <v/>
      </c>
    </row>
    <row r="232">
      <c r="A232" s="20" t="str">
        <f>IF('Classe CI'!$B72="","",IF('Classe CI'!A72="","",'Classe CI'!A72))</f>
        <v/>
      </c>
      <c r="B232" s="20" t="str">
        <f>IF('Classe CI'!$B72="","",IF('Classe CI'!B72="","",'Classe CI'!B72))</f>
        <v/>
      </c>
      <c r="C232" s="20" t="str">
        <f>IF('Classe CI'!$B72="","",IF('Classe CI'!C72="","",'Classe CI'!C72))</f>
        <v/>
      </c>
      <c r="D232" s="20" t="str">
        <f>IF($B232="","",C232&amp;" "&amp;B232&amp;" - "&amp;E232)</f>
        <v/>
      </c>
      <c r="E232" s="21" t="str">
        <f>IF($B232="","",Paramètres!$A$17)</f>
        <v/>
      </c>
      <c r="F232" s="21" t="str">
        <f>IF($B232="","",Paramètres!$B$17)</f>
        <v/>
      </c>
      <c r="G232" s="21" t="str">
        <f>IF('Classe CI'!$B72="","",IF('Classe CI'!D72="","",'Classe CI'!D72))</f>
        <v/>
      </c>
      <c r="H232" s="77" t="str">
        <f>IF('Classe CI'!$B72="","",IF('Classe CI'!E72="","",'Classe CI'!E72))</f>
        <v/>
      </c>
      <c r="I232" s="20" t="str">
        <f>IF('Classe CI'!$B72="","",IF('Classe CI'!F72="","",'Classe CI'!F72))</f>
        <v/>
      </c>
      <c r="J232" s="20" t="str">
        <f>IF('Classe CI'!$B72="","",IF('Classe CI'!G72="","",'Classe CI'!G72))</f>
        <v/>
      </c>
      <c r="K232" s="51" t="str">
        <f>IF('Classe CI'!$B72="","",N('Classe CI'!H72))</f>
        <v/>
      </c>
      <c r="L232" s="51" t="str">
        <f>IF('Classe CI'!$B72="","",N('Classe CI'!I72))</f>
        <v/>
      </c>
      <c r="M232" s="51" t="str">
        <f>IF('Classe CI'!$B72="","",N('Classe CI'!J72))</f>
        <v/>
      </c>
      <c r="N232" s="51" t="str">
        <f>IF('Classe CI'!$B72="","",N('Classe CI'!K72))</f>
        <v/>
      </c>
      <c r="O232" s="51" t="str">
        <f>IF('Classe CI'!$B72="","",N('Classe CI'!L72))</f>
        <v/>
      </c>
      <c r="P232" s="51" t="str">
        <f>IF('Classe CI'!$B72="","",N('Classe CI'!M72))</f>
        <v/>
      </c>
      <c r="Q232" s="21" t="str">
        <f>IF('Classe CI'!$B72="","",IF('Classe CI'!Q72="","",'Classe CI'!Q72))</f>
        <v/>
      </c>
      <c r="R232" s="51" t="str">
        <f>IF('Classe CI'!$B72="","",N('Classe CI'!N72))</f>
        <v/>
      </c>
      <c r="S232" s="51" t="str">
        <f>IF('Classe CI'!$B72="","",N('Classe CI'!O72))</f>
        <v/>
      </c>
      <c r="T232" s="51" t="str">
        <f>IF('Classe CI'!$B72="","",N('Classe CI'!P72))</f>
        <v/>
      </c>
    </row>
    <row r="233">
      <c r="A233" s="16" t="str">
        <f>IF('Classe CI'!$B73="","",IF('Classe CI'!A73="","",'Classe CI'!A73))</f>
        <v/>
      </c>
      <c r="B233" s="16" t="str">
        <f>IF('Classe CI'!$B73="","",IF('Classe CI'!B73="","",'Classe CI'!B73))</f>
        <v/>
      </c>
      <c r="C233" s="16" t="str">
        <f>IF('Classe CI'!$B73="","",IF('Classe CI'!C73="","",'Classe CI'!C73))</f>
        <v/>
      </c>
      <c r="D233" s="16" t="str">
        <f>IF($B233="","",C233&amp;" "&amp;B233&amp;" - "&amp;E233)</f>
        <v/>
      </c>
      <c r="E233" s="17" t="str">
        <f>IF($B233="","",Paramètres!$A$17)</f>
        <v/>
      </c>
      <c r="F233" s="17" t="str">
        <f>IF($B233="","",Paramètres!$B$17)</f>
        <v/>
      </c>
      <c r="G233" s="17" t="str">
        <f>IF('Classe CI'!$B73="","",IF('Classe CI'!D73="","",'Classe CI'!D73))</f>
        <v/>
      </c>
      <c r="H233" s="78" t="str">
        <f>IF('Classe CI'!$B73="","",IF('Classe CI'!E73="","",'Classe CI'!E73))</f>
        <v/>
      </c>
      <c r="I233" s="16" t="str">
        <f>IF('Classe CI'!$B73="","",IF('Classe CI'!F73="","",'Classe CI'!F73))</f>
        <v/>
      </c>
      <c r="J233" s="16" t="str">
        <f>IF('Classe CI'!$B73="","",IF('Classe CI'!G73="","",'Classe CI'!G73))</f>
        <v/>
      </c>
      <c r="K233" s="18" t="str">
        <f>IF('Classe CI'!$B73="","",N('Classe CI'!H73))</f>
        <v/>
      </c>
      <c r="L233" s="18" t="str">
        <f>IF('Classe CI'!$B73="","",N('Classe CI'!I73))</f>
        <v/>
      </c>
      <c r="M233" s="18" t="str">
        <f>IF('Classe CI'!$B73="","",N('Classe CI'!J73))</f>
        <v/>
      </c>
      <c r="N233" s="18" t="str">
        <f>IF('Classe CI'!$B73="","",N('Classe CI'!K73))</f>
        <v/>
      </c>
      <c r="O233" s="18" t="str">
        <f>IF('Classe CI'!$B73="","",N('Classe CI'!L73))</f>
        <v/>
      </c>
      <c r="P233" s="18" t="str">
        <f>IF('Classe CI'!$B73="","",N('Classe CI'!M73))</f>
        <v/>
      </c>
      <c r="Q233" s="17" t="str">
        <f>IF('Classe CI'!$B73="","",IF('Classe CI'!Q73="","",'Classe CI'!Q73))</f>
        <v/>
      </c>
      <c r="R233" s="18" t="str">
        <f>IF('Classe CI'!$B73="","",N('Classe CI'!N73))</f>
        <v/>
      </c>
      <c r="S233" s="18" t="str">
        <f>IF('Classe CI'!$B73="","",N('Classe CI'!O73))</f>
        <v/>
      </c>
      <c r="T233" s="18" t="str">
        <f>IF('Classe CI'!$B73="","",N('Classe CI'!P73))</f>
        <v/>
      </c>
    </row>
    <row r="234">
      <c r="A234" s="20" t="str">
        <f>IF('Classe CI'!$B74="","",IF('Classe CI'!A74="","",'Classe CI'!A74))</f>
        <v/>
      </c>
      <c r="B234" s="20" t="str">
        <f>IF('Classe CI'!$B74="","",IF('Classe CI'!B74="","",'Classe CI'!B74))</f>
        <v/>
      </c>
      <c r="C234" s="20" t="str">
        <f>IF('Classe CI'!$B74="","",IF('Classe CI'!C74="","",'Classe CI'!C74))</f>
        <v/>
      </c>
      <c r="D234" s="20" t="str">
        <f>IF($B234="","",C234&amp;" "&amp;B234&amp;" - "&amp;E234)</f>
        <v/>
      </c>
      <c r="E234" s="21" t="str">
        <f>IF($B234="","",Paramètres!$A$17)</f>
        <v/>
      </c>
      <c r="F234" s="21" t="str">
        <f>IF($B234="","",Paramètres!$B$17)</f>
        <v/>
      </c>
      <c r="G234" s="21" t="str">
        <f>IF('Classe CI'!$B74="","",IF('Classe CI'!D74="","",'Classe CI'!D74))</f>
        <v/>
      </c>
      <c r="H234" s="77" t="str">
        <f>IF('Classe CI'!$B74="","",IF('Classe CI'!E74="","",'Classe CI'!E74))</f>
        <v/>
      </c>
      <c r="I234" s="20" t="str">
        <f>IF('Classe CI'!$B74="","",IF('Classe CI'!F74="","",'Classe CI'!F74))</f>
        <v/>
      </c>
      <c r="J234" s="20" t="str">
        <f>IF('Classe CI'!$B74="","",IF('Classe CI'!G74="","",'Classe CI'!G74))</f>
        <v/>
      </c>
      <c r="K234" s="51" t="str">
        <f>IF('Classe CI'!$B74="","",N('Classe CI'!H74))</f>
        <v/>
      </c>
      <c r="L234" s="51" t="str">
        <f>IF('Classe CI'!$B74="","",N('Classe CI'!I74))</f>
        <v/>
      </c>
      <c r="M234" s="51" t="str">
        <f>IF('Classe CI'!$B74="","",N('Classe CI'!J74))</f>
        <v/>
      </c>
      <c r="N234" s="51" t="str">
        <f>IF('Classe CI'!$B74="","",N('Classe CI'!K74))</f>
        <v/>
      </c>
      <c r="O234" s="51" t="str">
        <f>IF('Classe CI'!$B74="","",N('Classe CI'!L74))</f>
        <v/>
      </c>
      <c r="P234" s="51" t="str">
        <f>IF('Classe CI'!$B74="","",N('Classe CI'!M74))</f>
        <v/>
      </c>
      <c r="Q234" s="21" t="str">
        <f>IF('Classe CI'!$B74="","",IF('Classe CI'!Q74="","",'Classe CI'!Q74))</f>
        <v/>
      </c>
      <c r="R234" s="51" t="str">
        <f>IF('Classe CI'!$B74="","",N('Classe CI'!N74))</f>
        <v/>
      </c>
      <c r="S234" s="51" t="str">
        <f>IF('Classe CI'!$B74="","",N('Classe CI'!O74))</f>
        <v/>
      </c>
      <c r="T234" s="51" t="str">
        <f>IF('Classe CI'!$B74="","",N('Classe CI'!P74))</f>
        <v/>
      </c>
    </row>
    <row r="235">
      <c r="A235" s="16" t="str">
        <f>IF('Classe CI'!$B75="","",IF('Classe CI'!A75="","",'Classe CI'!A75))</f>
        <v/>
      </c>
      <c r="B235" s="16" t="str">
        <f>IF('Classe CI'!$B75="","",IF('Classe CI'!B75="","",'Classe CI'!B75))</f>
        <v/>
      </c>
      <c r="C235" s="16" t="str">
        <f>IF('Classe CI'!$B75="","",IF('Classe CI'!C75="","",'Classe CI'!C75))</f>
        <v/>
      </c>
      <c r="D235" s="16" t="str">
        <f>IF($B235="","",C235&amp;" "&amp;B235&amp;" - "&amp;E235)</f>
        <v/>
      </c>
      <c r="E235" s="17" t="str">
        <f>IF($B235="","",Paramètres!$A$17)</f>
        <v/>
      </c>
      <c r="F235" s="17" t="str">
        <f>IF($B235="","",Paramètres!$B$17)</f>
        <v/>
      </c>
      <c r="G235" s="17" t="str">
        <f>IF('Classe CI'!$B75="","",IF('Classe CI'!D75="","",'Classe CI'!D75))</f>
        <v/>
      </c>
      <c r="H235" s="78" t="str">
        <f>IF('Classe CI'!$B75="","",IF('Classe CI'!E75="","",'Classe CI'!E75))</f>
        <v/>
      </c>
      <c r="I235" s="16" t="str">
        <f>IF('Classe CI'!$B75="","",IF('Classe CI'!F75="","",'Classe CI'!F75))</f>
        <v/>
      </c>
      <c r="J235" s="16" t="str">
        <f>IF('Classe CI'!$B75="","",IF('Classe CI'!G75="","",'Classe CI'!G75))</f>
        <v/>
      </c>
      <c r="K235" s="18" t="str">
        <f>IF('Classe CI'!$B75="","",N('Classe CI'!H75))</f>
        <v/>
      </c>
      <c r="L235" s="18" t="str">
        <f>IF('Classe CI'!$B75="","",N('Classe CI'!I75))</f>
        <v/>
      </c>
      <c r="M235" s="18" t="str">
        <f>IF('Classe CI'!$B75="","",N('Classe CI'!J75))</f>
        <v/>
      </c>
      <c r="N235" s="18" t="str">
        <f>IF('Classe CI'!$B75="","",N('Classe CI'!K75))</f>
        <v/>
      </c>
      <c r="O235" s="18" t="str">
        <f>IF('Classe CI'!$B75="","",N('Classe CI'!L75))</f>
        <v/>
      </c>
      <c r="P235" s="18" t="str">
        <f>IF('Classe CI'!$B75="","",N('Classe CI'!M75))</f>
        <v/>
      </c>
      <c r="Q235" s="17" t="str">
        <f>IF('Classe CI'!$B75="","",IF('Classe CI'!Q75="","",'Classe CI'!Q75))</f>
        <v/>
      </c>
      <c r="R235" s="18" t="str">
        <f>IF('Classe CI'!$B75="","",N('Classe CI'!N75))</f>
        <v/>
      </c>
      <c r="S235" s="18" t="str">
        <f>IF('Classe CI'!$B75="","",N('Classe CI'!O75))</f>
        <v/>
      </c>
      <c r="T235" s="18" t="str">
        <f>IF('Classe CI'!$B75="","",N('Classe CI'!P75))</f>
        <v/>
      </c>
    </row>
    <row r="236">
      <c r="A236" s="20" t="str">
        <f>IF('Classe CI'!$B76="","",IF('Classe CI'!A76="","",'Classe CI'!A76))</f>
        <v/>
      </c>
      <c r="B236" s="20" t="str">
        <f>IF('Classe CI'!$B76="","",IF('Classe CI'!B76="","",'Classe CI'!B76))</f>
        <v/>
      </c>
      <c r="C236" s="20" t="str">
        <f>IF('Classe CI'!$B76="","",IF('Classe CI'!C76="","",'Classe CI'!C76))</f>
        <v/>
      </c>
      <c r="D236" s="20" t="str">
        <f>IF($B236="","",C236&amp;" "&amp;B236&amp;" - "&amp;E236)</f>
        <v/>
      </c>
      <c r="E236" s="21" t="str">
        <f>IF($B236="","",Paramètres!$A$17)</f>
        <v/>
      </c>
      <c r="F236" s="21" t="str">
        <f>IF($B236="","",Paramètres!$B$17)</f>
        <v/>
      </c>
      <c r="G236" s="21" t="str">
        <f>IF('Classe CI'!$B76="","",IF('Classe CI'!D76="","",'Classe CI'!D76))</f>
        <v/>
      </c>
      <c r="H236" s="77" t="str">
        <f>IF('Classe CI'!$B76="","",IF('Classe CI'!E76="","",'Classe CI'!E76))</f>
        <v/>
      </c>
      <c r="I236" s="20" t="str">
        <f>IF('Classe CI'!$B76="","",IF('Classe CI'!F76="","",'Classe CI'!F76))</f>
        <v/>
      </c>
      <c r="J236" s="20" t="str">
        <f>IF('Classe CI'!$B76="","",IF('Classe CI'!G76="","",'Classe CI'!G76))</f>
        <v/>
      </c>
      <c r="K236" s="51" t="str">
        <f>IF('Classe CI'!$B76="","",N('Classe CI'!H76))</f>
        <v/>
      </c>
      <c r="L236" s="51" t="str">
        <f>IF('Classe CI'!$B76="","",N('Classe CI'!I76))</f>
        <v/>
      </c>
      <c r="M236" s="51" t="str">
        <f>IF('Classe CI'!$B76="","",N('Classe CI'!J76))</f>
        <v/>
      </c>
      <c r="N236" s="51" t="str">
        <f>IF('Classe CI'!$B76="","",N('Classe CI'!K76))</f>
        <v/>
      </c>
      <c r="O236" s="51" t="str">
        <f>IF('Classe CI'!$B76="","",N('Classe CI'!L76))</f>
        <v/>
      </c>
      <c r="P236" s="51" t="str">
        <f>IF('Classe CI'!$B76="","",N('Classe CI'!M76))</f>
        <v/>
      </c>
      <c r="Q236" s="21" t="str">
        <f>IF('Classe CI'!$B76="","",IF('Classe CI'!Q76="","",'Classe CI'!Q76))</f>
        <v/>
      </c>
      <c r="R236" s="51" t="str">
        <f>IF('Classe CI'!$B76="","",N('Classe CI'!N76))</f>
        <v/>
      </c>
      <c r="S236" s="51" t="str">
        <f>IF('Classe CI'!$B76="","",N('Classe CI'!O76))</f>
        <v/>
      </c>
      <c r="T236" s="51" t="str">
        <f>IF('Classe CI'!$B76="","",N('Classe CI'!P76))</f>
        <v/>
      </c>
    </row>
    <row r="237">
      <c r="A237" s="16" t="str">
        <f>IF('Classe CI'!$B77="","",IF('Classe CI'!A77="","",'Classe CI'!A77))</f>
        <v/>
      </c>
      <c r="B237" s="16" t="str">
        <f>IF('Classe CI'!$B77="","",IF('Classe CI'!B77="","",'Classe CI'!B77))</f>
        <v/>
      </c>
      <c r="C237" s="16" t="str">
        <f>IF('Classe CI'!$B77="","",IF('Classe CI'!C77="","",'Classe CI'!C77))</f>
        <v/>
      </c>
      <c r="D237" s="16" t="str">
        <f>IF($B237="","",C237&amp;" "&amp;B237&amp;" - "&amp;E237)</f>
        <v/>
      </c>
      <c r="E237" s="17" t="str">
        <f>IF($B237="","",Paramètres!$A$17)</f>
        <v/>
      </c>
      <c r="F237" s="17" t="str">
        <f>IF($B237="","",Paramètres!$B$17)</f>
        <v/>
      </c>
      <c r="G237" s="17" t="str">
        <f>IF('Classe CI'!$B77="","",IF('Classe CI'!D77="","",'Classe CI'!D77))</f>
        <v/>
      </c>
      <c r="H237" s="78" t="str">
        <f>IF('Classe CI'!$B77="","",IF('Classe CI'!E77="","",'Classe CI'!E77))</f>
        <v/>
      </c>
      <c r="I237" s="16" t="str">
        <f>IF('Classe CI'!$B77="","",IF('Classe CI'!F77="","",'Classe CI'!F77))</f>
        <v/>
      </c>
      <c r="J237" s="16" t="str">
        <f>IF('Classe CI'!$B77="","",IF('Classe CI'!G77="","",'Classe CI'!G77))</f>
        <v/>
      </c>
      <c r="K237" s="18" t="str">
        <f>IF('Classe CI'!$B77="","",N('Classe CI'!H77))</f>
        <v/>
      </c>
      <c r="L237" s="18" t="str">
        <f>IF('Classe CI'!$B77="","",N('Classe CI'!I77))</f>
        <v/>
      </c>
      <c r="M237" s="18" t="str">
        <f>IF('Classe CI'!$B77="","",N('Classe CI'!J77))</f>
        <v/>
      </c>
      <c r="N237" s="18" t="str">
        <f>IF('Classe CI'!$B77="","",N('Classe CI'!K77))</f>
        <v/>
      </c>
      <c r="O237" s="18" t="str">
        <f>IF('Classe CI'!$B77="","",N('Classe CI'!L77))</f>
        <v/>
      </c>
      <c r="P237" s="18" t="str">
        <f>IF('Classe CI'!$B77="","",N('Classe CI'!M77))</f>
        <v/>
      </c>
      <c r="Q237" s="17" t="str">
        <f>IF('Classe CI'!$B77="","",IF('Classe CI'!Q77="","",'Classe CI'!Q77))</f>
        <v/>
      </c>
      <c r="R237" s="18" t="str">
        <f>IF('Classe CI'!$B77="","",N('Classe CI'!N77))</f>
        <v/>
      </c>
      <c r="S237" s="18" t="str">
        <f>IF('Classe CI'!$B77="","",N('Classe CI'!O77))</f>
        <v/>
      </c>
      <c r="T237" s="18" t="str">
        <f>IF('Classe CI'!$B77="","",N('Classe CI'!P77))</f>
        <v/>
      </c>
    </row>
    <row r="238">
      <c r="A238" s="20" t="str">
        <f>IF('Classe CI'!$B78="","",IF('Classe CI'!A78="","",'Classe CI'!A78))</f>
        <v/>
      </c>
      <c r="B238" s="20" t="str">
        <f>IF('Classe CI'!$B78="","",IF('Classe CI'!B78="","",'Classe CI'!B78))</f>
        <v/>
      </c>
      <c r="C238" s="20" t="str">
        <f>IF('Classe CI'!$B78="","",IF('Classe CI'!C78="","",'Classe CI'!C78))</f>
        <v/>
      </c>
      <c r="D238" s="20" t="str">
        <f>IF($B238="","",C238&amp;" "&amp;B238&amp;" - "&amp;E238)</f>
        <v/>
      </c>
      <c r="E238" s="21" t="str">
        <f>IF($B238="","",Paramètres!$A$17)</f>
        <v/>
      </c>
      <c r="F238" s="21" t="str">
        <f>IF($B238="","",Paramètres!$B$17)</f>
        <v/>
      </c>
      <c r="G238" s="21" t="str">
        <f>IF('Classe CI'!$B78="","",IF('Classe CI'!D78="","",'Classe CI'!D78))</f>
        <v/>
      </c>
      <c r="H238" s="77" t="str">
        <f>IF('Classe CI'!$B78="","",IF('Classe CI'!E78="","",'Classe CI'!E78))</f>
        <v/>
      </c>
      <c r="I238" s="20" t="str">
        <f>IF('Classe CI'!$B78="","",IF('Classe CI'!F78="","",'Classe CI'!F78))</f>
        <v/>
      </c>
      <c r="J238" s="20" t="str">
        <f>IF('Classe CI'!$B78="","",IF('Classe CI'!G78="","",'Classe CI'!G78))</f>
        <v/>
      </c>
      <c r="K238" s="51" t="str">
        <f>IF('Classe CI'!$B78="","",N('Classe CI'!H78))</f>
        <v/>
      </c>
      <c r="L238" s="51" t="str">
        <f>IF('Classe CI'!$B78="","",N('Classe CI'!I78))</f>
        <v/>
      </c>
      <c r="M238" s="51" t="str">
        <f>IF('Classe CI'!$B78="","",N('Classe CI'!J78))</f>
        <v/>
      </c>
      <c r="N238" s="51" t="str">
        <f>IF('Classe CI'!$B78="","",N('Classe CI'!K78))</f>
        <v/>
      </c>
      <c r="O238" s="51" t="str">
        <f>IF('Classe CI'!$B78="","",N('Classe CI'!L78))</f>
        <v/>
      </c>
      <c r="P238" s="51" t="str">
        <f>IF('Classe CI'!$B78="","",N('Classe CI'!M78))</f>
        <v/>
      </c>
      <c r="Q238" s="21" t="str">
        <f>IF('Classe CI'!$B78="","",IF('Classe CI'!Q78="","",'Classe CI'!Q78))</f>
        <v/>
      </c>
      <c r="R238" s="51" t="str">
        <f>IF('Classe CI'!$B78="","",N('Classe CI'!N78))</f>
        <v/>
      </c>
      <c r="S238" s="51" t="str">
        <f>IF('Classe CI'!$B78="","",N('Classe CI'!O78))</f>
        <v/>
      </c>
      <c r="T238" s="51" t="str">
        <f>IF('Classe CI'!$B78="","",N('Classe CI'!P78))</f>
        <v/>
      </c>
    </row>
    <row r="239">
      <c r="A239" s="16" t="str">
        <f>IF('Classe CI'!$B79="","",IF('Classe CI'!A79="","",'Classe CI'!A79))</f>
        <v/>
      </c>
      <c r="B239" s="16" t="str">
        <f>IF('Classe CI'!$B79="","",IF('Classe CI'!B79="","",'Classe CI'!B79))</f>
        <v/>
      </c>
      <c r="C239" s="16" t="str">
        <f>IF('Classe CI'!$B79="","",IF('Classe CI'!C79="","",'Classe CI'!C79))</f>
        <v/>
      </c>
      <c r="D239" s="16" t="str">
        <f>IF($B239="","",C239&amp;" "&amp;B239&amp;" - "&amp;E239)</f>
        <v/>
      </c>
      <c r="E239" s="17" t="str">
        <f>IF($B239="","",Paramètres!$A$17)</f>
        <v/>
      </c>
      <c r="F239" s="17" t="str">
        <f>IF($B239="","",Paramètres!$B$17)</f>
        <v/>
      </c>
      <c r="G239" s="17" t="str">
        <f>IF('Classe CI'!$B79="","",IF('Classe CI'!D79="","",'Classe CI'!D79))</f>
        <v/>
      </c>
      <c r="H239" s="78" t="str">
        <f>IF('Classe CI'!$B79="","",IF('Classe CI'!E79="","",'Classe CI'!E79))</f>
        <v/>
      </c>
      <c r="I239" s="16" t="str">
        <f>IF('Classe CI'!$B79="","",IF('Classe CI'!F79="","",'Classe CI'!F79))</f>
        <v/>
      </c>
      <c r="J239" s="16" t="str">
        <f>IF('Classe CI'!$B79="","",IF('Classe CI'!G79="","",'Classe CI'!G79))</f>
        <v/>
      </c>
      <c r="K239" s="18" t="str">
        <f>IF('Classe CI'!$B79="","",N('Classe CI'!H79))</f>
        <v/>
      </c>
      <c r="L239" s="18" t="str">
        <f>IF('Classe CI'!$B79="","",N('Classe CI'!I79))</f>
        <v/>
      </c>
      <c r="M239" s="18" t="str">
        <f>IF('Classe CI'!$B79="","",N('Classe CI'!J79))</f>
        <v/>
      </c>
      <c r="N239" s="18" t="str">
        <f>IF('Classe CI'!$B79="","",N('Classe CI'!K79))</f>
        <v/>
      </c>
      <c r="O239" s="18" t="str">
        <f>IF('Classe CI'!$B79="","",N('Classe CI'!L79))</f>
        <v/>
      </c>
      <c r="P239" s="18" t="str">
        <f>IF('Classe CI'!$B79="","",N('Classe CI'!M79))</f>
        <v/>
      </c>
      <c r="Q239" s="17" t="str">
        <f>IF('Classe CI'!$B79="","",IF('Classe CI'!Q79="","",'Classe CI'!Q79))</f>
        <v/>
      </c>
      <c r="R239" s="18" t="str">
        <f>IF('Classe CI'!$B79="","",N('Classe CI'!N79))</f>
        <v/>
      </c>
      <c r="S239" s="18" t="str">
        <f>IF('Classe CI'!$B79="","",N('Classe CI'!O79))</f>
        <v/>
      </c>
      <c r="T239" s="18" t="str">
        <f>IF('Classe CI'!$B79="","",N('Classe CI'!P79))</f>
        <v/>
      </c>
    </row>
    <row r="240">
      <c r="A240" s="20" t="str">
        <f>IF('Classe CI'!$B80="","",IF('Classe CI'!A80="","",'Classe CI'!A80))</f>
        <v/>
      </c>
      <c r="B240" s="20" t="str">
        <f>IF('Classe CI'!$B80="","",IF('Classe CI'!B80="","",'Classe CI'!B80))</f>
        <v/>
      </c>
      <c r="C240" s="20" t="str">
        <f>IF('Classe CI'!$B80="","",IF('Classe CI'!C80="","",'Classe CI'!C80))</f>
        <v/>
      </c>
      <c r="D240" s="20" t="str">
        <f>IF($B240="","",C240&amp;" "&amp;B240&amp;" - "&amp;E240)</f>
        <v/>
      </c>
      <c r="E240" s="21" t="str">
        <f>IF($B240="","",Paramètres!$A$17)</f>
        <v/>
      </c>
      <c r="F240" s="21" t="str">
        <f>IF($B240="","",Paramètres!$B$17)</f>
        <v/>
      </c>
      <c r="G240" s="21" t="str">
        <f>IF('Classe CI'!$B80="","",IF('Classe CI'!D80="","",'Classe CI'!D80))</f>
        <v/>
      </c>
      <c r="H240" s="77" t="str">
        <f>IF('Classe CI'!$B80="","",IF('Classe CI'!E80="","",'Classe CI'!E80))</f>
        <v/>
      </c>
      <c r="I240" s="20" t="str">
        <f>IF('Classe CI'!$B80="","",IF('Classe CI'!F80="","",'Classe CI'!F80))</f>
        <v/>
      </c>
      <c r="J240" s="20" t="str">
        <f>IF('Classe CI'!$B80="","",IF('Classe CI'!G80="","",'Classe CI'!G80))</f>
        <v/>
      </c>
      <c r="K240" s="51" t="str">
        <f>IF('Classe CI'!$B80="","",N('Classe CI'!H80))</f>
        <v/>
      </c>
      <c r="L240" s="51" t="str">
        <f>IF('Classe CI'!$B80="","",N('Classe CI'!I80))</f>
        <v/>
      </c>
      <c r="M240" s="51" t="str">
        <f>IF('Classe CI'!$B80="","",N('Classe CI'!J80))</f>
        <v/>
      </c>
      <c r="N240" s="51" t="str">
        <f>IF('Classe CI'!$B80="","",N('Classe CI'!K80))</f>
        <v/>
      </c>
      <c r="O240" s="51" t="str">
        <f>IF('Classe CI'!$B80="","",N('Classe CI'!L80))</f>
        <v/>
      </c>
      <c r="P240" s="51" t="str">
        <f>IF('Classe CI'!$B80="","",N('Classe CI'!M80))</f>
        <v/>
      </c>
      <c r="Q240" s="21" t="str">
        <f>IF('Classe CI'!$B80="","",IF('Classe CI'!Q80="","",'Classe CI'!Q80))</f>
        <v/>
      </c>
      <c r="R240" s="51" t="str">
        <f>IF('Classe CI'!$B80="","",N('Classe CI'!N80))</f>
        <v/>
      </c>
      <c r="S240" s="51" t="str">
        <f>IF('Classe CI'!$B80="","",N('Classe CI'!O80))</f>
        <v/>
      </c>
      <c r="T240" s="51" t="str">
        <f>IF('Classe CI'!$B80="","",N('Classe CI'!P80))</f>
        <v/>
      </c>
    </row>
    <row r="241">
      <c r="A241" s="16" t="str">
        <f>IF('Classe CI'!$B81="","",IF('Classe CI'!A81="","",'Classe CI'!A81))</f>
        <v/>
      </c>
      <c r="B241" s="16" t="str">
        <f>IF('Classe CI'!$B81="","",IF('Classe CI'!B81="","",'Classe CI'!B81))</f>
        <v/>
      </c>
      <c r="C241" s="16" t="str">
        <f>IF('Classe CI'!$B81="","",IF('Classe CI'!C81="","",'Classe CI'!C81))</f>
        <v/>
      </c>
      <c r="D241" s="16" t="str">
        <f>IF($B241="","",C241&amp;" "&amp;B241&amp;" - "&amp;E241)</f>
        <v/>
      </c>
      <c r="E241" s="17" t="str">
        <f>IF($B241="","",Paramètres!$A$17)</f>
        <v/>
      </c>
      <c r="F241" s="17" t="str">
        <f>IF($B241="","",Paramètres!$B$17)</f>
        <v/>
      </c>
      <c r="G241" s="17" t="str">
        <f>IF('Classe CI'!$B81="","",IF('Classe CI'!D81="","",'Classe CI'!D81))</f>
        <v/>
      </c>
      <c r="H241" s="78" t="str">
        <f>IF('Classe CI'!$B81="","",IF('Classe CI'!E81="","",'Classe CI'!E81))</f>
        <v/>
      </c>
      <c r="I241" s="16" t="str">
        <f>IF('Classe CI'!$B81="","",IF('Classe CI'!F81="","",'Classe CI'!F81))</f>
        <v/>
      </c>
      <c r="J241" s="16" t="str">
        <f>IF('Classe CI'!$B81="","",IF('Classe CI'!G81="","",'Classe CI'!G81))</f>
        <v/>
      </c>
      <c r="K241" s="18" t="str">
        <f>IF('Classe CI'!$B81="","",N('Classe CI'!H81))</f>
        <v/>
      </c>
      <c r="L241" s="18" t="str">
        <f>IF('Classe CI'!$B81="","",N('Classe CI'!I81))</f>
        <v/>
      </c>
      <c r="M241" s="18" t="str">
        <f>IF('Classe CI'!$B81="","",N('Classe CI'!J81))</f>
        <v/>
      </c>
      <c r="N241" s="18" t="str">
        <f>IF('Classe CI'!$B81="","",N('Classe CI'!K81))</f>
        <v/>
      </c>
      <c r="O241" s="18" t="str">
        <f>IF('Classe CI'!$B81="","",N('Classe CI'!L81))</f>
        <v/>
      </c>
      <c r="P241" s="18" t="str">
        <f>IF('Classe CI'!$B81="","",N('Classe CI'!M81))</f>
        <v/>
      </c>
      <c r="Q241" s="17" t="str">
        <f>IF('Classe CI'!$B81="","",IF('Classe CI'!Q81="","",'Classe CI'!Q81))</f>
        <v/>
      </c>
      <c r="R241" s="18" t="str">
        <f>IF('Classe CI'!$B81="","",N('Classe CI'!N81))</f>
        <v/>
      </c>
      <c r="S241" s="18" t="str">
        <f>IF('Classe CI'!$B81="","",N('Classe CI'!O81))</f>
        <v/>
      </c>
      <c r="T241" s="18" t="str">
        <f>IF('Classe CI'!$B81="","",N('Classe CI'!P81))</f>
        <v/>
      </c>
    </row>
    <row r="242">
      <c r="A242" s="20" t="str">
        <f>IF('Classe CI'!$B82="","",IF('Classe CI'!A82="","",'Classe CI'!A82))</f>
        <v/>
      </c>
      <c r="B242" s="20" t="str">
        <f>IF('Classe CI'!$B82="","",IF('Classe CI'!B82="","",'Classe CI'!B82))</f>
        <v/>
      </c>
      <c r="C242" s="20" t="str">
        <f>IF('Classe CI'!$B82="","",IF('Classe CI'!C82="","",'Classe CI'!C82))</f>
        <v/>
      </c>
      <c r="D242" s="20" t="str">
        <f>IF($B242="","",C242&amp;" "&amp;B242&amp;" - "&amp;E242)</f>
        <v/>
      </c>
      <c r="E242" s="21" t="str">
        <f>IF($B242="","",Paramètres!$A$17)</f>
        <v/>
      </c>
      <c r="F242" s="21" t="str">
        <f>IF($B242="","",Paramètres!$B$17)</f>
        <v/>
      </c>
      <c r="G242" s="21" t="str">
        <f>IF('Classe CI'!$B82="","",IF('Classe CI'!D82="","",'Classe CI'!D82))</f>
        <v/>
      </c>
      <c r="H242" s="77" t="str">
        <f>IF('Classe CI'!$B82="","",IF('Classe CI'!E82="","",'Classe CI'!E82))</f>
        <v/>
      </c>
      <c r="I242" s="20" t="str">
        <f>IF('Classe CI'!$B82="","",IF('Classe CI'!F82="","",'Classe CI'!F82))</f>
        <v/>
      </c>
      <c r="J242" s="20" t="str">
        <f>IF('Classe CI'!$B82="","",IF('Classe CI'!G82="","",'Classe CI'!G82))</f>
        <v/>
      </c>
      <c r="K242" s="51" t="str">
        <f>IF('Classe CI'!$B82="","",N('Classe CI'!H82))</f>
        <v/>
      </c>
      <c r="L242" s="51" t="str">
        <f>IF('Classe CI'!$B82="","",N('Classe CI'!I82))</f>
        <v/>
      </c>
      <c r="M242" s="51" t="str">
        <f>IF('Classe CI'!$B82="","",N('Classe CI'!J82))</f>
        <v/>
      </c>
      <c r="N242" s="51" t="str">
        <f>IF('Classe CI'!$B82="","",N('Classe CI'!K82))</f>
        <v/>
      </c>
      <c r="O242" s="51" t="str">
        <f>IF('Classe CI'!$B82="","",N('Classe CI'!L82))</f>
        <v/>
      </c>
      <c r="P242" s="51" t="str">
        <f>IF('Classe CI'!$B82="","",N('Classe CI'!M82))</f>
        <v/>
      </c>
      <c r="Q242" s="21" t="str">
        <f>IF('Classe CI'!$B82="","",IF('Classe CI'!Q82="","",'Classe CI'!Q82))</f>
        <v/>
      </c>
      <c r="R242" s="51" t="str">
        <f>IF('Classe CI'!$B82="","",N('Classe CI'!N82))</f>
        <v/>
      </c>
      <c r="S242" s="51" t="str">
        <f>IF('Classe CI'!$B82="","",N('Classe CI'!O82))</f>
        <v/>
      </c>
      <c r="T242" s="51" t="str">
        <f>IF('Classe CI'!$B82="","",N('Classe CI'!P82))</f>
        <v/>
      </c>
    </row>
    <row r="243">
      <c r="A243" s="16" t="str">
        <f>IF('Classe CI'!$B83="","",IF('Classe CI'!A83="","",'Classe CI'!A83))</f>
        <v/>
      </c>
      <c r="B243" s="16" t="str">
        <f>IF('Classe CI'!$B83="","",IF('Classe CI'!B83="","",'Classe CI'!B83))</f>
        <v/>
      </c>
      <c r="C243" s="16" t="str">
        <f>IF('Classe CI'!$B83="","",IF('Classe CI'!C83="","",'Classe CI'!C83))</f>
        <v/>
      </c>
      <c r="D243" s="16" t="str">
        <f>IF($B243="","",C243&amp;" "&amp;B243&amp;" - "&amp;E243)</f>
        <v/>
      </c>
      <c r="E243" s="17" t="str">
        <f>IF($B243="","",Paramètres!$A$17)</f>
        <v/>
      </c>
      <c r="F243" s="17" t="str">
        <f>IF($B243="","",Paramètres!$B$17)</f>
        <v/>
      </c>
      <c r="G243" s="17" t="str">
        <f>IF('Classe CI'!$B83="","",IF('Classe CI'!D83="","",'Classe CI'!D83))</f>
        <v/>
      </c>
      <c r="H243" s="78" t="str">
        <f>IF('Classe CI'!$B83="","",IF('Classe CI'!E83="","",'Classe CI'!E83))</f>
        <v/>
      </c>
      <c r="I243" s="16" t="str">
        <f>IF('Classe CI'!$B83="","",IF('Classe CI'!F83="","",'Classe CI'!F83))</f>
        <v/>
      </c>
      <c r="J243" s="16" t="str">
        <f>IF('Classe CI'!$B83="","",IF('Classe CI'!G83="","",'Classe CI'!G83))</f>
        <v/>
      </c>
      <c r="K243" s="18" t="str">
        <f>IF('Classe CI'!$B83="","",N('Classe CI'!H83))</f>
        <v/>
      </c>
      <c r="L243" s="18" t="str">
        <f>IF('Classe CI'!$B83="","",N('Classe CI'!I83))</f>
        <v/>
      </c>
      <c r="M243" s="18" t="str">
        <f>IF('Classe CI'!$B83="","",N('Classe CI'!J83))</f>
        <v/>
      </c>
      <c r="N243" s="18" t="str">
        <f>IF('Classe CI'!$B83="","",N('Classe CI'!K83))</f>
        <v/>
      </c>
      <c r="O243" s="18" t="str">
        <f>IF('Classe CI'!$B83="","",N('Classe CI'!L83))</f>
        <v/>
      </c>
      <c r="P243" s="18" t="str">
        <f>IF('Classe CI'!$B83="","",N('Classe CI'!M83))</f>
        <v/>
      </c>
      <c r="Q243" s="17" t="str">
        <f>IF('Classe CI'!$B83="","",IF('Classe CI'!Q83="","",'Classe CI'!Q83))</f>
        <v/>
      </c>
      <c r="R243" s="18" t="str">
        <f>IF('Classe CI'!$B83="","",N('Classe CI'!N83))</f>
        <v/>
      </c>
      <c r="S243" s="18" t="str">
        <f>IF('Classe CI'!$B83="","",N('Classe CI'!O83))</f>
        <v/>
      </c>
      <c r="T243" s="18" t="str">
        <f>IF('Classe CI'!$B83="","",N('Classe CI'!P83))</f>
        <v/>
      </c>
    </row>
    <row r="244">
      <c r="A244" s="20" t="str">
        <f>IF('Classe CP'!$B4="","",IF('Classe CP'!A4="","",'Classe CP'!A4))</f>
        <v/>
      </c>
      <c r="B244" s="20" t="str">
        <f>IF('Classe CP'!$B4="","",IF('Classe CP'!B4="","",'Classe CP'!B4))</f>
        <v/>
      </c>
      <c r="C244" s="20" t="str">
        <f>IF('Classe CP'!$B4="","",IF('Classe CP'!C4="","",'Classe CP'!C4))</f>
        <v/>
      </c>
      <c r="D244" s="20" t="str">
        <f>IF($B244="","",C244&amp;" "&amp;B244&amp;" - "&amp;E244)</f>
        <v/>
      </c>
      <c r="E244" s="21" t="str">
        <f>IF($B244="","",Paramètres!$A$18)</f>
        <v/>
      </c>
      <c r="F244" s="21" t="str">
        <f>IF($B244="","",Paramètres!$B$18)</f>
        <v/>
      </c>
      <c r="G244" s="21" t="str">
        <f>IF('Classe CP'!$B4="","",IF('Classe CP'!D4="","",'Classe CP'!D4))</f>
        <v/>
      </c>
      <c r="H244" s="77" t="str">
        <f>IF('Classe CP'!$B4="","",IF('Classe CP'!E4="","",'Classe CP'!E4))</f>
        <v/>
      </c>
      <c r="I244" s="20" t="str">
        <f>IF('Classe CP'!$B4="","",IF('Classe CP'!F4="","",'Classe CP'!F4))</f>
        <v/>
      </c>
      <c r="J244" s="20" t="str">
        <f>IF('Classe CP'!$B4="","",IF('Classe CP'!G4="","",'Classe CP'!G4))</f>
        <v/>
      </c>
      <c r="K244" s="51" t="str">
        <f>IF('Classe CP'!$B4="","",N('Classe CP'!H4))</f>
        <v/>
      </c>
      <c r="L244" s="51" t="str">
        <f>IF('Classe CP'!$B4="","",N('Classe CP'!I4))</f>
        <v/>
      </c>
      <c r="M244" s="51" t="str">
        <f>IF('Classe CP'!$B4="","",N('Classe CP'!J4))</f>
        <v/>
      </c>
      <c r="N244" s="51" t="str">
        <f>IF('Classe CP'!$B4="","",N('Classe CP'!K4))</f>
        <v/>
      </c>
      <c r="O244" s="51" t="str">
        <f>IF('Classe CP'!$B4="","",N('Classe CP'!L4))</f>
        <v/>
      </c>
      <c r="P244" s="51" t="str">
        <f>IF('Classe CP'!$B4="","",N('Classe CP'!M4))</f>
        <v/>
      </c>
      <c r="Q244" s="21" t="str">
        <f>IF('Classe CP'!$B4="","",IF('Classe CP'!Q4="","",'Classe CP'!Q4))</f>
        <v/>
      </c>
      <c r="R244" s="51" t="str">
        <f>IF('Classe CP'!$B4="","",N('Classe CP'!N4))</f>
        <v/>
      </c>
      <c r="S244" s="51" t="str">
        <f>IF('Classe CP'!$B4="","",N('Classe CP'!O4))</f>
        <v/>
      </c>
      <c r="T244" s="51" t="str">
        <f>IF('Classe CP'!$B4="","",N('Classe CP'!P4))</f>
        <v/>
      </c>
    </row>
    <row r="245">
      <c r="A245" s="16" t="str">
        <f>IF('Classe CP'!$B5="","",IF('Classe CP'!A5="","",'Classe CP'!A5))</f>
        <v/>
      </c>
      <c r="B245" s="16" t="str">
        <f>IF('Classe CP'!$B5="","",IF('Classe CP'!B5="","",'Classe CP'!B5))</f>
        <v/>
      </c>
      <c r="C245" s="16" t="str">
        <f>IF('Classe CP'!$B5="","",IF('Classe CP'!C5="","",'Classe CP'!C5))</f>
        <v/>
      </c>
      <c r="D245" s="16" t="str">
        <f>IF($B245="","",C245&amp;" "&amp;B245&amp;" - "&amp;E245)</f>
        <v/>
      </c>
      <c r="E245" s="17" t="str">
        <f>IF($B245="","",Paramètres!$A$18)</f>
        <v/>
      </c>
      <c r="F245" s="17" t="str">
        <f>IF($B245="","",Paramètres!$B$18)</f>
        <v/>
      </c>
      <c r="G245" s="17" t="str">
        <f>IF('Classe CP'!$B5="","",IF('Classe CP'!D5="","",'Classe CP'!D5))</f>
        <v/>
      </c>
      <c r="H245" s="78" t="str">
        <f>IF('Classe CP'!$B5="","",IF('Classe CP'!E5="","",'Classe CP'!E5))</f>
        <v/>
      </c>
      <c r="I245" s="16" t="str">
        <f>IF('Classe CP'!$B5="","",IF('Classe CP'!F5="","",'Classe CP'!F5))</f>
        <v/>
      </c>
      <c r="J245" s="16" t="str">
        <f>IF('Classe CP'!$B5="","",IF('Classe CP'!G5="","",'Classe CP'!G5))</f>
        <v/>
      </c>
      <c r="K245" s="18" t="str">
        <f>IF('Classe CP'!$B5="","",N('Classe CP'!H5))</f>
        <v/>
      </c>
      <c r="L245" s="18" t="str">
        <f>IF('Classe CP'!$B5="","",N('Classe CP'!I5))</f>
        <v/>
      </c>
      <c r="M245" s="18" t="str">
        <f>IF('Classe CP'!$B5="","",N('Classe CP'!J5))</f>
        <v/>
      </c>
      <c r="N245" s="18" t="str">
        <f>IF('Classe CP'!$B5="","",N('Classe CP'!K5))</f>
        <v/>
      </c>
      <c r="O245" s="18" t="str">
        <f>IF('Classe CP'!$B5="","",N('Classe CP'!L5))</f>
        <v/>
      </c>
      <c r="P245" s="18" t="str">
        <f>IF('Classe CP'!$B5="","",N('Classe CP'!M5))</f>
        <v/>
      </c>
      <c r="Q245" s="17" t="str">
        <f>IF('Classe CP'!$B5="","",IF('Classe CP'!Q5="","",'Classe CP'!Q5))</f>
        <v/>
      </c>
      <c r="R245" s="18" t="str">
        <f>IF('Classe CP'!$B5="","",N('Classe CP'!N5))</f>
        <v/>
      </c>
      <c r="S245" s="18" t="str">
        <f>IF('Classe CP'!$B5="","",N('Classe CP'!O5))</f>
        <v/>
      </c>
      <c r="T245" s="18" t="str">
        <f>IF('Classe CP'!$B5="","",N('Classe CP'!P5))</f>
        <v/>
      </c>
    </row>
    <row r="246">
      <c r="A246" s="20" t="str">
        <f>IF('Classe CP'!$B6="","",IF('Classe CP'!A6="","",'Classe CP'!A6))</f>
        <v/>
      </c>
      <c r="B246" s="20" t="str">
        <f>IF('Classe CP'!$B6="","",IF('Classe CP'!B6="","",'Classe CP'!B6))</f>
        <v/>
      </c>
      <c r="C246" s="20" t="str">
        <f>IF('Classe CP'!$B6="","",IF('Classe CP'!C6="","",'Classe CP'!C6))</f>
        <v/>
      </c>
      <c r="D246" s="20" t="str">
        <f>IF($B246="","",C246&amp;" "&amp;B246&amp;" - "&amp;E246)</f>
        <v/>
      </c>
      <c r="E246" s="21" t="str">
        <f>IF($B246="","",Paramètres!$A$18)</f>
        <v/>
      </c>
      <c r="F246" s="21" t="str">
        <f>IF($B246="","",Paramètres!$B$18)</f>
        <v/>
      </c>
      <c r="G246" s="21" t="str">
        <f>IF('Classe CP'!$B6="","",IF('Classe CP'!D6="","",'Classe CP'!D6))</f>
        <v/>
      </c>
      <c r="H246" s="77" t="str">
        <f>IF('Classe CP'!$B6="","",IF('Classe CP'!E6="","",'Classe CP'!E6))</f>
        <v/>
      </c>
      <c r="I246" s="20" t="str">
        <f>IF('Classe CP'!$B6="","",IF('Classe CP'!F6="","",'Classe CP'!F6))</f>
        <v/>
      </c>
      <c r="J246" s="20" t="str">
        <f>IF('Classe CP'!$B6="","",IF('Classe CP'!G6="","",'Classe CP'!G6))</f>
        <v/>
      </c>
      <c r="K246" s="51" t="str">
        <f>IF('Classe CP'!$B6="","",N('Classe CP'!H6))</f>
        <v/>
      </c>
      <c r="L246" s="51" t="str">
        <f>IF('Classe CP'!$B6="","",N('Classe CP'!I6))</f>
        <v/>
      </c>
      <c r="M246" s="51" t="str">
        <f>IF('Classe CP'!$B6="","",N('Classe CP'!J6))</f>
        <v/>
      </c>
      <c r="N246" s="51" t="str">
        <f>IF('Classe CP'!$B6="","",N('Classe CP'!K6))</f>
        <v/>
      </c>
      <c r="O246" s="51" t="str">
        <f>IF('Classe CP'!$B6="","",N('Classe CP'!L6))</f>
        <v/>
      </c>
      <c r="P246" s="51" t="str">
        <f>IF('Classe CP'!$B6="","",N('Classe CP'!M6))</f>
        <v/>
      </c>
      <c r="Q246" s="21" t="str">
        <f>IF('Classe CP'!$B6="","",IF('Classe CP'!Q6="","",'Classe CP'!Q6))</f>
        <v/>
      </c>
      <c r="R246" s="51" t="str">
        <f>IF('Classe CP'!$B6="","",N('Classe CP'!N6))</f>
        <v/>
      </c>
      <c r="S246" s="51" t="str">
        <f>IF('Classe CP'!$B6="","",N('Classe CP'!O6))</f>
        <v/>
      </c>
      <c r="T246" s="51" t="str">
        <f>IF('Classe CP'!$B6="","",N('Classe CP'!P6))</f>
        <v/>
      </c>
    </row>
    <row r="247">
      <c r="A247" s="16" t="str">
        <f>IF('Classe CP'!$B7="","",IF('Classe CP'!A7="","",'Classe CP'!A7))</f>
        <v/>
      </c>
      <c r="B247" s="16" t="str">
        <f>IF('Classe CP'!$B7="","",IF('Classe CP'!B7="","",'Classe CP'!B7))</f>
        <v/>
      </c>
      <c r="C247" s="16" t="str">
        <f>IF('Classe CP'!$B7="","",IF('Classe CP'!C7="","",'Classe CP'!C7))</f>
        <v/>
      </c>
      <c r="D247" s="16" t="str">
        <f>IF($B247="","",C247&amp;" "&amp;B247&amp;" - "&amp;E247)</f>
        <v/>
      </c>
      <c r="E247" s="17" t="str">
        <f>IF($B247="","",Paramètres!$A$18)</f>
        <v/>
      </c>
      <c r="F247" s="17" t="str">
        <f>IF($B247="","",Paramètres!$B$18)</f>
        <v/>
      </c>
      <c r="G247" s="17" t="str">
        <f>IF('Classe CP'!$B7="","",IF('Classe CP'!D7="","",'Classe CP'!D7))</f>
        <v/>
      </c>
      <c r="H247" s="78" t="str">
        <f>IF('Classe CP'!$B7="","",IF('Classe CP'!E7="","",'Classe CP'!E7))</f>
        <v/>
      </c>
      <c r="I247" s="16" t="str">
        <f>IF('Classe CP'!$B7="","",IF('Classe CP'!F7="","",'Classe CP'!F7))</f>
        <v/>
      </c>
      <c r="J247" s="16" t="str">
        <f>IF('Classe CP'!$B7="","",IF('Classe CP'!G7="","",'Classe CP'!G7))</f>
        <v/>
      </c>
      <c r="K247" s="18" t="str">
        <f>IF('Classe CP'!$B7="","",N('Classe CP'!H7))</f>
        <v/>
      </c>
      <c r="L247" s="18" t="str">
        <f>IF('Classe CP'!$B7="","",N('Classe CP'!I7))</f>
        <v/>
      </c>
      <c r="M247" s="18" t="str">
        <f>IF('Classe CP'!$B7="","",N('Classe CP'!J7))</f>
        <v/>
      </c>
      <c r="N247" s="18" t="str">
        <f>IF('Classe CP'!$B7="","",N('Classe CP'!K7))</f>
        <v/>
      </c>
      <c r="O247" s="18" t="str">
        <f>IF('Classe CP'!$B7="","",N('Classe CP'!L7))</f>
        <v/>
      </c>
      <c r="P247" s="18" t="str">
        <f>IF('Classe CP'!$B7="","",N('Classe CP'!M7))</f>
        <v/>
      </c>
      <c r="Q247" s="17" t="str">
        <f>IF('Classe CP'!$B7="","",IF('Classe CP'!Q7="","",'Classe CP'!Q7))</f>
        <v/>
      </c>
      <c r="R247" s="18" t="str">
        <f>IF('Classe CP'!$B7="","",N('Classe CP'!N7))</f>
        <v/>
      </c>
      <c r="S247" s="18" t="str">
        <f>IF('Classe CP'!$B7="","",N('Classe CP'!O7))</f>
        <v/>
      </c>
      <c r="T247" s="18" t="str">
        <f>IF('Classe CP'!$B7="","",N('Classe CP'!P7))</f>
        <v/>
      </c>
    </row>
    <row r="248">
      <c r="A248" s="20" t="str">
        <f>IF('Classe CP'!$B8="","",IF('Classe CP'!A8="","",'Classe CP'!A8))</f>
        <v/>
      </c>
      <c r="B248" s="20" t="str">
        <f>IF('Classe CP'!$B8="","",IF('Classe CP'!B8="","",'Classe CP'!B8))</f>
        <v/>
      </c>
      <c r="C248" s="20" t="str">
        <f>IF('Classe CP'!$B8="","",IF('Classe CP'!C8="","",'Classe CP'!C8))</f>
        <v/>
      </c>
      <c r="D248" s="20" t="str">
        <f>IF($B248="","",C248&amp;" "&amp;B248&amp;" - "&amp;E248)</f>
        <v/>
      </c>
      <c r="E248" s="21" t="str">
        <f>IF($B248="","",Paramètres!$A$18)</f>
        <v/>
      </c>
      <c r="F248" s="21" t="str">
        <f>IF($B248="","",Paramètres!$B$18)</f>
        <v/>
      </c>
      <c r="G248" s="21" t="str">
        <f>IF('Classe CP'!$B8="","",IF('Classe CP'!D8="","",'Classe CP'!D8))</f>
        <v/>
      </c>
      <c r="H248" s="77" t="str">
        <f>IF('Classe CP'!$B8="","",IF('Classe CP'!E8="","",'Classe CP'!E8))</f>
        <v/>
      </c>
      <c r="I248" s="20" t="str">
        <f>IF('Classe CP'!$B8="","",IF('Classe CP'!F8="","",'Classe CP'!F8))</f>
        <v/>
      </c>
      <c r="J248" s="20" t="str">
        <f>IF('Classe CP'!$B8="","",IF('Classe CP'!G8="","",'Classe CP'!G8))</f>
        <v/>
      </c>
      <c r="K248" s="51" t="str">
        <f>IF('Classe CP'!$B8="","",N('Classe CP'!H8))</f>
        <v/>
      </c>
      <c r="L248" s="51" t="str">
        <f>IF('Classe CP'!$B8="","",N('Classe CP'!I8))</f>
        <v/>
      </c>
      <c r="M248" s="51" t="str">
        <f>IF('Classe CP'!$B8="","",N('Classe CP'!J8))</f>
        <v/>
      </c>
      <c r="N248" s="51" t="str">
        <f>IF('Classe CP'!$B8="","",N('Classe CP'!K8))</f>
        <v/>
      </c>
      <c r="O248" s="51" t="str">
        <f>IF('Classe CP'!$B8="","",N('Classe CP'!L8))</f>
        <v/>
      </c>
      <c r="P248" s="51" t="str">
        <f>IF('Classe CP'!$B8="","",N('Classe CP'!M8))</f>
        <v/>
      </c>
      <c r="Q248" s="21" t="str">
        <f>IF('Classe CP'!$B8="","",IF('Classe CP'!Q8="","",'Classe CP'!Q8))</f>
        <v/>
      </c>
      <c r="R248" s="51" t="str">
        <f>IF('Classe CP'!$B8="","",N('Classe CP'!N8))</f>
        <v/>
      </c>
      <c r="S248" s="51" t="str">
        <f>IF('Classe CP'!$B8="","",N('Classe CP'!O8))</f>
        <v/>
      </c>
      <c r="T248" s="51" t="str">
        <f>IF('Classe CP'!$B8="","",N('Classe CP'!P8))</f>
        <v/>
      </c>
    </row>
    <row r="249">
      <c r="A249" s="16" t="str">
        <f>IF('Classe CP'!$B9="","",IF('Classe CP'!A9="","",'Classe CP'!A9))</f>
        <v/>
      </c>
      <c r="B249" s="16" t="str">
        <f>IF('Classe CP'!$B9="","",IF('Classe CP'!B9="","",'Classe CP'!B9))</f>
        <v/>
      </c>
      <c r="C249" s="16" t="str">
        <f>IF('Classe CP'!$B9="","",IF('Classe CP'!C9="","",'Classe CP'!C9))</f>
        <v/>
      </c>
      <c r="D249" s="16" t="str">
        <f>IF($B249="","",C249&amp;" "&amp;B249&amp;" - "&amp;E249)</f>
        <v/>
      </c>
      <c r="E249" s="17" t="str">
        <f>IF($B249="","",Paramètres!$A$18)</f>
        <v/>
      </c>
      <c r="F249" s="17" t="str">
        <f>IF($B249="","",Paramètres!$B$18)</f>
        <v/>
      </c>
      <c r="G249" s="17" t="str">
        <f>IF('Classe CP'!$B9="","",IF('Classe CP'!D9="","",'Classe CP'!D9))</f>
        <v/>
      </c>
      <c r="H249" s="78" t="str">
        <f>IF('Classe CP'!$B9="","",IF('Classe CP'!E9="","",'Classe CP'!E9))</f>
        <v/>
      </c>
      <c r="I249" s="16" t="str">
        <f>IF('Classe CP'!$B9="","",IF('Classe CP'!F9="","",'Classe CP'!F9))</f>
        <v/>
      </c>
      <c r="J249" s="16" t="str">
        <f>IF('Classe CP'!$B9="","",IF('Classe CP'!G9="","",'Classe CP'!G9))</f>
        <v/>
      </c>
      <c r="K249" s="18" t="str">
        <f>IF('Classe CP'!$B9="","",N('Classe CP'!H9))</f>
        <v/>
      </c>
      <c r="L249" s="18" t="str">
        <f>IF('Classe CP'!$B9="","",N('Classe CP'!I9))</f>
        <v/>
      </c>
      <c r="M249" s="18" t="str">
        <f>IF('Classe CP'!$B9="","",N('Classe CP'!J9))</f>
        <v/>
      </c>
      <c r="N249" s="18" t="str">
        <f>IF('Classe CP'!$B9="","",N('Classe CP'!K9))</f>
        <v/>
      </c>
      <c r="O249" s="18" t="str">
        <f>IF('Classe CP'!$B9="","",N('Classe CP'!L9))</f>
        <v/>
      </c>
      <c r="P249" s="18" t="str">
        <f>IF('Classe CP'!$B9="","",N('Classe CP'!M9))</f>
        <v/>
      </c>
      <c r="Q249" s="17" t="str">
        <f>IF('Classe CP'!$B9="","",IF('Classe CP'!Q9="","",'Classe CP'!Q9))</f>
        <v/>
      </c>
      <c r="R249" s="18" t="str">
        <f>IF('Classe CP'!$B9="","",N('Classe CP'!N9))</f>
        <v/>
      </c>
      <c r="S249" s="18" t="str">
        <f>IF('Classe CP'!$B9="","",N('Classe CP'!O9))</f>
        <v/>
      </c>
      <c r="T249" s="18" t="str">
        <f>IF('Classe CP'!$B9="","",N('Classe CP'!P9))</f>
        <v/>
      </c>
    </row>
    <row r="250">
      <c r="A250" s="20" t="str">
        <f>IF('Classe CP'!$B10="","",IF('Classe CP'!A10="","",'Classe CP'!A10))</f>
        <v/>
      </c>
      <c r="B250" s="20" t="str">
        <f>IF('Classe CP'!$B10="","",IF('Classe CP'!B10="","",'Classe CP'!B10))</f>
        <v/>
      </c>
      <c r="C250" s="20" t="str">
        <f>IF('Classe CP'!$B10="","",IF('Classe CP'!C10="","",'Classe CP'!C10))</f>
        <v/>
      </c>
      <c r="D250" s="20" t="str">
        <f>IF($B250="","",C250&amp;" "&amp;B250&amp;" - "&amp;E250)</f>
        <v/>
      </c>
      <c r="E250" s="21" t="str">
        <f>IF($B250="","",Paramètres!$A$18)</f>
        <v/>
      </c>
      <c r="F250" s="21" t="str">
        <f>IF($B250="","",Paramètres!$B$18)</f>
        <v/>
      </c>
      <c r="G250" s="21" t="str">
        <f>IF('Classe CP'!$B10="","",IF('Classe CP'!D10="","",'Classe CP'!D10))</f>
        <v/>
      </c>
      <c r="H250" s="77" t="str">
        <f>IF('Classe CP'!$B10="","",IF('Classe CP'!E10="","",'Classe CP'!E10))</f>
        <v/>
      </c>
      <c r="I250" s="20" t="str">
        <f>IF('Classe CP'!$B10="","",IF('Classe CP'!F10="","",'Classe CP'!F10))</f>
        <v/>
      </c>
      <c r="J250" s="20" t="str">
        <f>IF('Classe CP'!$B10="","",IF('Classe CP'!G10="","",'Classe CP'!G10))</f>
        <v/>
      </c>
      <c r="K250" s="51" t="str">
        <f>IF('Classe CP'!$B10="","",N('Classe CP'!H10))</f>
        <v/>
      </c>
      <c r="L250" s="51" t="str">
        <f>IF('Classe CP'!$B10="","",N('Classe CP'!I10))</f>
        <v/>
      </c>
      <c r="M250" s="51" t="str">
        <f>IF('Classe CP'!$B10="","",N('Classe CP'!J10))</f>
        <v/>
      </c>
      <c r="N250" s="51" t="str">
        <f>IF('Classe CP'!$B10="","",N('Classe CP'!K10))</f>
        <v/>
      </c>
      <c r="O250" s="51" t="str">
        <f>IF('Classe CP'!$B10="","",N('Classe CP'!L10))</f>
        <v/>
      </c>
      <c r="P250" s="51" t="str">
        <f>IF('Classe CP'!$B10="","",N('Classe CP'!M10))</f>
        <v/>
      </c>
      <c r="Q250" s="21" t="str">
        <f>IF('Classe CP'!$B10="","",IF('Classe CP'!Q10="","",'Classe CP'!Q10))</f>
        <v/>
      </c>
      <c r="R250" s="51" t="str">
        <f>IF('Classe CP'!$B10="","",N('Classe CP'!N10))</f>
        <v/>
      </c>
      <c r="S250" s="51" t="str">
        <f>IF('Classe CP'!$B10="","",N('Classe CP'!O10))</f>
        <v/>
      </c>
      <c r="T250" s="51" t="str">
        <f>IF('Classe CP'!$B10="","",N('Classe CP'!P10))</f>
        <v/>
      </c>
    </row>
    <row r="251">
      <c r="A251" s="16" t="str">
        <f>IF('Classe CP'!$B11="","",IF('Classe CP'!A11="","",'Classe CP'!A11))</f>
        <v/>
      </c>
      <c r="B251" s="16" t="str">
        <f>IF('Classe CP'!$B11="","",IF('Classe CP'!B11="","",'Classe CP'!B11))</f>
        <v/>
      </c>
      <c r="C251" s="16" t="str">
        <f>IF('Classe CP'!$B11="","",IF('Classe CP'!C11="","",'Classe CP'!C11))</f>
        <v/>
      </c>
      <c r="D251" s="16" t="str">
        <f>IF($B251="","",C251&amp;" "&amp;B251&amp;" - "&amp;E251)</f>
        <v/>
      </c>
      <c r="E251" s="17" t="str">
        <f>IF($B251="","",Paramètres!$A$18)</f>
        <v/>
      </c>
      <c r="F251" s="17" t="str">
        <f>IF($B251="","",Paramètres!$B$18)</f>
        <v/>
      </c>
      <c r="G251" s="17" t="str">
        <f>IF('Classe CP'!$B11="","",IF('Classe CP'!D11="","",'Classe CP'!D11))</f>
        <v/>
      </c>
      <c r="H251" s="78" t="str">
        <f>IF('Classe CP'!$B11="","",IF('Classe CP'!E11="","",'Classe CP'!E11))</f>
        <v/>
      </c>
      <c r="I251" s="16" t="str">
        <f>IF('Classe CP'!$B11="","",IF('Classe CP'!F11="","",'Classe CP'!F11))</f>
        <v/>
      </c>
      <c r="J251" s="16" t="str">
        <f>IF('Classe CP'!$B11="","",IF('Classe CP'!G11="","",'Classe CP'!G11))</f>
        <v/>
      </c>
      <c r="K251" s="18" t="str">
        <f>IF('Classe CP'!$B11="","",N('Classe CP'!H11))</f>
        <v/>
      </c>
      <c r="L251" s="18" t="str">
        <f>IF('Classe CP'!$B11="","",N('Classe CP'!I11))</f>
        <v/>
      </c>
      <c r="M251" s="18" t="str">
        <f>IF('Classe CP'!$B11="","",N('Classe CP'!J11))</f>
        <v/>
      </c>
      <c r="N251" s="18" t="str">
        <f>IF('Classe CP'!$B11="","",N('Classe CP'!K11))</f>
        <v/>
      </c>
      <c r="O251" s="18" t="str">
        <f>IF('Classe CP'!$B11="","",N('Classe CP'!L11))</f>
        <v/>
      </c>
      <c r="P251" s="18" t="str">
        <f>IF('Classe CP'!$B11="","",N('Classe CP'!M11))</f>
        <v/>
      </c>
      <c r="Q251" s="17" t="str">
        <f>IF('Classe CP'!$B11="","",IF('Classe CP'!Q11="","",'Classe CP'!Q11))</f>
        <v/>
      </c>
      <c r="R251" s="18" t="str">
        <f>IF('Classe CP'!$B11="","",N('Classe CP'!N11))</f>
        <v/>
      </c>
      <c r="S251" s="18" t="str">
        <f>IF('Classe CP'!$B11="","",N('Classe CP'!O11))</f>
        <v/>
      </c>
      <c r="T251" s="18" t="str">
        <f>IF('Classe CP'!$B11="","",N('Classe CP'!P11))</f>
        <v/>
      </c>
    </row>
    <row r="252">
      <c r="A252" s="20" t="str">
        <f>IF('Classe CP'!$B12="","",IF('Classe CP'!A12="","",'Classe CP'!A12))</f>
        <v/>
      </c>
      <c r="B252" s="20" t="str">
        <f>IF('Classe CP'!$B12="","",IF('Classe CP'!B12="","",'Classe CP'!B12))</f>
        <v/>
      </c>
      <c r="C252" s="20" t="str">
        <f>IF('Classe CP'!$B12="","",IF('Classe CP'!C12="","",'Classe CP'!C12))</f>
        <v/>
      </c>
      <c r="D252" s="20" t="str">
        <f>IF($B252="","",C252&amp;" "&amp;B252&amp;" - "&amp;E252)</f>
        <v/>
      </c>
      <c r="E252" s="21" t="str">
        <f>IF($B252="","",Paramètres!$A$18)</f>
        <v/>
      </c>
      <c r="F252" s="21" t="str">
        <f>IF($B252="","",Paramètres!$B$18)</f>
        <v/>
      </c>
      <c r="G252" s="21" t="str">
        <f>IF('Classe CP'!$B12="","",IF('Classe CP'!D12="","",'Classe CP'!D12))</f>
        <v/>
      </c>
      <c r="H252" s="77" t="str">
        <f>IF('Classe CP'!$B12="","",IF('Classe CP'!E12="","",'Classe CP'!E12))</f>
        <v/>
      </c>
      <c r="I252" s="20" t="str">
        <f>IF('Classe CP'!$B12="","",IF('Classe CP'!F12="","",'Classe CP'!F12))</f>
        <v/>
      </c>
      <c r="J252" s="20" t="str">
        <f>IF('Classe CP'!$B12="","",IF('Classe CP'!G12="","",'Classe CP'!G12))</f>
        <v/>
      </c>
      <c r="K252" s="51" t="str">
        <f>IF('Classe CP'!$B12="","",N('Classe CP'!H12))</f>
        <v/>
      </c>
      <c r="L252" s="51" t="str">
        <f>IF('Classe CP'!$B12="","",N('Classe CP'!I12))</f>
        <v/>
      </c>
      <c r="M252" s="51" t="str">
        <f>IF('Classe CP'!$B12="","",N('Classe CP'!J12))</f>
        <v/>
      </c>
      <c r="N252" s="51" t="str">
        <f>IF('Classe CP'!$B12="","",N('Classe CP'!K12))</f>
        <v/>
      </c>
      <c r="O252" s="51" t="str">
        <f>IF('Classe CP'!$B12="","",N('Classe CP'!L12))</f>
        <v/>
      </c>
      <c r="P252" s="51" t="str">
        <f>IF('Classe CP'!$B12="","",N('Classe CP'!M12))</f>
        <v/>
      </c>
      <c r="Q252" s="21" t="str">
        <f>IF('Classe CP'!$B12="","",IF('Classe CP'!Q12="","",'Classe CP'!Q12))</f>
        <v/>
      </c>
      <c r="R252" s="51" t="str">
        <f>IF('Classe CP'!$B12="","",N('Classe CP'!N12))</f>
        <v/>
      </c>
      <c r="S252" s="51" t="str">
        <f>IF('Classe CP'!$B12="","",N('Classe CP'!O12))</f>
        <v/>
      </c>
      <c r="T252" s="51" t="str">
        <f>IF('Classe CP'!$B12="","",N('Classe CP'!P12))</f>
        <v/>
      </c>
    </row>
    <row r="253">
      <c r="A253" s="16" t="str">
        <f>IF('Classe CP'!$B13="","",IF('Classe CP'!A13="","",'Classe CP'!A13))</f>
        <v/>
      </c>
      <c r="B253" s="16" t="str">
        <f>IF('Classe CP'!$B13="","",IF('Classe CP'!B13="","",'Classe CP'!B13))</f>
        <v/>
      </c>
      <c r="C253" s="16" t="str">
        <f>IF('Classe CP'!$B13="","",IF('Classe CP'!C13="","",'Classe CP'!C13))</f>
        <v/>
      </c>
      <c r="D253" s="16" t="str">
        <f>IF($B253="","",C253&amp;" "&amp;B253&amp;" - "&amp;E253)</f>
        <v/>
      </c>
      <c r="E253" s="17" t="str">
        <f>IF($B253="","",Paramètres!$A$18)</f>
        <v/>
      </c>
      <c r="F253" s="17" t="str">
        <f>IF($B253="","",Paramètres!$B$18)</f>
        <v/>
      </c>
      <c r="G253" s="17" t="str">
        <f>IF('Classe CP'!$B13="","",IF('Classe CP'!D13="","",'Classe CP'!D13))</f>
        <v/>
      </c>
      <c r="H253" s="78" t="str">
        <f>IF('Classe CP'!$B13="","",IF('Classe CP'!E13="","",'Classe CP'!E13))</f>
        <v/>
      </c>
      <c r="I253" s="16" t="str">
        <f>IF('Classe CP'!$B13="","",IF('Classe CP'!F13="","",'Classe CP'!F13))</f>
        <v/>
      </c>
      <c r="J253" s="16" t="str">
        <f>IF('Classe CP'!$B13="","",IF('Classe CP'!G13="","",'Classe CP'!G13))</f>
        <v/>
      </c>
      <c r="K253" s="18" t="str">
        <f>IF('Classe CP'!$B13="","",N('Classe CP'!H13))</f>
        <v/>
      </c>
      <c r="L253" s="18" t="str">
        <f>IF('Classe CP'!$B13="","",N('Classe CP'!I13))</f>
        <v/>
      </c>
      <c r="M253" s="18" t="str">
        <f>IF('Classe CP'!$B13="","",N('Classe CP'!J13))</f>
        <v/>
      </c>
      <c r="N253" s="18" t="str">
        <f>IF('Classe CP'!$B13="","",N('Classe CP'!K13))</f>
        <v/>
      </c>
      <c r="O253" s="18" t="str">
        <f>IF('Classe CP'!$B13="","",N('Classe CP'!L13))</f>
        <v/>
      </c>
      <c r="P253" s="18" t="str">
        <f>IF('Classe CP'!$B13="","",N('Classe CP'!M13))</f>
        <v/>
      </c>
      <c r="Q253" s="17" t="str">
        <f>IF('Classe CP'!$B13="","",IF('Classe CP'!Q13="","",'Classe CP'!Q13))</f>
        <v/>
      </c>
      <c r="R253" s="18" t="str">
        <f>IF('Classe CP'!$B13="","",N('Classe CP'!N13))</f>
        <v/>
      </c>
      <c r="S253" s="18" t="str">
        <f>IF('Classe CP'!$B13="","",N('Classe CP'!O13))</f>
        <v/>
      </c>
      <c r="T253" s="18" t="str">
        <f>IF('Classe CP'!$B13="","",N('Classe CP'!P13))</f>
        <v/>
      </c>
    </row>
    <row r="254">
      <c r="A254" s="20" t="str">
        <f>IF('Classe CP'!$B14="","",IF('Classe CP'!A14="","",'Classe CP'!A14))</f>
        <v/>
      </c>
      <c r="B254" s="20" t="str">
        <f>IF('Classe CP'!$B14="","",IF('Classe CP'!B14="","",'Classe CP'!B14))</f>
        <v/>
      </c>
      <c r="C254" s="20" t="str">
        <f>IF('Classe CP'!$B14="","",IF('Classe CP'!C14="","",'Classe CP'!C14))</f>
        <v/>
      </c>
      <c r="D254" s="20" t="str">
        <f>IF($B254="","",C254&amp;" "&amp;B254&amp;" - "&amp;E254)</f>
        <v/>
      </c>
      <c r="E254" s="21" t="str">
        <f>IF($B254="","",Paramètres!$A$18)</f>
        <v/>
      </c>
      <c r="F254" s="21" t="str">
        <f>IF($B254="","",Paramètres!$B$18)</f>
        <v/>
      </c>
      <c r="G254" s="21" t="str">
        <f>IF('Classe CP'!$B14="","",IF('Classe CP'!D14="","",'Classe CP'!D14))</f>
        <v/>
      </c>
      <c r="H254" s="77" t="str">
        <f>IF('Classe CP'!$B14="","",IF('Classe CP'!E14="","",'Classe CP'!E14))</f>
        <v/>
      </c>
      <c r="I254" s="20" t="str">
        <f>IF('Classe CP'!$B14="","",IF('Classe CP'!F14="","",'Classe CP'!F14))</f>
        <v/>
      </c>
      <c r="J254" s="20" t="str">
        <f>IF('Classe CP'!$B14="","",IF('Classe CP'!G14="","",'Classe CP'!G14))</f>
        <v/>
      </c>
      <c r="K254" s="51" t="str">
        <f>IF('Classe CP'!$B14="","",N('Classe CP'!H14))</f>
        <v/>
      </c>
      <c r="L254" s="51" t="str">
        <f>IF('Classe CP'!$B14="","",N('Classe CP'!I14))</f>
        <v/>
      </c>
      <c r="M254" s="51" t="str">
        <f>IF('Classe CP'!$B14="","",N('Classe CP'!J14))</f>
        <v/>
      </c>
      <c r="N254" s="51" t="str">
        <f>IF('Classe CP'!$B14="","",N('Classe CP'!K14))</f>
        <v/>
      </c>
      <c r="O254" s="51" t="str">
        <f>IF('Classe CP'!$B14="","",N('Classe CP'!L14))</f>
        <v/>
      </c>
      <c r="P254" s="51" t="str">
        <f>IF('Classe CP'!$B14="","",N('Classe CP'!M14))</f>
        <v/>
      </c>
      <c r="Q254" s="21" t="str">
        <f>IF('Classe CP'!$B14="","",IF('Classe CP'!Q14="","",'Classe CP'!Q14))</f>
        <v/>
      </c>
      <c r="R254" s="51" t="str">
        <f>IF('Classe CP'!$B14="","",N('Classe CP'!N14))</f>
        <v/>
      </c>
      <c r="S254" s="51" t="str">
        <f>IF('Classe CP'!$B14="","",N('Classe CP'!O14))</f>
        <v/>
      </c>
      <c r="T254" s="51" t="str">
        <f>IF('Classe CP'!$B14="","",N('Classe CP'!P14))</f>
        <v/>
      </c>
    </row>
    <row r="255">
      <c r="A255" s="16" t="str">
        <f>IF('Classe CP'!$B15="","",IF('Classe CP'!A15="","",'Classe CP'!A15))</f>
        <v/>
      </c>
      <c r="B255" s="16" t="str">
        <f>IF('Classe CP'!$B15="","",IF('Classe CP'!B15="","",'Classe CP'!B15))</f>
        <v/>
      </c>
      <c r="C255" s="16" t="str">
        <f>IF('Classe CP'!$B15="","",IF('Classe CP'!C15="","",'Classe CP'!C15))</f>
        <v/>
      </c>
      <c r="D255" s="16" t="str">
        <f>IF($B255="","",C255&amp;" "&amp;B255&amp;" - "&amp;E255)</f>
        <v/>
      </c>
      <c r="E255" s="17" t="str">
        <f>IF($B255="","",Paramètres!$A$18)</f>
        <v/>
      </c>
      <c r="F255" s="17" t="str">
        <f>IF($B255="","",Paramètres!$B$18)</f>
        <v/>
      </c>
      <c r="G255" s="17" t="str">
        <f>IF('Classe CP'!$B15="","",IF('Classe CP'!D15="","",'Classe CP'!D15))</f>
        <v/>
      </c>
      <c r="H255" s="78" t="str">
        <f>IF('Classe CP'!$B15="","",IF('Classe CP'!E15="","",'Classe CP'!E15))</f>
        <v/>
      </c>
      <c r="I255" s="16" t="str">
        <f>IF('Classe CP'!$B15="","",IF('Classe CP'!F15="","",'Classe CP'!F15))</f>
        <v/>
      </c>
      <c r="J255" s="16" t="str">
        <f>IF('Classe CP'!$B15="","",IF('Classe CP'!G15="","",'Classe CP'!G15))</f>
        <v/>
      </c>
      <c r="K255" s="18" t="str">
        <f>IF('Classe CP'!$B15="","",N('Classe CP'!H15))</f>
        <v/>
      </c>
      <c r="L255" s="18" t="str">
        <f>IF('Classe CP'!$B15="","",N('Classe CP'!I15))</f>
        <v/>
      </c>
      <c r="M255" s="18" t="str">
        <f>IF('Classe CP'!$B15="","",N('Classe CP'!J15))</f>
        <v/>
      </c>
      <c r="N255" s="18" t="str">
        <f>IF('Classe CP'!$B15="","",N('Classe CP'!K15))</f>
        <v/>
      </c>
      <c r="O255" s="18" t="str">
        <f>IF('Classe CP'!$B15="","",N('Classe CP'!L15))</f>
        <v/>
      </c>
      <c r="P255" s="18" t="str">
        <f>IF('Classe CP'!$B15="","",N('Classe CP'!M15))</f>
        <v/>
      </c>
      <c r="Q255" s="17" t="str">
        <f>IF('Classe CP'!$B15="","",IF('Classe CP'!Q15="","",'Classe CP'!Q15))</f>
        <v/>
      </c>
      <c r="R255" s="18" t="str">
        <f>IF('Classe CP'!$B15="","",N('Classe CP'!N15))</f>
        <v/>
      </c>
      <c r="S255" s="18" t="str">
        <f>IF('Classe CP'!$B15="","",N('Classe CP'!O15))</f>
        <v/>
      </c>
      <c r="T255" s="18" t="str">
        <f>IF('Classe CP'!$B15="","",N('Classe CP'!P15))</f>
        <v/>
      </c>
    </row>
    <row r="256">
      <c r="A256" s="20" t="str">
        <f>IF('Classe CP'!$B16="","",IF('Classe CP'!A16="","",'Classe CP'!A16))</f>
        <v/>
      </c>
      <c r="B256" s="20" t="str">
        <f>IF('Classe CP'!$B16="","",IF('Classe CP'!B16="","",'Classe CP'!B16))</f>
        <v/>
      </c>
      <c r="C256" s="20" t="str">
        <f>IF('Classe CP'!$B16="","",IF('Classe CP'!C16="","",'Classe CP'!C16))</f>
        <v/>
      </c>
      <c r="D256" s="20" t="str">
        <f>IF($B256="","",C256&amp;" "&amp;B256&amp;" - "&amp;E256)</f>
        <v/>
      </c>
      <c r="E256" s="21" t="str">
        <f>IF($B256="","",Paramètres!$A$18)</f>
        <v/>
      </c>
      <c r="F256" s="21" t="str">
        <f>IF($B256="","",Paramètres!$B$18)</f>
        <v/>
      </c>
      <c r="G256" s="21" t="str">
        <f>IF('Classe CP'!$B16="","",IF('Classe CP'!D16="","",'Classe CP'!D16))</f>
        <v/>
      </c>
      <c r="H256" s="77" t="str">
        <f>IF('Classe CP'!$B16="","",IF('Classe CP'!E16="","",'Classe CP'!E16))</f>
        <v/>
      </c>
      <c r="I256" s="20" t="str">
        <f>IF('Classe CP'!$B16="","",IF('Classe CP'!F16="","",'Classe CP'!F16))</f>
        <v/>
      </c>
      <c r="J256" s="20" t="str">
        <f>IF('Classe CP'!$B16="","",IF('Classe CP'!G16="","",'Classe CP'!G16))</f>
        <v/>
      </c>
      <c r="K256" s="51" t="str">
        <f>IF('Classe CP'!$B16="","",N('Classe CP'!H16))</f>
        <v/>
      </c>
      <c r="L256" s="51" t="str">
        <f>IF('Classe CP'!$B16="","",N('Classe CP'!I16))</f>
        <v/>
      </c>
      <c r="M256" s="51" t="str">
        <f>IF('Classe CP'!$B16="","",N('Classe CP'!J16))</f>
        <v/>
      </c>
      <c r="N256" s="51" t="str">
        <f>IF('Classe CP'!$B16="","",N('Classe CP'!K16))</f>
        <v/>
      </c>
      <c r="O256" s="51" t="str">
        <f>IF('Classe CP'!$B16="","",N('Classe CP'!L16))</f>
        <v/>
      </c>
      <c r="P256" s="51" t="str">
        <f>IF('Classe CP'!$B16="","",N('Classe CP'!M16))</f>
        <v/>
      </c>
      <c r="Q256" s="21" t="str">
        <f>IF('Classe CP'!$B16="","",IF('Classe CP'!Q16="","",'Classe CP'!Q16))</f>
        <v/>
      </c>
      <c r="R256" s="51" t="str">
        <f>IF('Classe CP'!$B16="","",N('Classe CP'!N16))</f>
        <v/>
      </c>
      <c r="S256" s="51" t="str">
        <f>IF('Classe CP'!$B16="","",N('Classe CP'!O16))</f>
        <v/>
      </c>
      <c r="T256" s="51" t="str">
        <f>IF('Classe CP'!$B16="","",N('Classe CP'!P16))</f>
        <v/>
      </c>
    </row>
    <row r="257">
      <c r="A257" s="16" t="str">
        <f>IF('Classe CP'!$B17="","",IF('Classe CP'!A17="","",'Classe CP'!A17))</f>
        <v/>
      </c>
      <c r="B257" s="16" t="str">
        <f>IF('Classe CP'!$B17="","",IF('Classe CP'!B17="","",'Classe CP'!B17))</f>
        <v/>
      </c>
      <c r="C257" s="16" t="str">
        <f>IF('Classe CP'!$B17="","",IF('Classe CP'!C17="","",'Classe CP'!C17))</f>
        <v/>
      </c>
      <c r="D257" s="16" t="str">
        <f>IF($B257="","",C257&amp;" "&amp;B257&amp;" - "&amp;E257)</f>
        <v/>
      </c>
      <c r="E257" s="17" t="str">
        <f>IF($B257="","",Paramètres!$A$18)</f>
        <v/>
      </c>
      <c r="F257" s="17" t="str">
        <f>IF($B257="","",Paramètres!$B$18)</f>
        <v/>
      </c>
      <c r="G257" s="17" t="str">
        <f>IF('Classe CP'!$B17="","",IF('Classe CP'!D17="","",'Classe CP'!D17))</f>
        <v/>
      </c>
      <c r="H257" s="78" t="str">
        <f>IF('Classe CP'!$B17="","",IF('Classe CP'!E17="","",'Classe CP'!E17))</f>
        <v/>
      </c>
      <c r="I257" s="16" t="str">
        <f>IF('Classe CP'!$B17="","",IF('Classe CP'!F17="","",'Classe CP'!F17))</f>
        <v/>
      </c>
      <c r="J257" s="16" t="str">
        <f>IF('Classe CP'!$B17="","",IF('Classe CP'!G17="","",'Classe CP'!G17))</f>
        <v/>
      </c>
      <c r="K257" s="18" t="str">
        <f>IF('Classe CP'!$B17="","",N('Classe CP'!H17))</f>
        <v/>
      </c>
      <c r="L257" s="18" t="str">
        <f>IF('Classe CP'!$B17="","",N('Classe CP'!I17))</f>
        <v/>
      </c>
      <c r="M257" s="18" t="str">
        <f>IF('Classe CP'!$B17="","",N('Classe CP'!J17))</f>
        <v/>
      </c>
      <c r="N257" s="18" t="str">
        <f>IF('Classe CP'!$B17="","",N('Classe CP'!K17))</f>
        <v/>
      </c>
      <c r="O257" s="18" t="str">
        <f>IF('Classe CP'!$B17="","",N('Classe CP'!L17))</f>
        <v/>
      </c>
      <c r="P257" s="18" t="str">
        <f>IF('Classe CP'!$B17="","",N('Classe CP'!M17))</f>
        <v/>
      </c>
      <c r="Q257" s="17" t="str">
        <f>IF('Classe CP'!$B17="","",IF('Classe CP'!Q17="","",'Classe CP'!Q17))</f>
        <v/>
      </c>
      <c r="R257" s="18" t="str">
        <f>IF('Classe CP'!$B17="","",N('Classe CP'!N17))</f>
        <v/>
      </c>
      <c r="S257" s="18" t="str">
        <f>IF('Classe CP'!$B17="","",N('Classe CP'!O17))</f>
        <v/>
      </c>
      <c r="T257" s="18" t="str">
        <f>IF('Classe CP'!$B17="","",N('Classe CP'!P17))</f>
        <v/>
      </c>
    </row>
    <row r="258">
      <c r="A258" s="20" t="str">
        <f>IF('Classe CP'!$B18="","",IF('Classe CP'!A18="","",'Classe CP'!A18))</f>
        <v/>
      </c>
      <c r="B258" s="20" t="str">
        <f>IF('Classe CP'!$B18="","",IF('Classe CP'!B18="","",'Classe CP'!B18))</f>
        <v/>
      </c>
      <c r="C258" s="20" t="str">
        <f>IF('Classe CP'!$B18="","",IF('Classe CP'!C18="","",'Classe CP'!C18))</f>
        <v/>
      </c>
      <c r="D258" s="20" t="str">
        <f>IF($B258="","",C258&amp;" "&amp;B258&amp;" - "&amp;E258)</f>
        <v/>
      </c>
      <c r="E258" s="21" t="str">
        <f>IF($B258="","",Paramètres!$A$18)</f>
        <v/>
      </c>
      <c r="F258" s="21" t="str">
        <f>IF($B258="","",Paramètres!$B$18)</f>
        <v/>
      </c>
      <c r="G258" s="21" t="str">
        <f>IF('Classe CP'!$B18="","",IF('Classe CP'!D18="","",'Classe CP'!D18))</f>
        <v/>
      </c>
      <c r="H258" s="77" t="str">
        <f>IF('Classe CP'!$B18="","",IF('Classe CP'!E18="","",'Classe CP'!E18))</f>
        <v/>
      </c>
      <c r="I258" s="20" t="str">
        <f>IF('Classe CP'!$B18="","",IF('Classe CP'!F18="","",'Classe CP'!F18))</f>
        <v/>
      </c>
      <c r="J258" s="20" t="str">
        <f>IF('Classe CP'!$B18="","",IF('Classe CP'!G18="","",'Classe CP'!G18))</f>
        <v/>
      </c>
      <c r="K258" s="51" t="str">
        <f>IF('Classe CP'!$B18="","",N('Classe CP'!H18))</f>
        <v/>
      </c>
      <c r="L258" s="51" t="str">
        <f>IF('Classe CP'!$B18="","",N('Classe CP'!I18))</f>
        <v/>
      </c>
      <c r="M258" s="51" t="str">
        <f>IF('Classe CP'!$B18="","",N('Classe CP'!J18))</f>
        <v/>
      </c>
      <c r="N258" s="51" t="str">
        <f>IF('Classe CP'!$B18="","",N('Classe CP'!K18))</f>
        <v/>
      </c>
      <c r="O258" s="51" t="str">
        <f>IF('Classe CP'!$B18="","",N('Classe CP'!L18))</f>
        <v/>
      </c>
      <c r="P258" s="51" t="str">
        <f>IF('Classe CP'!$B18="","",N('Classe CP'!M18))</f>
        <v/>
      </c>
      <c r="Q258" s="21" t="str">
        <f>IF('Classe CP'!$B18="","",IF('Classe CP'!Q18="","",'Classe CP'!Q18))</f>
        <v/>
      </c>
      <c r="R258" s="51" t="str">
        <f>IF('Classe CP'!$B18="","",N('Classe CP'!N18))</f>
        <v/>
      </c>
      <c r="S258" s="51" t="str">
        <f>IF('Classe CP'!$B18="","",N('Classe CP'!O18))</f>
        <v/>
      </c>
      <c r="T258" s="51" t="str">
        <f>IF('Classe CP'!$B18="","",N('Classe CP'!P18))</f>
        <v/>
      </c>
    </row>
    <row r="259">
      <c r="A259" s="16" t="str">
        <f>IF('Classe CP'!$B19="","",IF('Classe CP'!A19="","",'Classe CP'!A19))</f>
        <v/>
      </c>
      <c r="B259" s="16" t="str">
        <f>IF('Classe CP'!$B19="","",IF('Classe CP'!B19="","",'Classe CP'!B19))</f>
        <v/>
      </c>
      <c r="C259" s="16" t="str">
        <f>IF('Classe CP'!$B19="","",IF('Classe CP'!C19="","",'Classe CP'!C19))</f>
        <v/>
      </c>
      <c r="D259" s="16" t="str">
        <f>IF($B259="","",C259&amp;" "&amp;B259&amp;" - "&amp;E259)</f>
        <v/>
      </c>
      <c r="E259" s="17" t="str">
        <f>IF($B259="","",Paramètres!$A$18)</f>
        <v/>
      </c>
      <c r="F259" s="17" t="str">
        <f>IF($B259="","",Paramètres!$B$18)</f>
        <v/>
      </c>
      <c r="G259" s="17" t="str">
        <f>IF('Classe CP'!$B19="","",IF('Classe CP'!D19="","",'Classe CP'!D19))</f>
        <v/>
      </c>
      <c r="H259" s="78" t="str">
        <f>IF('Classe CP'!$B19="","",IF('Classe CP'!E19="","",'Classe CP'!E19))</f>
        <v/>
      </c>
      <c r="I259" s="16" t="str">
        <f>IF('Classe CP'!$B19="","",IF('Classe CP'!F19="","",'Classe CP'!F19))</f>
        <v/>
      </c>
      <c r="J259" s="16" t="str">
        <f>IF('Classe CP'!$B19="","",IF('Classe CP'!G19="","",'Classe CP'!G19))</f>
        <v/>
      </c>
      <c r="K259" s="18" t="str">
        <f>IF('Classe CP'!$B19="","",N('Classe CP'!H19))</f>
        <v/>
      </c>
      <c r="L259" s="18" t="str">
        <f>IF('Classe CP'!$B19="","",N('Classe CP'!I19))</f>
        <v/>
      </c>
      <c r="M259" s="18" t="str">
        <f>IF('Classe CP'!$B19="","",N('Classe CP'!J19))</f>
        <v/>
      </c>
      <c r="N259" s="18" t="str">
        <f>IF('Classe CP'!$B19="","",N('Classe CP'!K19))</f>
        <v/>
      </c>
      <c r="O259" s="18" t="str">
        <f>IF('Classe CP'!$B19="","",N('Classe CP'!L19))</f>
        <v/>
      </c>
      <c r="P259" s="18" t="str">
        <f>IF('Classe CP'!$B19="","",N('Classe CP'!M19))</f>
        <v/>
      </c>
      <c r="Q259" s="17" t="str">
        <f>IF('Classe CP'!$B19="","",IF('Classe CP'!Q19="","",'Classe CP'!Q19))</f>
        <v/>
      </c>
      <c r="R259" s="18" t="str">
        <f>IF('Classe CP'!$B19="","",N('Classe CP'!N19))</f>
        <v/>
      </c>
      <c r="S259" s="18" t="str">
        <f>IF('Classe CP'!$B19="","",N('Classe CP'!O19))</f>
        <v/>
      </c>
      <c r="T259" s="18" t="str">
        <f>IF('Classe CP'!$B19="","",N('Classe CP'!P19))</f>
        <v/>
      </c>
    </row>
    <row r="260">
      <c r="A260" s="20" t="str">
        <f>IF('Classe CP'!$B20="","",IF('Classe CP'!A20="","",'Classe CP'!A20))</f>
        <v/>
      </c>
      <c r="B260" s="20" t="str">
        <f>IF('Classe CP'!$B20="","",IF('Classe CP'!B20="","",'Classe CP'!B20))</f>
        <v/>
      </c>
      <c r="C260" s="20" t="str">
        <f>IF('Classe CP'!$B20="","",IF('Classe CP'!C20="","",'Classe CP'!C20))</f>
        <v/>
      </c>
      <c r="D260" s="20" t="str">
        <f>IF($B260="","",C260&amp;" "&amp;B260&amp;" - "&amp;E260)</f>
        <v/>
      </c>
      <c r="E260" s="21" t="str">
        <f>IF($B260="","",Paramètres!$A$18)</f>
        <v/>
      </c>
      <c r="F260" s="21" t="str">
        <f>IF($B260="","",Paramètres!$B$18)</f>
        <v/>
      </c>
      <c r="G260" s="21" t="str">
        <f>IF('Classe CP'!$B20="","",IF('Classe CP'!D20="","",'Classe CP'!D20))</f>
        <v/>
      </c>
      <c r="H260" s="77" t="str">
        <f>IF('Classe CP'!$B20="","",IF('Classe CP'!E20="","",'Classe CP'!E20))</f>
        <v/>
      </c>
      <c r="I260" s="20" t="str">
        <f>IF('Classe CP'!$B20="","",IF('Classe CP'!F20="","",'Classe CP'!F20))</f>
        <v/>
      </c>
      <c r="J260" s="20" t="str">
        <f>IF('Classe CP'!$B20="","",IF('Classe CP'!G20="","",'Classe CP'!G20))</f>
        <v/>
      </c>
      <c r="K260" s="51" t="str">
        <f>IF('Classe CP'!$B20="","",N('Classe CP'!H20))</f>
        <v/>
      </c>
      <c r="L260" s="51" t="str">
        <f>IF('Classe CP'!$B20="","",N('Classe CP'!I20))</f>
        <v/>
      </c>
      <c r="M260" s="51" t="str">
        <f>IF('Classe CP'!$B20="","",N('Classe CP'!J20))</f>
        <v/>
      </c>
      <c r="N260" s="51" t="str">
        <f>IF('Classe CP'!$B20="","",N('Classe CP'!K20))</f>
        <v/>
      </c>
      <c r="O260" s="51" t="str">
        <f>IF('Classe CP'!$B20="","",N('Classe CP'!L20))</f>
        <v/>
      </c>
      <c r="P260" s="51" t="str">
        <f>IF('Classe CP'!$B20="","",N('Classe CP'!M20))</f>
        <v/>
      </c>
      <c r="Q260" s="21" t="str">
        <f>IF('Classe CP'!$B20="","",IF('Classe CP'!Q20="","",'Classe CP'!Q20))</f>
        <v/>
      </c>
      <c r="R260" s="51" t="str">
        <f>IF('Classe CP'!$B20="","",N('Classe CP'!N20))</f>
        <v/>
      </c>
      <c r="S260" s="51" t="str">
        <f>IF('Classe CP'!$B20="","",N('Classe CP'!O20))</f>
        <v/>
      </c>
      <c r="T260" s="51" t="str">
        <f>IF('Classe CP'!$B20="","",N('Classe CP'!P20))</f>
        <v/>
      </c>
    </row>
    <row r="261">
      <c r="A261" s="16" t="str">
        <f>IF('Classe CP'!$B21="","",IF('Classe CP'!A21="","",'Classe CP'!A21))</f>
        <v/>
      </c>
      <c r="B261" s="16" t="str">
        <f>IF('Classe CP'!$B21="","",IF('Classe CP'!B21="","",'Classe CP'!B21))</f>
        <v/>
      </c>
      <c r="C261" s="16" t="str">
        <f>IF('Classe CP'!$B21="","",IF('Classe CP'!C21="","",'Classe CP'!C21))</f>
        <v/>
      </c>
      <c r="D261" s="16" t="str">
        <f>IF($B261="","",C261&amp;" "&amp;B261&amp;" - "&amp;E261)</f>
        <v/>
      </c>
      <c r="E261" s="17" t="str">
        <f>IF($B261="","",Paramètres!$A$18)</f>
        <v/>
      </c>
      <c r="F261" s="17" t="str">
        <f>IF($B261="","",Paramètres!$B$18)</f>
        <v/>
      </c>
      <c r="G261" s="17" t="str">
        <f>IF('Classe CP'!$B21="","",IF('Classe CP'!D21="","",'Classe CP'!D21))</f>
        <v/>
      </c>
      <c r="H261" s="78" t="str">
        <f>IF('Classe CP'!$B21="","",IF('Classe CP'!E21="","",'Classe CP'!E21))</f>
        <v/>
      </c>
      <c r="I261" s="16" t="str">
        <f>IF('Classe CP'!$B21="","",IF('Classe CP'!F21="","",'Classe CP'!F21))</f>
        <v/>
      </c>
      <c r="J261" s="16" t="str">
        <f>IF('Classe CP'!$B21="","",IF('Classe CP'!G21="","",'Classe CP'!G21))</f>
        <v/>
      </c>
      <c r="K261" s="18" t="str">
        <f>IF('Classe CP'!$B21="","",N('Classe CP'!H21))</f>
        <v/>
      </c>
      <c r="L261" s="18" t="str">
        <f>IF('Classe CP'!$B21="","",N('Classe CP'!I21))</f>
        <v/>
      </c>
      <c r="M261" s="18" t="str">
        <f>IF('Classe CP'!$B21="","",N('Classe CP'!J21))</f>
        <v/>
      </c>
      <c r="N261" s="18" t="str">
        <f>IF('Classe CP'!$B21="","",N('Classe CP'!K21))</f>
        <v/>
      </c>
      <c r="O261" s="18" t="str">
        <f>IF('Classe CP'!$B21="","",N('Classe CP'!L21))</f>
        <v/>
      </c>
      <c r="P261" s="18" t="str">
        <f>IF('Classe CP'!$B21="","",N('Classe CP'!M21))</f>
        <v/>
      </c>
      <c r="Q261" s="17" t="str">
        <f>IF('Classe CP'!$B21="","",IF('Classe CP'!Q21="","",'Classe CP'!Q21))</f>
        <v/>
      </c>
      <c r="R261" s="18" t="str">
        <f>IF('Classe CP'!$B21="","",N('Classe CP'!N21))</f>
        <v/>
      </c>
      <c r="S261" s="18" t="str">
        <f>IF('Classe CP'!$B21="","",N('Classe CP'!O21))</f>
        <v/>
      </c>
      <c r="T261" s="18" t="str">
        <f>IF('Classe CP'!$B21="","",N('Classe CP'!P21))</f>
        <v/>
      </c>
    </row>
    <row r="262">
      <c r="A262" s="20" t="str">
        <f>IF('Classe CP'!$B22="","",IF('Classe CP'!A22="","",'Classe CP'!A22))</f>
        <v/>
      </c>
      <c r="B262" s="20" t="str">
        <f>IF('Classe CP'!$B22="","",IF('Classe CP'!B22="","",'Classe CP'!B22))</f>
        <v/>
      </c>
      <c r="C262" s="20" t="str">
        <f>IF('Classe CP'!$B22="","",IF('Classe CP'!C22="","",'Classe CP'!C22))</f>
        <v/>
      </c>
      <c r="D262" s="20" t="str">
        <f>IF($B262="","",C262&amp;" "&amp;B262&amp;" - "&amp;E262)</f>
        <v/>
      </c>
      <c r="E262" s="21" t="str">
        <f>IF($B262="","",Paramètres!$A$18)</f>
        <v/>
      </c>
      <c r="F262" s="21" t="str">
        <f>IF($B262="","",Paramètres!$B$18)</f>
        <v/>
      </c>
      <c r="G262" s="21" t="str">
        <f>IF('Classe CP'!$B22="","",IF('Classe CP'!D22="","",'Classe CP'!D22))</f>
        <v/>
      </c>
      <c r="H262" s="77" t="str">
        <f>IF('Classe CP'!$B22="","",IF('Classe CP'!E22="","",'Classe CP'!E22))</f>
        <v/>
      </c>
      <c r="I262" s="20" t="str">
        <f>IF('Classe CP'!$B22="","",IF('Classe CP'!F22="","",'Classe CP'!F22))</f>
        <v/>
      </c>
      <c r="J262" s="20" t="str">
        <f>IF('Classe CP'!$B22="","",IF('Classe CP'!G22="","",'Classe CP'!G22))</f>
        <v/>
      </c>
      <c r="K262" s="51" t="str">
        <f>IF('Classe CP'!$B22="","",N('Classe CP'!H22))</f>
        <v/>
      </c>
      <c r="L262" s="51" t="str">
        <f>IF('Classe CP'!$B22="","",N('Classe CP'!I22))</f>
        <v/>
      </c>
      <c r="M262" s="51" t="str">
        <f>IF('Classe CP'!$B22="","",N('Classe CP'!J22))</f>
        <v/>
      </c>
      <c r="N262" s="51" t="str">
        <f>IF('Classe CP'!$B22="","",N('Classe CP'!K22))</f>
        <v/>
      </c>
      <c r="O262" s="51" t="str">
        <f>IF('Classe CP'!$B22="","",N('Classe CP'!L22))</f>
        <v/>
      </c>
      <c r="P262" s="51" t="str">
        <f>IF('Classe CP'!$B22="","",N('Classe CP'!M22))</f>
        <v/>
      </c>
      <c r="Q262" s="21" t="str">
        <f>IF('Classe CP'!$B22="","",IF('Classe CP'!Q22="","",'Classe CP'!Q22))</f>
        <v/>
      </c>
      <c r="R262" s="51" t="str">
        <f>IF('Classe CP'!$B22="","",N('Classe CP'!N22))</f>
        <v/>
      </c>
      <c r="S262" s="51" t="str">
        <f>IF('Classe CP'!$B22="","",N('Classe CP'!O22))</f>
        <v/>
      </c>
      <c r="T262" s="51" t="str">
        <f>IF('Classe CP'!$B22="","",N('Classe CP'!P22))</f>
        <v/>
      </c>
    </row>
    <row r="263">
      <c r="A263" s="16" t="str">
        <f>IF('Classe CP'!$B23="","",IF('Classe CP'!A23="","",'Classe CP'!A23))</f>
        <v/>
      </c>
      <c r="B263" s="16" t="str">
        <f>IF('Classe CP'!$B23="","",IF('Classe CP'!B23="","",'Classe CP'!B23))</f>
        <v/>
      </c>
      <c r="C263" s="16" t="str">
        <f>IF('Classe CP'!$B23="","",IF('Classe CP'!C23="","",'Classe CP'!C23))</f>
        <v/>
      </c>
      <c r="D263" s="16" t="str">
        <f>IF($B263="","",C263&amp;" "&amp;B263&amp;" - "&amp;E263)</f>
        <v/>
      </c>
      <c r="E263" s="17" t="str">
        <f>IF($B263="","",Paramètres!$A$18)</f>
        <v/>
      </c>
      <c r="F263" s="17" t="str">
        <f>IF($B263="","",Paramètres!$B$18)</f>
        <v/>
      </c>
      <c r="G263" s="17" t="str">
        <f>IF('Classe CP'!$B23="","",IF('Classe CP'!D23="","",'Classe CP'!D23))</f>
        <v/>
      </c>
      <c r="H263" s="78" t="str">
        <f>IF('Classe CP'!$B23="","",IF('Classe CP'!E23="","",'Classe CP'!E23))</f>
        <v/>
      </c>
      <c r="I263" s="16" t="str">
        <f>IF('Classe CP'!$B23="","",IF('Classe CP'!F23="","",'Classe CP'!F23))</f>
        <v/>
      </c>
      <c r="J263" s="16" t="str">
        <f>IF('Classe CP'!$B23="","",IF('Classe CP'!G23="","",'Classe CP'!G23))</f>
        <v/>
      </c>
      <c r="K263" s="18" t="str">
        <f>IF('Classe CP'!$B23="","",N('Classe CP'!H23))</f>
        <v/>
      </c>
      <c r="L263" s="18" t="str">
        <f>IF('Classe CP'!$B23="","",N('Classe CP'!I23))</f>
        <v/>
      </c>
      <c r="M263" s="18" t="str">
        <f>IF('Classe CP'!$B23="","",N('Classe CP'!J23))</f>
        <v/>
      </c>
      <c r="N263" s="18" t="str">
        <f>IF('Classe CP'!$B23="","",N('Classe CP'!K23))</f>
        <v/>
      </c>
      <c r="O263" s="18" t="str">
        <f>IF('Classe CP'!$B23="","",N('Classe CP'!L23))</f>
        <v/>
      </c>
      <c r="P263" s="18" t="str">
        <f>IF('Classe CP'!$B23="","",N('Classe CP'!M23))</f>
        <v/>
      </c>
      <c r="Q263" s="17" t="str">
        <f>IF('Classe CP'!$B23="","",IF('Classe CP'!Q23="","",'Classe CP'!Q23))</f>
        <v/>
      </c>
      <c r="R263" s="18" t="str">
        <f>IF('Classe CP'!$B23="","",N('Classe CP'!N23))</f>
        <v/>
      </c>
      <c r="S263" s="18" t="str">
        <f>IF('Classe CP'!$B23="","",N('Classe CP'!O23))</f>
        <v/>
      </c>
      <c r="T263" s="18" t="str">
        <f>IF('Classe CP'!$B23="","",N('Classe CP'!P23))</f>
        <v/>
      </c>
    </row>
    <row r="264">
      <c r="A264" s="20" t="str">
        <f>IF('Classe CP'!$B24="","",IF('Classe CP'!A24="","",'Classe CP'!A24))</f>
        <v/>
      </c>
      <c r="B264" s="20" t="str">
        <f>IF('Classe CP'!$B24="","",IF('Classe CP'!B24="","",'Classe CP'!B24))</f>
        <v/>
      </c>
      <c r="C264" s="20" t="str">
        <f>IF('Classe CP'!$B24="","",IF('Classe CP'!C24="","",'Classe CP'!C24))</f>
        <v/>
      </c>
      <c r="D264" s="20" t="str">
        <f>IF($B264="","",C264&amp;" "&amp;B264&amp;" - "&amp;E264)</f>
        <v/>
      </c>
      <c r="E264" s="21" t="str">
        <f>IF($B264="","",Paramètres!$A$18)</f>
        <v/>
      </c>
      <c r="F264" s="21" t="str">
        <f>IF($B264="","",Paramètres!$B$18)</f>
        <v/>
      </c>
      <c r="G264" s="21" t="str">
        <f>IF('Classe CP'!$B24="","",IF('Classe CP'!D24="","",'Classe CP'!D24))</f>
        <v/>
      </c>
      <c r="H264" s="77" t="str">
        <f>IF('Classe CP'!$B24="","",IF('Classe CP'!E24="","",'Classe CP'!E24))</f>
        <v/>
      </c>
      <c r="I264" s="20" t="str">
        <f>IF('Classe CP'!$B24="","",IF('Classe CP'!F24="","",'Classe CP'!F24))</f>
        <v/>
      </c>
      <c r="J264" s="20" t="str">
        <f>IF('Classe CP'!$B24="","",IF('Classe CP'!G24="","",'Classe CP'!G24))</f>
        <v/>
      </c>
      <c r="K264" s="51" t="str">
        <f>IF('Classe CP'!$B24="","",N('Classe CP'!H24))</f>
        <v/>
      </c>
      <c r="L264" s="51" t="str">
        <f>IF('Classe CP'!$B24="","",N('Classe CP'!I24))</f>
        <v/>
      </c>
      <c r="M264" s="51" t="str">
        <f>IF('Classe CP'!$B24="","",N('Classe CP'!J24))</f>
        <v/>
      </c>
      <c r="N264" s="51" t="str">
        <f>IF('Classe CP'!$B24="","",N('Classe CP'!K24))</f>
        <v/>
      </c>
      <c r="O264" s="51" t="str">
        <f>IF('Classe CP'!$B24="","",N('Classe CP'!L24))</f>
        <v/>
      </c>
      <c r="P264" s="51" t="str">
        <f>IF('Classe CP'!$B24="","",N('Classe CP'!M24))</f>
        <v/>
      </c>
      <c r="Q264" s="21" t="str">
        <f>IF('Classe CP'!$B24="","",IF('Classe CP'!Q24="","",'Classe CP'!Q24))</f>
        <v/>
      </c>
      <c r="R264" s="51" t="str">
        <f>IF('Classe CP'!$B24="","",N('Classe CP'!N24))</f>
        <v/>
      </c>
      <c r="S264" s="51" t="str">
        <f>IF('Classe CP'!$B24="","",N('Classe CP'!O24))</f>
        <v/>
      </c>
      <c r="T264" s="51" t="str">
        <f>IF('Classe CP'!$B24="","",N('Classe CP'!P24))</f>
        <v/>
      </c>
    </row>
    <row r="265">
      <c r="A265" s="16" t="str">
        <f>IF('Classe CP'!$B25="","",IF('Classe CP'!A25="","",'Classe CP'!A25))</f>
        <v/>
      </c>
      <c r="B265" s="16" t="str">
        <f>IF('Classe CP'!$B25="","",IF('Classe CP'!B25="","",'Classe CP'!B25))</f>
        <v/>
      </c>
      <c r="C265" s="16" t="str">
        <f>IF('Classe CP'!$B25="","",IF('Classe CP'!C25="","",'Classe CP'!C25))</f>
        <v/>
      </c>
      <c r="D265" s="16" t="str">
        <f>IF($B265="","",C265&amp;" "&amp;B265&amp;" - "&amp;E265)</f>
        <v/>
      </c>
      <c r="E265" s="17" t="str">
        <f>IF($B265="","",Paramètres!$A$18)</f>
        <v/>
      </c>
      <c r="F265" s="17" t="str">
        <f>IF($B265="","",Paramètres!$B$18)</f>
        <v/>
      </c>
      <c r="G265" s="17" t="str">
        <f>IF('Classe CP'!$B25="","",IF('Classe CP'!D25="","",'Classe CP'!D25))</f>
        <v/>
      </c>
      <c r="H265" s="78" t="str">
        <f>IF('Classe CP'!$B25="","",IF('Classe CP'!E25="","",'Classe CP'!E25))</f>
        <v/>
      </c>
      <c r="I265" s="16" t="str">
        <f>IF('Classe CP'!$B25="","",IF('Classe CP'!F25="","",'Classe CP'!F25))</f>
        <v/>
      </c>
      <c r="J265" s="16" t="str">
        <f>IF('Classe CP'!$B25="","",IF('Classe CP'!G25="","",'Classe CP'!G25))</f>
        <v/>
      </c>
      <c r="K265" s="18" t="str">
        <f>IF('Classe CP'!$B25="","",N('Classe CP'!H25))</f>
        <v/>
      </c>
      <c r="L265" s="18" t="str">
        <f>IF('Classe CP'!$B25="","",N('Classe CP'!I25))</f>
        <v/>
      </c>
      <c r="M265" s="18" t="str">
        <f>IF('Classe CP'!$B25="","",N('Classe CP'!J25))</f>
        <v/>
      </c>
      <c r="N265" s="18" t="str">
        <f>IF('Classe CP'!$B25="","",N('Classe CP'!K25))</f>
        <v/>
      </c>
      <c r="O265" s="18" t="str">
        <f>IF('Classe CP'!$B25="","",N('Classe CP'!L25))</f>
        <v/>
      </c>
      <c r="P265" s="18" t="str">
        <f>IF('Classe CP'!$B25="","",N('Classe CP'!M25))</f>
        <v/>
      </c>
      <c r="Q265" s="17" t="str">
        <f>IF('Classe CP'!$B25="","",IF('Classe CP'!Q25="","",'Classe CP'!Q25))</f>
        <v/>
      </c>
      <c r="R265" s="18" t="str">
        <f>IF('Classe CP'!$B25="","",N('Classe CP'!N25))</f>
        <v/>
      </c>
      <c r="S265" s="18" t="str">
        <f>IF('Classe CP'!$B25="","",N('Classe CP'!O25))</f>
        <v/>
      </c>
      <c r="T265" s="18" t="str">
        <f>IF('Classe CP'!$B25="","",N('Classe CP'!P25))</f>
        <v/>
      </c>
    </row>
    <row r="266">
      <c r="A266" s="20" t="str">
        <f>IF('Classe CP'!$B26="","",IF('Classe CP'!A26="","",'Classe CP'!A26))</f>
        <v/>
      </c>
      <c r="B266" s="20" t="str">
        <f>IF('Classe CP'!$B26="","",IF('Classe CP'!B26="","",'Classe CP'!B26))</f>
        <v/>
      </c>
      <c r="C266" s="20" t="str">
        <f>IF('Classe CP'!$B26="","",IF('Classe CP'!C26="","",'Classe CP'!C26))</f>
        <v/>
      </c>
      <c r="D266" s="20" t="str">
        <f>IF($B266="","",C266&amp;" "&amp;B266&amp;" - "&amp;E266)</f>
        <v/>
      </c>
      <c r="E266" s="21" t="str">
        <f>IF($B266="","",Paramètres!$A$18)</f>
        <v/>
      </c>
      <c r="F266" s="21" t="str">
        <f>IF($B266="","",Paramètres!$B$18)</f>
        <v/>
      </c>
      <c r="G266" s="21" t="str">
        <f>IF('Classe CP'!$B26="","",IF('Classe CP'!D26="","",'Classe CP'!D26))</f>
        <v/>
      </c>
      <c r="H266" s="77" t="str">
        <f>IF('Classe CP'!$B26="","",IF('Classe CP'!E26="","",'Classe CP'!E26))</f>
        <v/>
      </c>
      <c r="I266" s="20" t="str">
        <f>IF('Classe CP'!$B26="","",IF('Classe CP'!F26="","",'Classe CP'!F26))</f>
        <v/>
      </c>
      <c r="J266" s="20" t="str">
        <f>IF('Classe CP'!$B26="","",IF('Classe CP'!G26="","",'Classe CP'!G26))</f>
        <v/>
      </c>
      <c r="K266" s="51" t="str">
        <f>IF('Classe CP'!$B26="","",N('Classe CP'!H26))</f>
        <v/>
      </c>
      <c r="L266" s="51" t="str">
        <f>IF('Classe CP'!$B26="","",N('Classe CP'!I26))</f>
        <v/>
      </c>
      <c r="M266" s="51" t="str">
        <f>IF('Classe CP'!$B26="","",N('Classe CP'!J26))</f>
        <v/>
      </c>
      <c r="N266" s="51" t="str">
        <f>IF('Classe CP'!$B26="","",N('Classe CP'!K26))</f>
        <v/>
      </c>
      <c r="O266" s="51" t="str">
        <f>IF('Classe CP'!$B26="","",N('Classe CP'!L26))</f>
        <v/>
      </c>
      <c r="P266" s="51" t="str">
        <f>IF('Classe CP'!$B26="","",N('Classe CP'!M26))</f>
        <v/>
      </c>
      <c r="Q266" s="21" t="str">
        <f>IF('Classe CP'!$B26="","",IF('Classe CP'!Q26="","",'Classe CP'!Q26))</f>
        <v/>
      </c>
      <c r="R266" s="51" t="str">
        <f>IF('Classe CP'!$B26="","",N('Classe CP'!N26))</f>
        <v/>
      </c>
      <c r="S266" s="51" t="str">
        <f>IF('Classe CP'!$B26="","",N('Classe CP'!O26))</f>
        <v/>
      </c>
      <c r="T266" s="51" t="str">
        <f>IF('Classe CP'!$B26="","",N('Classe CP'!P26))</f>
        <v/>
      </c>
    </row>
    <row r="267">
      <c r="A267" s="16" t="str">
        <f>IF('Classe CP'!$B27="","",IF('Classe CP'!A27="","",'Classe CP'!A27))</f>
        <v/>
      </c>
      <c r="B267" s="16" t="str">
        <f>IF('Classe CP'!$B27="","",IF('Classe CP'!B27="","",'Classe CP'!B27))</f>
        <v/>
      </c>
      <c r="C267" s="16" t="str">
        <f>IF('Classe CP'!$B27="","",IF('Classe CP'!C27="","",'Classe CP'!C27))</f>
        <v/>
      </c>
      <c r="D267" s="16" t="str">
        <f>IF($B267="","",C267&amp;" "&amp;B267&amp;" - "&amp;E267)</f>
        <v/>
      </c>
      <c r="E267" s="17" t="str">
        <f>IF($B267="","",Paramètres!$A$18)</f>
        <v/>
      </c>
      <c r="F267" s="17" t="str">
        <f>IF($B267="","",Paramètres!$B$18)</f>
        <v/>
      </c>
      <c r="G267" s="17" t="str">
        <f>IF('Classe CP'!$B27="","",IF('Classe CP'!D27="","",'Classe CP'!D27))</f>
        <v/>
      </c>
      <c r="H267" s="78" t="str">
        <f>IF('Classe CP'!$B27="","",IF('Classe CP'!E27="","",'Classe CP'!E27))</f>
        <v/>
      </c>
      <c r="I267" s="16" t="str">
        <f>IF('Classe CP'!$B27="","",IF('Classe CP'!F27="","",'Classe CP'!F27))</f>
        <v/>
      </c>
      <c r="J267" s="16" t="str">
        <f>IF('Classe CP'!$B27="","",IF('Classe CP'!G27="","",'Classe CP'!G27))</f>
        <v/>
      </c>
      <c r="K267" s="18" t="str">
        <f>IF('Classe CP'!$B27="","",N('Classe CP'!H27))</f>
        <v/>
      </c>
      <c r="L267" s="18" t="str">
        <f>IF('Classe CP'!$B27="","",N('Classe CP'!I27))</f>
        <v/>
      </c>
      <c r="M267" s="18" t="str">
        <f>IF('Classe CP'!$B27="","",N('Classe CP'!J27))</f>
        <v/>
      </c>
      <c r="N267" s="18" t="str">
        <f>IF('Classe CP'!$B27="","",N('Classe CP'!K27))</f>
        <v/>
      </c>
      <c r="O267" s="18" t="str">
        <f>IF('Classe CP'!$B27="","",N('Classe CP'!L27))</f>
        <v/>
      </c>
      <c r="P267" s="18" t="str">
        <f>IF('Classe CP'!$B27="","",N('Classe CP'!M27))</f>
        <v/>
      </c>
      <c r="Q267" s="17" t="str">
        <f>IF('Classe CP'!$B27="","",IF('Classe CP'!Q27="","",'Classe CP'!Q27))</f>
        <v/>
      </c>
      <c r="R267" s="18" t="str">
        <f>IF('Classe CP'!$B27="","",N('Classe CP'!N27))</f>
        <v/>
      </c>
      <c r="S267" s="18" t="str">
        <f>IF('Classe CP'!$B27="","",N('Classe CP'!O27))</f>
        <v/>
      </c>
      <c r="T267" s="18" t="str">
        <f>IF('Classe CP'!$B27="","",N('Classe CP'!P27))</f>
        <v/>
      </c>
    </row>
    <row r="268">
      <c r="A268" s="20" t="str">
        <f>IF('Classe CP'!$B28="","",IF('Classe CP'!A28="","",'Classe CP'!A28))</f>
        <v/>
      </c>
      <c r="B268" s="20" t="str">
        <f>IF('Classe CP'!$B28="","",IF('Classe CP'!B28="","",'Classe CP'!B28))</f>
        <v/>
      </c>
      <c r="C268" s="20" t="str">
        <f>IF('Classe CP'!$B28="","",IF('Classe CP'!C28="","",'Classe CP'!C28))</f>
        <v/>
      </c>
      <c r="D268" s="20" t="str">
        <f>IF($B268="","",C268&amp;" "&amp;B268&amp;" - "&amp;E268)</f>
        <v/>
      </c>
      <c r="E268" s="21" t="str">
        <f>IF($B268="","",Paramètres!$A$18)</f>
        <v/>
      </c>
      <c r="F268" s="21" t="str">
        <f>IF($B268="","",Paramètres!$B$18)</f>
        <v/>
      </c>
      <c r="G268" s="21" t="str">
        <f>IF('Classe CP'!$B28="","",IF('Classe CP'!D28="","",'Classe CP'!D28))</f>
        <v/>
      </c>
      <c r="H268" s="77" t="str">
        <f>IF('Classe CP'!$B28="","",IF('Classe CP'!E28="","",'Classe CP'!E28))</f>
        <v/>
      </c>
      <c r="I268" s="20" t="str">
        <f>IF('Classe CP'!$B28="","",IF('Classe CP'!F28="","",'Classe CP'!F28))</f>
        <v/>
      </c>
      <c r="J268" s="20" t="str">
        <f>IF('Classe CP'!$B28="","",IF('Classe CP'!G28="","",'Classe CP'!G28))</f>
        <v/>
      </c>
      <c r="K268" s="51" t="str">
        <f>IF('Classe CP'!$B28="","",N('Classe CP'!H28))</f>
        <v/>
      </c>
      <c r="L268" s="51" t="str">
        <f>IF('Classe CP'!$B28="","",N('Classe CP'!I28))</f>
        <v/>
      </c>
      <c r="M268" s="51" t="str">
        <f>IF('Classe CP'!$B28="","",N('Classe CP'!J28))</f>
        <v/>
      </c>
      <c r="N268" s="51" t="str">
        <f>IF('Classe CP'!$B28="","",N('Classe CP'!K28))</f>
        <v/>
      </c>
      <c r="O268" s="51" t="str">
        <f>IF('Classe CP'!$B28="","",N('Classe CP'!L28))</f>
        <v/>
      </c>
      <c r="P268" s="51" t="str">
        <f>IF('Classe CP'!$B28="","",N('Classe CP'!M28))</f>
        <v/>
      </c>
      <c r="Q268" s="21" t="str">
        <f>IF('Classe CP'!$B28="","",IF('Classe CP'!Q28="","",'Classe CP'!Q28))</f>
        <v/>
      </c>
      <c r="R268" s="51" t="str">
        <f>IF('Classe CP'!$B28="","",N('Classe CP'!N28))</f>
        <v/>
      </c>
      <c r="S268" s="51" t="str">
        <f>IF('Classe CP'!$B28="","",N('Classe CP'!O28))</f>
        <v/>
      </c>
      <c r="T268" s="51" t="str">
        <f>IF('Classe CP'!$B28="","",N('Classe CP'!P28))</f>
        <v/>
      </c>
    </row>
    <row r="269">
      <c r="A269" s="16" t="str">
        <f>IF('Classe CP'!$B29="","",IF('Classe CP'!A29="","",'Classe CP'!A29))</f>
        <v/>
      </c>
      <c r="B269" s="16" t="str">
        <f>IF('Classe CP'!$B29="","",IF('Classe CP'!B29="","",'Classe CP'!B29))</f>
        <v/>
      </c>
      <c r="C269" s="16" t="str">
        <f>IF('Classe CP'!$B29="","",IF('Classe CP'!C29="","",'Classe CP'!C29))</f>
        <v/>
      </c>
      <c r="D269" s="16" t="str">
        <f>IF($B269="","",C269&amp;" "&amp;B269&amp;" - "&amp;E269)</f>
        <v/>
      </c>
      <c r="E269" s="17" t="str">
        <f>IF($B269="","",Paramètres!$A$18)</f>
        <v/>
      </c>
      <c r="F269" s="17" t="str">
        <f>IF($B269="","",Paramètres!$B$18)</f>
        <v/>
      </c>
      <c r="G269" s="17" t="str">
        <f>IF('Classe CP'!$B29="","",IF('Classe CP'!D29="","",'Classe CP'!D29))</f>
        <v/>
      </c>
      <c r="H269" s="78" t="str">
        <f>IF('Classe CP'!$B29="","",IF('Classe CP'!E29="","",'Classe CP'!E29))</f>
        <v/>
      </c>
      <c r="I269" s="16" t="str">
        <f>IF('Classe CP'!$B29="","",IF('Classe CP'!F29="","",'Classe CP'!F29))</f>
        <v/>
      </c>
      <c r="J269" s="16" t="str">
        <f>IF('Classe CP'!$B29="","",IF('Classe CP'!G29="","",'Classe CP'!G29))</f>
        <v/>
      </c>
      <c r="K269" s="18" t="str">
        <f>IF('Classe CP'!$B29="","",N('Classe CP'!H29))</f>
        <v/>
      </c>
      <c r="L269" s="18" t="str">
        <f>IF('Classe CP'!$B29="","",N('Classe CP'!I29))</f>
        <v/>
      </c>
      <c r="M269" s="18" t="str">
        <f>IF('Classe CP'!$B29="","",N('Classe CP'!J29))</f>
        <v/>
      </c>
      <c r="N269" s="18" t="str">
        <f>IF('Classe CP'!$B29="","",N('Classe CP'!K29))</f>
        <v/>
      </c>
      <c r="O269" s="18" t="str">
        <f>IF('Classe CP'!$B29="","",N('Classe CP'!L29))</f>
        <v/>
      </c>
      <c r="P269" s="18" t="str">
        <f>IF('Classe CP'!$B29="","",N('Classe CP'!M29))</f>
        <v/>
      </c>
      <c r="Q269" s="17" t="str">
        <f>IF('Classe CP'!$B29="","",IF('Classe CP'!Q29="","",'Classe CP'!Q29))</f>
        <v/>
      </c>
      <c r="R269" s="18" t="str">
        <f>IF('Classe CP'!$B29="","",N('Classe CP'!N29))</f>
        <v/>
      </c>
      <c r="S269" s="18" t="str">
        <f>IF('Classe CP'!$B29="","",N('Classe CP'!O29))</f>
        <v/>
      </c>
      <c r="T269" s="18" t="str">
        <f>IF('Classe CP'!$B29="","",N('Classe CP'!P29))</f>
        <v/>
      </c>
    </row>
    <row r="270">
      <c r="A270" s="20" t="str">
        <f>IF('Classe CP'!$B30="","",IF('Classe CP'!A30="","",'Classe CP'!A30))</f>
        <v/>
      </c>
      <c r="B270" s="20" t="str">
        <f>IF('Classe CP'!$B30="","",IF('Classe CP'!B30="","",'Classe CP'!B30))</f>
        <v/>
      </c>
      <c r="C270" s="20" t="str">
        <f>IF('Classe CP'!$B30="","",IF('Classe CP'!C30="","",'Classe CP'!C30))</f>
        <v/>
      </c>
      <c r="D270" s="20" t="str">
        <f>IF($B270="","",C270&amp;" "&amp;B270&amp;" - "&amp;E270)</f>
        <v/>
      </c>
      <c r="E270" s="21" t="str">
        <f>IF($B270="","",Paramètres!$A$18)</f>
        <v/>
      </c>
      <c r="F270" s="21" t="str">
        <f>IF($B270="","",Paramètres!$B$18)</f>
        <v/>
      </c>
      <c r="G270" s="21" t="str">
        <f>IF('Classe CP'!$B30="","",IF('Classe CP'!D30="","",'Classe CP'!D30))</f>
        <v/>
      </c>
      <c r="H270" s="77" t="str">
        <f>IF('Classe CP'!$B30="","",IF('Classe CP'!E30="","",'Classe CP'!E30))</f>
        <v/>
      </c>
      <c r="I270" s="20" t="str">
        <f>IF('Classe CP'!$B30="","",IF('Classe CP'!F30="","",'Classe CP'!F30))</f>
        <v/>
      </c>
      <c r="J270" s="20" t="str">
        <f>IF('Classe CP'!$B30="","",IF('Classe CP'!G30="","",'Classe CP'!G30))</f>
        <v/>
      </c>
      <c r="K270" s="51" t="str">
        <f>IF('Classe CP'!$B30="","",N('Classe CP'!H30))</f>
        <v/>
      </c>
      <c r="L270" s="51" t="str">
        <f>IF('Classe CP'!$B30="","",N('Classe CP'!I30))</f>
        <v/>
      </c>
      <c r="M270" s="51" t="str">
        <f>IF('Classe CP'!$B30="","",N('Classe CP'!J30))</f>
        <v/>
      </c>
      <c r="N270" s="51" t="str">
        <f>IF('Classe CP'!$B30="","",N('Classe CP'!K30))</f>
        <v/>
      </c>
      <c r="O270" s="51" t="str">
        <f>IF('Classe CP'!$B30="","",N('Classe CP'!L30))</f>
        <v/>
      </c>
      <c r="P270" s="51" t="str">
        <f>IF('Classe CP'!$B30="","",N('Classe CP'!M30))</f>
        <v/>
      </c>
      <c r="Q270" s="21" t="str">
        <f>IF('Classe CP'!$B30="","",IF('Classe CP'!Q30="","",'Classe CP'!Q30))</f>
        <v/>
      </c>
      <c r="R270" s="51" t="str">
        <f>IF('Classe CP'!$B30="","",N('Classe CP'!N30))</f>
        <v/>
      </c>
      <c r="S270" s="51" t="str">
        <f>IF('Classe CP'!$B30="","",N('Classe CP'!O30))</f>
        <v/>
      </c>
      <c r="T270" s="51" t="str">
        <f>IF('Classe CP'!$B30="","",N('Classe CP'!P30))</f>
        <v/>
      </c>
    </row>
    <row r="271">
      <c r="A271" s="16" t="str">
        <f>IF('Classe CP'!$B31="","",IF('Classe CP'!A31="","",'Classe CP'!A31))</f>
        <v/>
      </c>
      <c r="B271" s="16" t="str">
        <f>IF('Classe CP'!$B31="","",IF('Classe CP'!B31="","",'Classe CP'!B31))</f>
        <v/>
      </c>
      <c r="C271" s="16" t="str">
        <f>IF('Classe CP'!$B31="","",IF('Classe CP'!C31="","",'Classe CP'!C31))</f>
        <v/>
      </c>
      <c r="D271" s="16" t="str">
        <f>IF($B271="","",C271&amp;" "&amp;B271&amp;" - "&amp;E271)</f>
        <v/>
      </c>
      <c r="E271" s="17" t="str">
        <f>IF($B271="","",Paramètres!$A$18)</f>
        <v/>
      </c>
      <c r="F271" s="17" t="str">
        <f>IF($B271="","",Paramètres!$B$18)</f>
        <v/>
      </c>
      <c r="G271" s="17" t="str">
        <f>IF('Classe CP'!$B31="","",IF('Classe CP'!D31="","",'Classe CP'!D31))</f>
        <v/>
      </c>
      <c r="H271" s="78" t="str">
        <f>IF('Classe CP'!$B31="","",IF('Classe CP'!E31="","",'Classe CP'!E31))</f>
        <v/>
      </c>
      <c r="I271" s="16" t="str">
        <f>IF('Classe CP'!$B31="","",IF('Classe CP'!F31="","",'Classe CP'!F31))</f>
        <v/>
      </c>
      <c r="J271" s="16" t="str">
        <f>IF('Classe CP'!$B31="","",IF('Classe CP'!G31="","",'Classe CP'!G31))</f>
        <v/>
      </c>
      <c r="K271" s="18" t="str">
        <f>IF('Classe CP'!$B31="","",N('Classe CP'!H31))</f>
        <v/>
      </c>
      <c r="L271" s="18" t="str">
        <f>IF('Classe CP'!$B31="","",N('Classe CP'!I31))</f>
        <v/>
      </c>
      <c r="M271" s="18" t="str">
        <f>IF('Classe CP'!$B31="","",N('Classe CP'!J31))</f>
        <v/>
      </c>
      <c r="N271" s="18" t="str">
        <f>IF('Classe CP'!$B31="","",N('Classe CP'!K31))</f>
        <v/>
      </c>
      <c r="O271" s="18" t="str">
        <f>IF('Classe CP'!$B31="","",N('Classe CP'!L31))</f>
        <v/>
      </c>
      <c r="P271" s="18" t="str">
        <f>IF('Classe CP'!$B31="","",N('Classe CP'!M31))</f>
        <v/>
      </c>
      <c r="Q271" s="17" t="str">
        <f>IF('Classe CP'!$B31="","",IF('Classe CP'!Q31="","",'Classe CP'!Q31))</f>
        <v/>
      </c>
      <c r="R271" s="18" t="str">
        <f>IF('Classe CP'!$B31="","",N('Classe CP'!N31))</f>
        <v/>
      </c>
      <c r="S271" s="18" t="str">
        <f>IF('Classe CP'!$B31="","",N('Classe CP'!O31))</f>
        <v/>
      </c>
      <c r="T271" s="18" t="str">
        <f>IF('Classe CP'!$B31="","",N('Classe CP'!P31))</f>
        <v/>
      </c>
    </row>
    <row r="272">
      <c r="A272" s="20" t="str">
        <f>IF('Classe CP'!$B32="","",IF('Classe CP'!A32="","",'Classe CP'!A32))</f>
        <v/>
      </c>
      <c r="B272" s="20" t="str">
        <f>IF('Classe CP'!$B32="","",IF('Classe CP'!B32="","",'Classe CP'!B32))</f>
        <v/>
      </c>
      <c r="C272" s="20" t="str">
        <f>IF('Classe CP'!$B32="","",IF('Classe CP'!C32="","",'Classe CP'!C32))</f>
        <v/>
      </c>
      <c r="D272" s="20" t="str">
        <f>IF($B272="","",C272&amp;" "&amp;B272&amp;" - "&amp;E272)</f>
        <v/>
      </c>
      <c r="E272" s="21" t="str">
        <f>IF($B272="","",Paramètres!$A$18)</f>
        <v/>
      </c>
      <c r="F272" s="21" t="str">
        <f>IF($B272="","",Paramètres!$B$18)</f>
        <v/>
      </c>
      <c r="G272" s="21" t="str">
        <f>IF('Classe CP'!$B32="","",IF('Classe CP'!D32="","",'Classe CP'!D32))</f>
        <v/>
      </c>
      <c r="H272" s="77" t="str">
        <f>IF('Classe CP'!$B32="","",IF('Classe CP'!E32="","",'Classe CP'!E32))</f>
        <v/>
      </c>
      <c r="I272" s="20" t="str">
        <f>IF('Classe CP'!$B32="","",IF('Classe CP'!F32="","",'Classe CP'!F32))</f>
        <v/>
      </c>
      <c r="J272" s="20" t="str">
        <f>IF('Classe CP'!$B32="","",IF('Classe CP'!G32="","",'Classe CP'!G32))</f>
        <v/>
      </c>
      <c r="K272" s="51" t="str">
        <f>IF('Classe CP'!$B32="","",N('Classe CP'!H32))</f>
        <v/>
      </c>
      <c r="L272" s="51" t="str">
        <f>IF('Classe CP'!$B32="","",N('Classe CP'!I32))</f>
        <v/>
      </c>
      <c r="M272" s="51" t="str">
        <f>IF('Classe CP'!$B32="","",N('Classe CP'!J32))</f>
        <v/>
      </c>
      <c r="N272" s="51" t="str">
        <f>IF('Classe CP'!$B32="","",N('Classe CP'!K32))</f>
        <v/>
      </c>
      <c r="O272" s="51" t="str">
        <f>IF('Classe CP'!$B32="","",N('Classe CP'!L32))</f>
        <v/>
      </c>
      <c r="P272" s="51" t="str">
        <f>IF('Classe CP'!$B32="","",N('Classe CP'!M32))</f>
        <v/>
      </c>
      <c r="Q272" s="21" t="str">
        <f>IF('Classe CP'!$B32="","",IF('Classe CP'!Q32="","",'Classe CP'!Q32))</f>
        <v/>
      </c>
      <c r="R272" s="51" t="str">
        <f>IF('Classe CP'!$B32="","",N('Classe CP'!N32))</f>
        <v/>
      </c>
      <c r="S272" s="51" t="str">
        <f>IF('Classe CP'!$B32="","",N('Classe CP'!O32))</f>
        <v/>
      </c>
      <c r="T272" s="51" t="str">
        <f>IF('Classe CP'!$B32="","",N('Classe CP'!P32))</f>
        <v/>
      </c>
    </row>
    <row r="273">
      <c r="A273" s="16" t="str">
        <f>IF('Classe CP'!$B33="","",IF('Classe CP'!A33="","",'Classe CP'!A33))</f>
        <v/>
      </c>
      <c r="B273" s="16" t="str">
        <f>IF('Classe CP'!$B33="","",IF('Classe CP'!B33="","",'Classe CP'!B33))</f>
        <v/>
      </c>
      <c r="C273" s="16" t="str">
        <f>IF('Classe CP'!$B33="","",IF('Classe CP'!C33="","",'Classe CP'!C33))</f>
        <v/>
      </c>
      <c r="D273" s="16" t="str">
        <f>IF($B273="","",C273&amp;" "&amp;B273&amp;" - "&amp;E273)</f>
        <v/>
      </c>
      <c r="E273" s="17" t="str">
        <f>IF($B273="","",Paramètres!$A$18)</f>
        <v/>
      </c>
      <c r="F273" s="17" t="str">
        <f>IF($B273="","",Paramètres!$B$18)</f>
        <v/>
      </c>
      <c r="G273" s="17" t="str">
        <f>IF('Classe CP'!$B33="","",IF('Classe CP'!D33="","",'Classe CP'!D33))</f>
        <v/>
      </c>
      <c r="H273" s="78" t="str">
        <f>IF('Classe CP'!$B33="","",IF('Classe CP'!E33="","",'Classe CP'!E33))</f>
        <v/>
      </c>
      <c r="I273" s="16" t="str">
        <f>IF('Classe CP'!$B33="","",IF('Classe CP'!F33="","",'Classe CP'!F33))</f>
        <v/>
      </c>
      <c r="J273" s="16" t="str">
        <f>IF('Classe CP'!$B33="","",IF('Classe CP'!G33="","",'Classe CP'!G33))</f>
        <v/>
      </c>
      <c r="K273" s="18" t="str">
        <f>IF('Classe CP'!$B33="","",N('Classe CP'!H33))</f>
        <v/>
      </c>
      <c r="L273" s="18" t="str">
        <f>IF('Classe CP'!$B33="","",N('Classe CP'!I33))</f>
        <v/>
      </c>
      <c r="M273" s="18" t="str">
        <f>IF('Classe CP'!$B33="","",N('Classe CP'!J33))</f>
        <v/>
      </c>
      <c r="N273" s="18" t="str">
        <f>IF('Classe CP'!$B33="","",N('Classe CP'!K33))</f>
        <v/>
      </c>
      <c r="O273" s="18" t="str">
        <f>IF('Classe CP'!$B33="","",N('Classe CP'!L33))</f>
        <v/>
      </c>
      <c r="P273" s="18" t="str">
        <f>IF('Classe CP'!$B33="","",N('Classe CP'!M33))</f>
        <v/>
      </c>
      <c r="Q273" s="17" t="str">
        <f>IF('Classe CP'!$B33="","",IF('Classe CP'!Q33="","",'Classe CP'!Q33))</f>
        <v/>
      </c>
      <c r="R273" s="18" t="str">
        <f>IF('Classe CP'!$B33="","",N('Classe CP'!N33))</f>
        <v/>
      </c>
      <c r="S273" s="18" t="str">
        <f>IF('Classe CP'!$B33="","",N('Classe CP'!O33))</f>
        <v/>
      </c>
      <c r="T273" s="18" t="str">
        <f>IF('Classe CP'!$B33="","",N('Classe CP'!P33))</f>
        <v/>
      </c>
    </row>
    <row r="274">
      <c r="A274" s="20" t="str">
        <f>IF('Classe CP'!$B34="","",IF('Classe CP'!A34="","",'Classe CP'!A34))</f>
        <v/>
      </c>
      <c r="B274" s="20" t="str">
        <f>IF('Classe CP'!$B34="","",IF('Classe CP'!B34="","",'Classe CP'!B34))</f>
        <v/>
      </c>
      <c r="C274" s="20" t="str">
        <f>IF('Classe CP'!$B34="","",IF('Classe CP'!C34="","",'Classe CP'!C34))</f>
        <v/>
      </c>
      <c r="D274" s="20" t="str">
        <f>IF($B274="","",C274&amp;" "&amp;B274&amp;" - "&amp;E274)</f>
        <v/>
      </c>
      <c r="E274" s="21" t="str">
        <f>IF($B274="","",Paramètres!$A$18)</f>
        <v/>
      </c>
      <c r="F274" s="21" t="str">
        <f>IF($B274="","",Paramètres!$B$18)</f>
        <v/>
      </c>
      <c r="G274" s="21" t="str">
        <f>IF('Classe CP'!$B34="","",IF('Classe CP'!D34="","",'Classe CP'!D34))</f>
        <v/>
      </c>
      <c r="H274" s="77" t="str">
        <f>IF('Classe CP'!$B34="","",IF('Classe CP'!E34="","",'Classe CP'!E34))</f>
        <v/>
      </c>
      <c r="I274" s="20" t="str">
        <f>IF('Classe CP'!$B34="","",IF('Classe CP'!F34="","",'Classe CP'!F34))</f>
        <v/>
      </c>
      <c r="J274" s="20" t="str">
        <f>IF('Classe CP'!$B34="","",IF('Classe CP'!G34="","",'Classe CP'!G34))</f>
        <v/>
      </c>
      <c r="K274" s="51" t="str">
        <f>IF('Classe CP'!$B34="","",N('Classe CP'!H34))</f>
        <v/>
      </c>
      <c r="L274" s="51" t="str">
        <f>IF('Classe CP'!$B34="","",N('Classe CP'!I34))</f>
        <v/>
      </c>
      <c r="M274" s="51" t="str">
        <f>IF('Classe CP'!$B34="","",N('Classe CP'!J34))</f>
        <v/>
      </c>
      <c r="N274" s="51" t="str">
        <f>IF('Classe CP'!$B34="","",N('Classe CP'!K34))</f>
        <v/>
      </c>
      <c r="O274" s="51" t="str">
        <f>IF('Classe CP'!$B34="","",N('Classe CP'!L34))</f>
        <v/>
      </c>
      <c r="P274" s="51" t="str">
        <f>IF('Classe CP'!$B34="","",N('Classe CP'!M34))</f>
        <v/>
      </c>
      <c r="Q274" s="21" t="str">
        <f>IF('Classe CP'!$B34="","",IF('Classe CP'!Q34="","",'Classe CP'!Q34))</f>
        <v/>
      </c>
      <c r="R274" s="51" t="str">
        <f>IF('Classe CP'!$B34="","",N('Classe CP'!N34))</f>
        <v/>
      </c>
      <c r="S274" s="51" t="str">
        <f>IF('Classe CP'!$B34="","",N('Classe CP'!O34))</f>
        <v/>
      </c>
      <c r="T274" s="51" t="str">
        <f>IF('Classe CP'!$B34="","",N('Classe CP'!P34))</f>
        <v/>
      </c>
    </row>
    <row r="275">
      <c r="A275" s="16" t="str">
        <f>IF('Classe CP'!$B35="","",IF('Classe CP'!A35="","",'Classe CP'!A35))</f>
        <v/>
      </c>
      <c r="B275" s="16" t="str">
        <f>IF('Classe CP'!$B35="","",IF('Classe CP'!B35="","",'Classe CP'!B35))</f>
        <v/>
      </c>
      <c r="C275" s="16" t="str">
        <f>IF('Classe CP'!$B35="","",IF('Classe CP'!C35="","",'Classe CP'!C35))</f>
        <v/>
      </c>
      <c r="D275" s="16" t="str">
        <f>IF($B275="","",C275&amp;" "&amp;B275&amp;" - "&amp;E275)</f>
        <v/>
      </c>
      <c r="E275" s="17" t="str">
        <f>IF($B275="","",Paramètres!$A$18)</f>
        <v/>
      </c>
      <c r="F275" s="17" t="str">
        <f>IF($B275="","",Paramètres!$B$18)</f>
        <v/>
      </c>
      <c r="G275" s="17" t="str">
        <f>IF('Classe CP'!$B35="","",IF('Classe CP'!D35="","",'Classe CP'!D35))</f>
        <v/>
      </c>
      <c r="H275" s="78" t="str">
        <f>IF('Classe CP'!$B35="","",IF('Classe CP'!E35="","",'Classe CP'!E35))</f>
        <v/>
      </c>
      <c r="I275" s="16" t="str">
        <f>IF('Classe CP'!$B35="","",IF('Classe CP'!F35="","",'Classe CP'!F35))</f>
        <v/>
      </c>
      <c r="J275" s="16" t="str">
        <f>IF('Classe CP'!$B35="","",IF('Classe CP'!G35="","",'Classe CP'!G35))</f>
        <v/>
      </c>
      <c r="K275" s="18" t="str">
        <f>IF('Classe CP'!$B35="","",N('Classe CP'!H35))</f>
        <v/>
      </c>
      <c r="L275" s="18" t="str">
        <f>IF('Classe CP'!$B35="","",N('Classe CP'!I35))</f>
        <v/>
      </c>
      <c r="M275" s="18" t="str">
        <f>IF('Classe CP'!$B35="","",N('Classe CP'!J35))</f>
        <v/>
      </c>
      <c r="N275" s="18" t="str">
        <f>IF('Classe CP'!$B35="","",N('Classe CP'!K35))</f>
        <v/>
      </c>
      <c r="O275" s="18" t="str">
        <f>IF('Classe CP'!$B35="","",N('Classe CP'!L35))</f>
        <v/>
      </c>
      <c r="P275" s="18" t="str">
        <f>IF('Classe CP'!$B35="","",N('Classe CP'!M35))</f>
        <v/>
      </c>
      <c r="Q275" s="17" t="str">
        <f>IF('Classe CP'!$B35="","",IF('Classe CP'!Q35="","",'Classe CP'!Q35))</f>
        <v/>
      </c>
      <c r="R275" s="18" t="str">
        <f>IF('Classe CP'!$B35="","",N('Classe CP'!N35))</f>
        <v/>
      </c>
      <c r="S275" s="18" t="str">
        <f>IF('Classe CP'!$B35="","",N('Classe CP'!O35))</f>
        <v/>
      </c>
      <c r="T275" s="18" t="str">
        <f>IF('Classe CP'!$B35="","",N('Classe CP'!P35))</f>
        <v/>
      </c>
    </row>
    <row r="276">
      <c r="A276" s="20" t="str">
        <f>IF('Classe CP'!$B36="","",IF('Classe CP'!A36="","",'Classe CP'!A36))</f>
        <v/>
      </c>
      <c r="B276" s="20" t="str">
        <f>IF('Classe CP'!$B36="","",IF('Classe CP'!B36="","",'Classe CP'!B36))</f>
        <v/>
      </c>
      <c r="C276" s="20" t="str">
        <f>IF('Classe CP'!$B36="","",IF('Classe CP'!C36="","",'Classe CP'!C36))</f>
        <v/>
      </c>
      <c r="D276" s="20" t="str">
        <f>IF($B276="","",C276&amp;" "&amp;B276&amp;" - "&amp;E276)</f>
        <v/>
      </c>
      <c r="E276" s="21" t="str">
        <f>IF($B276="","",Paramètres!$A$18)</f>
        <v/>
      </c>
      <c r="F276" s="21" t="str">
        <f>IF($B276="","",Paramètres!$B$18)</f>
        <v/>
      </c>
      <c r="G276" s="21" t="str">
        <f>IF('Classe CP'!$B36="","",IF('Classe CP'!D36="","",'Classe CP'!D36))</f>
        <v/>
      </c>
      <c r="H276" s="77" t="str">
        <f>IF('Classe CP'!$B36="","",IF('Classe CP'!E36="","",'Classe CP'!E36))</f>
        <v/>
      </c>
      <c r="I276" s="20" t="str">
        <f>IF('Classe CP'!$B36="","",IF('Classe CP'!F36="","",'Classe CP'!F36))</f>
        <v/>
      </c>
      <c r="J276" s="20" t="str">
        <f>IF('Classe CP'!$B36="","",IF('Classe CP'!G36="","",'Classe CP'!G36))</f>
        <v/>
      </c>
      <c r="K276" s="51" t="str">
        <f>IF('Classe CP'!$B36="","",N('Classe CP'!H36))</f>
        <v/>
      </c>
      <c r="L276" s="51" t="str">
        <f>IF('Classe CP'!$B36="","",N('Classe CP'!I36))</f>
        <v/>
      </c>
      <c r="M276" s="51" t="str">
        <f>IF('Classe CP'!$B36="","",N('Classe CP'!J36))</f>
        <v/>
      </c>
      <c r="N276" s="51" t="str">
        <f>IF('Classe CP'!$B36="","",N('Classe CP'!K36))</f>
        <v/>
      </c>
      <c r="O276" s="51" t="str">
        <f>IF('Classe CP'!$B36="","",N('Classe CP'!L36))</f>
        <v/>
      </c>
      <c r="P276" s="51" t="str">
        <f>IF('Classe CP'!$B36="","",N('Classe CP'!M36))</f>
        <v/>
      </c>
      <c r="Q276" s="21" t="str">
        <f>IF('Classe CP'!$B36="","",IF('Classe CP'!Q36="","",'Classe CP'!Q36))</f>
        <v/>
      </c>
      <c r="R276" s="51" t="str">
        <f>IF('Classe CP'!$B36="","",N('Classe CP'!N36))</f>
        <v/>
      </c>
      <c r="S276" s="51" t="str">
        <f>IF('Classe CP'!$B36="","",N('Classe CP'!O36))</f>
        <v/>
      </c>
      <c r="T276" s="51" t="str">
        <f>IF('Classe CP'!$B36="","",N('Classe CP'!P36))</f>
        <v/>
      </c>
    </row>
    <row r="277">
      <c r="A277" s="16" t="str">
        <f>IF('Classe CP'!$B37="","",IF('Classe CP'!A37="","",'Classe CP'!A37))</f>
        <v/>
      </c>
      <c r="B277" s="16" t="str">
        <f>IF('Classe CP'!$B37="","",IF('Classe CP'!B37="","",'Classe CP'!B37))</f>
        <v/>
      </c>
      <c r="C277" s="16" t="str">
        <f>IF('Classe CP'!$B37="","",IF('Classe CP'!C37="","",'Classe CP'!C37))</f>
        <v/>
      </c>
      <c r="D277" s="16" t="str">
        <f>IF($B277="","",C277&amp;" "&amp;B277&amp;" - "&amp;E277)</f>
        <v/>
      </c>
      <c r="E277" s="17" t="str">
        <f>IF($B277="","",Paramètres!$A$18)</f>
        <v/>
      </c>
      <c r="F277" s="17" t="str">
        <f>IF($B277="","",Paramètres!$B$18)</f>
        <v/>
      </c>
      <c r="G277" s="17" t="str">
        <f>IF('Classe CP'!$B37="","",IF('Classe CP'!D37="","",'Classe CP'!D37))</f>
        <v/>
      </c>
      <c r="H277" s="78" t="str">
        <f>IF('Classe CP'!$B37="","",IF('Classe CP'!E37="","",'Classe CP'!E37))</f>
        <v/>
      </c>
      <c r="I277" s="16" t="str">
        <f>IF('Classe CP'!$B37="","",IF('Classe CP'!F37="","",'Classe CP'!F37))</f>
        <v/>
      </c>
      <c r="J277" s="16" t="str">
        <f>IF('Classe CP'!$B37="","",IF('Classe CP'!G37="","",'Classe CP'!G37))</f>
        <v/>
      </c>
      <c r="K277" s="18" t="str">
        <f>IF('Classe CP'!$B37="","",N('Classe CP'!H37))</f>
        <v/>
      </c>
      <c r="L277" s="18" t="str">
        <f>IF('Classe CP'!$B37="","",N('Classe CP'!I37))</f>
        <v/>
      </c>
      <c r="M277" s="18" t="str">
        <f>IF('Classe CP'!$B37="","",N('Classe CP'!J37))</f>
        <v/>
      </c>
      <c r="N277" s="18" t="str">
        <f>IF('Classe CP'!$B37="","",N('Classe CP'!K37))</f>
        <v/>
      </c>
      <c r="O277" s="18" t="str">
        <f>IF('Classe CP'!$B37="","",N('Classe CP'!L37))</f>
        <v/>
      </c>
      <c r="P277" s="18" t="str">
        <f>IF('Classe CP'!$B37="","",N('Classe CP'!M37))</f>
        <v/>
      </c>
      <c r="Q277" s="17" t="str">
        <f>IF('Classe CP'!$B37="","",IF('Classe CP'!Q37="","",'Classe CP'!Q37))</f>
        <v/>
      </c>
      <c r="R277" s="18" t="str">
        <f>IF('Classe CP'!$B37="","",N('Classe CP'!N37))</f>
        <v/>
      </c>
      <c r="S277" s="18" t="str">
        <f>IF('Classe CP'!$B37="","",N('Classe CP'!O37))</f>
        <v/>
      </c>
      <c r="T277" s="18" t="str">
        <f>IF('Classe CP'!$B37="","",N('Classe CP'!P37))</f>
        <v/>
      </c>
    </row>
    <row r="278">
      <c r="A278" s="20" t="str">
        <f>IF('Classe CP'!$B38="","",IF('Classe CP'!A38="","",'Classe CP'!A38))</f>
        <v/>
      </c>
      <c r="B278" s="20" t="str">
        <f>IF('Classe CP'!$B38="","",IF('Classe CP'!B38="","",'Classe CP'!B38))</f>
        <v/>
      </c>
      <c r="C278" s="20" t="str">
        <f>IF('Classe CP'!$B38="","",IF('Classe CP'!C38="","",'Classe CP'!C38))</f>
        <v/>
      </c>
      <c r="D278" s="20" t="str">
        <f>IF($B278="","",C278&amp;" "&amp;B278&amp;" - "&amp;E278)</f>
        <v/>
      </c>
      <c r="E278" s="21" t="str">
        <f>IF($B278="","",Paramètres!$A$18)</f>
        <v/>
      </c>
      <c r="F278" s="21" t="str">
        <f>IF($B278="","",Paramètres!$B$18)</f>
        <v/>
      </c>
      <c r="G278" s="21" t="str">
        <f>IF('Classe CP'!$B38="","",IF('Classe CP'!D38="","",'Classe CP'!D38))</f>
        <v/>
      </c>
      <c r="H278" s="77" t="str">
        <f>IF('Classe CP'!$B38="","",IF('Classe CP'!E38="","",'Classe CP'!E38))</f>
        <v/>
      </c>
      <c r="I278" s="20" t="str">
        <f>IF('Classe CP'!$B38="","",IF('Classe CP'!F38="","",'Classe CP'!F38))</f>
        <v/>
      </c>
      <c r="J278" s="20" t="str">
        <f>IF('Classe CP'!$B38="","",IF('Classe CP'!G38="","",'Classe CP'!G38))</f>
        <v/>
      </c>
      <c r="K278" s="51" t="str">
        <f>IF('Classe CP'!$B38="","",N('Classe CP'!H38))</f>
        <v/>
      </c>
      <c r="L278" s="51" t="str">
        <f>IF('Classe CP'!$B38="","",N('Classe CP'!I38))</f>
        <v/>
      </c>
      <c r="M278" s="51" t="str">
        <f>IF('Classe CP'!$B38="","",N('Classe CP'!J38))</f>
        <v/>
      </c>
      <c r="N278" s="51" t="str">
        <f>IF('Classe CP'!$B38="","",N('Classe CP'!K38))</f>
        <v/>
      </c>
      <c r="O278" s="51" t="str">
        <f>IF('Classe CP'!$B38="","",N('Classe CP'!L38))</f>
        <v/>
      </c>
      <c r="P278" s="51" t="str">
        <f>IF('Classe CP'!$B38="","",N('Classe CP'!M38))</f>
        <v/>
      </c>
      <c r="Q278" s="21" t="str">
        <f>IF('Classe CP'!$B38="","",IF('Classe CP'!Q38="","",'Classe CP'!Q38))</f>
        <v/>
      </c>
      <c r="R278" s="51" t="str">
        <f>IF('Classe CP'!$B38="","",N('Classe CP'!N38))</f>
        <v/>
      </c>
      <c r="S278" s="51" t="str">
        <f>IF('Classe CP'!$B38="","",N('Classe CP'!O38))</f>
        <v/>
      </c>
      <c r="T278" s="51" t="str">
        <f>IF('Classe CP'!$B38="","",N('Classe CP'!P38))</f>
        <v/>
      </c>
    </row>
    <row r="279">
      <c r="A279" s="16" t="str">
        <f>IF('Classe CP'!$B39="","",IF('Classe CP'!A39="","",'Classe CP'!A39))</f>
        <v/>
      </c>
      <c r="B279" s="16" t="str">
        <f>IF('Classe CP'!$B39="","",IF('Classe CP'!B39="","",'Classe CP'!B39))</f>
        <v/>
      </c>
      <c r="C279" s="16" t="str">
        <f>IF('Classe CP'!$B39="","",IF('Classe CP'!C39="","",'Classe CP'!C39))</f>
        <v/>
      </c>
      <c r="D279" s="16" t="str">
        <f>IF($B279="","",C279&amp;" "&amp;B279&amp;" - "&amp;E279)</f>
        <v/>
      </c>
      <c r="E279" s="17" t="str">
        <f>IF($B279="","",Paramètres!$A$18)</f>
        <v/>
      </c>
      <c r="F279" s="17" t="str">
        <f>IF($B279="","",Paramètres!$B$18)</f>
        <v/>
      </c>
      <c r="G279" s="17" t="str">
        <f>IF('Classe CP'!$B39="","",IF('Classe CP'!D39="","",'Classe CP'!D39))</f>
        <v/>
      </c>
      <c r="H279" s="78" t="str">
        <f>IF('Classe CP'!$B39="","",IF('Classe CP'!E39="","",'Classe CP'!E39))</f>
        <v/>
      </c>
      <c r="I279" s="16" t="str">
        <f>IF('Classe CP'!$B39="","",IF('Classe CP'!F39="","",'Classe CP'!F39))</f>
        <v/>
      </c>
      <c r="J279" s="16" t="str">
        <f>IF('Classe CP'!$B39="","",IF('Classe CP'!G39="","",'Classe CP'!G39))</f>
        <v/>
      </c>
      <c r="K279" s="18" t="str">
        <f>IF('Classe CP'!$B39="","",N('Classe CP'!H39))</f>
        <v/>
      </c>
      <c r="L279" s="18" t="str">
        <f>IF('Classe CP'!$B39="","",N('Classe CP'!I39))</f>
        <v/>
      </c>
      <c r="M279" s="18" t="str">
        <f>IF('Classe CP'!$B39="","",N('Classe CP'!J39))</f>
        <v/>
      </c>
      <c r="N279" s="18" t="str">
        <f>IF('Classe CP'!$B39="","",N('Classe CP'!K39))</f>
        <v/>
      </c>
      <c r="O279" s="18" t="str">
        <f>IF('Classe CP'!$B39="","",N('Classe CP'!L39))</f>
        <v/>
      </c>
      <c r="P279" s="18" t="str">
        <f>IF('Classe CP'!$B39="","",N('Classe CP'!M39))</f>
        <v/>
      </c>
      <c r="Q279" s="17" t="str">
        <f>IF('Classe CP'!$B39="","",IF('Classe CP'!Q39="","",'Classe CP'!Q39))</f>
        <v/>
      </c>
      <c r="R279" s="18" t="str">
        <f>IF('Classe CP'!$B39="","",N('Classe CP'!N39))</f>
        <v/>
      </c>
      <c r="S279" s="18" t="str">
        <f>IF('Classe CP'!$B39="","",N('Classe CP'!O39))</f>
        <v/>
      </c>
      <c r="T279" s="18" t="str">
        <f>IF('Classe CP'!$B39="","",N('Classe CP'!P39))</f>
        <v/>
      </c>
    </row>
    <row r="280">
      <c r="A280" s="20" t="str">
        <f>IF('Classe CP'!$B40="","",IF('Classe CP'!A40="","",'Classe CP'!A40))</f>
        <v/>
      </c>
      <c r="B280" s="20" t="str">
        <f>IF('Classe CP'!$B40="","",IF('Classe CP'!B40="","",'Classe CP'!B40))</f>
        <v/>
      </c>
      <c r="C280" s="20" t="str">
        <f>IF('Classe CP'!$B40="","",IF('Classe CP'!C40="","",'Classe CP'!C40))</f>
        <v/>
      </c>
      <c r="D280" s="20" t="str">
        <f>IF($B280="","",C280&amp;" "&amp;B280&amp;" - "&amp;E280)</f>
        <v/>
      </c>
      <c r="E280" s="21" t="str">
        <f>IF($B280="","",Paramètres!$A$18)</f>
        <v/>
      </c>
      <c r="F280" s="21" t="str">
        <f>IF($B280="","",Paramètres!$B$18)</f>
        <v/>
      </c>
      <c r="G280" s="21" t="str">
        <f>IF('Classe CP'!$B40="","",IF('Classe CP'!D40="","",'Classe CP'!D40))</f>
        <v/>
      </c>
      <c r="H280" s="77" t="str">
        <f>IF('Classe CP'!$B40="","",IF('Classe CP'!E40="","",'Classe CP'!E40))</f>
        <v/>
      </c>
      <c r="I280" s="20" t="str">
        <f>IF('Classe CP'!$B40="","",IF('Classe CP'!F40="","",'Classe CP'!F40))</f>
        <v/>
      </c>
      <c r="J280" s="20" t="str">
        <f>IF('Classe CP'!$B40="","",IF('Classe CP'!G40="","",'Classe CP'!G40))</f>
        <v/>
      </c>
      <c r="K280" s="51" t="str">
        <f>IF('Classe CP'!$B40="","",N('Classe CP'!H40))</f>
        <v/>
      </c>
      <c r="L280" s="51" t="str">
        <f>IF('Classe CP'!$B40="","",N('Classe CP'!I40))</f>
        <v/>
      </c>
      <c r="M280" s="51" t="str">
        <f>IF('Classe CP'!$B40="","",N('Classe CP'!J40))</f>
        <v/>
      </c>
      <c r="N280" s="51" t="str">
        <f>IF('Classe CP'!$B40="","",N('Classe CP'!K40))</f>
        <v/>
      </c>
      <c r="O280" s="51" t="str">
        <f>IF('Classe CP'!$B40="","",N('Classe CP'!L40))</f>
        <v/>
      </c>
      <c r="P280" s="51" t="str">
        <f>IF('Classe CP'!$B40="","",N('Classe CP'!M40))</f>
        <v/>
      </c>
      <c r="Q280" s="21" t="str">
        <f>IF('Classe CP'!$B40="","",IF('Classe CP'!Q40="","",'Classe CP'!Q40))</f>
        <v/>
      </c>
      <c r="R280" s="51" t="str">
        <f>IF('Classe CP'!$B40="","",N('Classe CP'!N40))</f>
        <v/>
      </c>
      <c r="S280" s="51" t="str">
        <f>IF('Classe CP'!$B40="","",N('Classe CP'!O40))</f>
        <v/>
      </c>
      <c r="T280" s="51" t="str">
        <f>IF('Classe CP'!$B40="","",N('Classe CP'!P40))</f>
        <v/>
      </c>
    </row>
    <row r="281">
      <c r="A281" s="16" t="str">
        <f>IF('Classe CP'!$B41="","",IF('Classe CP'!A41="","",'Classe CP'!A41))</f>
        <v/>
      </c>
      <c r="B281" s="16" t="str">
        <f>IF('Classe CP'!$B41="","",IF('Classe CP'!B41="","",'Classe CP'!B41))</f>
        <v/>
      </c>
      <c r="C281" s="16" t="str">
        <f>IF('Classe CP'!$B41="","",IF('Classe CP'!C41="","",'Classe CP'!C41))</f>
        <v/>
      </c>
      <c r="D281" s="16" t="str">
        <f>IF($B281="","",C281&amp;" "&amp;B281&amp;" - "&amp;E281)</f>
        <v/>
      </c>
      <c r="E281" s="17" t="str">
        <f>IF($B281="","",Paramètres!$A$18)</f>
        <v/>
      </c>
      <c r="F281" s="17" t="str">
        <f>IF($B281="","",Paramètres!$B$18)</f>
        <v/>
      </c>
      <c r="G281" s="17" t="str">
        <f>IF('Classe CP'!$B41="","",IF('Classe CP'!D41="","",'Classe CP'!D41))</f>
        <v/>
      </c>
      <c r="H281" s="78" t="str">
        <f>IF('Classe CP'!$B41="","",IF('Classe CP'!E41="","",'Classe CP'!E41))</f>
        <v/>
      </c>
      <c r="I281" s="16" t="str">
        <f>IF('Classe CP'!$B41="","",IF('Classe CP'!F41="","",'Classe CP'!F41))</f>
        <v/>
      </c>
      <c r="J281" s="16" t="str">
        <f>IF('Classe CP'!$B41="","",IF('Classe CP'!G41="","",'Classe CP'!G41))</f>
        <v/>
      </c>
      <c r="K281" s="18" t="str">
        <f>IF('Classe CP'!$B41="","",N('Classe CP'!H41))</f>
        <v/>
      </c>
      <c r="L281" s="18" t="str">
        <f>IF('Classe CP'!$B41="","",N('Classe CP'!I41))</f>
        <v/>
      </c>
      <c r="M281" s="18" t="str">
        <f>IF('Classe CP'!$B41="","",N('Classe CP'!J41))</f>
        <v/>
      </c>
      <c r="N281" s="18" t="str">
        <f>IF('Classe CP'!$B41="","",N('Classe CP'!K41))</f>
        <v/>
      </c>
      <c r="O281" s="18" t="str">
        <f>IF('Classe CP'!$B41="","",N('Classe CP'!L41))</f>
        <v/>
      </c>
      <c r="P281" s="18" t="str">
        <f>IF('Classe CP'!$B41="","",N('Classe CP'!M41))</f>
        <v/>
      </c>
      <c r="Q281" s="17" t="str">
        <f>IF('Classe CP'!$B41="","",IF('Classe CP'!Q41="","",'Classe CP'!Q41))</f>
        <v/>
      </c>
      <c r="R281" s="18" t="str">
        <f>IF('Classe CP'!$B41="","",N('Classe CP'!N41))</f>
        <v/>
      </c>
      <c r="S281" s="18" t="str">
        <f>IF('Classe CP'!$B41="","",N('Classe CP'!O41))</f>
        <v/>
      </c>
      <c r="T281" s="18" t="str">
        <f>IF('Classe CP'!$B41="","",N('Classe CP'!P41))</f>
        <v/>
      </c>
    </row>
    <row r="282">
      <c r="A282" s="20" t="str">
        <f>IF('Classe CP'!$B42="","",IF('Classe CP'!A42="","",'Classe CP'!A42))</f>
        <v/>
      </c>
      <c r="B282" s="20" t="str">
        <f>IF('Classe CP'!$B42="","",IF('Classe CP'!B42="","",'Classe CP'!B42))</f>
        <v/>
      </c>
      <c r="C282" s="20" t="str">
        <f>IF('Classe CP'!$B42="","",IF('Classe CP'!C42="","",'Classe CP'!C42))</f>
        <v/>
      </c>
      <c r="D282" s="20" t="str">
        <f>IF($B282="","",C282&amp;" "&amp;B282&amp;" - "&amp;E282)</f>
        <v/>
      </c>
      <c r="E282" s="21" t="str">
        <f>IF($B282="","",Paramètres!$A$18)</f>
        <v/>
      </c>
      <c r="F282" s="21" t="str">
        <f>IF($B282="","",Paramètres!$B$18)</f>
        <v/>
      </c>
      <c r="G282" s="21" t="str">
        <f>IF('Classe CP'!$B42="","",IF('Classe CP'!D42="","",'Classe CP'!D42))</f>
        <v/>
      </c>
      <c r="H282" s="77" t="str">
        <f>IF('Classe CP'!$B42="","",IF('Classe CP'!E42="","",'Classe CP'!E42))</f>
        <v/>
      </c>
      <c r="I282" s="20" t="str">
        <f>IF('Classe CP'!$B42="","",IF('Classe CP'!F42="","",'Classe CP'!F42))</f>
        <v/>
      </c>
      <c r="J282" s="20" t="str">
        <f>IF('Classe CP'!$B42="","",IF('Classe CP'!G42="","",'Classe CP'!G42))</f>
        <v/>
      </c>
      <c r="K282" s="51" t="str">
        <f>IF('Classe CP'!$B42="","",N('Classe CP'!H42))</f>
        <v/>
      </c>
      <c r="L282" s="51" t="str">
        <f>IF('Classe CP'!$B42="","",N('Classe CP'!I42))</f>
        <v/>
      </c>
      <c r="M282" s="51" t="str">
        <f>IF('Classe CP'!$B42="","",N('Classe CP'!J42))</f>
        <v/>
      </c>
      <c r="N282" s="51" t="str">
        <f>IF('Classe CP'!$B42="","",N('Classe CP'!K42))</f>
        <v/>
      </c>
      <c r="O282" s="51" t="str">
        <f>IF('Classe CP'!$B42="","",N('Classe CP'!L42))</f>
        <v/>
      </c>
      <c r="P282" s="51" t="str">
        <f>IF('Classe CP'!$B42="","",N('Classe CP'!M42))</f>
        <v/>
      </c>
      <c r="Q282" s="21" t="str">
        <f>IF('Classe CP'!$B42="","",IF('Classe CP'!Q42="","",'Classe CP'!Q42))</f>
        <v/>
      </c>
      <c r="R282" s="51" t="str">
        <f>IF('Classe CP'!$B42="","",N('Classe CP'!N42))</f>
        <v/>
      </c>
      <c r="S282" s="51" t="str">
        <f>IF('Classe CP'!$B42="","",N('Classe CP'!O42))</f>
        <v/>
      </c>
      <c r="T282" s="51" t="str">
        <f>IF('Classe CP'!$B42="","",N('Classe CP'!P42))</f>
        <v/>
      </c>
    </row>
    <row r="283">
      <c r="A283" s="16" t="str">
        <f>IF('Classe CP'!$B43="","",IF('Classe CP'!A43="","",'Classe CP'!A43))</f>
        <v/>
      </c>
      <c r="B283" s="16" t="str">
        <f>IF('Classe CP'!$B43="","",IF('Classe CP'!B43="","",'Classe CP'!B43))</f>
        <v/>
      </c>
      <c r="C283" s="16" t="str">
        <f>IF('Classe CP'!$B43="","",IF('Classe CP'!C43="","",'Classe CP'!C43))</f>
        <v/>
      </c>
      <c r="D283" s="16" t="str">
        <f>IF($B283="","",C283&amp;" "&amp;B283&amp;" - "&amp;E283)</f>
        <v/>
      </c>
      <c r="E283" s="17" t="str">
        <f>IF($B283="","",Paramètres!$A$18)</f>
        <v/>
      </c>
      <c r="F283" s="17" t="str">
        <f>IF($B283="","",Paramètres!$B$18)</f>
        <v/>
      </c>
      <c r="G283" s="17" t="str">
        <f>IF('Classe CP'!$B43="","",IF('Classe CP'!D43="","",'Classe CP'!D43))</f>
        <v/>
      </c>
      <c r="H283" s="78" t="str">
        <f>IF('Classe CP'!$B43="","",IF('Classe CP'!E43="","",'Classe CP'!E43))</f>
        <v/>
      </c>
      <c r="I283" s="16" t="str">
        <f>IF('Classe CP'!$B43="","",IF('Classe CP'!F43="","",'Classe CP'!F43))</f>
        <v/>
      </c>
      <c r="J283" s="16" t="str">
        <f>IF('Classe CP'!$B43="","",IF('Classe CP'!G43="","",'Classe CP'!G43))</f>
        <v/>
      </c>
      <c r="K283" s="18" t="str">
        <f>IF('Classe CP'!$B43="","",N('Classe CP'!H43))</f>
        <v/>
      </c>
      <c r="L283" s="18" t="str">
        <f>IF('Classe CP'!$B43="","",N('Classe CP'!I43))</f>
        <v/>
      </c>
      <c r="M283" s="18" t="str">
        <f>IF('Classe CP'!$B43="","",N('Classe CP'!J43))</f>
        <v/>
      </c>
      <c r="N283" s="18" t="str">
        <f>IF('Classe CP'!$B43="","",N('Classe CP'!K43))</f>
        <v/>
      </c>
      <c r="O283" s="18" t="str">
        <f>IF('Classe CP'!$B43="","",N('Classe CP'!L43))</f>
        <v/>
      </c>
      <c r="P283" s="18" t="str">
        <f>IF('Classe CP'!$B43="","",N('Classe CP'!M43))</f>
        <v/>
      </c>
      <c r="Q283" s="17" t="str">
        <f>IF('Classe CP'!$B43="","",IF('Classe CP'!Q43="","",'Classe CP'!Q43))</f>
        <v/>
      </c>
      <c r="R283" s="18" t="str">
        <f>IF('Classe CP'!$B43="","",N('Classe CP'!N43))</f>
        <v/>
      </c>
      <c r="S283" s="18" t="str">
        <f>IF('Classe CP'!$B43="","",N('Classe CP'!O43))</f>
        <v/>
      </c>
      <c r="T283" s="18" t="str">
        <f>IF('Classe CP'!$B43="","",N('Classe CP'!P43))</f>
        <v/>
      </c>
    </row>
    <row r="284">
      <c r="A284" s="20" t="str">
        <f>IF('Classe CP'!$B44="","",IF('Classe CP'!A44="","",'Classe CP'!A44))</f>
        <v/>
      </c>
      <c r="B284" s="20" t="str">
        <f>IF('Classe CP'!$B44="","",IF('Classe CP'!B44="","",'Classe CP'!B44))</f>
        <v/>
      </c>
      <c r="C284" s="20" t="str">
        <f>IF('Classe CP'!$B44="","",IF('Classe CP'!C44="","",'Classe CP'!C44))</f>
        <v/>
      </c>
      <c r="D284" s="20" t="str">
        <f>IF($B284="","",C284&amp;" "&amp;B284&amp;" - "&amp;E284)</f>
        <v/>
      </c>
      <c r="E284" s="21" t="str">
        <f>IF($B284="","",Paramètres!$A$18)</f>
        <v/>
      </c>
      <c r="F284" s="21" t="str">
        <f>IF($B284="","",Paramètres!$B$18)</f>
        <v/>
      </c>
      <c r="G284" s="21" t="str">
        <f>IF('Classe CP'!$B44="","",IF('Classe CP'!D44="","",'Classe CP'!D44))</f>
        <v/>
      </c>
      <c r="H284" s="77" t="str">
        <f>IF('Classe CP'!$B44="","",IF('Classe CP'!E44="","",'Classe CP'!E44))</f>
        <v/>
      </c>
      <c r="I284" s="20" t="str">
        <f>IF('Classe CP'!$B44="","",IF('Classe CP'!F44="","",'Classe CP'!F44))</f>
        <v/>
      </c>
      <c r="J284" s="20" t="str">
        <f>IF('Classe CP'!$B44="","",IF('Classe CP'!G44="","",'Classe CP'!G44))</f>
        <v/>
      </c>
      <c r="K284" s="51" t="str">
        <f>IF('Classe CP'!$B44="","",N('Classe CP'!H44))</f>
        <v/>
      </c>
      <c r="L284" s="51" t="str">
        <f>IF('Classe CP'!$B44="","",N('Classe CP'!I44))</f>
        <v/>
      </c>
      <c r="M284" s="51" t="str">
        <f>IF('Classe CP'!$B44="","",N('Classe CP'!J44))</f>
        <v/>
      </c>
      <c r="N284" s="51" t="str">
        <f>IF('Classe CP'!$B44="","",N('Classe CP'!K44))</f>
        <v/>
      </c>
      <c r="O284" s="51" t="str">
        <f>IF('Classe CP'!$B44="","",N('Classe CP'!L44))</f>
        <v/>
      </c>
      <c r="P284" s="51" t="str">
        <f>IF('Classe CP'!$B44="","",N('Classe CP'!M44))</f>
        <v/>
      </c>
      <c r="Q284" s="21" t="str">
        <f>IF('Classe CP'!$B44="","",IF('Classe CP'!Q44="","",'Classe CP'!Q44))</f>
        <v/>
      </c>
      <c r="R284" s="51" t="str">
        <f>IF('Classe CP'!$B44="","",N('Classe CP'!N44))</f>
        <v/>
      </c>
      <c r="S284" s="51" t="str">
        <f>IF('Classe CP'!$B44="","",N('Classe CP'!O44))</f>
        <v/>
      </c>
      <c r="T284" s="51" t="str">
        <f>IF('Classe CP'!$B44="","",N('Classe CP'!P44))</f>
        <v/>
      </c>
    </row>
    <row r="285">
      <c r="A285" s="16" t="str">
        <f>IF('Classe CP'!$B45="","",IF('Classe CP'!A45="","",'Classe CP'!A45))</f>
        <v/>
      </c>
      <c r="B285" s="16" t="str">
        <f>IF('Classe CP'!$B45="","",IF('Classe CP'!B45="","",'Classe CP'!B45))</f>
        <v/>
      </c>
      <c r="C285" s="16" t="str">
        <f>IF('Classe CP'!$B45="","",IF('Classe CP'!C45="","",'Classe CP'!C45))</f>
        <v/>
      </c>
      <c r="D285" s="16" t="str">
        <f>IF($B285="","",C285&amp;" "&amp;B285&amp;" - "&amp;E285)</f>
        <v/>
      </c>
      <c r="E285" s="17" t="str">
        <f>IF($B285="","",Paramètres!$A$18)</f>
        <v/>
      </c>
      <c r="F285" s="17" t="str">
        <f>IF($B285="","",Paramètres!$B$18)</f>
        <v/>
      </c>
      <c r="G285" s="17" t="str">
        <f>IF('Classe CP'!$B45="","",IF('Classe CP'!D45="","",'Classe CP'!D45))</f>
        <v/>
      </c>
      <c r="H285" s="78" t="str">
        <f>IF('Classe CP'!$B45="","",IF('Classe CP'!E45="","",'Classe CP'!E45))</f>
        <v/>
      </c>
      <c r="I285" s="16" t="str">
        <f>IF('Classe CP'!$B45="","",IF('Classe CP'!F45="","",'Classe CP'!F45))</f>
        <v/>
      </c>
      <c r="J285" s="16" t="str">
        <f>IF('Classe CP'!$B45="","",IF('Classe CP'!G45="","",'Classe CP'!G45))</f>
        <v/>
      </c>
      <c r="K285" s="18" t="str">
        <f>IF('Classe CP'!$B45="","",N('Classe CP'!H45))</f>
        <v/>
      </c>
      <c r="L285" s="18" t="str">
        <f>IF('Classe CP'!$B45="","",N('Classe CP'!I45))</f>
        <v/>
      </c>
      <c r="M285" s="18" t="str">
        <f>IF('Classe CP'!$B45="","",N('Classe CP'!J45))</f>
        <v/>
      </c>
      <c r="N285" s="18" t="str">
        <f>IF('Classe CP'!$B45="","",N('Classe CP'!K45))</f>
        <v/>
      </c>
      <c r="O285" s="18" t="str">
        <f>IF('Classe CP'!$B45="","",N('Classe CP'!L45))</f>
        <v/>
      </c>
      <c r="P285" s="18" t="str">
        <f>IF('Classe CP'!$B45="","",N('Classe CP'!M45))</f>
        <v/>
      </c>
      <c r="Q285" s="17" t="str">
        <f>IF('Classe CP'!$B45="","",IF('Classe CP'!Q45="","",'Classe CP'!Q45))</f>
        <v/>
      </c>
      <c r="R285" s="18" t="str">
        <f>IF('Classe CP'!$B45="","",N('Classe CP'!N45))</f>
        <v/>
      </c>
      <c r="S285" s="18" t="str">
        <f>IF('Classe CP'!$B45="","",N('Classe CP'!O45))</f>
        <v/>
      </c>
      <c r="T285" s="18" t="str">
        <f>IF('Classe CP'!$B45="","",N('Classe CP'!P45))</f>
        <v/>
      </c>
    </row>
    <row r="286">
      <c r="A286" s="20" t="str">
        <f>IF('Classe CP'!$B46="","",IF('Classe CP'!A46="","",'Classe CP'!A46))</f>
        <v/>
      </c>
      <c r="B286" s="20" t="str">
        <f>IF('Classe CP'!$B46="","",IF('Classe CP'!B46="","",'Classe CP'!B46))</f>
        <v/>
      </c>
      <c r="C286" s="20" t="str">
        <f>IF('Classe CP'!$B46="","",IF('Classe CP'!C46="","",'Classe CP'!C46))</f>
        <v/>
      </c>
      <c r="D286" s="20" t="str">
        <f>IF($B286="","",C286&amp;" "&amp;B286&amp;" - "&amp;E286)</f>
        <v/>
      </c>
      <c r="E286" s="21" t="str">
        <f>IF($B286="","",Paramètres!$A$18)</f>
        <v/>
      </c>
      <c r="F286" s="21" t="str">
        <f>IF($B286="","",Paramètres!$B$18)</f>
        <v/>
      </c>
      <c r="G286" s="21" t="str">
        <f>IF('Classe CP'!$B46="","",IF('Classe CP'!D46="","",'Classe CP'!D46))</f>
        <v/>
      </c>
      <c r="H286" s="77" t="str">
        <f>IF('Classe CP'!$B46="","",IF('Classe CP'!E46="","",'Classe CP'!E46))</f>
        <v/>
      </c>
      <c r="I286" s="20" t="str">
        <f>IF('Classe CP'!$B46="","",IF('Classe CP'!F46="","",'Classe CP'!F46))</f>
        <v/>
      </c>
      <c r="J286" s="20" t="str">
        <f>IF('Classe CP'!$B46="","",IF('Classe CP'!G46="","",'Classe CP'!G46))</f>
        <v/>
      </c>
      <c r="K286" s="51" t="str">
        <f>IF('Classe CP'!$B46="","",N('Classe CP'!H46))</f>
        <v/>
      </c>
      <c r="L286" s="51" t="str">
        <f>IF('Classe CP'!$B46="","",N('Classe CP'!I46))</f>
        <v/>
      </c>
      <c r="M286" s="51" t="str">
        <f>IF('Classe CP'!$B46="","",N('Classe CP'!J46))</f>
        <v/>
      </c>
      <c r="N286" s="51" t="str">
        <f>IF('Classe CP'!$B46="","",N('Classe CP'!K46))</f>
        <v/>
      </c>
      <c r="O286" s="51" t="str">
        <f>IF('Classe CP'!$B46="","",N('Classe CP'!L46))</f>
        <v/>
      </c>
      <c r="P286" s="51" t="str">
        <f>IF('Classe CP'!$B46="","",N('Classe CP'!M46))</f>
        <v/>
      </c>
      <c r="Q286" s="21" t="str">
        <f>IF('Classe CP'!$B46="","",IF('Classe CP'!Q46="","",'Classe CP'!Q46))</f>
        <v/>
      </c>
      <c r="R286" s="51" t="str">
        <f>IF('Classe CP'!$B46="","",N('Classe CP'!N46))</f>
        <v/>
      </c>
      <c r="S286" s="51" t="str">
        <f>IF('Classe CP'!$B46="","",N('Classe CP'!O46))</f>
        <v/>
      </c>
      <c r="T286" s="51" t="str">
        <f>IF('Classe CP'!$B46="","",N('Classe CP'!P46))</f>
        <v/>
      </c>
    </row>
    <row r="287">
      <c r="A287" s="16" t="str">
        <f>IF('Classe CP'!$B47="","",IF('Classe CP'!A47="","",'Classe CP'!A47))</f>
        <v/>
      </c>
      <c r="B287" s="16" t="str">
        <f>IF('Classe CP'!$B47="","",IF('Classe CP'!B47="","",'Classe CP'!B47))</f>
        <v/>
      </c>
      <c r="C287" s="16" t="str">
        <f>IF('Classe CP'!$B47="","",IF('Classe CP'!C47="","",'Classe CP'!C47))</f>
        <v/>
      </c>
      <c r="D287" s="16" t="str">
        <f>IF($B287="","",C287&amp;" "&amp;B287&amp;" - "&amp;E287)</f>
        <v/>
      </c>
      <c r="E287" s="17" t="str">
        <f>IF($B287="","",Paramètres!$A$18)</f>
        <v/>
      </c>
      <c r="F287" s="17" t="str">
        <f>IF($B287="","",Paramètres!$B$18)</f>
        <v/>
      </c>
      <c r="G287" s="17" t="str">
        <f>IF('Classe CP'!$B47="","",IF('Classe CP'!D47="","",'Classe CP'!D47))</f>
        <v/>
      </c>
      <c r="H287" s="78" t="str">
        <f>IF('Classe CP'!$B47="","",IF('Classe CP'!E47="","",'Classe CP'!E47))</f>
        <v/>
      </c>
      <c r="I287" s="16" t="str">
        <f>IF('Classe CP'!$B47="","",IF('Classe CP'!F47="","",'Classe CP'!F47))</f>
        <v/>
      </c>
      <c r="J287" s="16" t="str">
        <f>IF('Classe CP'!$B47="","",IF('Classe CP'!G47="","",'Classe CP'!G47))</f>
        <v/>
      </c>
      <c r="K287" s="18" t="str">
        <f>IF('Classe CP'!$B47="","",N('Classe CP'!H47))</f>
        <v/>
      </c>
      <c r="L287" s="18" t="str">
        <f>IF('Classe CP'!$B47="","",N('Classe CP'!I47))</f>
        <v/>
      </c>
      <c r="M287" s="18" t="str">
        <f>IF('Classe CP'!$B47="","",N('Classe CP'!J47))</f>
        <v/>
      </c>
      <c r="N287" s="18" t="str">
        <f>IF('Classe CP'!$B47="","",N('Classe CP'!K47))</f>
        <v/>
      </c>
      <c r="O287" s="18" t="str">
        <f>IF('Classe CP'!$B47="","",N('Classe CP'!L47))</f>
        <v/>
      </c>
      <c r="P287" s="18" t="str">
        <f>IF('Classe CP'!$B47="","",N('Classe CP'!M47))</f>
        <v/>
      </c>
      <c r="Q287" s="17" t="str">
        <f>IF('Classe CP'!$B47="","",IF('Classe CP'!Q47="","",'Classe CP'!Q47))</f>
        <v/>
      </c>
      <c r="R287" s="18" t="str">
        <f>IF('Classe CP'!$B47="","",N('Classe CP'!N47))</f>
        <v/>
      </c>
      <c r="S287" s="18" t="str">
        <f>IF('Classe CP'!$B47="","",N('Classe CP'!O47))</f>
        <v/>
      </c>
      <c r="T287" s="18" t="str">
        <f>IF('Classe CP'!$B47="","",N('Classe CP'!P47))</f>
        <v/>
      </c>
    </row>
    <row r="288">
      <c r="A288" s="20" t="str">
        <f>IF('Classe CP'!$B48="","",IF('Classe CP'!A48="","",'Classe CP'!A48))</f>
        <v/>
      </c>
      <c r="B288" s="20" t="str">
        <f>IF('Classe CP'!$B48="","",IF('Classe CP'!B48="","",'Classe CP'!B48))</f>
        <v/>
      </c>
      <c r="C288" s="20" t="str">
        <f>IF('Classe CP'!$B48="","",IF('Classe CP'!C48="","",'Classe CP'!C48))</f>
        <v/>
      </c>
      <c r="D288" s="20" t="str">
        <f>IF($B288="","",C288&amp;" "&amp;B288&amp;" - "&amp;E288)</f>
        <v/>
      </c>
      <c r="E288" s="21" t="str">
        <f>IF($B288="","",Paramètres!$A$18)</f>
        <v/>
      </c>
      <c r="F288" s="21" t="str">
        <f>IF($B288="","",Paramètres!$B$18)</f>
        <v/>
      </c>
      <c r="G288" s="21" t="str">
        <f>IF('Classe CP'!$B48="","",IF('Classe CP'!D48="","",'Classe CP'!D48))</f>
        <v/>
      </c>
      <c r="H288" s="77" t="str">
        <f>IF('Classe CP'!$B48="","",IF('Classe CP'!E48="","",'Classe CP'!E48))</f>
        <v/>
      </c>
      <c r="I288" s="20" t="str">
        <f>IF('Classe CP'!$B48="","",IF('Classe CP'!F48="","",'Classe CP'!F48))</f>
        <v/>
      </c>
      <c r="J288" s="20" t="str">
        <f>IF('Classe CP'!$B48="","",IF('Classe CP'!G48="","",'Classe CP'!G48))</f>
        <v/>
      </c>
      <c r="K288" s="51" t="str">
        <f>IF('Classe CP'!$B48="","",N('Classe CP'!H48))</f>
        <v/>
      </c>
      <c r="L288" s="51" t="str">
        <f>IF('Classe CP'!$B48="","",N('Classe CP'!I48))</f>
        <v/>
      </c>
      <c r="M288" s="51" t="str">
        <f>IF('Classe CP'!$B48="","",N('Classe CP'!J48))</f>
        <v/>
      </c>
      <c r="N288" s="51" t="str">
        <f>IF('Classe CP'!$B48="","",N('Classe CP'!K48))</f>
        <v/>
      </c>
      <c r="O288" s="51" t="str">
        <f>IF('Classe CP'!$B48="","",N('Classe CP'!L48))</f>
        <v/>
      </c>
      <c r="P288" s="51" t="str">
        <f>IF('Classe CP'!$B48="","",N('Classe CP'!M48))</f>
        <v/>
      </c>
      <c r="Q288" s="21" t="str">
        <f>IF('Classe CP'!$B48="","",IF('Classe CP'!Q48="","",'Classe CP'!Q48))</f>
        <v/>
      </c>
      <c r="R288" s="51" t="str">
        <f>IF('Classe CP'!$B48="","",N('Classe CP'!N48))</f>
        <v/>
      </c>
      <c r="S288" s="51" t="str">
        <f>IF('Classe CP'!$B48="","",N('Classe CP'!O48))</f>
        <v/>
      </c>
      <c r="T288" s="51" t="str">
        <f>IF('Classe CP'!$B48="","",N('Classe CP'!P48))</f>
        <v/>
      </c>
    </row>
    <row r="289">
      <c r="A289" s="16" t="str">
        <f>IF('Classe CP'!$B49="","",IF('Classe CP'!A49="","",'Classe CP'!A49))</f>
        <v/>
      </c>
      <c r="B289" s="16" t="str">
        <f>IF('Classe CP'!$B49="","",IF('Classe CP'!B49="","",'Classe CP'!B49))</f>
        <v/>
      </c>
      <c r="C289" s="16" t="str">
        <f>IF('Classe CP'!$B49="","",IF('Classe CP'!C49="","",'Classe CP'!C49))</f>
        <v/>
      </c>
      <c r="D289" s="16" t="str">
        <f>IF($B289="","",C289&amp;" "&amp;B289&amp;" - "&amp;E289)</f>
        <v/>
      </c>
      <c r="E289" s="17" t="str">
        <f>IF($B289="","",Paramètres!$A$18)</f>
        <v/>
      </c>
      <c r="F289" s="17" t="str">
        <f>IF($B289="","",Paramètres!$B$18)</f>
        <v/>
      </c>
      <c r="G289" s="17" t="str">
        <f>IF('Classe CP'!$B49="","",IF('Classe CP'!D49="","",'Classe CP'!D49))</f>
        <v/>
      </c>
      <c r="H289" s="78" t="str">
        <f>IF('Classe CP'!$B49="","",IF('Classe CP'!E49="","",'Classe CP'!E49))</f>
        <v/>
      </c>
      <c r="I289" s="16" t="str">
        <f>IF('Classe CP'!$B49="","",IF('Classe CP'!F49="","",'Classe CP'!F49))</f>
        <v/>
      </c>
      <c r="J289" s="16" t="str">
        <f>IF('Classe CP'!$B49="","",IF('Classe CP'!G49="","",'Classe CP'!G49))</f>
        <v/>
      </c>
      <c r="K289" s="18" t="str">
        <f>IF('Classe CP'!$B49="","",N('Classe CP'!H49))</f>
        <v/>
      </c>
      <c r="L289" s="18" t="str">
        <f>IF('Classe CP'!$B49="","",N('Classe CP'!I49))</f>
        <v/>
      </c>
      <c r="M289" s="18" t="str">
        <f>IF('Classe CP'!$B49="","",N('Classe CP'!J49))</f>
        <v/>
      </c>
      <c r="N289" s="18" t="str">
        <f>IF('Classe CP'!$B49="","",N('Classe CP'!K49))</f>
        <v/>
      </c>
      <c r="O289" s="18" t="str">
        <f>IF('Classe CP'!$B49="","",N('Classe CP'!L49))</f>
        <v/>
      </c>
      <c r="P289" s="18" t="str">
        <f>IF('Classe CP'!$B49="","",N('Classe CP'!M49))</f>
        <v/>
      </c>
      <c r="Q289" s="17" t="str">
        <f>IF('Classe CP'!$B49="","",IF('Classe CP'!Q49="","",'Classe CP'!Q49))</f>
        <v/>
      </c>
      <c r="R289" s="18" t="str">
        <f>IF('Classe CP'!$B49="","",N('Classe CP'!N49))</f>
        <v/>
      </c>
      <c r="S289" s="18" t="str">
        <f>IF('Classe CP'!$B49="","",N('Classe CP'!O49))</f>
        <v/>
      </c>
      <c r="T289" s="18" t="str">
        <f>IF('Classe CP'!$B49="","",N('Classe CP'!P49))</f>
        <v/>
      </c>
    </row>
    <row r="290">
      <c r="A290" s="20" t="str">
        <f>IF('Classe CP'!$B50="","",IF('Classe CP'!A50="","",'Classe CP'!A50))</f>
        <v/>
      </c>
      <c r="B290" s="20" t="str">
        <f>IF('Classe CP'!$B50="","",IF('Classe CP'!B50="","",'Classe CP'!B50))</f>
        <v/>
      </c>
      <c r="C290" s="20" t="str">
        <f>IF('Classe CP'!$B50="","",IF('Classe CP'!C50="","",'Classe CP'!C50))</f>
        <v/>
      </c>
      <c r="D290" s="20" t="str">
        <f>IF($B290="","",C290&amp;" "&amp;B290&amp;" - "&amp;E290)</f>
        <v/>
      </c>
      <c r="E290" s="21" t="str">
        <f>IF($B290="","",Paramètres!$A$18)</f>
        <v/>
      </c>
      <c r="F290" s="21" t="str">
        <f>IF($B290="","",Paramètres!$B$18)</f>
        <v/>
      </c>
      <c r="G290" s="21" t="str">
        <f>IF('Classe CP'!$B50="","",IF('Classe CP'!D50="","",'Classe CP'!D50))</f>
        <v/>
      </c>
      <c r="H290" s="77" t="str">
        <f>IF('Classe CP'!$B50="","",IF('Classe CP'!E50="","",'Classe CP'!E50))</f>
        <v/>
      </c>
      <c r="I290" s="20" t="str">
        <f>IF('Classe CP'!$B50="","",IF('Classe CP'!F50="","",'Classe CP'!F50))</f>
        <v/>
      </c>
      <c r="J290" s="20" t="str">
        <f>IF('Classe CP'!$B50="","",IF('Classe CP'!G50="","",'Classe CP'!G50))</f>
        <v/>
      </c>
      <c r="K290" s="51" t="str">
        <f>IF('Classe CP'!$B50="","",N('Classe CP'!H50))</f>
        <v/>
      </c>
      <c r="L290" s="51" t="str">
        <f>IF('Classe CP'!$B50="","",N('Classe CP'!I50))</f>
        <v/>
      </c>
      <c r="M290" s="51" t="str">
        <f>IF('Classe CP'!$B50="","",N('Classe CP'!J50))</f>
        <v/>
      </c>
      <c r="N290" s="51" t="str">
        <f>IF('Classe CP'!$B50="","",N('Classe CP'!K50))</f>
        <v/>
      </c>
      <c r="O290" s="51" t="str">
        <f>IF('Classe CP'!$B50="","",N('Classe CP'!L50))</f>
        <v/>
      </c>
      <c r="P290" s="51" t="str">
        <f>IF('Classe CP'!$B50="","",N('Classe CP'!M50))</f>
        <v/>
      </c>
      <c r="Q290" s="21" t="str">
        <f>IF('Classe CP'!$B50="","",IF('Classe CP'!Q50="","",'Classe CP'!Q50))</f>
        <v/>
      </c>
      <c r="R290" s="51" t="str">
        <f>IF('Classe CP'!$B50="","",N('Classe CP'!N50))</f>
        <v/>
      </c>
      <c r="S290" s="51" t="str">
        <f>IF('Classe CP'!$B50="","",N('Classe CP'!O50))</f>
        <v/>
      </c>
      <c r="T290" s="51" t="str">
        <f>IF('Classe CP'!$B50="","",N('Classe CP'!P50))</f>
        <v/>
      </c>
    </row>
    <row r="291">
      <c r="A291" s="16" t="str">
        <f>IF('Classe CP'!$B51="","",IF('Classe CP'!A51="","",'Classe CP'!A51))</f>
        <v/>
      </c>
      <c r="B291" s="16" t="str">
        <f>IF('Classe CP'!$B51="","",IF('Classe CP'!B51="","",'Classe CP'!B51))</f>
        <v/>
      </c>
      <c r="C291" s="16" t="str">
        <f>IF('Classe CP'!$B51="","",IF('Classe CP'!C51="","",'Classe CP'!C51))</f>
        <v/>
      </c>
      <c r="D291" s="16" t="str">
        <f>IF($B291="","",C291&amp;" "&amp;B291&amp;" - "&amp;E291)</f>
        <v/>
      </c>
      <c r="E291" s="17" t="str">
        <f>IF($B291="","",Paramètres!$A$18)</f>
        <v/>
      </c>
      <c r="F291" s="17" t="str">
        <f>IF($B291="","",Paramètres!$B$18)</f>
        <v/>
      </c>
      <c r="G291" s="17" t="str">
        <f>IF('Classe CP'!$B51="","",IF('Classe CP'!D51="","",'Classe CP'!D51))</f>
        <v/>
      </c>
      <c r="H291" s="78" t="str">
        <f>IF('Classe CP'!$B51="","",IF('Classe CP'!E51="","",'Classe CP'!E51))</f>
        <v/>
      </c>
      <c r="I291" s="16" t="str">
        <f>IF('Classe CP'!$B51="","",IF('Classe CP'!F51="","",'Classe CP'!F51))</f>
        <v/>
      </c>
      <c r="J291" s="16" t="str">
        <f>IF('Classe CP'!$B51="","",IF('Classe CP'!G51="","",'Classe CP'!G51))</f>
        <v/>
      </c>
      <c r="K291" s="18" t="str">
        <f>IF('Classe CP'!$B51="","",N('Classe CP'!H51))</f>
        <v/>
      </c>
      <c r="L291" s="18" t="str">
        <f>IF('Classe CP'!$B51="","",N('Classe CP'!I51))</f>
        <v/>
      </c>
      <c r="M291" s="18" t="str">
        <f>IF('Classe CP'!$B51="","",N('Classe CP'!J51))</f>
        <v/>
      </c>
      <c r="N291" s="18" t="str">
        <f>IF('Classe CP'!$B51="","",N('Classe CP'!K51))</f>
        <v/>
      </c>
      <c r="O291" s="18" t="str">
        <f>IF('Classe CP'!$B51="","",N('Classe CP'!L51))</f>
        <v/>
      </c>
      <c r="P291" s="18" t="str">
        <f>IF('Classe CP'!$B51="","",N('Classe CP'!M51))</f>
        <v/>
      </c>
      <c r="Q291" s="17" t="str">
        <f>IF('Classe CP'!$B51="","",IF('Classe CP'!Q51="","",'Classe CP'!Q51))</f>
        <v/>
      </c>
      <c r="R291" s="18" t="str">
        <f>IF('Classe CP'!$B51="","",N('Classe CP'!N51))</f>
        <v/>
      </c>
      <c r="S291" s="18" t="str">
        <f>IF('Classe CP'!$B51="","",N('Classe CP'!O51))</f>
        <v/>
      </c>
      <c r="T291" s="18" t="str">
        <f>IF('Classe CP'!$B51="","",N('Classe CP'!P51))</f>
        <v/>
      </c>
    </row>
    <row r="292">
      <c r="A292" s="20" t="str">
        <f>IF('Classe CP'!$B52="","",IF('Classe CP'!A52="","",'Classe CP'!A52))</f>
        <v/>
      </c>
      <c r="B292" s="20" t="str">
        <f>IF('Classe CP'!$B52="","",IF('Classe CP'!B52="","",'Classe CP'!B52))</f>
        <v/>
      </c>
      <c r="C292" s="20" t="str">
        <f>IF('Classe CP'!$B52="","",IF('Classe CP'!C52="","",'Classe CP'!C52))</f>
        <v/>
      </c>
      <c r="D292" s="20" t="str">
        <f>IF($B292="","",C292&amp;" "&amp;B292&amp;" - "&amp;E292)</f>
        <v/>
      </c>
      <c r="E292" s="21" t="str">
        <f>IF($B292="","",Paramètres!$A$18)</f>
        <v/>
      </c>
      <c r="F292" s="21" t="str">
        <f>IF($B292="","",Paramètres!$B$18)</f>
        <v/>
      </c>
      <c r="G292" s="21" t="str">
        <f>IF('Classe CP'!$B52="","",IF('Classe CP'!D52="","",'Classe CP'!D52))</f>
        <v/>
      </c>
      <c r="H292" s="77" t="str">
        <f>IF('Classe CP'!$B52="","",IF('Classe CP'!E52="","",'Classe CP'!E52))</f>
        <v/>
      </c>
      <c r="I292" s="20" t="str">
        <f>IF('Classe CP'!$B52="","",IF('Classe CP'!F52="","",'Classe CP'!F52))</f>
        <v/>
      </c>
      <c r="J292" s="20" t="str">
        <f>IF('Classe CP'!$B52="","",IF('Classe CP'!G52="","",'Classe CP'!G52))</f>
        <v/>
      </c>
      <c r="K292" s="51" t="str">
        <f>IF('Classe CP'!$B52="","",N('Classe CP'!H52))</f>
        <v/>
      </c>
      <c r="L292" s="51" t="str">
        <f>IF('Classe CP'!$B52="","",N('Classe CP'!I52))</f>
        <v/>
      </c>
      <c r="M292" s="51" t="str">
        <f>IF('Classe CP'!$B52="","",N('Classe CP'!J52))</f>
        <v/>
      </c>
      <c r="N292" s="51" t="str">
        <f>IF('Classe CP'!$B52="","",N('Classe CP'!K52))</f>
        <v/>
      </c>
      <c r="O292" s="51" t="str">
        <f>IF('Classe CP'!$B52="","",N('Classe CP'!L52))</f>
        <v/>
      </c>
      <c r="P292" s="51" t="str">
        <f>IF('Classe CP'!$B52="","",N('Classe CP'!M52))</f>
        <v/>
      </c>
      <c r="Q292" s="21" t="str">
        <f>IF('Classe CP'!$B52="","",IF('Classe CP'!Q52="","",'Classe CP'!Q52))</f>
        <v/>
      </c>
      <c r="R292" s="51" t="str">
        <f>IF('Classe CP'!$B52="","",N('Classe CP'!N52))</f>
        <v/>
      </c>
      <c r="S292" s="51" t="str">
        <f>IF('Classe CP'!$B52="","",N('Classe CP'!O52))</f>
        <v/>
      </c>
      <c r="T292" s="51" t="str">
        <f>IF('Classe CP'!$B52="","",N('Classe CP'!P52))</f>
        <v/>
      </c>
    </row>
    <row r="293">
      <c r="A293" s="16" t="str">
        <f>IF('Classe CP'!$B53="","",IF('Classe CP'!A53="","",'Classe CP'!A53))</f>
        <v/>
      </c>
      <c r="B293" s="16" t="str">
        <f>IF('Classe CP'!$B53="","",IF('Classe CP'!B53="","",'Classe CP'!B53))</f>
        <v/>
      </c>
      <c r="C293" s="16" t="str">
        <f>IF('Classe CP'!$B53="","",IF('Classe CP'!C53="","",'Classe CP'!C53))</f>
        <v/>
      </c>
      <c r="D293" s="16" t="str">
        <f>IF($B293="","",C293&amp;" "&amp;B293&amp;" - "&amp;E293)</f>
        <v/>
      </c>
      <c r="E293" s="17" t="str">
        <f>IF($B293="","",Paramètres!$A$18)</f>
        <v/>
      </c>
      <c r="F293" s="17" t="str">
        <f>IF($B293="","",Paramètres!$B$18)</f>
        <v/>
      </c>
      <c r="G293" s="17" t="str">
        <f>IF('Classe CP'!$B53="","",IF('Classe CP'!D53="","",'Classe CP'!D53))</f>
        <v/>
      </c>
      <c r="H293" s="78" t="str">
        <f>IF('Classe CP'!$B53="","",IF('Classe CP'!E53="","",'Classe CP'!E53))</f>
        <v/>
      </c>
      <c r="I293" s="16" t="str">
        <f>IF('Classe CP'!$B53="","",IF('Classe CP'!F53="","",'Classe CP'!F53))</f>
        <v/>
      </c>
      <c r="J293" s="16" t="str">
        <f>IF('Classe CP'!$B53="","",IF('Classe CP'!G53="","",'Classe CP'!G53))</f>
        <v/>
      </c>
      <c r="K293" s="18" t="str">
        <f>IF('Classe CP'!$B53="","",N('Classe CP'!H53))</f>
        <v/>
      </c>
      <c r="L293" s="18" t="str">
        <f>IF('Classe CP'!$B53="","",N('Classe CP'!I53))</f>
        <v/>
      </c>
      <c r="M293" s="18" t="str">
        <f>IF('Classe CP'!$B53="","",N('Classe CP'!J53))</f>
        <v/>
      </c>
      <c r="N293" s="18" t="str">
        <f>IF('Classe CP'!$B53="","",N('Classe CP'!K53))</f>
        <v/>
      </c>
      <c r="O293" s="18" t="str">
        <f>IF('Classe CP'!$B53="","",N('Classe CP'!L53))</f>
        <v/>
      </c>
      <c r="P293" s="18" t="str">
        <f>IF('Classe CP'!$B53="","",N('Classe CP'!M53))</f>
        <v/>
      </c>
      <c r="Q293" s="17" t="str">
        <f>IF('Classe CP'!$B53="","",IF('Classe CP'!Q53="","",'Classe CP'!Q53))</f>
        <v/>
      </c>
      <c r="R293" s="18" t="str">
        <f>IF('Classe CP'!$B53="","",N('Classe CP'!N53))</f>
        <v/>
      </c>
      <c r="S293" s="18" t="str">
        <f>IF('Classe CP'!$B53="","",N('Classe CP'!O53))</f>
        <v/>
      </c>
      <c r="T293" s="18" t="str">
        <f>IF('Classe CP'!$B53="","",N('Classe CP'!P53))</f>
        <v/>
      </c>
    </row>
    <row r="294">
      <c r="A294" s="20" t="str">
        <f>IF('Classe CP'!$B54="","",IF('Classe CP'!A54="","",'Classe CP'!A54))</f>
        <v/>
      </c>
      <c r="B294" s="20" t="str">
        <f>IF('Classe CP'!$B54="","",IF('Classe CP'!B54="","",'Classe CP'!B54))</f>
        <v/>
      </c>
      <c r="C294" s="20" t="str">
        <f>IF('Classe CP'!$B54="","",IF('Classe CP'!C54="","",'Classe CP'!C54))</f>
        <v/>
      </c>
      <c r="D294" s="20" t="str">
        <f>IF($B294="","",C294&amp;" "&amp;B294&amp;" - "&amp;E294)</f>
        <v/>
      </c>
      <c r="E294" s="21" t="str">
        <f>IF($B294="","",Paramètres!$A$18)</f>
        <v/>
      </c>
      <c r="F294" s="21" t="str">
        <f>IF($B294="","",Paramètres!$B$18)</f>
        <v/>
      </c>
      <c r="G294" s="21" t="str">
        <f>IF('Classe CP'!$B54="","",IF('Classe CP'!D54="","",'Classe CP'!D54))</f>
        <v/>
      </c>
      <c r="H294" s="77" t="str">
        <f>IF('Classe CP'!$B54="","",IF('Classe CP'!E54="","",'Classe CP'!E54))</f>
        <v/>
      </c>
      <c r="I294" s="20" t="str">
        <f>IF('Classe CP'!$B54="","",IF('Classe CP'!F54="","",'Classe CP'!F54))</f>
        <v/>
      </c>
      <c r="J294" s="20" t="str">
        <f>IF('Classe CP'!$B54="","",IF('Classe CP'!G54="","",'Classe CP'!G54))</f>
        <v/>
      </c>
      <c r="K294" s="51" t="str">
        <f>IF('Classe CP'!$B54="","",N('Classe CP'!H54))</f>
        <v/>
      </c>
      <c r="L294" s="51" t="str">
        <f>IF('Classe CP'!$B54="","",N('Classe CP'!I54))</f>
        <v/>
      </c>
      <c r="M294" s="51" t="str">
        <f>IF('Classe CP'!$B54="","",N('Classe CP'!J54))</f>
        <v/>
      </c>
      <c r="N294" s="51" t="str">
        <f>IF('Classe CP'!$B54="","",N('Classe CP'!K54))</f>
        <v/>
      </c>
      <c r="O294" s="51" t="str">
        <f>IF('Classe CP'!$B54="","",N('Classe CP'!L54))</f>
        <v/>
      </c>
      <c r="P294" s="51" t="str">
        <f>IF('Classe CP'!$B54="","",N('Classe CP'!M54))</f>
        <v/>
      </c>
      <c r="Q294" s="21" t="str">
        <f>IF('Classe CP'!$B54="","",IF('Classe CP'!Q54="","",'Classe CP'!Q54))</f>
        <v/>
      </c>
      <c r="R294" s="51" t="str">
        <f>IF('Classe CP'!$B54="","",N('Classe CP'!N54))</f>
        <v/>
      </c>
      <c r="S294" s="51" t="str">
        <f>IF('Classe CP'!$B54="","",N('Classe CP'!O54))</f>
        <v/>
      </c>
      <c r="T294" s="51" t="str">
        <f>IF('Classe CP'!$B54="","",N('Classe CP'!P54))</f>
        <v/>
      </c>
    </row>
    <row r="295">
      <c r="A295" s="16" t="str">
        <f>IF('Classe CP'!$B55="","",IF('Classe CP'!A55="","",'Classe CP'!A55))</f>
        <v/>
      </c>
      <c r="B295" s="16" t="str">
        <f>IF('Classe CP'!$B55="","",IF('Classe CP'!B55="","",'Classe CP'!B55))</f>
        <v/>
      </c>
      <c r="C295" s="16" t="str">
        <f>IF('Classe CP'!$B55="","",IF('Classe CP'!C55="","",'Classe CP'!C55))</f>
        <v/>
      </c>
      <c r="D295" s="16" t="str">
        <f>IF($B295="","",C295&amp;" "&amp;B295&amp;" - "&amp;E295)</f>
        <v/>
      </c>
      <c r="E295" s="17" t="str">
        <f>IF($B295="","",Paramètres!$A$18)</f>
        <v/>
      </c>
      <c r="F295" s="17" t="str">
        <f>IF($B295="","",Paramètres!$B$18)</f>
        <v/>
      </c>
      <c r="G295" s="17" t="str">
        <f>IF('Classe CP'!$B55="","",IF('Classe CP'!D55="","",'Classe CP'!D55))</f>
        <v/>
      </c>
      <c r="H295" s="78" t="str">
        <f>IF('Classe CP'!$B55="","",IF('Classe CP'!E55="","",'Classe CP'!E55))</f>
        <v/>
      </c>
      <c r="I295" s="16" t="str">
        <f>IF('Classe CP'!$B55="","",IF('Classe CP'!F55="","",'Classe CP'!F55))</f>
        <v/>
      </c>
      <c r="J295" s="16" t="str">
        <f>IF('Classe CP'!$B55="","",IF('Classe CP'!G55="","",'Classe CP'!G55))</f>
        <v/>
      </c>
      <c r="K295" s="18" t="str">
        <f>IF('Classe CP'!$B55="","",N('Classe CP'!H55))</f>
        <v/>
      </c>
      <c r="L295" s="18" t="str">
        <f>IF('Classe CP'!$B55="","",N('Classe CP'!I55))</f>
        <v/>
      </c>
      <c r="M295" s="18" t="str">
        <f>IF('Classe CP'!$B55="","",N('Classe CP'!J55))</f>
        <v/>
      </c>
      <c r="N295" s="18" t="str">
        <f>IF('Classe CP'!$B55="","",N('Classe CP'!K55))</f>
        <v/>
      </c>
      <c r="O295" s="18" t="str">
        <f>IF('Classe CP'!$B55="","",N('Classe CP'!L55))</f>
        <v/>
      </c>
      <c r="P295" s="18" t="str">
        <f>IF('Classe CP'!$B55="","",N('Classe CP'!M55))</f>
        <v/>
      </c>
      <c r="Q295" s="17" t="str">
        <f>IF('Classe CP'!$B55="","",IF('Classe CP'!Q55="","",'Classe CP'!Q55))</f>
        <v/>
      </c>
      <c r="R295" s="18" t="str">
        <f>IF('Classe CP'!$B55="","",N('Classe CP'!N55))</f>
        <v/>
      </c>
      <c r="S295" s="18" t="str">
        <f>IF('Classe CP'!$B55="","",N('Classe CP'!O55))</f>
        <v/>
      </c>
      <c r="T295" s="18" t="str">
        <f>IF('Classe CP'!$B55="","",N('Classe CP'!P55))</f>
        <v/>
      </c>
    </row>
    <row r="296">
      <c r="A296" s="20" t="str">
        <f>IF('Classe CP'!$B56="","",IF('Classe CP'!A56="","",'Classe CP'!A56))</f>
        <v/>
      </c>
      <c r="B296" s="20" t="str">
        <f>IF('Classe CP'!$B56="","",IF('Classe CP'!B56="","",'Classe CP'!B56))</f>
        <v/>
      </c>
      <c r="C296" s="20" t="str">
        <f>IF('Classe CP'!$B56="","",IF('Classe CP'!C56="","",'Classe CP'!C56))</f>
        <v/>
      </c>
      <c r="D296" s="20" t="str">
        <f>IF($B296="","",C296&amp;" "&amp;B296&amp;" - "&amp;E296)</f>
        <v/>
      </c>
      <c r="E296" s="21" t="str">
        <f>IF($B296="","",Paramètres!$A$18)</f>
        <v/>
      </c>
      <c r="F296" s="21" t="str">
        <f>IF($B296="","",Paramètres!$B$18)</f>
        <v/>
      </c>
      <c r="G296" s="21" t="str">
        <f>IF('Classe CP'!$B56="","",IF('Classe CP'!D56="","",'Classe CP'!D56))</f>
        <v/>
      </c>
      <c r="H296" s="77" t="str">
        <f>IF('Classe CP'!$B56="","",IF('Classe CP'!E56="","",'Classe CP'!E56))</f>
        <v/>
      </c>
      <c r="I296" s="20" t="str">
        <f>IF('Classe CP'!$B56="","",IF('Classe CP'!F56="","",'Classe CP'!F56))</f>
        <v/>
      </c>
      <c r="J296" s="20" t="str">
        <f>IF('Classe CP'!$B56="","",IF('Classe CP'!G56="","",'Classe CP'!G56))</f>
        <v/>
      </c>
      <c r="K296" s="51" t="str">
        <f>IF('Classe CP'!$B56="","",N('Classe CP'!H56))</f>
        <v/>
      </c>
      <c r="L296" s="51" t="str">
        <f>IF('Classe CP'!$B56="","",N('Classe CP'!I56))</f>
        <v/>
      </c>
      <c r="M296" s="51" t="str">
        <f>IF('Classe CP'!$B56="","",N('Classe CP'!J56))</f>
        <v/>
      </c>
      <c r="N296" s="51" t="str">
        <f>IF('Classe CP'!$B56="","",N('Classe CP'!K56))</f>
        <v/>
      </c>
      <c r="O296" s="51" t="str">
        <f>IF('Classe CP'!$B56="","",N('Classe CP'!L56))</f>
        <v/>
      </c>
      <c r="P296" s="51" t="str">
        <f>IF('Classe CP'!$B56="","",N('Classe CP'!M56))</f>
        <v/>
      </c>
      <c r="Q296" s="21" t="str">
        <f>IF('Classe CP'!$B56="","",IF('Classe CP'!Q56="","",'Classe CP'!Q56))</f>
        <v/>
      </c>
      <c r="R296" s="51" t="str">
        <f>IF('Classe CP'!$B56="","",N('Classe CP'!N56))</f>
        <v/>
      </c>
      <c r="S296" s="51" t="str">
        <f>IF('Classe CP'!$B56="","",N('Classe CP'!O56))</f>
        <v/>
      </c>
      <c r="T296" s="51" t="str">
        <f>IF('Classe CP'!$B56="","",N('Classe CP'!P56))</f>
        <v/>
      </c>
    </row>
    <row r="297">
      <c r="A297" s="16" t="str">
        <f>IF('Classe CP'!$B57="","",IF('Classe CP'!A57="","",'Classe CP'!A57))</f>
        <v/>
      </c>
      <c r="B297" s="16" t="str">
        <f>IF('Classe CP'!$B57="","",IF('Classe CP'!B57="","",'Classe CP'!B57))</f>
        <v/>
      </c>
      <c r="C297" s="16" t="str">
        <f>IF('Classe CP'!$B57="","",IF('Classe CP'!C57="","",'Classe CP'!C57))</f>
        <v/>
      </c>
      <c r="D297" s="16" t="str">
        <f>IF($B297="","",C297&amp;" "&amp;B297&amp;" - "&amp;E297)</f>
        <v/>
      </c>
      <c r="E297" s="17" t="str">
        <f>IF($B297="","",Paramètres!$A$18)</f>
        <v/>
      </c>
      <c r="F297" s="17" t="str">
        <f>IF($B297="","",Paramètres!$B$18)</f>
        <v/>
      </c>
      <c r="G297" s="17" t="str">
        <f>IF('Classe CP'!$B57="","",IF('Classe CP'!D57="","",'Classe CP'!D57))</f>
        <v/>
      </c>
      <c r="H297" s="78" t="str">
        <f>IF('Classe CP'!$B57="","",IF('Classe CP'!E57="","",'Classe CP'!E57))</f>
        <v/>
      </c>
      <c r="I297" s="16" t="str">
        <f>IF('Classe CP'!$B57="","",IF('Classe CP'!F57="","",'Classe CP'!F57))</f>
        <v/>
      </c>
      <c r="J297" s="16" t="str">
        <f>IF('Classe CP'!$B57="","",IF('Classe CP'!G57="","",'Classe CP'!G57))</f>
        <v/>
      </c>
      <c r="K297" s="18" t="str">
        <f>IF('Classe CP'!$B57="","",N('Classe CP'!H57))</f>
        <v/>
      </c>
      <c r="L297" s="18" t="str">
        <f>IF('Classe CP'!$B57="","",N('Classe CP'!I57))</f>
        <v/>
      </c>
      <c r="M297" s="18" t="str">
        <f>IF('Classe CP'!$B57="","",N('Classe CP'!J57))</f>
        <v/>
      </c>
      <c r="N297" s="18" t="str">
        <f>IF('Classe CP'!$B57="","",N('Classe CP'!K57))</f>
        <v/>
      </c>
      <c r="O297" s="18" t="str">
        <f>IF('Classe CP'!$B57="","",N('Classe CP'!L57))</f>
        <v/>
      </c>
      <c r="P297" s="18" t="str">
        <f>IF('Classe CP'!$B57="","",N('Classe CP'!M57))</f>
        <v/>
      </c>
      <c r="Q297" s="17" t="str">
        <f>IF('Classe CP'!$B57="","",IF('Classe CP'!Q57="","",'Classe CP'!Q57))</f>
        <v/>
      </c>
      <c r="R297" s="18" t="str">
        <f>IF('Classe CP'!$B57="","",N('Classe CP'!N57))</f>
        <v/>
      </c>
      <c r="S297" s="18" t="str">
        <f>IF('Classe CP'!$B57="","",N('Classe CP'!O57))</f>
        <v/>
      </c>
      <c r="T297" s="18" t="str">
        <f>IF('Classe CP'!$B57="","",N('Classe CP'!P57))</f>
        <v/>
      </c>
    </row>
    <row r="298">
      <c r="A298" s="20" t="str">
        <f>IF('Classe CP'!$B58="","",IF('Classe CP'!A58="","",'Classe CP'!A58))</f>
        <v/>
      </c>
      <c r="B298" s="20" t="str">
        <f>IF('Classe CP'!$B58="","",IF('Classe CP'!B58="","",'Classe CP'!B58))</f>
        <v/>
      </c>
      <c r="C298" s="20" t="str">
        <f>IF('Classe CP'!$B58="","",IF('Classe CP'!C58="","",'Classe CP'!C58))</f>
        <v/>
      </c>
      <c r="D298" s="20" t="str">
        <f>IF($B298="","",C298&amp;" "&amp;B298&amp;" - "&amp;E298)</f>
        <v/>
      </c>
      <c r="E298" s="21" t="str">
        <f>IF($B298="","",Paramètres!$A$18)</f>
        <v/>
      </c>
      <c r="F298" s="21" t="str">
        <f>IF($B298="","",Paramètres!$B$18)</f>
        <v/>
      </c>
      <c r="G298" s="21" t="str">
        <f>IF('Classe CP'!$B58="","",IF('Classe CP'!D58="","",'Classe CP'!D58))</f>
        <v/>
      </c>
      <c r="H298" s="77" t="str">
        <f>IF('Classe CP'!$B58="","",IF('Classe CP'!E58="","",'Classe CP'!E58))</f>
        <v/>
      </c>
      <c r="I298" s="20" t="str">
        <f>IF('Classe CP'!$B58="","",IF('Classe CP'!F58="","",'Classe CP'!F58))</f>
        <v/>
      </c>
      <c r="J298" s="20" t="str">
        <f>IF('Classe CP'!$B58="","",IF('Classe CP'!G58="","",'Classe CP'!G58))</f>
        <v/>
      </c>
      <c r="K298" s="51" t="str">
        <f>IF('Classe CP'!$B58="","",N('Classe CP'!H58))</f>
        <v/>
      </c>
      <c r="L298" s="51" t="str">
        <f>IF('Classe CP'!$B58="","",N('Classe CP'!I58))</f>
        <v/>
      </c>
      <c r="M298" s="51" t="str">
        <f>IF('Classe CP'!$B58="","",N('Classe CP'!J58))</f>
        <v/>
      </c>
      <c r="N298" s="51" t="str">
        <f>IF('Classe CP'!$B58="","",N('Classe CP'!K58))</f>
        <v/>
      </c>
      <c r="O298" s="51" t="str">
        <f>IF('Classe CP'!$B58="","",N('Classe CP'!L58))</f>
        <v/>
      </c>
      <c r="P298" s="51" t="str">
        <f>IF('Classe CP'!$B58="","",N('Classe CP'!M58))</f>
        <v/>
      </c>
      <c r="Q298" s="21" t="str">
        <f>IF('Classe CP'!$B58="","",IF('Classe CP'!Q58="","",'Classe CP'!Q58))</f>
        <v/>
      </c>
      <c r="R298" s="51" t="str">
        <f>IF('Classe CP'!$B58="","",N('Classe CP'!N58))</f>
        <v/>
      </c>
      <c r="S298" s="51" t="str">
        <f>IF('Classe CP'!$B58="","",N('Classe CP'!O58))</f>
        <v/>
      </c>
      <c r="T298" s="51" t="str">
        <f>IF('Classe CP'!$B58="","",N('Classe CP'!P58))</f>
        <v/>
      </c>
    </row>
    <row r="299">
      <c r="A299" s="16" t="str">
        <f>IF('Classe CP'!$B59="","",IF('Classe CP'!A59="","",'Classe CP'!A59))</f>
        <v/>
      </c>
      <c r="B299" s="16" t="str">
        <f>IF('Classe CP'!$B59="","",IF('Classe CP'!B59="","",'Classe CP'!B59))</f>
        <v/>
      </c>
      <c r="C299" s="16" t="str">
        <f>IF('Classe CP'!$B59="","",IF('Classe CP'!C59="","",'Classe CP'!C59))</f>
        <v/>
      </c>
      <c r="D299" s="16" t="str">
        <f>IF($B299="","",C299&amp;" "&amp;B299&amp;" - "&amp;E299)</f>
        <v/>
      </c>
      <c r="E299" s="17" t="str">
        <f>IF($B299="","",Paramètres!$A$18)</f>
        <v/>
      </c>
      <c r="F299" s="17" t="str">
        <f>IF($B299="","",Paramètres!$B$18)</f>
        <v/>
      </c>
      <c r="G299" s="17" t="str">
        <f>IF('Classe CP'!$B59="","",IF('Classe CP'!D59="","",'Classe CP'!D59))</f>
        <v/>
      </c>
      <c r="H299" s="78" t="str">
        <f>IF('Classe CP'!$B59="","",IF('Classe CP'!E59="","",'Classe CP'!E59))</f>
        <v/>
      </c>
      <c r="I299" s="16" t="str">
        <f>IF('Classe CP'!$B59="","",IF('Classe CP'!F59="","",'Classe CP'!F59))</f>
        <v/>
      </c>
      <c r="J299" s="16" t="str">
        <f>IF('Classe CP'!$B59="","",IF('Classe CP'!G59="","",'Classe CP'!G59))</f>
        <v/>
      </c>
      <c r="K299" s="18" t="str">
        <f>IF('Classe CP'!$B59="","",N('Classe CP'!H59))</f>
        <v/>
      </c>
      <c r="L299" s="18" t="str">
        <f>IF('Classe CP'!$B59="","",N('Classe CP'!I59))</f>
        <v/>
      </c>
      <c r="M299" s="18" t="str">
        <f>IF('Classe CP'!$B59="","",N('Classe CP'!J59))</f>
        <v/>
      </c>
      <c r="N299" s="18" t="str">
        <f>IF('Classe CP'!$B59="","",N('Classe CP'!K59))</f>
        <v/>
      </c>
      <c r="O299" s="18" t="str">
        <f>IF('Classe CP'!$B59="","",N('Classe CP'!L59))</f>
        <v/>
      </c>
      <c r="P299" s="18" t="str">
        <f>IF('Classe CP'!$B59="","",N('Classe CP'!M59))</f>
        <v/>
      </c>
      <c r="Q299" s="17" t="str">
        <f>IF('Classe CP'!$B59="","",IF('Classe CP'!Q59="","",'Classe CP'!Q59))</f>
        <v/>
      </c>
      <c r="R299" s="18" t="str">
        <f>IF('Classe CP'!$B59="","",N('Classe CP'!N59))</f>
        <v/>
      </c>
      <c r="S299" s="18" t="str">
        <f>IF('Classe CP'!$B59="","",N('Classe CP'!O59))</f>
        <v/>
      </c>
      <c r="T299" s="18" t="str">
        <f>IF('Classe CP'!$B59="","",N('Classe CP'!P59))</f>
        <v/>
      </c>
    </row>
    <row r="300">
      <c r="A300" s="20" t="str">
        <f>IF('Classe CP'!$B60="","",IF('Classe CP'!A60="","",'Classe CP'!A60))</f>
        <v/>
      </c>
      <c r="B300" s="20" t="str">
        <f>IF('Classe CP'!$B60="","",IF('Classe CP'!B60="","",'Classe CP'!B60))</f>
        <v/>
      </c>
      <c r="C300" s="20" t="str">
        <f>IF('Classe CP'!$B60="","",IF('Classe CP'!C60="","",'Classe CP'!C60))</f>
        <v/>
      </c>
      <c r="D300" s="20" t="str">
        <f>IF($B300="","",C300&amp;" "&amp;B300&amp;" - "&amp;E300)</f>
        <v/>
      </c>
      <c r="E300" s="21" t="str">
        <f>IF($B300="","",Paramètres!$A$18)</f>
        <v/>
      </c>
      <c r="F300" s="21" t="str">
        <f>IF($B300="","",Paramètres!$B$18)</f>
        <v/>
      </c>
      <c r="G300" s="21" t="str">
        <f>IF('Classe CP'!$B60="","",IF('Classe CP'!D60="","",'Classe CP'!D60))</f>
        <v/>
      </c>
      <c r="H300" s="77" t="str">
        <f>IF('Classe CP'!$B60="","",IF('Classe CP'!E60="","",'Classe CP'!E60))</f>
        <v/>
      </c>
      <c r="I300" s="20" t="str">
        <f>IF('Classe CP'!$B60="","",IF('Classe CP'!F60="","",'Classe CP'!F60))</f>
        <v/>
      </c>
      <c r="J300" s="20" t="str">
        <f>IF('Classe CP'!$B60="","",IF('Classe CP'!G60="","",'Classe CP'!G60))</f>
        <v/>
      </c>
      <c r="K300" s="51" t="str">
        <f>IF('Classe CP'!$B60="","",N('Classe CP'!H60))</f>
        <v/>
      </c>
      <c r="L300" s="51" t="str">
        <f>IF('Classe CP'!$B60="","",N('Classe CP'!I60))</f>
        <v/>
      </c>
      <c r="M300" s="51" t="str">
        <f>IF('Classe CP'!$B60="","",N('Classe CP'!J60))</f>
        <v/>
      </c>
      <c r="N300" s="51" t="str">
        <f>IF('Classe CP'!$B60="","",N('Classe CP'!K60))</f>
        <v/>
      </c>
      <c r="O300" s="51" t="str">
        <f>IF('Classe CP'!$B60="","",N('Classe CP'!L60))</f>
        <v/>
      </c>
      <c r="P300" s="51" t="str">
        <f>IF('Classe CP'!$B60="","",N('Classe CP'!M60))</f>
        <v/>
      </c>
      <c r="Q300" s="21" t="str">
        <f>IF('Classe CP'!$B60="","",IF('Classe CP'!Q60="","",'Classe CP'!Q60))</f>
        <v/>
      </c>
      <c r="R300" s="51" t="str">
        <f>IF('Classe CP'!$B60="","",N('Classe CP'!N60))</f>
        <v/>
      </c>
      <c r="S300" s="51" t="str">
        <f>IF('Classe CP'!$B60="","",N('Classe CP'!O60))</f>
        <v/>
      </c>
      <c r="T300" s="51" t="str">
        <f>IF('Classe CP'!$B60="","",N('Classe CP'!P60))</f>
        <v/>
      </c>
    </row>
    <row r="301">
      <c r="A301" s="16" t="str">
        <f>IF('Classe CP'!$B61="","",IF('Classe CP'!A61="","",'Classe CP'!A61))</f>
        <v/>
      </c>
      <c r="B301" s="16" t="str">
        <f>IF('Classe CP'!$B61="","",IF('Classe CP'!B61="","",'Classe CP'!B61))</f>
        <v/>
      </c>
      <c r="C301" s="16" t="str">
        <f>IF('Classe CP'!$B61="","",IF('Classe CP'!C61="","",'Classe CP'!C61))</f>
        <v/>
      </c>
      <c r="D301" s="16" t="str">
        <f>IF($B301="","",C301&amp;" "&amp;B301&amp;" - "&amp;E301)</f>
        <v/>
      </c>
      <c r="E301" s="17" t="str">
        <f>IF($B301="","",Paramètres!$A$18)</f>
        <v/>
      </c>
      <c r="F301" s="17" t="str">
        <f>IF($B301="","",Paramètres!$B$18)</f>
        <v/>
      </c>
      <c r="G301" s="17" t="str">
        <f>IF('Classe CP'!$B61="","",IF('Classe CP'!D61="","",'Classe CP'!D61))</f>
        <v/>
      </c>
      <c r="H301" s="78" t="str">
        <f>IF('Classe CP'!$B61="","",IF('Classe CP'!E61="","",'Classe CP'!E61))</f>
        <v/>
      </c>
      <c r="I301" s="16" t="str">
        <f>IF('Classe CP'!$B61="","",IF('Classe CP'!F61="","",'Classe CP'!F61))</f>
        <v/>
      </c>
      <c r="J301" s="16" t="str">
        <f>IF('Classe CP'!$B61="","",IF('Classe CP'!G61="","",'Classe CP'!G61))</f>
        <v/>
      </c>
      <c r="K301" s="18" t="str">
        <f>IF('Classe CP'!$B61="","",N('Classe CP'!H61))</f>
        <v/>
      </c>
      <c r="L301" s="18" t="str">
        <f>IF('Classe CP'!$B61="","",N('Classe CP'!I61))</f>
        <v/>
      </c>
      <c r="M301" s="18" t="str">
        <f>IF('Classe CP'!$B61="","",N('Classe CP'!J61))</f>
        <v/>
      </c>
      <c r="N301" s="18" t="str">
        <f>IF('Classe CP'!$B61="","",N('Classe CP'!K61))</f>
        <v/>
      </c>
      <c r="O301" s="18" t="str">
        <f>IF('Classe CP'!$B61="","",N('Classe CP'!L61))</f>
        <v/>
      </c>
      <c r="P301" s="18" t="str">
        <f>IF('Classe CP'!$B61="","",N('Classe CP'!M61))</f>
        <v/>
      </c>
      <c r="Q301" s="17" t="str">
        <f>IF('Classe CP'!$B61="","",IF('Classe CP'!Q61="","",'Classe CP'!Q61))</f>
        <v/>
      </c>
      <c r="R301" s="18" t="str">
        <f>IF('Classe CP'!$B61="","",N('Classe CP'!N61))</f>
        <v/>
      </c>
      <c r="S301" s="18" t="str">
        <f>IF('Classe CP'!$B61="","",N('Classe CP'!O61))</f>
        <v/>
      </c>
      <c r="T301" s="18" t="str">
        <f>IF('Classe CP'!$B61="","",N('Classe CP'!P61))</f>
        <v/>
      </c>
    </row>
    <row r="302">
      <c r="A302" s="20" t="str">
        <f>IF('Classe CP'!$B62="","",IF('Classe CP'!A62="","",'Classe CP'!A62))</f>
        <v/>
      </c>
      <c r="B302" s="20" t="str">
        <f>IF('Classe CP'!$B62="","",IF('Classe CP'!B62="","",'Classe CP'!B62))</f>
        <v/>
      </c>
      <c r="C302" s="20" t="str">
        <f>IF('Classe CP'!$B62="","",IF('Classe CP'!C62="","",'Classe CP'!C62))</f>
        <v/>
      </c>
      <c r="D302" s="20" t="str">
        <f>IF($B302="","",C302&amp;" "&amp;B302&amp;" - "&amp;E302)</f>
        <v/>
      </c>
      <c r="E302" s="21" t="str">
        <f>IF($B302="","",Paramètres!$A$18)</f>
        <v/>
      </c>
      <c r="F302" s="21" t="str">
        <f>IF($B302="","",Paramètres!$B$18)</f>
        <v/>
      </c>
      <c r="G302" s="21" t="str">
        <f>IF('Classe CP'!$B62="","",IF('Classe CP'!D62="","",'Classe CP'!D62))</f>
        <v/>
      </c>
      <c r="H302" s="77" t="str">
        <f>IF('Classe CP'!$B62="","",IF('Classe CP'!E62="","",'Classe CP'!E62))</f>
        <v/>
      </c>
      <c r="I302" s="20" t="str">
        <f>IF('Classe CP'!$B62="","",IF('Classe CP'!F62="","",'Classe CP'!F62))</f>
        <v/>
      </c>
      <c r="J302" s="20" t="str">
        <f>IF('Classe CP'!$B62="","",IF('Classe CP'!G62="","",'Classe CP'!G62))</f>
        <v/>
      </c>
      <c r="K302" s="51" t="str">
        <f>IF('Classe CP'!$B62="","",N('Classe CP'!H62))</f>
        <v/>
      </c>
      <c r="L302" s="51" t="str">
        <f>IF('Classe CP'!$B62="","",N('Classe CP'!I62))</f>
        <v/>
      </c>
      <c r="M302" s="51" t="str">
        <f>IF('Classe CP'!$B62="","",N('Classe CP'!J62))</f>
        <v/>
      </c>
      <c r="N302" s="51" t="str">
        <f>IF('Classe CP'!$B62="","",N('Classe CP'!K62))</f>
        <v/>
      </c>
      <c r="O302" s="51" t="str">
        <f>IF('Classe CP'!$B62="","",N('Classe CP'!L62))</f>
        <v/>
      </c>
      <c r="P302" s="51" t="str">
        <f>IF('Classe CP'!$B62="","",N('Classe CP'!M62))</f>
        <v/>
      </c>
      <c r="Q302" s="21" t="str">
        <f>IF('Classe CP'!$B62="","",IF('Classe CP'!Q62="","",'Classe CP'!Q62))</f>
        <v/>
      </c>
      <c r="R302" s="51" t="str">
        <f>IF('Classe CP'!$B62="","",N('Classe CP'!N62))</f>
        <v/>
      </c>
      <c r="S302" s="51" t="str">
        <f>IF('Classe CP'!$B62="","",N('Classe CP'!O62))</f>
        <v/>
      </c>
      <c r="T302" s="51" t="str">
        <f>IF('Classe CP'!$B62="","",N('Classe CP'!P62))</f>
        <v/>
      </c>
    </row>
    <row r="303">
      <c r="A303" s="16" t="str">
        <f>IF('Classe CP'!$B63="","",IF('Classe CP'!A63="","",'Classe CP'!A63))</f>
        <v/>
      </c>
      <c r="B303" s="16" t="str">
        <f>IF('Classe CP'!$B63="","",IF('Classe CP'!B63="","",'Classe CP'!B63))</f>
        <v/>
      </c>
      <c r="C303" s="16" t="str">
        <f>IF('Classe CP'!$B63="","",IF('Classe CP'!C63="","",'Classe CP'!C63))</f>
        <v/>
      </c>
      <c r="D303" s="16" t="str">
        <f>IF($B303="","",C303&amp;" "&amp;B303&amp;" - "&amp;E303)</f>
        <v/>
      </c>
      <c r="E303" s="17" t="str">
        <f>IF($B303="","",Paramètres!$A$18)</f>
        <v/>
      </c>
      <c r="F303" s="17" t="str">
        <f>IF($B303="","",Paramètres!$B$18)</f>
        <v/>
      </c>
      <c r="G303" s="17" t="str">
        <f>IF('Classe CP'!$B63="","",IF('Classe CP'!D63="","",'Classe CP'!D63))</f>
        <v/>
      </c>
      <c r="H303" s="78" t="str">
        <f>IF('Classe CP'!$B63="","",IF('Classe CP'!E63="","",'Classe CP'!E63))</f>
        <v/>
      </c>
      <c r="I303" s="16" t="str">
        <f>IF('Classe CP'!$B63="","",IF('Classe CP'!F63="","",'Classe CP'!F63))</f>
        <v/>
      </c>
      <c r="J303" s="16" t="str">
        <f>IF('Classe CP'!$B63="","",IF('Classe CP'!G63="","",'Classe CP'!G63))</f>
        <v/>
      </c>
      <c r="K303" s="18" t="str">
        <f>IF('Classe CP'!$B63="","",N('Classe CP'!H63))</f>
        <v/>
      </c>
      <c r="L303" s="18" t="str">
        <f>IF('Classe CP'!$B63="","",N('Classe CP'!I63))</f>
        <v/>
      </c>
      <c r="M303" s="18" t="str">
        <f>IF('Classe CP'!$B63="","",N('Classe CP'!J63))</f>
        <v/>
      </c>
      <c r="N303" s="18" t="str">
        <f>IF('Classe CP'!$B63="","",N('Classe CP'!K63))</f>
        <v/>
      </c>
      <c r="O303" s="18" t="str">
        <f>IF('Classe CP'!$B63="","",N('Classe CP'!L63))</f>
        <v/>
      </c>
      <c r="P303" s="18" t="str">
        <f>IF('Classe CP'!$B63="","",N('Classe CP'!M63))</f>
        <v/>
      </c>
      <c r="Q303" s="17" t="str">
        <f>IF('Classe CP'!$B63="","",IF('Classe CP'!Q63="","",'Classe CP'!Q63))</f>
        <v/>
      </c>
      <c r="R303" s="18" t="str">
        <f>IF('Classe CP'!$B63="","",N('Classe CP'!N63))</f>
        <v/>
      </c>
      <c r="S303" s="18" t="str">
        <f>IF('Classe CP'!$B63="","",N('Classe CP'!O63))</f>
        <v/>
      </c>
      <c r="T303" s="18" t="str">
        <f>IF('Classe CP'!$B63="","",N('Classe CP'!P63))</f>
        <v/>
      </c>
    </row>
    <row r="304">
      <c r="A304" s="20" t="str">
        <f>IF('Classe CP'!$B64="","",IF('Classe CP'!A64="","",'Classe CP'!A64))</f>
        <v/>
      </c>
      <c r="B304" s="20" t="str">
        <f>IF('Classe CP'!$B64="","",IF('Classe CP'!B64="","",'Classe CP'!B64))</f>
        <v/>
      </c>
      <c r="C304" s="20" t="str">
        <f>IF('Classe CP'!$B64="","",IF('Classe CP'!C64="","",'Classe CP'!C64))</f>
        <v/>
      </c>
      <c r="D304" s="20" t="str">
        <f>IF($B304="","",C304&amp;" "&amp;B304&amp;" - "&amp;E304)</f>
        <v/>
      </c>
      <c r="E304" s="21" t="str">
        <f>IF($B304="","",Paramètres!$A$18)</f>
        <v/>
      </c>
      <c r="F304" s="21" t="str">
        <f>IF($B304="","",Paramètres!$B$18)</f>
        <v/>
      </c>
      <c r="G304" s="21" t="str">
        <f>IF('Classe CP'!$B64="","",IF('Classe CP'!D64="","",'Classe CP'!D64))</f>
        <v/>
      </c>
      <c r="H304" s="77" t="str">
        <f>IF('Classe CP'!$B64="","",IF('Classe CP'!E64="","",'Classe CP'!E64))</f>
        <v/>
      </c>
      <c r="I304" s="20" t="str">
        <f>IF('Classe CP'!$B64="","",IF('Classe CP'!F64="","",'Classe CP'!F64))</f>
        <v/>
      </c>
      <c r="J304" s="20" t="str">
        <f>IF('Classe CP'!$B64="","",IF('Classe CP'!G64="","",'Classe CP'!G64))</f>
        <v/>
      </c>
      <c r="K304" s="51" t="str">
        <f>IF('Classe CP'!$B64="","",N('Classe CP'!H64))</f>
        <v/>
      </c>
      <c r="L304" s="51" t="str">
        <f>IF('Classe CP'!$B64="","",N('Classe CP'!I64))</f>
        <v/>
      </c>
      <c r="M304" s="51" t="str">
        <f>IF('Classe CP'!$B64="","",N('Classe CP'!J64))</f>
        <v/>
      </c>
      <c r="N304" s="51" t="str">
        <f>IF('Classe CP'!$B64="","",N('Classe CP'!K64))</f>
        <v/>
      </c>
      <c r="O304" s="51" t="str">
        <f>IF('Classe CP'!$B64="","",N('Classe CP'!L64))</f>
        <v/>
      </c>
      <c r="P304" s="51" t="str">
        <f>IF('Classe CP'!$B64="","",N('Classe CP'!M64))</f>
        <v/>
      </c>
      <c r="Q304" s="21" t="str">
        <f>IF('Classe CP'!$B64="","",IF('Classe CP'!Q64="","",'Classe CP'!Q64))</f>
        <v/>
      </c>
      <c r="R304" s="51" t="str">
        <f>IF('Classe CP'!$B64="","",N('Classe CP'!N64))</f>
        <v/>
      </c>
      <c r="S304" s="51" t="str">
        <f>IF('Classe CP'!$B64="","",N('Classe CP'!O64))</f>
        <v/>
      </c>
      <c r="T304" s="51" t="str">
        <f>IF('Classe CP'!$B64="","",N('Classe CP'!P64))</f>
        <v/>
      </c>
    </row>
    <row r="305">
      <c r="A305" s="16" t="str">
        <f>IF('Classe CP'!$B65="","",IF('Classe CP'!A65="","",'Classe CP'!A65))</f>
        <v/>
      </c>
      <c r="B305" s="16" t="str">
        <f>IF('Classe CP'!$B65="","",IF('Classe CP'!B65="","",'Classe CP'!B65))</f>
        <v/>
      </c>
      <c r="C305" s="16" t="str">
        <f>IF('Classe CP'!$B65="","",IF('Classe CP'!C65="","",'Classe CP'!C65))</f>
        <v/>
      </c>
      <c r="D305" s="16" t="str">
        <f>IF($B305="","",C305&amp;" "&amp;B305&amp;" - "&amp;E305)</f>
        <v/>
      </c>
      <c r="E305" s="17" t="str">
        <f>IF($B305="","",Paramètres!$A$18)</f>
        <v/>
      </c>
      <c r="F305" s="17" t="str">
        <f>IF($B305="","",Paramètres!$B$18)</f>
        <v/>
      </c>
      <c r="G305" s="17" t="str">
        <f>IF('Classe CP'!$B65="","",IF('Classe CP'!D65="","",'Classe CP'!D65))</f>
        <v/>
      </c>
      <c r="H305" s="78" t="str">
        <f>IF('Classe CP'!$B65="","",IF('Classe CP'!E65="","",'Classe CP'!E65))</f>
        <v/>
      </c>
      <c r="I305" s="16" t="str">
        <f>IF('Classe CP'!$B65="","",IF('Classe CP'!F65="","",'Classe CP'!F65))</f>
        <v/>
      </c>
      <c r="J305" s="16" t="str">
        <f>IF('Classe CP'!$B65="","",IF('Classe CP'!G65="","",'Classe CP'!G65))</f>
        <v/>
      </c>
      <c r="K305" s="18" t="str">
        <f>IF('Classe CP'!$B65="","",N('Classe CP'!H65))</f>
        <v/>
      </c>
      <c r="L305" s="18" t="str">
        <f>IF('Classe CP'!$B65="","",N('Classe CP'!I65))</f>
        <v/>
      </c>
      <c r="M305" s="18" t="str">
        <f>IF('Classe CP'!$B65="","",N('Classe CP'!J65))</f>
        <v/>
      </c>
      <c r="N305" s="18" t="str">
        <f>IF('Classe CP'!$B65="","",N('Classe CP'!K65))</f>
        <v/>
      </c>
      <c r="O305" s="18" t="str">
        <f>IF('Classe CP'!$B65="","",N('Classe CP'!L65))</f>
        <v/>
      </c>
      <c r="P305" s="18" t="str">
        <f>IF('Classe CP'!$B65="","",N('Classe CP'!M65))</f>
        <v/>
      </c>
      <c r="Q305" s="17" t="str">
        <f>IF('Classe CP'!$B65="","",IF('Classe CP'!Q65="","",'Classe CP'!Q65))</f>
        <v/>
      </c>
      <c r="R305" s="18" t="str">
        <f>IF('Classe CP'!$B65="","",N('Classe CP'!N65))</f>
        <v/>
      </c>
      <c r="S305" s="18" t="str">
        <f>IF('Classe CP'!$B65="","",N('Classe CP'!O65))</f>
        <v/>
      </c>
      <c r="T305" s="18" t="str">
        <f>IF('Classe CP'!$B65="","",N('Classe CP'!P65))</f>
        <v/>
      </c>
    </row>
    <row r="306">
      <c r="A306" s="20" t="str">
        <f>IF('Classe CP'!$B66="","",IF('Classe CP'!A66="","",'Classe CP'!A66))</f>
        <v/>
      </c>
      <c r="B306" s="20" t="str">
        <f>IF('Classe CP'!$B66="","",IF('Classe CP'!B66="","",'Classe CP'!B66))</f>
        <v/>
      </c>
      <c r="C306" s="20" t="str">
        <f>IF('Classe CP'!$B66="","",IF('Classe CP'!C66="","",'Classe CP'!C66))</f>
        <v/>
      </c>
      <c r="D306" s="20" t="str">
        <f>IF($B306="","",C306&amp;" "&amp;B306&amp;" - "&amp;E306)</f>
        <v/>
      </c>
      <c r="E306" s="21" t="str">
        <f>IF($B306="","",Paramètres!$A$18)</f>
        <v/>
      </c>
      <c r="F306" s="21" t="str">
        <f>IF($B306="","",Paramètres!$B$18)</f>
        <v/>
      </c>
      <c r="G306" s="21" t="str">
        <f>IF('Classe CP'!$B66="","",IF('Classe CP'!D66="","",'Classe CP'!D66))</f>
        <v/>
      </c>
      <c r="H306" s="77" t="str">
        <f>IF('Classe CP'!$B66="","",IF('Classe CP'!E66="","",'Classe CP'!E66))</f>
        <v/>
      </c>
      <c r="I306" s="20" t="str">
        <f>IF('Classe CP'!$B66="","",IF('Classe CP'!F66="","",'Classe CP'!F66))</f>
        <v/>
      </c>
      <c r="J306" s="20" t="str">
        <f>IF('Classe CP'!$B66="","",IF('Classe CP'!G66="","",'Classe CP'!G66))</f>
        <v/>
      </c>
      <c r="K306" s="51" t="str">
        <f>IF('Classe CP'!$B66="","",N('Classe CP'!H66))</f>
        <v/>
      </c>
      <c r="L306" s="51" t="str">
        <f>IF('Classe CP'!$B66="","",N('Classe CP'!I66))</f>
        <v/>
      </c>
      <c r="M306" s="51" t="str">
        <f>IF('Classe CP'!$B66="","",N('Classe CP'!J66))</f>
        <v/>
      </c>
      <c r="N306" s="51" t="str">
        <f>IF('Classe CP'!$B66="","",N('Classe CP'!K66))</f>
        <v/>
      </c>
      <c r="O306" s="51" t="str">
        <f>IF('Classe CP'!$B66="","",N('Classe CP'!L66))</f>
        <v/>
      </c>
      <c r="P306" s="51" t="str">
        <f>IF('Classe CP'!$B66="","",N('Classe CP'!M66))</f>
        <v/>
      </c>
      <c r="Q306" s="21" t="str">
        <f>IF('Classe CP'!$B66="","",IF('Classe CP'!Q66="","",'Classe CP'!Q66))</f>
        <v/>
      </c>
      <c r="R306" s="51" t="str">
        <f>IF('Classe CP'!$B66="","",N('Classe CP'!N66))</f>
        <v/>
      </c>
      <c r="S306" s="51" t="str">
        <f>IF('Classe CP'!$B66="","",N('Classe CP'!O66))</f>
        <v/>
      </c>
      <c r="T306" s="51" t="str">
        <f>IF('Classe CP'!$B66="","",N('Classe CP'!P66))</f>
        <v/>
      </c>
    </row>
    <row r="307">
      <c r="A307" s="16" t="str">
        <f>IF('Classe CP'!$B67="","",IF('Classe CP'!A67="","",'Classe CP'!A67))</f>
        <v/>
      </c>
      <c r="B307" s="16" t="str">
        <f>IF('Classe CP'!$B67="","",IF('Classe CP'!B67="","",'Classe CP'!B67))</f>
        <v/>
      </c>
      <c r="C307" s="16" t="str">
        <f>IF('Classe CP'!$B67="","",IF('Classe CP'!C67="","",'Classe CP'!C67))</f>
        <v/>
      </c>
      <c r="D307" s="16" t="str">
        <f>IF($B307="","",C307&amp;" "&amp;B307&amp;" - "&amp;E307)</f>
        <v/>
      </c>
      <c r="E307" s="17" t="str">
        <f>IF($B307="","",Paramètres!$A$18)</f>
        <v/>
      </c>
      <c r="F307" s="17" t="str">
        <f>IF($B307="","",Paramètres!$B$18)</f>
        <v/>
      </c>
      <c r="G307" s="17" t="str">
        <f>IF('Classe CP'!$B67="","",IF('Classe CP'!D67="","",'Classe CP'!D67))</f>
        <v/>
      </c>
      <c r="H307" s="78" t="str">
        <f>IF('Classe CP'!$B67="","",IF('Classe CP'!E67="","",'Classe CP'!E67))</f>
        <v/>
      </c>
      <c r="I307" s="16" t="str">
        <f>IF('Classe CP'!$B67="","",IF('Classe CP'!F67="","",'Classe CP'!F67))</f>
        <v/>
      </c>
      <c r="J307" s="16" t="str">
        <f>IF('Classe CP'!$B67="","",IF('Classe CP'!G67="","",'Classe CP'!G67))</f>
        <v/>
      </c>
      <c r="K307" s="18" t="str">
        <f>IF('Classe CP'!$B67="","",N('Classe CP'!H67))</f>
        <v/>
      </c>
      <c r="L307" s="18" t="str">
        <f>IF('Classe CP'!$B67="","",N('Classe CP'!I67))</f>
        <v/>
      </c>
      <c r="M307" s="18" t="str">
        <f>IF('Classe CP'!$B67="","",N('Classe CP'!J67))</f>
        <v/>
      </c>
      <c r="N307" s="18" t="str">
        <f>IF('Classe CP'!$B67="","",N('Classe CP'!K67))</f>
        <v/>
      </c>
      <c r="O307" s="18" t="str">
        <f>IF('Classe CP'!$B67="","",N('Classe CP'!L67))</f>
        <v/>
      </c>
      <c r="P307" s="18" t="str">
        <f>IF('Classe CP'!$B67="","",N('Classe CP'!M67))</f>
        <v/>
      </c>
      <c r="Q307" s="17" t="str">
        <f>IF('Classe CP'!$B67="","",IF('Classe CP'!Q67="","",'Classe CP'!Q67))</f>
        <v/>
      </c>
      <c r="R307" s="18" t="str">
        <f>IF('Classe CP'!$B67="","",N('Classe CP'!N67))</f>
        <v/>
      </c>
      <c r="S307" s="18" t="str">
        <f>IF('Classe CP'!$B67="","",N('Classe CP'!O67))</f>
        <v/>
      </c>
      <c r="T307" s="18" t="str">
        <f>IF('Classe CP'!$B67="","",N('Classe CP'!P67))</f>
        <v/>
      </c>
    </row>
    <row r="308">
      <c r="A308" s="20" t="str">
        <f>IF('Classe CP'!$B68="","",IF('Classe CP'!A68="","",'Classe CP'!A68))</f>
        <v/>
      </c>
      <c r="B308" s="20" t="str">
        <f>IF('Classe CP'!$B68="","",IF('Classe CP'!B68="","",'Classe CP'!B68))</f>
        <v/>
      </c>
      <c r="C308" s="20" t="str">
        <f>IF('Classe CP'!$B68="","",IF('Classe CP'!C68="","",'Classe CP'!C68))</f>
        <v/>
      </c>
      <c r="D308" s="20" t="str">
        <f>IF($B308="","",C308&amp;" "&amp;B308&amp;" - "&amp;E308)</f>
        <v/>
      </c>
      <c r="E308" s="21" t="str">
        <f>IF($B308="","",Paramètres!$A$18)</f>
        <v/>
      </c>
      <c r="F308" s="21" t="str">
        <f>IF($B308="","",Paramètres!$B$18)</f>
        <v/>
      </c>
      <c r="G308" s="21" t="str">
        <f>IF('Classe CP'!$B68="","",IF('Classe CP'!D68="","",'Classe CP'!D68))</f>
        <v/>
      </c>
      <c r="H308" s="77" t="str">
        <f>IF('Classe CP'!$B68="","",IF('Classe CP'!E68="","",'Classe CP'!E68))</f>
        <v/>
      </c>
      <c r="I308" s="20" t="str">
        <f>IF('Classe CP'!$B68="","",IF('Classe CP'!F68="","",'Classe CP'!F68))</f>
        <v/>
      </c>
      <c r="J308" s="20" t="str">
        <f>IF('Classe CP'!$B68="","",IF('Classe CP'!G68="","",'Classe CP'!G68))</f>
        <v/>
      </c>
      <c r="K308" s="51" t="str">
        <f>IF('Classe CP'!$B68="","",N('Classe CP'!H68))</f>
        <v/>
      </c>
      <c r="L308" s="51" t="str">
        <f>IF('Classe CP'!$B68="","",N('Classe CP'!I68))</f>
        <v/>
      </c>
      <c r="M308" s="51" t="str">
        <f>IF('Classe CP'!$B68="","",N('Classe CP'!J68))</f>
        <v/>
      </c>
      <c r="N308" s="51" t="str">
        <f>IF('Classe CP'!$B68="","",N('Classe CP'!K68))</f>
        <v/>
      </c>
      <c r="O308" s="51" t="str">
        <f>IF('Classe CP'!$B68="","",N('Classe CP'!L68))</f>
        <v/>
      </c>
      <c r="P308" s="51" t="str">
        <f>IF('Classe CP'!$B68="","",N('Classe CP'!M68))</f>
        <v/>
      </c>
      <c r="Q308" s="21" t="str">
        <f>IF('Classe CP'!$B68="","",IF('Classe CP'!Q68="","",'Classe CP'!Q68))</f>
        <v/>
      </c>
      <c r="R308" s="51" t="str">
        <f>IF('Classe CP'!$B68="","",N('Classe CP'!N68))</f>
        <v/>
      </c>
      <c r="S308" s="51" t="str">
        <f>IF('Classe CP'!$B68="","",N('Classe CP'!O68))</f>
        <v/>
      </c>
      <c r="T308" s="51" t="str">
        <f>IF('Classe CP'!$B68="","",N('Classe CP'!P68))</f>
        <v/>
      </c>
    </row>
    <row r="309">
      <c r="A309" s="16" t="str">
        <f>IF('Classe CP'!$B69="","",IF('Classe CP'!A69="","",'Classe CP'!A69))</f>
        <v/>
      </c>
      <c r="B309" s="16" t="str">
        <f>IF('Classe CP'!$B69="","",IF('Classe CP'!B69="","",'Classe CP'!B69))</f>
        <v/>
      </c>
      <c r="C309" s="16" t="str">
        <f>IF('Classe CP'!$B69="","",IF('Classe CP'!C69="","",'Classe CP'!C69))</f>
        <v/>
      </c>
      <c r="D309" s="16" t="str">
        <f>IF($B309="","",C309&amp;" "&amp;B309&amp;" - "&amp;E309)</f>
        <v/>
      </c>
      <c r="E309" s="17" t="str">
        <f>IF($B309="","",Paramètres!$A$18)</f>
        <v/>
      </c>
      <c r="F309" s="17" t="str">
        <f>IF($B309="","",Paramètres!$B$18)</f>
        <v/>
      </c>
      <c r="G309" s="17" t="str">
        <f>IF('Classe CP'!$B69="","",IF('Classe CP'!D69="","",'Classe CP'!D69))</f>
        <v/>
      </c>
      <c r="H309" s="78" t="str">
        <f>IF('Classe CP'!$B69="","",IF('Classe CP'!E69="","",'Classe CP'!E69))</f>
        <v/>
      </c>
      <c r="I309" s="16" t="str">
        <f>IF('Classe CP'!$B69="","",IF('Classe CP'!F69="","",'Classe CP'!F69))</f>
        <v/>
      </c>
      <c r="J309" s="16" t="str">
        <f>IF('Classe CP'!$B69="","",IF('Classe CP'!G69="","",'Classe CP'!G69))</f>
        <v/>
      </c>
      <c r="K309" s="18" t="str">
        <f>IF('Classe CP'!$B69="","",N('Classe CP'!H69))</f>
        <v/>
      </c>
      <c r="L309" s="18" t="str">
        <f>IF('Classe CP'!$B69="","",N('Classe CP'!I69))</f>
        <v/>
      </c>
      <c r="M309" s="18" t="str">
        <f>IF('Classe CP'!$B69="","",N('Classe CP'!J69))</f>
        <v/>
      </c>
      <c r="N309" s="18" t="str">
        <f>IF('Classe CP'!$B69="","",N('Classe CP'!K69))</f>
        <v/>
      </c>
      <c r="O309" s="18" t="str">
        <f>IF('Classe CP'!$B69="","",N('Classe CP'!L69))</f>
        <v/>
      </c>
      <c r="P309" s="18" t="str">
        <f>IF('Classe CP'!$B69="","",N('Classe CP'!M69))</f>
        <v/>
      </c>
      <c r="Q309" s="17" t="str">
        <f>IF('Classe CP'!$B69="","",IF('Classe CP'!Q69="","",'Classe CP'!Q69))</f>
        <v/>
      </c>
      <c r="R309" s="18" t="str">
        <f>IF('Classe CP'!$B69="","",N('Classe CP'!N69))</f>
        <v/>
      </c>
      <c r="S309" s="18" t="str">
        <f>IF('Classe CP'!$B69="","",N('Classe CP'!O69))</f>
        <v/>
      </c>
      <c r="T309" s="18" t="str">
        <f>IF('Classe CP'!$B69="","",N('Classe CP'!P69))</f>
        <v/>
      </c>
    </row>
    <row r="310">
      <c r="A310" s="20" t="str">
        <f>IF('Classe CP'!$B70="","",IF('Classe CP'!A70="","",'Classe CP'!A70))</f>
        <v/>
      </c>
      <c r="B310" s="20" t="str">
        <f>IF('Classe CP'!$B70="","",IF('Classe CP'!B70="","",'Classe CP'!B70))</f>
        <v/>
      </c>
      <c r="C310" s="20" t="str">
        <f>IF('Classe CP'!$B70="","",IF('Classe CP'!C70="","",'Classe CP'!C70))</f>
        <v/>
      </c>
      <c r="D310" s="20" t="str">
        <f>IF($B310="","",C310&amp;" "&amp;B310&amp;" - "&amp;E310)</f>
        <v/>
      </c>
      <c r="E310" s="21" t="str">
        <f>IF($B310="","",Paramètres!$A$18)</f>
        <v/>
      </c>
      <c r="F310" s="21" t="str">
        <f>IF($B310="","",Paramètres!$B$18)</f>
        <v/>
      </c>
      <c r="G310" s="21" t="str">
        <f>IF('Classe CP'!$B70="","",IF('Classe CP'!D70="","",'Classe CP'!D70))</f>
        <v/>
      </c>
      <c r="H310" s="77" t="str">
        <f>IF('Classe CP'!$B70="","",IF('Classe CP'!E70="","",'Classe CP'!E70))</f>
        <v/>
      </c>
      <c r="I310" s="20" t="str">
        <f>IF('Classe CP'!$B70="","",IF('Classe CP'!F70="","",'Classe CP'!F70))</f>
        <v/>
      </c>
      <c r="J310" s="20" t="str">
        <f>IF('Classe CP'!$B70="","",IF('Classe CP'!G70="","",'Classe CP'!G70))</f>
        <v/>
      </c>
      <c r="K310" s="51" t="str">
        <f>IF('Classe CP'!$B70="","",N('Classe CP'!H70))</f>
        <v/>
      </c>
      <c r="L310" s="51" t="str">
        <f>IF('Classe CP'!$B70="","",N('Classe CP'!I70))</f>
        <v/>
      </c>
      <c r="M310" s="51" t="str">
        <f>IF('Classe CP'!$B70="","",N('Classe CP'!J70))</f>
        <v/>
      </c>
      <c r="N310" s="51" t="str">
        <f>IF('Classe CP'!$B70="","",N('Classe CP'!K70))</f>
        <v/>
      </c>
      <c r="O310" s="51" t="str">
        <f>IF('Classe CP'!$B70="","",N('Classe CP'!L70))</f>
        <v/>
      </c>
      <c r="P310" s="51" t="str">
        <f>IF('Classe CP'!$B70="","",N('Classe CP'!M70))</f>
        <v/>
      </c>
      <c r="Q310" s="21" t="str">
        <f>IF('Classe CP'!$B70="","",IF('Classe CP'!Q70="","",'Classe CP'!Q70))</f>
        <v/>
      </c>
      <c r="R310" s="51" t="str">
        <f>IF('Classe CP'!$B70="","",N('Classe CP'!N70))</f>
        <v/>
      </c>
      <c r="S310" s="51" t="str">
        <f>IF('Classe CP'!$B70="","",N('Classe CP'!O70))</f>
        <v/>
      </c>
      <c r="T310" s="51" t="str">
        <f>IF('Classe CP'!$B70="","",N('Classe CP'!P70))</f>
        <v/>
      </c>
    </row>
    <row r="311">
      <c r="A311" s="16" t="str">
        <f>IF('Classe CP'!$B71="","",IF('Classe CP'!A71="","",'Classe CP'!A71))</f>
        <v/>
      </c>
      <c r="B311" s="16" t="str">
        <f>IF('Classe CP'!$B71="","",IF('Classe CP'!B71="","",'Classe CP'!B71))</f>
        <v/>
      </c>
      <c r="C311" s="16" t="str">
        <f>IF('Classe CP'!$B71="","",IF('Classe CP'!C71="","",'Classe CP'!C71))</f>
        <v/>
      </c>
      <c r="D311" s="16" t="str">
        <f>IF($B311="","",C311&amp;" "&amp;B311&amp;" - "&amp;E311)</f>
        <v/>
      </c>
      <c r="E311" s="17" t="str">
        <f>IF($B311="","",Paramètres!$A$18)</f>
        <v/>
      </c>
      <c r="F311" s="17" t="str">
        <f>IF($B311="","",Paramètres!$B$18)</f>
        <v/>
      </c>
      <c r="G311" s="17" t="str">
        <f>IF('Classe CP'!$B71="","",IF('Classe CP'!D71="","",'Classe CP'!D71))</f>
        <v/>
      </c>
      <c r="H311" s="78" t="str">
        <f>IF('Classe CP'!$B71="","",IF('Classe CP'!E71="","",'Classe CP'!E71))</f>
        <v/>
      </c>
      <c r="I311" s="16" t="str">
        <f>IF('Classe CP'!$B71="","",IF('Classe CP'!F71="","",'Classe CP'!F71))</f>
        <v/>
      </c>
      <c r="J311" s="16" t="str">
        <f>IF('Classe CP'!$B71="","",IF('Classe CP'!G71="","",'Classe CP'!G71))</f>
        <v/>
      </c>
      <c r="K311" s="18" t="str">
        <f>IF('Classe CP'!$B71="","",N('Classe CP'!H71))</f>
        <v/>
      </c>
      <c r="L311" s="18" t="str">
        <f>IF('Classe CP'!$B71="","",N('Classe CP'!I71))</f>
        <v/>
      </c>
      <c r="M311" s="18" t="str">
        <f>IF('Classe CP'!$B71="","",N('Classe CP'!J71))</f>
        <v/>
      </c>
      <c r="N311" s="18" t="str">
        <f>IF('Classe CP'!$B71="","",N('Classe CP'!K71))</f>
        <v/>
      </c>
      <c r="O311" s="18" t="str">
        <f>IF('Classe CP'!$B71="","",N('Classe CP'!L71))</f>
        <v/>
      </c>
      <c r="P311" s="18" t="str">
        <f>IF('Classe CP'!$B71="","",N('Classe CP'!M71))</f>
        <v/>
      </c>
      <c r="Q311" s="17" t="str">
        <f>IF('Classe CP'!$B71="","",IF('Classe CP'!Q71="","",'Classe CP'!Q71))</f>
        <v/>
      </c>
      <c r="R311" s="18" t="str">
        <f>IF('Classe CP'!$B71="","",N('Classe CP'!N71))</f>
        <v/>
      </c>
      <c r="S311" s="18" t="str">
        <f>IF('Classe CP'!$B71="","",N('Classe CP'!O71))</f>
        <v/>
      </c>
      <c r="T311" s="18" t="str">
        <f>IF('Classe CP'!$B71="","",N('Classe CP'!P71))</f>
        <v/>
      </c>
    </row>
    <row r="312">
      <c r="A312" s="20" t="str">
        <f>IF('Classe CP'!$B72="","",IF('Classe CP'!A72="","",'Classe CP'!A72))</f>
        <v/>
      </c>
      <c r="B312" s="20" t="str">
        <f>IF('Classe CP'!$B72="","",IF('Classe CP'!B72="","",'Classe CP'!B72))</f>
        <v/>
      </c>
      <c r="C312" s="20" t="str">
        <f>IF('Classe CP'!$B72="","",IF('Classe CP'!C72="","",'Classe CP'!C72))</f>
        <v/>
      </c>
      <c r="D312" s="20" t="str">
        <f>IF($B312="","",C312&amp;" "&amp;B312&amp;" - "&amp;E312)</f>
        <v/>
      </c>
      <c r="E312" s="21" t="str">
        <f>IF($B312="","",Paramètres!$A$18)</f>
        <v/>
      </c>
      <c r="F312" s="21" t="str">
        <f>IF($B312="","",Paramètres!$B$18)</f>
        <v/>
      </c>
      <c r="G312" s="21" t="str">
        <f>IF('Classe CP'!$B72="","",IF('Classe CP'!D72="","",'Classe CP'!D72))</f>
        <v/>
      </c>
      <c r="H312" s="77" t="str">
        <f>IF('Classe CP'!$B72="","",IF('Classe CP'!E72="","",'Classe CP'!E72))</f>
        <v/>
      </c>
      <c r="I312" s="20" t="str">
        <f>IF('Classe CP'!$B72="","",IF('Classe CP'!F72="","",'Classe CP'!F72))</f>
        <v/>
      </c>
      <c r="J312" s="20" t="str">
        <f>IF('Classe CP'!$B72="","",IF('Classe CP'!G72="","",'Classe CP'!G72))</f>
        <v/>
      </c>
      <c r="K312" s="51" t="str">
        <f>IF('Classe CP'!$B72="","",N('Classe CP'!H72))</f>
        <v/>
      </c>
      <c r="L312" s="51" t="str">
        <f>IF('Classe CP'!$B72="","",N('Classe CP'!I72))</f>
        <v/>
      </c>
      <c r="M312" s="51" t="str">
        <f>IF('Classe CP'!$B72="","",N('Classe CP'!J72))</f>
        <v/>
      </c>
      <c r="N312" s="51" t="str">
        <f>IF('Classe CP'!$B72="","",N('Classe CP'!K72))</f>
        <v/>
      </c>
      <c r="O312" s="51" t="str">
        <f>IF('Classe CP'!$B72="","",N('Classe CP'!L72))</f>
        <v/>
      </c>
      <c r="P312" s="51" t="str">
        <f>IF('Classe CP'!$B72="","",N('Classe CP'!M72))</f>
        <v/>
      </c>
      <c r="Q312" s="21" t="str">
        <f>IF('Classe CP'!$B72="","",IF('Classe CP'!Q72="","",'Classe CP'!Q72))</f>
        <v/>
      </c>
      <c r="R312" s="51" t="str">
        <f>IF('Classe CP'!$B72="","",N('Classe CP'!N72))</f>
        <v/>
      </c>
      <c r="S312" s="51" t="str">
        <f>IF('Classe CP'!$B72="","",N('Classe CP'!O72))</f>
        <v/>
      </c>
      <c r="T312" s="51" t="str">
        <f>IF('Classe CP'!$B72="","",N('Classe CP'!P72))</f>
        <v/>
      </c>
    </row>
    <row r="313">
      <c r="A313" s="16" t="str">
        <f>IF('Classe CP'!$B73="","",IF('Classe CP'!A73="","",'Classe CP'!A73))</f>
        <v/>
      </c>
      <c r="B313" s="16" t="str">
        <f>IF('Classe CP'!$B73="","",IF('Classe CP'!B73="","",'Classe CP'!B73))</f>
        <v/>
      </c>
      <c r="C313" s="16" t="str">
        <f>IF('Classe CP'!$B73="","",IF('Classe CP'!C73="","",'Classe CP'!C73))</f>
        <v/>
      </c>
      <c r="D313" s="16" t="str">
        <f>IF($B313="","",C313&amp;" "&amp;B313&amp;" - "&amp;E313)</f>
        <v/>
      </c>
      <c r="E313" s="17" t="str">
        <f>IF($B313="","",Paramètres!$A$18)</f>
        <v/>
      </c>
      <c r="F313" s="17" t="str">
        <f>IF($B313="","",Paramètres!$B$18)</f>
        <v/>
      </c>
      <c r="G313" s="17" t="str">
        <f>IF('Classe CP'!$B73="","",IF('Classe CP'!D73="","",'Classe CP'!D73))</f>
        <v/>
      </c>
      <c r="H313" s="78" t="str">
        <f>IF('Classe CP'!$B73="","",IF('Classe CP'!E73="","",'Classe CP'!E73))</f>
        <v/>
      </c>
      <c r="I313" s="16" t="str">
        <f>IF('Classe CP'!$B73="","",IF('Classe CP'!F73="","",'Classe CP'!F73))</f>
        <v/>
      </c>
      <c r="J313" s="16" t="str">
        <f>IF('Classe CP'!$B73="","",IF('Classe CP'!G73="","",'Classe CP'!G73))</f>
        <v/>
      </c>
      <c r="K313" s="18" t="str">
        <f>IF('Classe CP'!$B73="","",N('Classe CP'!H73))</f>
        <v/>
      </c>
      <c r="L313" s="18" t="str">
        <f>IF('Classe CP'!$B73="","",N('Classe CP'!I73))</f>
        <v/>
      </c>
      <c r="M313" s="18" t="str">
        <f>IF('Classe CP'!$B73="","",N('Classe CP'!J73))</f>
        <v/>
      </c>
      <c r="N313" s="18" t="str">
        <f>IF('Classe CP'!$B73="","",N('Classe CP'!K73))</f>
        <v/>
      </c>
      <c r="O313" s="18" t="str">
        <f>IF('Classe CP'!$B73="","",N('Classe CP'!L73))</f>
        <v/>
      </c>
      <c r="P313" s="18" t="str">
        <f>IF('Classe CP'!$B73="","",N('Classe CP'!M73))</f>
        <v/>
      </c>
      <c r="Q313" s="17" t="str">
        <f>IF('Classe CP'!$B73="","",IF('Classe CP'!Q73="","",'Classe CP'!Q73))</f>
        <v/>
      </c>
      <c r="R313" s="18" t="str">
        <f>IF('Classe CP'!$B73="","",N('Classe CP'!N73))</f>
        <v/>
      </c>
      <c r="S313" s="18" t="str">
        <f>IF('Classe CP'!$B73="","",N('Classe CP'!O73))</f>
        <v/>
      </c>
      <c r="T313" s="18" t="str">
        <f>IF('Classe CP'!$B73="","",N('Classe CP'!P73))</f>
        <v/>
      </c>
    </row>
    <row r="314">
      <c r="A314" s="20" t="str">
        <f>IF('Classe CP'!$B74="","",IF('Classe CP'!A74="","",'Classe CP'!A74))</f>
        <v/>
      </c>
      <c r="B314" s="20" t="str">
        <f>IF('Classe CP'!$B74="","",IF('Classe CP'!B74="","",'Classe CP'!B74))</f>
        <v/>
      </c>
      <c r="C314" s="20" t="str">
        <f>IF('Classe CP'!$B74="","",IF('Classe CP'!C74="","",'Classe CP'!C74))</f>
        <v/>
      </c>
      <c r="D314" s="20" t="str">
        <f>IF($B314="","",C314&amp;" "&amp;B314&amp;" - "&amp;E314)</f>
        <v/>
      </c>
      <c r="E314" s="21" t="str">
        <f>IF($B314="","",Paramètres!$A$18)</f>
        <v/>
      </c>
      <c r="F314" s="21" t="str">
        <f>IF($B314="","",Paramètres!$B$18)</f>
        <v/>
      </c>
      <c r="G314" s="21" t="str">
        <f>IF('Classe CP'!$B74="","",IF('Classe CP'!D74="","",'Classe CP'!D74))</f>
        <v/>
      </c>
      <c r="H314" s="77" t="str">
        <f>IF('Classe CP'!$B74="","",IF('Classe CP'!E74="","",'Classe CP'!E74))</f>
        <v/>
      </c>
      <c r="I314" s="20" t="str">
        <f>IF('Classe CP'!$B74="","",IF('Classe CP'!F74="","",'Classe CP'!F74))</f>
        <v/>
      </c>
      <c r="J314" s="20" t="str">
        <f>IF('Classe CP'!$B74="","",IF('Classe CP'!G74="","",'Classe CP'!G74))</f>
        <v/>
      </c>
      <c r="K314" s="51" t="str">
        <f>IF('Classe CP'!$B74="","",N('Classe CP'!H74))</f>
        <v/>
      </c>
      <c r="L314" s="51" t="str">
        <f>IF('Classe CP'!$B74="","",N('Classe CP'!I74))</f>
        <v/>
      </c>
      <c r="M314" s="51" t="str">
        <f>IF('Classe CP'!$B74="","",N('Classe CP'!J74))</f>
        <v/>
      </c>
      <c r="N314" s="51" t="str">
        <f>IF('Classe CP'!$B74="","",N('Classe CP'!K74))</f>
        <v/>
      </c>
      <c r="O314" s="51" t="str">
        <f>IF('Classe CP'!$B74="","",N('Classe CP'!L74))</f>
        <v/>
      </c>
      <c r="P314" s="51" t="str">
        <f>IF('Classe CP'!$B74="","",N('Classe CP'!M74))</f>
        <v/>
      </c>
      <c r="Q314" s="21" t="str">
        <f>IF('Classe CP'!$B74="","",IF('Classe CP'!Q74="","",'Classe CP'!Q74))</f>
        <v/>
      </c>
      <c r="R314" s="51" t="str">
        <f>IF('Classe CP'!$B74="","",N('Classe CP'!N74))</f>
        <v/>
      </c>
      <c r="S314" s="51" t="str">
        <f>IF('Classe CP'!$B74="","",N('Classe CP'!O74))</f>
        <v/>
      </c>
      <c r="T314" s="51" t="str">
        <f>IF('Classe CP'!$B74="","",N('Classe CP'!P74))</f>
        <v/>
      </c>
    </row>
    <row r="315">
      <c r="A315" s="16" t="str">
        <f>IF('Classe CP'!$B75="","",IF('Classe CP'!A75="","",'Classe CP'!A75))</f>
        <v/>
      </c>
      <c r="B315" s="16" t="str">
        <f>IF('Classe CP'!$B75="","",IF('Classe CP'!B75="","",'Classe CP'!B75))</f>
        <v/>
      </c>
      <c r="C315" s="16" t="str">
        <f>IF('Classe CP'!$B75="","",IF('Classe CP'!C75="","",'Classe CP'!C75))</f>
        <v/>
      </c>
      <c r="D315" s="16" t="str">
        <f>IF($B315="","",C315&amp;" "&amp;B315&amp;" - "&amp;E315)</f>
        <v/>
      </c>
      <c r="E315" s="17" t="str">
        <f>IF($B315="","",Paramètres!$A$18)</f>
        <v/>
      </c>
      <c r="F315" s="17" t="str">
        <f>IF($B315="","",Paramètres!$B$18)</f>
        <v/>
      </c>
      <c r="G315" s="17" t="str">
        <f>IF('Classe CP'!$B75="","",IF('Classe CP'!D75="","",'Classe CP'!D75))</f>
        <v/>
      </c>
      <c r="H315" s="78" t="str">
        <f>IF('Classe CP'!$B75="","",IF('Classe CP'!E75="","",'Classe CP'!E75))</f>
        <v/>
      </c>
      <c r="I315" s="16" t="str">
        <f>IF('Classe CP'!$B75="","",IF('Classe CP'!F75="","",'Classe CP'!F75))</f>
        <v/>
      </c>
      <c r="J315" s="16" t="str">
        <f>IF('Classe CP'!$B75="","",IF('Classe CP'!G75="","",'Classe CP'!G75))</f>
        <v/>
      </c>
      <c r="K315" s="18" t="str">
        <f>IF('Classe CP'!$B75="","",N('Classe CP'!H75))</f>
        <v/>
      </c>
      <c r="L315" s="18" t="str">
        <f>IF('Classe CP'!$B75="","",N('Classe CP'!I75))</f>
        <v/>
      </c>
      <c r="M315" s="18" t="str">
        <f>IF('Classe CP'!$B75="","",N('Classe CP'!J75))</f>
        <v/>
      </c>
      <c r="N315" s="18" t="str">
        <f>IF('Classe CP'!$B75="","",N('Classe CP'!K75))</f>
        <v/>
      </c>
      <c r="O315" s="18" t="str">
        <f>IF('Classe CP'!$B75="","",N('Classe CP'!L75))</f>
        <v/>
      </c>
      <c r="P315" s="18" t="str">
        <f>IF('Classe CP'!$B75="","",N('Classe CP'!M75))</f>
        <v/>
      </c>
      <c r="Q315" s="17" t="str">
        <f>IF('Classe CP'!$B75="","",IF('Classe CP'!Q75="","",'Classe CP'!Q75))</f>
        <v/>
      </c>
      <c r="R315" s="18" t="str">
        <f>IF('Classe CP'!$B75="","",N('Classe CP'!N75))</f>
        <v/>
      </c>
      <c r="S315" s="18" t="str">
        <f>IF('Classe CP'!$B75="","",N('Classe CP'!O75))</f>
        <v/>
      </c>
      <c r="T315" s="18" t="str">
        <f>IF('Classe CP'!$B75="","",N('Classe CP'!P75))</f>
        <v/>
      </c>
    </row>
    <row r="316">
      <c r="A316" s="20" t="str">
        <f>IF('Classe CP'!$B76="","",IF('Classe CP'!A76="","",'Classe CP'!A76))</f>
        <v/>
      </c>
      <c r="B316" s="20" t="str">
        <f>IF('Classe CP'!$B76="","",IF('Classe CP'!B76="","",'Classe CP'!B76))</f>
        <v/>
      </c>
      <c r="C316" s="20" t="str">
        <f>IF('Classe CP'!$B76="","",IF('Classe CP'!C76="","",'Classe CP'!C76))</f>
        <v/>
      </c>
      <c r="D316" s="20" t="str">
        <f>IF($B316="","",C316&amp;" "&amp;B316&amp;" - "&amp;E316)</f>
        <v/>
      </c>
      <c r="E316" s="21" t="str">
        <f>IF($B316="","",Paramètres!$A$18)</f>
        <v/>
      </c>
      <c r="F316" s="21" t="str">
        <f>IF($B316="","",Paramètres!$B$18)</f>
        <v/>
      </c>
      <c r="G316" s="21" t="str">
        <f>IF('Classe CP'!$B76="","",IF('Classe CP'!D76="","",'Classe CP'!D76))</f>
        <v/>
      </c>
      <c r="H316" s="77" t="str">
        <f>IF('Classe CP'!$B76="","",IF('Classe CP'!E76="","",'Classe CP'!E76))</f>
        <v/>
      </c>
      <c r="I316" s="20" t="str">
        <f>IF('Classe CP'!$B76="","",IF('Classe CP'!F76="","",'Classe CP'!F76))</f>
        <v/>
      </c>
      <c r="J316" s="20" t="str">
        <f>IF('Classe CP'!$B76="","",IF('Classe CP'!G76="","",'Classe CP'!G76))</f>
        <v/>
      </c>
      <c r="K316" s="51" t="str">
        <f>IF('Classe CP'!$B76="","",N('Classe CP'!H76))</f>
        <v/>
      </c>
      <c r="L316" s="51" t="str">
        <f>IF('Classe CP'!$B76="","",N('Classe CP'!I76))</f>
        <v/>
      </c>
      <c r="M316" s="51" t="str">
        <f>IF('Classe CP'!$B76="","",N('Classe CP'!J76))</f>
        <v/>
      </c>
      <c r="N316" s="51" t="str">
        <f>IF('Classe CP'!$B76="","",N('Classe CP'!K76))</f>
        <v/>
      </c>
      <c r="O316" s="51" t="str">
        <f>IF('Classe CP'!$B76="","",N('Classe CP'!L76))</f>
        <v/>
      </c>
      <c r="P316" s="51" t="str">
        <f>IF('Classe CP'!$B76="","",N('Classe CP'!M76))</f>
        <v/>
      </c>
      <c r="Q316" s="21" t="str">
        <f>IF('Classe CP'!$B76="","",IF('Classe CP'!Q76="","",'Classe CP'!Q76))</f>
        <v/>
      </c>
      <c r="R316" s="51" t="str">
        <f>IF('Classe CP'!$B76="","",N('Classe CP'!N76))</f>
        <v/>
      </c>
      <c r="S316" s="51" t="str">
        <f>IF('Classe CP'!$B76="","",N('Classe CP'!O76))</f>
        <v/>
      </c>
      <c r="T316" s="51" t="str">
        <f>IF('Classe CP'!$B76="","",N('Classe CP'!P76))</f>
        <v/>
      </c>
    </row>
    <row r="317">
      <c r="A317" s="16" t="str">
        <f>IF('Classe CP'!$B77="","",IF('Classe CP'!A77="","",'Classe CP'!A77))</f>
        <v/>
      </c>
      <c r="B317" s="16" t="str">
        <f>IF('Classe CP'!$B77="","",IF('Classe CP'!B77="","",'Classe CP'!B77))</f>
        <v/>
      </c>
      <c r="C317" s="16" t="str">
        <f>IF('Classe CP'!$B77="","",IF('Classe CP'!C77="","",'Classe CP'!C77))</f>
        <v/>
      </c>
      <c r="D317" s="16" t="str">
        <f>IF($B317="","",C317&amp;" "&amp;B317&amp;" - "&amp;E317)</f>
        <v/>
      </c>
      <c r="E317" s="17" t="str">
        <f>IF($B317="","",Paramètres!$A$18)</f>
        <v/>
      </c>
      <c r="F317" s="17" t="str">
        <f>IF($B317="","",Paramètres!$B$18)</f>
        <v/>
      </c>
      <c r="G317" s="17" t="str">
        <f>IF('Classe CP'!$B77="","",IF('Classe CP'!D77="","",'Classe CP'!D77))</f>
        <v/>
      </c>
      <c r="H317" s="78" t="str">
        <f>IF('Classe CP'!$B77="","",IF('Classe CP'!E77="","",'Classe CP'!E77))</f>
        <v/>
      </c>
      <c r="I317" s="16" t="str">
        <f>IF('Classe CP'!$B77="","",IF('Classe CP'!F77="","",'Classe CP'!F77))</f>
        <v/>
      </c>
      <c r="J317" s="16" t="str">
        <f>IF('Classe CP'!$B77="","",IF('Classe CP'!G77="","",'Classe CP'!G77))</f>
        <v/>
      </c>
      <c r="K317" s="18" t="str">
        <f>IF('Classe CP'!$B77="","",N('Classe CP'!H77))</f>
        <v/>
      </c>
      <c r="L317" s="18" t="str">
        <f>IF('Classe CP'!$B77="","",N('Classe CP'!I77))</f>
        <v/>
      </c>
      <c r="M317" s="18" t="str">
        <f>IF('Classe CP'!$B77="","",N('Classe CP'!J77))</f>
        <v/>
      </c>
      <c r="N317" s="18" t="str">
        <f>IF('Classe CP'!$B77="","",N('Classe CP'!K77))</f>
        <v/>
      </c>
      <c r="O317" s="18" t="str">
        <f>IF('Classe CP'!$B77="","",N('Classe CP'!L77))</f>
        <v/>
      </c>
      <c r="P317" s="18" t="str">
        <f>IF('Classe CP'!$B77="","",N('Classe CP'!M77))</f>
        <v/>
      </c>
      <c r="Q317" s="17" t="str">
        <f>IF('Classe CP'!$B77="","",IF('Classe CP'!Q77="","",'Classe CP'!Q77))</f>
        <v/>
      </c>
      <c r="R317" s="18" t="str">
        <f>IF('Classe CP'!$B77="","",N('Classe CP'!N77))</f>
        <v/>
      </c>
      <c r="S317" s="18" t="str">
        <f>IF('Classe CP'!$B77="","",N('Classe CP'!O77))</f>
        <v/>
      </c>
      <c r="T317" s="18" t="str">
        <f>IF('Classe CP'!$B77="","",N('Classe CP'!P77))</f>
        <v/>
      </c>
    </row>
    <row r="318">
      <c r="A318" s="20" t="str">
        <f>IF('Classe CP'!$B78="","",IF('Classe CP'!A78="","",'Classe CP'!A78))</f>
        <v/>
      </c>
      <c r="B318" s="20" t="str">
        <f>IF('Classe CP'!$B78="","",IF('Classe CP'!B78="","",'Classe CP'!B78))</f>
        <v/>
      </c>
      <c r="C318" s="20" t="str">
        <f>IF('Classe CP'!$B78="","",IF('Classe CP'!C78="","",'Classe CP'!C78))</f>
        <v/>
      </c>
      <c r="D318" s="20" t="str">
        <f>IF($B318="","",C318&amp;" "&amp;B318&amp;" - "&amp;E318)</f>
        <v/>
      </c>
      <c r="E318" s="21" t="str">
        <f>IF($B318="","",Paramètres!$A$18)</f>
        <v/>
      </c>
      <c r="F318" s="21" t="str">
        <f>IF($B318="","",Paramètres!$B$18)</f>
        <v/>
      </c>
      <c r="G318" s="21" t="str">
        <f>IF('Classe CP'!$B78="","",IF('Classe CP'!D78="","",'Classe CP'!D78))</f>
        <v/>
      </c>
      <c r="H318" s="77" t="str">
        <f>IF('Classe CP'!$B78="","",IF('Classe CP'!E78="","",'Classe CP'!E78))</f>
        <v/>
      </c>
      <c r="I318" s="20" t="str">
        <f>IF('Classe CP'!$B78="","",IF('Classe CP'!F78="","",'Classe CP'!F78))</f>
        <v/>
      </c>
      <c r="J318" s="20" t="str">
        <f>IF('Classe CP'!$B78="","",IF('Classe CP'!G78="","",'Classe CP'!G78))</f>
        <v/>
      </c>
      <c r="K318" s="51" t="str">
        <f>IF('Classe CP'!$B78="","",N('Classe CP'!H78))</f>
        <v/>
      </c>
      <c r="L318" s="51" t="str">
        <f>IF('Classe CP'!$B78="","",N('Classe CP'!I78))</f>
        <v/>
      </c>
      <c r="M318" s="51" t="str">
        <f>IF('Classe CP'!$B78="","",N('Classe CP'!J78))</f>
        <v/>
      </c>
      <c r="N318" s="51" t="str">
        <f>IF('Classe CP'!$B78="","",N('Classe CP'!K78))</f>
        <v/>
      </c>
      <c r="O318" s="51" t="str">
        <f>IF('Classe CP'!$B78="","",N('Classe CP'!L78))</f>
        <v/>
      </c>
      <c r="P318" s="51" t="str">
        <f>IF('Classe CP'!$B78="","",N('Classe CP'!M78))</f>
        <v/>
      </c>
      <c r="Q318" s="21" t="str">
        <f>IF('Classe CP'!$B78="","",IF('Classe CP'!Q78="","",'Classe CP'!Q78))</f>
        <v/>
      </c>
      <c r="R318" s="51" t="str">
        <f>IF('Classe CP'!$B78="","",N('Classe CP'!N78))</f>
        <v/>
      </c>
      <c r="S318" s="51" t="str">
        <f>IF('Classe CP'!$B78="","",N('Classe CP'!O78))</f>
        <v/>
      </c>
      <c r="T318" s="51" t="str">
        <f>IF('Classe CP'!$B78="","",N('Classe CP'!P78))</f>
        <v/>
      </c>
    </row>
    <row r="319">
      <c r="A319" s="16" t="str">
        <f>IF('Classe CP'!$B79="","",IF('Classe CP'!A79="","",'Classe CP'!A79))</f>
        <v/>
      </c>
      <c r="B319" s="16" t="str">
        <f>IF('Classe CP'!$B79="","",IF('Classe CP'!B79="","",'Classe CP'!B79))</f>
        <v/>
      </c>
      <c r="C319" s="16" t="str">
        <f>IF('Classe CP'!$B79="","",IF('Classe CP'!C79="","",'Classe CP'!C79))</f>
        <v/>
      </c>
      <c r="D319" s="16" t="str">
        <f>IF($B319="","",C319&amp;" "&amp;B319&amp;" - "&amp;E319)</f>
        <v/>
      </c>
      <c r="E319" s="17" t="str">
        <f>IF($B319="","",Paramètres!$A$18)</f>
        <v/>
      </c>
      <c r="F319" s="17" t="str">
        <f>IF($B319="","",Paramètres!$B$18)</f>
        <v/>
      </c>
      <c r="G319" s="17" t="str">
        <f>IF('Classe CP'!$B79="","",IF('Classe CP'!D79="","",'Classe CP'!D79))</f>
        <v/>
      </c>
      <c r="H319" s="78" t="str">
        <f>IF('Classe CP'!$B79="","",IF('Classe CP'!E79="","",'Classe CP'!E79))</f>
        <v/>
      </c>
      <c r="I319" s="16" t="str">
        <f>IF('Classe CP'!$B79="","",IF('Classe CP'!F79="","",'Classe CP'!F79))</f>
        <v/>
      </c>
      <c r="J319" s="16" t="str">
        <f>IF('Classe CP'!$B79="","",IF('Classe CP'!G79="","",'Classe CP'!G79))</f>
        <v/>
      </c>
      <c r="K319" s="18" t="str">
        <f>IF('Classe CP'!$B79="","",N('Classe CP'!H79))</f>
        <v/>
      </c>
      <c r="L319" s="18" t="str">
        <f>IF('Classe CP'!$B79="","",N('Classe CP'!I79))</f>
        <v/>
      </c>
      <c r="M319" s="18" t="str">
        <f>IF('Classe CP'!$B79="","",N('Classe CP'!J79))</f>
        <v/>
      </c>
      <c r="N319" s="18" t="str">
        <f>IF('Classe CP'!$B79="","",N('Classe CP'!K79))</f>
        <v/>
      </c>
      <c r="O319" s="18" t="str">
        <f>IF('Classe CP'!$B79="","",N('Classe CP'!L79))</f>
        <v/>
      </c>
      <c r="P319" s="18" t="str">
        <f>IF('Classe CP'!$B79="","",N('Classe CP'!M79))</f>
        <v/>
      </c>
      <c r="Q319" s="17" t="str">
        <f>IF('Classe CP'!$B79="","",IF('Classe CP'!Q79="","",'Classe CP'!Q79))</f>
        <v/>
      </c>
      <c r="R319" s="18" t="str">
        <f>IF('Classe CP'!$B79="","",N('Classe CP'!N79))</f>
        <v/>
      </c>
      <c r="S319" s="18" t="str">
        <f>IF('Classe CP'!$B79="","",N('Classe CP'!O79))</f>
        <v/>
      </c>
      <c r="T319" s="18" t="str">
        <f>IF('Classe CP'!$B79="","",N('Classe CP'!P79))</f>
        <v/>
      </c>
    </row>
    <row r="320">
      <c r="A320" s="20" t="str">
        <f>IF('Classe CP'!$B80="","",IF('Classe CP'!A80="","",'Classe CP'!A80))</f>
        <v/>
      </c>
      <c r="B320" s="20" t="str">
        <f>IF('Classe CP'!$B80="","",IF('Classe CP'!B80="","",'Classe CP'!B80))</f>
        <v/>
      </c>
      <c r="C320" s="20" t="str">
        <f>IF('Classe CP'!$B80="","",IF('Classe CP'!C80="","",'Classe CP'!C80))</f>
        <v/>
      </c>
      <c r="D320" s="20" t="str">
        <f>IF($B320="","",C320&amp;" "&amp;B320&amp;" - "&amp;E320)</f>
        <v/>
      </c>
      <c r="E320" s="21" t="str">
        <f>IF($B320="","",Paramètres!$A$18)</f>
        <v/>
      </c>
      <c r="F320" s="21" t="str">
        <f>IF($B320="","",Paramètres!$B$18)</f>
        <v/>
      </c>
      <c r="G320" s="21" t="str">
        <f>IF('Classe CP'!$B80="","",IF('Classe CP'!D80="","",'Classe CP'!D80))</f>
        <v/>
      </c>
      <c r="H320" s="77" t="str">
        <f>IF('Classe CP'!$B80="","",IF('Classe CP'!E80="","",'Classe CP'!E80))</f>
        <v/>
      </c>
      <c r="I320" s="20" t="str">
        <f>IF('Classe CP'!$B80="","",IF('Classe CP'!F80="","",'Classe CP'!F80))</f>
        <v/>
      </c>
      <c r="J320" s="20" t="str">
        <f>IF('Classe CP'!$B80="","",IF('Classe CP'!G80="","",'Classe CP'!G80))</f>
        <v/>
      </c>
      <c r="K320" s="51" t="str">
        <f>IF('Classe CP'!$B80="","",N('Classe CP'!H80))</f>
        <v/>
      </c>
      <c r="L320" s="51" t="str">
        <f>IF('Classe CP'!$B80="","",N('Classe CP'!I80))</f>
        <v/>
      </c>
      <c r="M320" s="51" t="str">
        <f>IF('Classe CP'!$B80="","",N('Classe CP'!J80))</f>
        <v/>
      </c>
      <c r="N320" s="51" t="str">
        <f>IF('Classe CP'!$B80="","",N('Classe CP'!K80))</f>
        <v/>
      </c>
      <c r="O320" s="51" t="str">
        <f>IF('Classe CP'!$B80="","",N('Classe CP'!L80))</f>
        <v/>
      </c>
      <c r="P320" s="51" t="str">
        <f>IF('Classe CP'!$B80="","",N('Classe CP'!M80))</f>
        <v/>
      </c>
      <c r="Q320" s="21" t="str">
        <f>IF('Classe CP'!$B80="","",IF('Classe CP'!Q80="","",'Classe CP'!Q80))</f>
        <v/>
      </c>
      <c r="R320" s="51" t="str">
        <f>IF('Classe CP'!$B80="","",N('Classe CP'!N80))</f>
        <v/>
      </c>
      <c r="S320" s="51" t="str">
        <f>IF('Classe CP'!$B80="","",N('Classe CP'!O80))</f>
        <v/>
      </c>
      <c r="T320" s="51" t="str">
        <f>IF('Classe CP'!$B80="","",N('Classe CP'!P80))</f>
        <v/>
      </c>
    </row>
    <row r="321">
      <c r="A321" s="16" t="str">
        <f>IF('Classe CP'!$B81="","",IF('Classe CP'!A81="","",'Classe CP'!A81))</f>
        <v/>
      </c>
      <c r="B321" s="16" t="str">
        <f>IF('Classe CP'!$B81="","",IF('Classe CP'!B81="","",'Classe CP'!B81))</f>
        <v/>
      </c>
      <c r="C321" s="16" t="str">
        <f>IF('Classe CP'!$B81="","",IF('Classe CP'!C81="","",'Classe CP'!C81))</f>
        <v/>
      </c>
      <c r="D321" s="16" t="str">
        <f>IF($B321="","",C321&amp;" "&amp;B321&amp;" - "&amp;E321)</f>
        <v/>
      </c>
      <c r="E321" s="17" t="str">
        <f>IF($B321="","",Paramètres!$A$18)</f>
        <v/>
      </c>
      <c r="F321" s="17" t="str">
        <f>IF($B321="","",Paramètres!$B$18)</f>
        <v/>
      </c>
      <c r="G321" s="17" t="str">
        <f>IF('Classe CP'!$B81="","",IF('Classe CP'!D81="","",'Classe CP'!D81))</f>
        <v/>
      </c>
      <c r="H321" s="78" t="str">
        <f>IF('Classe CP'!$B81="","",IF('Classe CP'!E81="","",'Classe CP'!E81))</f>
        <v/>
      </c>
      <c r="I321" s="16" t="str">
        <f>IF('Classe CP'!$B81="","",IF('Classe CP'!F81="","",'Classe CP'!F81))</f>
        <v/>
      </c>
      <c r="J321" s="16" t="str">
        <f>IF('Classe CP'!$B81="","",IF('Classe CP'!G81="","",'Classe CP'!G81))</f>
        <v/>
      </c>
      <c r="K321" s="18" t="str">
        <f>IF('Classe CP'!$B81="","",N('Classe CP'!H81))</f>
        <v/>
      </c>
      <c r="L321" s="18" t="str">
        <f>IF('Classe CP'!$B81="","",N('Classe CP'!I81))</f>
        <v/>
      </c>
      <c r="M321" s="18" t="str">
        <f>IF('Classe CP'!$B81="","",N('Classe CP'!J81))</f>
        <v/>
      </c>
      <c r="N321" s="18" t="str">
        <f>IF('Classe CP'!$B81="","",N('Classe CP'!K81))</f>
        <v/>
      </c>
      <c r="O321" s="18" t="str">
        <f>IF('Classe CP'!$B81="","",N('Classe CP'!L81))</f>
        <v/>
      </c>
      <c r="P321" s="18" t="str">
        <f>IF('Classe CP'!$B81="","",N('Classe CP'!M81))</f>
        <v/>
      </c>
      <c r="Q321" s="17" t="str">
        <f>IF('Classe CP'!$B81="","",IF('Classe CP'!Q81="","",'Classe CP'!Q81))</f>
        <v/>
      </c>
      <c r="R321" s="18" t="str">
        <f>IF('Classe CP'!$B81="","",N('Classe CP'!N81))</f>
        <v/>
      </c>
      <c r="S321" s="18" t="str">
        <f>IF('Classe CP'!$B81="","",N('Classe CP'!O81))</f>
        <v/>
      </c>
      <c r="T321" s="18" t="str">
        <f>IF('Classe CP'!$B81="","",N('Classe CP'!P81))</f>
        <v/>
      </c>
    </row>
    <row r="322">
      <c r="A322" s="20" t="str">
        <f>IF('Classe CP'!$B82="","",IF('Classe CP'!A82="","",'Classe CP'!A82))</f>
        <v/>
      </c>
      <c r="B322" s="20" t="str">
        <f>IF('Classe CP'!$B82="","",IF('Classe CP'!B82="","",'Classe CP'!B82))</f>
        <v/>
      </c>
      <c r="C322" s="20" t="str">
        <f>IF('Classe CP'!$B82="","",IF('Classe CP'!C82="","",'Classe CP'!C82))</f>
        <v/>
      </c>
      <c r="D322" s="20" t="str">
        <f>IF($B322="","",C322&amp;" "&amp;B322&amp;" - "&amp;E322)</f>
        <v/>
      </c>
      <c r="E322" s="21" t="str">
        <f>IF($B322="","",Paramètres!$A$18)</f>
        <v/>
      </c>
      <c r="F322" s="21" t="str">
        <f>IF($B322="","",Paramètres!$B$18)</f>
        <v/>
      </c>
      <c r="G322" s="21" t="str">
        <f>IF('Classe CP'!$B82="","",IF('Classe CP'!D82="","",'Classe CP'!D82))</f>
        <v/>
      </c>
      <c r="H322" s="77" t="str">
        <f>IF('Classe CP'!$B82="","",IF('Classe CP'!E82="","",'Classe CP'!E82))</f>
        <v/>
      </c>
      <c r="I322" s="20" t="str">
        <f>IF('Classe CP'!$B82="","",IF('Classe CP'!F82="","",'Classe CP'!F82))</f>
        <v/>
      </c>
      <c r="J322" s="20" t="str">
        <f>IF('Classe CP'!$B82="","",IF('Classe CP'!G82="","",'Classe CP'!G82))</f>
        <v/>
      </c>
      <c r="K322" s="51" t="str">
        <f>IF('Classe CP'!$B82="","",N('Classe CP'!H82))</f>
        <v/>
      </c>
      <c r="L322" s="51" t="str">
        <f>IF('Classe CP'!$B82="","",N('Classe CP'!I82))</f>
        <v/>
      </c>
      <c r="M322" s="51" t="str">
        <f>IF('Classe CP'!$B82="","",N('Classe CP'!J82))</f>
        <v/>
      </c>
      <c r="N322" s="51" t="str">
        <f>IF('Classe CP'!$B82="","",N('Classe CP'!K82))</f>
        <v/>
      </c>
      <c r="O322" s="51" t="str">
        <f>IF('Classe CP'!$B82="","",N('Classe CP'!L82))</f>
        <v/>
      </c>
      <c r="P322" s="51" t="str">
        <f>IF('Classe CP'!$B82="","",N('Classe CP'!M82))</f>
        <v/>
      </c>
      <c r="Q322" s="21" t="str">
        <f>IF('Classe CP'!$B82="","",IF('Classe CP'!Q82="","",'Classe CP'!Q82))</f>
        <v/>
      </c>
      <c r="R322" s="51" t="str">
        <f>IF('Classe CP'!$B82="","",N('Classe CP'!N82))</f>
        <v/>
      </c>
      <c r="S322" s="51" t="str">
        <f>IF('Classe CP'!$B82="","",N('Classe CP'!O82))</f>
        <v/>
      </c>
      <c r="T322" s="51" t="str">
        <f>IF('Classe CP'!$B82="","",N('Classe CP'!P82))</f>
        <v/>
      </c>
    </row>
    <row r="323">
      <c r="A323" s="16" t="str">
        <f>IF('Classe CP'!$B83="","",IF('Classe CP'!A83="","",'Classe CP'!A83))</f>
        <v/>
      </c>
      <c r="B323" s="16" t="str">
        <f>IF('Classe CP'!$B83="","",IF('Classe CP'!B83="","",'Classe CP'!B83))</f>
        <v/>
      </c>
      <c r="C323" s="16" t="str">
        <f>IF('Classe CP'!$B83="","",IF('Classe CP'!C83="","",'Classe CP'!C83))</f>
        <v/>
      </c>
      <c r="D323" s="16" t="str">
        <f>IF($B323="","",C323&amp;" "&amp;B323&amp;" - "&amp;E323)</f>
        <v/>
      </c>
      <c r="E323" s="17" t="str">
        <f>IF($B323="","",Paramètres!$A$18)</f>
        <v/>
      </c>
      <c r="F323" s="17" t="str">
        <f>IF($B323="","",Paramètres!$B$18)</f>
        <v/>
      </c>
      <c r="G323" s="17" t="str">
        <f>IF('Classe CP'!$B83="","",IF('Classe CP'!D83="","",'Classe CP'!D83))</f>
        <v/>
      </c>
      <c r="H323" s="78" t="str">
        <f>IF('Classe CP'!$B83="","",IF('Classe CP'!E83="","",'Classe CP'!E83))</f>
        <v/>
      </c>
      <c r="I323" s="16" t="str">
        <f>IF('Classe CP'!$B83="","",IF('Classe CP'!F83="","",'Classe CP'!F83))</f>
        <v/>
      </c>
      <c r="J323" s="16" t="str">
        <f>IF('Classe CP'!$B83="","",IF('Classe CP'!G83="","",'Classe CP'!G83))</f>
        <v/>
      </c>
      <c r="K323" s="18" t="str">
        <f>IF('Classe CP'!$B83="","",N('Classe CP'!H83))</f>
        <v/>
      </c>
      <c r="L323" s="18" t="str">
        <f>IF('Classe CP'!$B83="","",N('Classe CP'!I83))</f>
        <v/>
      </c>
      <c r="M323" s="18" t="str">
        <f>IF('Classe CP'!$B83="","",N('Classe CP'!J83))</f>
        <v/>
      </c>
      <c r="N323" s="18" t="str">
        <f>IF('Classe CP'!$B83="","",N('Classe CP'!K83))</f>
        <v/>
      </c>
      <c r="O323" s="18" t="str">
        <f>IF('Classe CP'!$B83="","",N('Classe CP'!L83))</f>
        <v/>
      </c>
      <c r="P323" s="18" t="str">
        <f>IF('Classe CP'!$B83="","",N('Classe CP'!M83))</f>
        <v/>
      </c>
      <c r="Q323" s="17" t="str">
        <f>IF('Classe CP'!$B83="","",IF('Classe CP'!Q83="","",'Classe CP'!Q83))</f>
        <v/>
      </c>
      <c r="R323" s="18" t="str">
        <f>IF('Classe CP'!$B83="","",N('Classe CP'!N83))</f>
        <v/>
      </c>
      <c r="S323" s="18" t="str">
        <f>IF('Classe CP'!$B83="","",N('Classe CP'!O83))</f>
        <v/>
      </c>
      <c r="T323" s="18" t="str">
        <f>IF('Classe CP'!$B83="","",N('Classe CP'!P83))</f>
        <v/>
      </c>
    </row>
    <row r="324">
      <c r="A324" s="20" t="str">
        <f>IF('Classe CE1'!$B4="","",IF('Classe CE1'!A4="","",'Classe CE1'!A4))</f>
        <v/>
      </c>
      <c r="B324" s="20" t="str">
        <f>IF('Classe CE1'!$B4="","",IF('Classe CE1'!B4="","",'Classe CE1'!B4))</f>
        <v/>
      </c>
      <c r="C324" s="20" t="str">
        <f>IF('Classe CE1'!$B4="","",IF('Classe CE1'!C4="","",'Classe CE1'!C4))</f>
        <v/>
      </c>
      <c r="D324" s="20" t="str">
        <f>IF($B324="","",C324&amp;" "&amp;B324&amp;" - "&amp;E324)</f>
        <v/>
      </c>
      <c r="E324" s="21" t="str">
        <f>IF($B324="","",Paramètres!$A$19)</f>
        <v/>
      </c>
      <c r="F324" s="21" t="str">
        <f>IF($B324="","",Paramètres!$B$19)</f>
        <v/>
      </c>
      <c r="G324" s="21" t="str">
        <f>IF('Classe CE1'!$B4="","",IF('Classe CE1'!D4="","",'Classe CE1'!D4))</f>
        <v/>
      </c>
      <c r="H324" s="77" t="str">
        <f>IF('Classe CE1'!$B4="","",IF('Classe CE1'!E4="","",'Classe CE1'!E4))</f>
        <v/>
      </c>
      <c r="I324" s="20" t="str">
        <f>IF('Classe CE1'!$B4="","",IF('Classe CE1'!F4="","",'Classe CE1'!F4))</f>
        <v/>
      </c>
      <c r="J324" s="20" t="str">
        <f>IF('Classe CE1'!$B4="","",IF('Classe CE1'!G4="","",'Classe CE1'!G4))</f>
        <v/>
      </c>
      <c r="K324" s="51" t="str">
        <f>IF('Classe CE1'!$B4="","",N('Classe CE1'!H4))</f>
        <v/>
      </c>
      <c r="L324" s="51" t="str">
        <f>IF('Classe CE1'!$B4="","",N('Classe CE1'!I4))</f>
        <v/>
      </c>
      <c r="M324" s="51" t="str">
        <f>IF('Classe CE1'!$B4="","",N('Classe CE1'!J4))</f>
        <v/>
      </c>
      <c r="N324" s="51" t="str">
        <f>IF('Classe CE1'!$B4="","",N('Classe CE1'!K4))</f>
        <v/>
      </c>
      <c r="O324" s="51" t="str">
        <f>IF('Classe CE1'!$B4="","",N('Classe CE1'!L4))</f>
        <v/>
      </c>
      <c r="P324" s="51" t="str">
        <f>IF('Classe CE1'!$B4="","",N('Classe CE1'!M4))</f>
        <v/>
      </c>
      <c r="Q324" s="21" t="str">
        <f>IF('Classe CE1'!$B4="","",IF('Classe CE1'!Q4="","",'Classe CE1'!Q4))</f>
        <v/>
      </c>
      <c r="R324" s="51" t="str">
        <f>IF('Classe CE1'!$B4="","",N('Classe CE1'!N4))</f>
        <v/>
      </c>
      <c r="S324" s="51" t="str">
        <f>IF('Classe CE1'!$B4="","",N('Classe CE1'!O4))</f>
        <v/>
      </c>
      <c r="T324" s="51" t="str">
        <f>IF('Classe CE1'!$B4="","",N('Classe CE1'!P4))</f>
        <v/>
      </c>
    </row>
    <row r="325">
      <c r="A325" s="16" t="str">
        <f>IF('Classe CE1'!$B5="","",IF('Classe CE1'!A5="","",'Classe CE1'!A5))</f>
        <v/>
      </c>
      <c r="B325" s="16" t="str">
        <f>IF('Classe CE1'!$B5="","",IF('Classe CE1'!B5="","",'Classe CE1'!B5))</f>
        <v/>
      </c>
      <c r="C325" s="16" t="str">
        <f>IF('Classe CE1'!$B5="","",IF('Classe CE1'!C5="","",'Classe CE1'!C5))</f>
        <v/>
      </c>
      <c r="D325" s="16" t="str">
        <f>IF($B325="","",C325&amp;" "&amp;B325&amp;" - "&amp;E325)</f>
        <v/>
      </c>
      <c r="E325" s="17" t="str">
        <f>IF($B325="","",Paramètres!$A$19)</f>
        <v/>
      </c>
      <c r="F325" s="17" t="str">
        <f>IF($B325="","",Paramètres!$B$19)</f>
        <v/>
      </c>
      <c r="G325" s="17" t="str">
        <f>IF('Classe CE1'!$B5="","",IF('Classe CE1'!D5="","",'Classe CE1'!D5))</f>
        <v/>
      </c>
      <c r="H325" s="78" t="str">
        <f>IF('Classe CE1'!$B5="","",IF('Classe CE1'!E5="","",'Classe CE1'!E5))</f>
        <v/>
      </c>
      <c r="I325" s="16" t="str">
        <f>IF('Classe CE1'!$B5="","",IF('Classe CE1'!F5="","",'Classe CE1'!F5))</f>
        <v/>
      </c>
      <c r="J325" s="16" t="str">
        <f>IF('Classe CE1'!$B5="","",IF('Classe CE1'!G5="","",'Classe CE1'!G5))</f>
        <v/>
      </c>
      <c r="K325" s="18" t="str">
        <f>IF('Classe CE1'!$B5="","",N('Classe CE1'!H5))</f>
        <v/>
      </c>
      <c r="L325" s="18" t="str">
        <f>IF('Classe CE1'!$B5="","",N('Classe CE1'!I5))</f>
        <v/>
      </c>
      <c r="M325" s="18" t="str">
        <f>IF('Classe CE1'!$B5="","",N('Classe CE1'!J5))</f>
        <v/>
      </c>
      <c r="N325" s="18" t="str">
        <f>IF('Classe CE1'!$B5="","",N('Classe CE1'!K5))</f>
        <v/>
      </c>
      <c r="O325" s="18" t="str">
        <f>IF('Classe CE1'!$B5="","",N('Classe CE1'!L5))</f>
        <v/>
      </c>
      <c r="P325" s="18" t="str">
        <f>IF('Classe CE1'!$B5="","",N('Classe CE1'!M5))</f>
        <v/>
      </c>
      <c r="Q325" s="17" t="str">
        <f>IF('Classe CE1'!$B5="","",IF('Classe CE1'!Q5="","",'Classe CE1'!Q5))</f>
        <v/>
      </c>
      <c r="R325" s="18" t="str">
        <f>IF('Classe CE1'!$B5="","",N('Classe CE1'!N5))</f>
        <v/>
      </c>
      <c r="S325" s="18" t="str">
        <f>IF('Classe CE1'!$B5="","",N('Classe CE1'!O5))</f>
        <v/>
      </c>
      <c r="T325" s="18" t="str">
        <f>IF('Classe CE1'!$B5="","",N('Classe CE1'!P5))</f>
        <v/>
      </c>
    </row>
    <row r="326">
      <c r="A326" s="20" t="str">
        <f>IF('Classe CE1'!$B6="","",IF('Classe CE1'!A6="","",'Classe CE1'!A6))</f>
        <v/>
      </c>
      <c r="B326" s="20" t="str">
        <f>IF('Classe CE1'!$B6="","",IF('Classe CE1'!B6="","",'Classe CE1'!B6))</f>
        <v/>
      </c>
      <c r="C326" s="20" t="str">
        <f>IF('Classe CE1'!$B6="","",IF('Classe CE1'!C6="","",'Classe CE1'!C6))</f>
        <v/>
      </c>
      <c r="D326" s="20" t="str">
        <f>IF($B326="","",C326&amp;" "&amp;B326&amp;" - "&amp;E326)</f>
        <v/>
      </c>
      <c r="E326" s="21" t="str">
        <f>IF($B326="","",Paramètres!$A$19)</f>
        <v/>
      </c>
      <c r="F326" s="21" t="str">
        <f>IF($B326="","",Paramètres!$B$19)</f>
        <v/>
      </c>
      <c r="G326" s="21" t="str">
        <f>IF('Classe CE1'!$B6="","",IF('Classe CE1'!D6="","",'Classe CE1'!D6))</f>
        <v/>
      </c>
      <c r="H326" s="77" t="str">
        <f>IF('Classe CE1'!$B6="","",IF('Classe CE1'!E6="","",'Classe CE1'!E6))</f>
        <v/>
      </c>
      <c r="I326" s="20" t="str">
        <f>IF('Classe CE1'!$B6="","",IF('Classe CE1'!F6="","",'Classe CE1'!F6))</f>
        <v/>
      </c>
      <c r="J326" s="20" t="str">
        <f>IF('Classe CE1'!$B6="","",IF('Classe CE1'!G6="","",'Classe CE1'!G6))</f>
        <v/>
      </c>
      <c r="K326" s="51" t="str">
        <f>IF('Classe CE1'!$B6="","",N('Classe CE1'!H6))</f>
        <v/>
      </c>
      <c r="L326" s="51" t="str">
        <f>IF('Classe CE1'!$B6="","",N('Classe CE1'!I6))</f>
        <v/>
      </c>
      <c r="M326" s="51" t="str">
        <f>IF('Classe CE1'!$B6="","",N('Classe CE1'!J6))</f>
        <v/>
      </c>
      <c r="N326" s="51" t="str">
        <f>IF('Classe CE1'!$B6="","",N('Classe CE1'!K6))</f>
        <v/>
      </c>
      <c r="O326" s="51" t="str">
        <f>IF('Classe CE1'!$B6="","",N('Classe CE1'!L6))</f>
        <v/>
      </c>
      <c r="P326" s="51" t="str">
        <f>IF('Classe CE1'!$B6="","",N('Classe CE1'!M6))</f>
        <v/>
      </c>
      <c r="Q326" s="21" t="str">
        <f>IF('Classe CE1'!$B6="","",IF('Classe CE1'!Q6="","",'Classe CE1'!Q6))</f>
        <v/>
      </c>
      <c r="R326" s="51" t="str">
        <f>IF('Classe CE1'!$B6="","",N('Classe CE1'!N6))</f>
        <v/>
      </c>
      <c r="S326" s="51" t="str">
        <f>IF('Classe CE1'!$B6="","",N('Classe CE1'!O6))</f>
        <v/>
      </c>
      <c r="T326" s="51" t="str">
        <f>IF('Classe CE1'!$B6="","",N('Classe CE1'!P6))</f>
        <v/>
      </c>
    </row>
    <row r="327">
      <c r="A327" s="16" t="str">
        <f>IF('Classe CE1'!$B7="","",IF('Classe CE1'!A7="","",'Classe CE1'!A7))</f>
        <v/>
      </c>
      <c r="B327" s="16" t="str">
        <f>IF('Classe CE1'!$B7="","",IF('Classe CE1'!B7="","",'Classe CE1'!B7))</f>
        <v/>
      </c>
      <c r="C327" s="16" t="str">
        <f>IF('Classe CE1'!$B7="","",IF('Classe CE1'!C7="","",'Classe CE1'!C7))</f>
        <v/>
      </c>
      <c r="D327" s="16" t="str">
        <f>IF($B327="","",C327&amp;" "&amp;B327&amp;" - "&amp;E327)</f>
        <v/>
      </c>
      <c r="E327" s="17" t="str">
        <f>IF($B327="","",Paramètres!$A$19)</f>
        <v/>
      </c>
      <c r="F327" s="17" t="str">
        <f>IF($B327="","",Paramètres!$B$19)</f>
        <v/>
      </c>
      <c r="G327" s="17" t="str">
        <f>IF('Classe CE1'!$B7="","",IF('Classe CE1'!D7="","",'Classe CE1'!D7))</f>
        <v/>
      </c>
      <c r="H327" s="78" t="str">
        <f>IF('Classe CE1'!$B7="","",IF('Classe CE1'!E7="","",'Classe CE1'!E7))</f>
        <v/>
      </c>
      <c r="I327" s="16" t="str">
        <f>IF('Classe CE1'!$B7="","",IF('Classe CE1'!F7="","",'Classe CE1'!F7))</f>
        <v/>
      </c>
      <c r="J327" s="16" t="str">
        <f>IF('Classe CE1'!$B7="","",IF('Classe CE1'!G7="","",'Classe CE1'!G7))</f>
        <v/>
      </c>
      <c r="K327" s="18" t="str">
        <f>IF('Classe CE1'!$B7="","",N('Classe CE1'!H7))</f>
        <v/>
      </c>
      <c r="L327" s="18" t="str">
        <f>IF('Classe CE1'!$B7="","",N('Classe CE1'!I7))</f>
        <v/>
      </c>
      <c r="M327" s="18" t="str">
        <f>IF('Classe CE1'!$B7="","",N('Classe CE1'!J7))</f>
        <v/>
      </c>
      <c r="N327" s="18" t="str">
        <f>IF('Classe CE1'!$B7="","",N('Classe CE1'!K7))</f>
        <v/>
      </c>
      <c r="O327" s="18" t="str">
        <f>IF('Classe CE1'!$B7="","",N('Classe CE1'!L7))</f>
        <v/>
      </c>
      <c r="P327" s="18" t="str">
        <f>IF('Classe CE1'!$B7="","",N('Classe CE1'!M7))</f>
        <v/>
      </c>
      <c r="Q327" s="17" t="str">
        <f>IF('Classe CE1'!$B7="","",IF('Classe CE1'!Q7="","",'Classe CE1'!Q7))</f>
        <v/>
      </c>
      <c r="R327" s="18" t="str">
        <f>IF('Classe CE1'!$B7="","",N('Classe CE1'!N7))</f>
        <v/>
      </c>
      <c r="S327" s="18" t="str">
        <f>IF('Classe CE1'!$B7="","",N('Classe CE1'!O7))</f>
        <v/>
      </c>
      <c r="T327" s="18" t="str">
        <f>IF('Classe CE1'!$B7="","",N('Classe CE1'!P7))</f>
        <v/>
      </c>
    </row>
    <row r="328">
      <c r="A328" s="20" t="str">
        <f>IF('Classe CE1'!$B8="","",IF('Classe CE1'!A8="","",'Classe CE1'!A8))</f>
        <v/>
      </c>
      <c r="B328" s="20" t="str">
        <f>IF('Classe CE1'!$B8="","",IF('Classe CE1'!B8="","",'Classe CE1'!B8))</f>
        <v/>
      </c>
      <c r="C328" s="20" t="str">
        <f>IF('Classe CE1'!$B8="","",IF('Classe CE1'!C8="","",'Classe CE1'!C8))</f>
        <v/>
      </c>
      <c r="D328" s="20" t="str">
        <f>IF($B328="","",C328&amp;" "&amp;B328&amp;" - "&amp;E328)</f>
        <v/>
      </c>
      <c r="E328" s="21" t="str">
        <f>IF($B328="","",Paramètres!$A$19)</f>
        <v/>
      </c>
      <c r="F328" s="21" t="str">
        <f>IF($B328="","",Paramètres!$B$19)</f>
        <v/>
      </c>
      <c r="G328" s="21" t="str">
        <f>IF('Classe CE1'!$B8="","",IF('Classe CE1'!D8="","",'Classe CE1'!D8))</f>
        <v/>
      </c>
      <c r="H328" s="77" t="str">
        <f>IF('Classe CE1'!$B8="","",IF('Classe CE1'!E8="","",'Classe CE1'!E8))</f>
        <v/>
      </c>
      <c r="I328" s="20" t="str">
        <f>IF('Classe CE1'!$B8="","",IF('Classe CE1'!F8="","",'Classe CE1'!F8))</f>
        <v/>
      </c>
      <c r="J328" s="20" t="str">
        <f>IF('Classe CE1'!$B8="","",IF('Classe CE1'!G8="","",'Classe CE1'!G8))</f>
        <v/>
      </c>
      <c r="K328" s="51" t="str">
        <f>IF('Classe CE1'!$B8="","",N('Classe CE1'!H8))</f>
        <v/>
      </c>
      <c r="L328" s="51" t="str">
        <f>IF('Classe CE1'!$B8="","",N('Classe CE1'!I8))</f>
        <v/>
      </c>
      <c r="M328" s="51" t="str">
        <f>IF('Classe CE1'!$B8="","",N('Classe CE1'!J8))</f>
        <v/>
      </c>
      <c r="N328" s="51" t="str">
        <f>IF('Classe CE1'!$B8="","",N('Classe CE1'!K8))</f>
        <v/>
      </c>
      <c r="O328" s="51" t="str">
        <f>IF('Classe CE1'!$B8="","",N('Classe CE1'!L8))</f>
        <v/>
      </c>
      <c r="P328" s="51" t="str">
        <f>IF('Classe CE1'!$B8="","",N('Classe CE1'!M8))</f>
        <v/>
      </c>
      <c r="Q328" s="21" t="str">
        <f>IF('Classe CE1'!$B8="","",IF('Classe CE1'!Q8="","",'Classe CE1'!Q8))</f>
        <v/>
      </c>
      <c r="R328" s="51" t="str">
        <f>IF('Classe CE1'!$B8="","",N('Classe CE1'!N8))</f>
        <v/>
      </c>
      <c r="S328" s="51" t="str">
        <f>IF('Classe CE1'!$B8="","",N('Classe CE1'!O8))</f>
        <v/>
      </c>
      <c r="T328" s="51" t="str">
        <f>IF('Classe CE1'!$B8="","",N('Classe CE1'!P8))</f>
        <v/>
      </c>
    </row>
    <row r="329">
      <c r="A329" s="16" t="str">
        <f>IF('Classe CE1'!$B9="","",IF('Classe CE1'!A9="","",'Classe CE1'!A9))</f>
        <v/>
      </c>
      <c r="B329" s="16" t="str">
        <f>IF('Classe CE1'!$B9="","",IF('Classe CE1'!B9="","",'Classe CE1'!B9))</f>
        <v/>
      </c>
      <c r="C329" s="16" t="str">
        <f>IF('Classe CE1'!$B9="","",IF('Classe CE1'!C9="","",'Classe CE1'!C9))</f>
        <v/>
      </c>
      <c r="D329" s="16" t="str">
        <f>IF($B329="","",C329&amp;" "&amp;B329&amp;" - "&amp;E329)</f>
        <v/>
      </c>
      <c r="E329" s="17" t="str">
        <f>IF($B329="","",Paramètres!$A$19)</f>
        <v/>
      </c>
      <c r="F329" s="17" t="str">
        <f>IF($B329="","",Paramètres!$B$19)</f>
        <v/>
      </c>
      <c r="G329" s="17" t="str">
        <f>IF('Classe CE1'!$B9="","",IF('Classe CE1'!D9="","",'Classe CE1'!D9))</f>
        <v/>
      </c>
      <c r="H329" s="78" t="str">
        <f>IF('Classe CE1'!$B9="","",IF('Classe CE1'!E9="","",'Classe CE1'!E9))</f>
        <v/>
      </c>
      <c r="I329" s="16" t="str">
        <f>IF('Classe CE1'!$B9="","",IF('Classe CE1'!F9="","",'Classe CE1'!F9))</f>
        <v/>
      </c>
      <c r="J329" s="16" t="str">
        <f>IF('Classe CE1'!$B9="","",IF('Classe CE1'!G9="","",'Classe CE1'!G9))</f>
        <v/>
      </c>
      <c r="K329" s="18" t="str">
        <f>IF('Classe CE1'!$B9="","",N('Classe CE1'!H9))</f>
        <v/>
      </c>
      <c r="L329" s="18" t="str">
        <f>IF('Classe CE1'!$B9="","",N('Classe CE1'!I9))</f>
        <v/>
      </c>
      <c r="M329" s="18" t="str">
        <f>IF('Classe CE1'!$B9="","",N('Classe CE1'!J9))</f>
        <v/>
      </c>
      <c r="N329" s="18" t="str">
        <f>IF('Classe CE1'!$B9="","",N('Classe CE1'!K9))</f>
        <v/>
      </c>
      <c r="O329" s="18" t="str">
        <f>IF('Classe CE1'!$B9="","",N('Classe CE1'!L9))</f>
        <v/>
      </c>
      <c r="P329" s="18" t="str">
        <f>IF('Classe CE1'!$B9="","",N('Classe CE1'!M9))</f>
        <v/>
      </c>
      <c r="Q329" s="17" t="str">
        <f>IF('Classe CE1'!$B9="","",IF('Classe CE1'!Q9="","",'Classe CE1'!Q9))</f>
        <v/>
      </c>
      <c r="R329" s="18" t="str">
        <f>IF('Classe CE1'!$B9="","",N('Classe CE1'!N9))</f>
        <v/>
      </c>
      <c r="S329" s="18" t="str">
        <f>IF('Classe CE1'!$B9="","",N('Classe CE1'!O9))</f>
        <v/>
      </c>
      <c r="T329" s="18" t="str">
        <f>IF('Classe CE1'!$B9="","",N('Classe CE1'!P9))</f>
        <v/>
      </c>
    </row>
    <row r="330">
      <c r="A330" s="20" t="str">
        <f>IF('Classe CE1'!$B10="","",IF('Classe CE1'!A10="","",'Classe CE1'!A10))</f>
        <v/>
      </c>
      <c r="B330" s="20" t="str">
        <f>IF('Classe CE1'!$B10="","",IF('Classe CE1'!B10="","",'Classe CE1'!B10))</f>
        <v/>
      </c>
      <c r="C330" s="20" t="str">
        <f>IF('Classe CE1'!$B10="","",IF('Classe CE1'!C10="","",'Classe CE1'!C10))</f>
        <v/>
      </c>
      <c r="D330" s="20" t="str">
        <f>IF($B330="","",C330&amp;" "&amp;B330&amp;" - "&amp;E330)</f>
        <v/>
      </c>
      <c r="E330" s="21" t="str">
        <f>IF($B330="","",Paramètres!$A$19)</f>
        <v/>
      </c>
      <c r="F330" s="21" t="str">
        <f>IF($B330="","",Paramètres!$B$19)</f>
        <v/>
      </c>
      <c r="G330" s="21" t="str">
        <f>IF('Classe CE1'!$B10="","",IF('Classe CE1'!D10="","",'Classe CE1'!D10))</f>
        <v/>
      </c>
      <c r="H330" s="77" t="str">
        <f>IF('Classe CE1'!$B10="","",IF('Classe CE1'!E10="","",'Classe CE1'!E10))</f>
        <v/>
      </c>
      <c r="I330" s="20" t="str">
        <f>IF('Classe CE1'!$B10="","",IF('Classe CE1'!F10="","",'Classe CE1'!F10))</f>
        <v/>
      </c>
      <c r="J330" s="20" t="str">
        <f>IF('Classe CE1'!$B10="","",IF('Classe CE1'!G10="","",'Classe CE1'!G10))</f>
        <v/>
      </c>
      <c r="K330" s="51" t="str">
        <f>IF('Classe CE1'!$B10="","",N('Classe CE1'!H10))</f>
        <v/>
      </c>
      <c r="L330" s="51" t="str">
        <f>IF('Classe CE1'!$B10="","",N('Classe CE1'!I10))</f>
        <v/>
      </c>
      <c r="M330" s="51" t="str">
        <f>IF('Classe CE1'!$B10="","",N('Classe CE1'!J10))</f>
        <v/>
      </c>
      <c r="N330" s="51" t="str">
        <f>IF('Classe CE1'!$B10="","",N('Classe CE1'!K10))</f>
        <v/>
      </c>
      <c r="O330" s="51" t="str">
        <f>IF('Classe CE1'!$B10="","",N('Classe CE1'!L10))</f>
        <v/>
      </c>
      <c r="P330" s="51" t="str">
        <f>IF('Classe CE1'!$B10="","",N('Classe CE1'!M10))</f>
        <v/>
      </c>
      <c r="Q330" s="21" t="str">
        <f>IF('Classe CE1'!$B10="","",IF('Classe CE1'!Q10="","",'Classe CE1'!Q10))</f>
        <v/>
      </c>
      <c r="R330" s="51" t="str">
        <f>IF('Classe CE1'!$B10="","",N('Classe CE1'!N10))</f>
        <v/>
      </c>
      <c r="S330" s="51" t="str">
        <f>IF('Classe CE1'!$B10="","",N('Classe CE1'!O10))</f>
        <v/>
      </c>
      <c r="T330" s="51" t="str">
        <f>IF('Classe CE1'!$B10="","",N('Classe CE1'!P10))</f>
        <v/>
      </c>
    </row>
    <row r="331">
      <c r="A331" s="16" t="str">
        <f>IF('Classe CE1'!$B11="","",IF('Classe CE1'!A11="","",'Classe CE1'!A11))</f>
        <v/>
      </c>
      <c r="B331" s="16" t="str">
        <f>IF('Classe CE1'!$B11="","",IF('Classe CE1'!B11="","",'Classe CE1'!B11))</f>
        <v/>
      </c>
      <c r="C331" s="16" t="str">
        <f>IF('Classe CE1'!$B11="","",IF('Classe CE1'!C11="","",'Classe CE1'!C11))</f>
        <v/>
      </c>
      <c r="D331" s="16" t="str">
        <f>IF($B331="","",C331&amp;" "&amp;B331&amp;" - "&amp;E331)</f>
        <v/>
      </c>
      <c r="E331" s="17" t="str">
        <f>IF($B331="","",Paramètres!$A$19)</f>
        <v/>
      </c>
      <c r="F331" s="17" t="str">
        <f>IF($B331="","",Paramètres!$B$19)</f>
        <v/>
      </c>
      <c r="G331" s="17" t="str">
        <f>IF('Classe CE1'!$B11="","",IF('Classe CE1'!D11="","",'Classe CE1'!D11))</f>
        <v/>
      </c>
      <c r="H331" s="78" t="str">
        <f>IF('Classe CE1'!$B11="","",IF('Classe CE1'!E11="","",'Classe CE1'!E11))</f>
        <v/>
      </c>
      <c r="I331" s="16" t="str">
        <f>IF('Classe CE1'!$B11="","",IF('Classe CE1'!F11="","",'Classe CE1'!F11))</f>
        <v/>
      </c>
      <c r="J331" s="16" t="str">
        <f>IF('Classe CE1'!$B11="","",IF('Classe CE1'!G11="","",'Classe CE1'!G11))</f>
        <v/>
      </c>
      <c r="K331" s="18" t="str">
        <f>IF('Classe CE1'!$B11="","",N('Classe CE1'!H11))</f>
        <v/>
      </c>
      <c r="L331" s="18" t="str">
        <f>IF('Classe CE1'!$B11="","",N('Classe CE1'!I11))</f>
        <v/>
      </c>
      <c r="M331" s="18" t="str">
        <f>IF('Classe CE1'!$B11="","",N('Classe CE1'!J11))</f>
        <v/>
      </c>
      <c r="N331" s="18" t="str">
        <f>IF('Classe CE1'!$B11="","",N('Classe CE1'!K11))</f>
        <v/>
      </c>
      <c r="O331" s="18" t="str">
        <f>IF('Classe CE1'!$B11="","",N('Classe CE1'!L11))</f>
        <v/>
      </c>
      <c r="P331" s="18" t="str">
        <f>IF('Classe CE1'!$B11="","",N('Classe CE1'!M11))</f>
        <v/>
      </c>
      <c r="Q331" s="17" t="str">
        <f>IF('Classe CE1'!$B11="","",IF('Classe CE1'!Q11="","",'Classe CE1'!Q11))</f>
        <v/>
      </c>
      <c r="R331" s="18" t="str">
        <f>IF('Classe CE1'!$B11="","",N('Classe CE1'!N11))</f>
        <v/>
      </c>
      <c r="S331" s="18" t="str">
        <f>IF('Classe CE1'!$B11="","",N('Classe CE1'!O11))</f>
        <v/>
      </c>
      <c r="T331" s="18" t="str">
        <f>IF('Classe CE1'!$B11="","",N('Classe CE1'!P11))</f>
        <v/>
      </c>
    </row>
    <row r="332">
      <c r="A332" s="20" t="str">
        <f>IF('Classe CE1'!$B12="","",IF('Classe CE1'!A12="","",'Classe CE1'!A12))</f>
        <v/>
      </c>
      <c r="B332" s="20" t="str">
        <f>IF('Classe CE1'!$B12="","",IF('Classe CE1'!B12="","",'Classe CE1'!B12))</f>
        <v/>
      </c>
      <c r="C332" s="20" t="str">
        <f>IF('Classe CE1'!$B12="","",IF('Classe CE1'!C12="","",'Classe CE1'!C12))</f>
        <v/>
      </c>
      <c r="D332" s="20" t="str">
        <f>IF($B332="","",C332&amp;" "&amp;B332&amp;" - "&amp;E332)</f>
        <v/>
      </c>
      <c r="E332" s="21" t="str">
        <f>IF($B332="","",Paramètres!$A$19)</f>
        <v/>
      </c>
      <c r="F332" s="21" t="str">
        <f>IF($B332="","",Paramètres!$B$19)</f>
        <v/>
      </c>
      <c r="G332" s="21" t="str">
        <f>IF('Classe CE1'!$B12="","",IF('Classe CE1'!D12="","",'Classe CE1'!D12))</f>
        <v/>
      </c>
      <c r="H332" s="77" t="str">
        <f>IF('Classe CE1'!$B12="","",IF('Classe CE1'!E12="","",'Classe CE1'!E12))</f>
        <v/>
      </c>
      <c r="I332" s="20" t="str">
        <f>IF('Classe CE1'!$B12="","",IF('Classe CE1'!F12="","",'Classe CE1'!F12))</f>
        <v/>
      </c>
      <c r="J332" s="20" t="str">
        <f>IF('Classe CE1'!$B12="","",IF('Classe CE1'!G12="","",'Classe CE1'!G12))</f>
        <v/>
      </c>
      <c r="K332" s="51" t="str">
        <f>IF('Classe CE1'!$B12="","",N('Classe CE1'!H12))</f>
        <v/>
      </c>
      <c r="L332" s="51" t="str">
        <f>IF('Classe CE1'!$B12="","",N('Classe CE1'!I12))</f>
        <v/>
      </c>
      <c r="M332" s="51" t="str">
        <f>IF('Classe CE1'!$B12="","",N('Classe CE1'!J12))</f>
        <v/>
      </c>
      <c r="N332" s="51" t="str">
        <f>IF('Classe CE1'!$B12="","",N('Classe CE1'!K12))</f>
        <v/>
      </c>
      <c r="O332" s="51" t="str">
        <f>IF('Classe CE1'!$B12="","",N('Classe CE1'!L12))</f>
        <v/>
      </c>
      <c r="P332" s="51" t="str">
        <f>IF('Classe CE1'!$B12="","",N('Classe CE1'!M12))</f>
        <v/>
      </c>
      <c r="Q332" s="21" t="str">
        <f>IF('Classe CE1'!$B12="","",IF('Classe CE1'!Q12="","",'Classe CE1'!Q12))</f>
        <v/>
      </c>
      <c r="R332" s="51" t="str">
        <f>IF('Classe CE1'!$B12="","",N('Classe CE1'!N12))</f>
        <v/>
      </c>
      <c r="S332" s="51" t="str">
        <f>IF('Classe CE1'!$B12="","",N('Classe CE1'!O12))</f>
        <v/>
      </c>
      <c r="T332" s="51" t="str">
        <f>IF('Classe CE1'!$B12="","",N('Classe CE1'!P12))</f>
        <v/>
      </c>
    </row>
    <row r="333">
      <c r="A333" s="16" t="str">
        <f>IF('Classe CE1'!$B13="","",IF('Classe CE1'!A13="","",'Classe CE1'!A13))</f>
        <v/>
      </c>
      <c r="B333" s="16" t="str">
        <f>IF('Classe CE1'!$B13="","",IF('Classe CE1'!B13="","",'Classe CE1'!B13))</f>
        <v/>
      </c>
      <c r="C333" s="16" t="str">
        <f>IF('Classe CE1'!$B13="","",IF('Classe CE1'!C13="","",'Classe CE1'!C13))</f>
        <v/>
      </c>
      <c r="D333" s="16" t="str">
        <f>IF($B333="","",C333&amp;" "&amp;B333&amp;" - "&amp;E333)</f>
        <v/>
      </c>
      <c r="E333" s="17" t="str">
        <f>IF($B333="","",Paramètres!$A$19)</f>
        <v/>
      </c>
      <c r="F333" s="17" t="str">
        <f>IF($B333="","",Paramètres!$B$19)</f>
        <v/>
      </c>
      <c r="G333" s="17" t="str">
        <f>IF('Classe CE1'!$B13="","",IF('Classe CE1'!D13="","",'Classe CE1'!D13))</f>
        <v/>
      </c>
      <c r="H333" s="78" t="str">
        <f>IF('Classe CE1'!$B13="","",IF('Classe CE1'!E13="","",'Classe CE1'!E13))</f>
        <v/>
      </c>
      <c r="I333" s="16" t="str">
        <f>IF('Classe CE1'!$B13="","",IF('Classe CE1'!F13="","",'Classe CE1'!F13))</f>
        <v/>
      </c>
      <c r="J333" s="16" t="str">
        <f>IF('Classe CE1'!$B13="","",IF('Classe CE1'!G13="","",'Classe CE1'!G13))</f>
        <v/>
      </c>
      <c r="K333" s="18" t="str">
        <f>IF('Classe CE1'!$B13="","",N('Classe CE1'!H13))</f>
        <v/>
      </c>
      <c r="L333" s="18" t="str">
        <f>IF('Classe CE1'!$B13="","",N('Classe CE1'!I13))</f>
        <v/>
      </c>
      <c r="M333" s="18" t="str">
        <f>IF('Classe CE1'!$B13="","",N('Classe CE1'!J13))</f>
        <v/>
      </c>
      <c r="N333" s="18" t="str">
        <f>IF('Classe CE1'!$B13="","",N('Classe CE1'!K13))</f>
        <v/>
      </c>
      <c r="O333" s="18" t="str">
        <f>IF('Classe CE1'!$B13="","",N('Classe CE1'!L13))</f>
        <v/>
      </c>
      <c r="P333" s="18" t="str">
        <f>IF('Classe CE1'!$B13="","",N('Classe CE1'!M13))</f>
        <v/>
      </c>
      <c r="Q333" s="17" t="str">
        <f>IF('Classe CE1'!$B13="","",IF('Classe CE1'!Q13="","",'Classe CE1'!Q13))</f>
        <v/>
      </c>
      <c r="R333" s="18" t="str">
        <f>IF('Classe CE1'!$B13="","",N('Classe CE1'!N13))</f>
        <v/>
      </c>
      <c r="S333" s="18" t="str">
        <f>IF('Classe CE1'!$B13="","",N('Classe CE1'!O13))</f>
        <v/>
      </c>
      <c r="T333" s="18" t="str">
        <f>IF('Classe CE1'!$B13="","",N('Classe CE1'!P13))</f>
        <v/>
      </c>
    </row>
    <row r="334">
      <c r="A334" s="20" t="str">
        <f>IF('Classe CE1'!$B14="","",IF('Classe CE1'!A14="","",'Classe CE1'!A14))</f>
        <v/>
      </c>
      <c r="B334" s="20" t="str">
        <f>IF('Classe CE1'!$B14="","",IF('Classe CE1'!B14="","",'Classe CE1'!B14))</f>
        <v/>
      </c>
      <c r="C334" s="20" t="str">
        <f>IF('Classe CE1'!$B14="","",IF('Classe CE1'!C14="","",'Classe CE1'!C14))</f>
        <v/>
      </c>
      <c r="D334" s="20" t="str">
        <f>IF($B334="","",C334&amp;" "&amp;B334&amp;" - "&amp;E334)</f>
        <v/>
      </c>
      <c r="E334" s="21" t="str">
        <f>IF($B334="","",Paramètres!$A$19)</f>
        <v/>
      </c>
      <c r="F334" s="21" t="str">
        <f>IF($B334="","",Paramètres!$B$19)</f>
        <v/>
      </c>
      <c r="G334" s="21" t="str">
        <f>IF('Classe CE1'!$B14="","",IF('Classe CE1'!D14="","",'Classe CE1'!D14))</f>
        <v/>
      </c>
      <c r="H334" s="77" t="str">
        <f>IF('Classe CE1'!$B14="","",IF('Classe CE1'!E14="","",'Classe CE1'!E14))</f>
        <v/>
      </c>
      <c r="I334" s="20" t="str">
        <f>IF('Classe CE1'!$B14="","",IF('Classe CE1'!F14="","",'Classe CE1'!F14))</f>
        <v/>
      </c>
      <c r="J334" s="20" t="str">
        <f>IF('Classe CE1'!$B14="","",IF('Classe CE1'!G14="","",'Classe CE1'!G14))</f>
        <v/>
      </c>
      <c r="K334" s="51" t="str">
        <f>IF('Classe CE1'!$B14="","",N('Classe CE1'!H14))</f>
        <v/>
      </c>
      <c r="L334" s="51" t="str">
        <f>IF('Classe CE1'!$B14="","",N('Classe CE1'!I14))</f>
        <v/>
      </c>
      <c r="M334" s="51" t="str">
        <f>IF('Classe CE1'!$B14="","",N('Classe CE1'!J14))</f>
        <v/>
      </c>
      <c r="N334" s="51" t="str">
        <f>IF('Classe CE1'!$B14="","",N('Classe CE1'!K14))</f>
        <v/>
      </c>
      <c r="O334" s="51" t="str">
        <f>IF('Classe CE1'!$B14="","",N('Classe CE1'!L14))</f>
        <v/>
      </c>
      <c r="P334" s="51" t="str">
        <f>IF('Classe CE1'!$B14="","",N('Classe CE1'!M14))</f>
        <v/>
      </c>
      <c r="Q334" s="21" t="str">
        <f>IF('Classe CE1'!$B14="","",IF('Classe CE1'!Q14="","",'Classe CE1'!Q14))</f>
        <v/>
      </c>
      <c r="R334" s="51" t="str">
        <f>IF('Classe CE1'!$B14="","",N('Classe CE1'!N14))</f>
        <v/>
      </c>
      <c r="S334" s="51" t="str">
        <f>IF('Classe CE1'!$B14="","",N('Classe CE1'!O14))</f>
        <v/>
      </c>
      <c r="T334" s="51" t="str">
        <f>IF('Classe CE1'!$B14="","",N('Classe CE1'!P14))</f>
        <v/>
      </c>
    </row>
    <row r="335">
      <c r="A335" s="16" t="str">
        <f>IF('Classe CE1'!$B15="","",IF('Classe CE1'!A15="","",'Classe CE1'!A15))</f>
        <v/>
      </c>
      <c r="B335" s="16" t="str">
        <f>IF('Classe CE1'!$B15="","",IF('Classe CE1'!B15="","",'Classe CE1'!B15))</f>
        <v/>
      </c>
      <c r="C335" s="16" t="str">
        <f>IF('Classe CE1'!$B15="","",IF('Classe CE1'!C15="","",'Classe CE1'!C15))</f>
        <v/>
      </c>
      <c r="D335" s="16" t="str">
        <f>IF($B335="","",C335&amp;" "&amp;B335&amp;" - "&amp;E335)</f>
        <v/>
      </c>
      <c r="E335" s="17" t="str">
        <f>IF($B335="","",Paramètres!$A$19)</f>
        <v/>
      </c>
      <c r="F335" s="17" t="str">
        <f>IF($B335="","",Paramètres!$B$19)</f>
        <v/>
      </c>
      <c r="G335" s="17" t="str">
        <f>IF('Classe CE1'!$B15="","",IF('Classe CE1'!D15="","",'Classe CE1'!D15))</f>
        <v/>
      </c>
      <c r="H335" s="78" t="str">
        <f>IF('Classe CE1'!$B15="","",IF('Classe CE1'!E15="","",'Classe CE1'!E15))</f>
        <v/>
      </c>
      <c r="I335" s="16" t="str">
        <f>IF('Classe CE1'!$B15="","",IF('Classe CE1'!F15="","",'Classe CE1'!F15))</f>
        <v/>
      </c>
      <c r="J335" s="16" t="str">
        <f>IF('Classe CE1'!$B15="","",IF('Classe CE1'!G15="","",'Classe CE1'!G15))</f>
        <v/>
      </c>
      <c r="K335" s="18" t="str">
        <f>IF('Classe CE1'!$B15="","",N('Classe CE1'!H15))</f>
        <v/>
      </c>
      <c r="L335" s="18" t="str">
        <f>IF('Classe CE1'!$B15="","",N('Classe CE1'!I15))</f>
        <v/>
      </c>
      <c r="M335" s="18" t="str">
        <f>IF('Classe CE1'!$B15="","",N('Classe CE1'!J15))</f>
        <v/>
      </c>
      <c r="N335" s="18" t="str">
        <f>IF('Classe CE1'!$B15="","",N('Classe CE1'!K15))</f>
        <v/>
      </c>
      <c r="O335" s="18" t="str">
        <f>IF('Classe CE1'!$B15="","",N('Classe CE1'!L15))</f>
        <v/>
      </c>
      <c r="P335" s="18" t="str">
        <f>IF('Classe CE1'!$B15="","",N('Classe CE1'!M15))</f>
        <v/>
      </c>
      <c r="Q335" s="17" t="str">
        <f>IF('Classe CE1'!$B15="","",IF('Classe CE1'!Q15="","",'Classe CE1'!Q15))</f>
        <v/>
      </c>
      <c r="R335" s="18" t="str">
        <f>IF('Classe CE1'!$B15="","",N('Classe CE1'!N15))</f>
        <v/>
      </c>
      <c r="S335" s="18" t="str">
        <f>IF('Classe CE1'!$B15="","",N('Classe CE1'!O15))</f>
        <v/>
      </c>
      <c r="T335" s="18" t="str">
        <f>IF('Classe CE1'!$B15="","",N('Classe CE1'!P15))</f>
        <v/>
      </c>
    </row>
    <row r="336">
      <c r="A336" s="20" t="str">
        <f>IF('Classe CE1'!$B16="","",IF('Classe CE1'!A16="","",'Classe CE1'!A16))</f>
        <v/>
      </c>
      <c r="B336" s="20" t="str">
        <f>IF('Classe CE1'!$B16="","",IF('Classe CE1'!B16="","",'Classe CE1'!B16))</f>
        <v/>
      </c>
      <c r="C336" s="20" t="str">
        <f>IF('Classe CE1'!$B16="","",IF('Classe CE1'!C16="","",'Classe CE1'!C16))</f>
        <v/>
      </c>
      <c r="D336" s="20" t="str">
        <f>IF($B336="","",C336&amp;" "&amp;B336&amp;" - "&amp;E336)</f>
        <v/>
      </c>
      <c r="E336" s="21" t="str">
        <f>IF($B336="","",Paramètres!$A$19)</f>
        <v/>
      </c>
      <c r="F336" s="21" t="str">
        <f>IF($B336="","",Paramètres!$B$19)</f>
        <v/>
      </c>
      <c r="G336" s="21" t="str">
        <f>IF('Classe CE1'!$B16="","",IF('Classe CE1'!D16="","",'Classe CE1'!D16))</f>
        <v/>
      </c>
      <c r="H336" s="77" t="str">
        <f>IF('Classe CE1'!$B16="","",IF('Classe CE1'!E16="","",'Classe CE1'!E16))</f>
        <v/>
      </c>
      <c r="I336" s="20" t="str">
        <f>IF('Classe CE1'!$B16="","",IF('Classe CE1'!F16="","",'Classe CE1'!F16))</f>
        <v/>
      </c>
      <c r="J336" s="20" t="str">
        <f>IF('Classe CE1'!$B16="","",IF('Classe CE1'!G16="","",'Classe CE1'!G16))</f>
        <v/>
      </c>
      <c r="K336" s="51" t="str">
        <f>IF('Classe CE1'!$B16="","",N('Classe CE1'!H16))</f>
        <v/>
      </c>
      <c r="L336" s="51" t="str">
        <f>IF('Classe CE1'!$B16="","",N('Classe CE1'!I16))</f>
        <v/>
      </c>
      <c r="M336" s="51" t="str">
        <f>IF('Classe CE1'!$B16="","",N('Classe CE1'!J16))</f>
        <v/>
      </c>
      <c r="N336" s="51" t="str">
        <f>IF('Classe CE1'!$B16="","",N('Classe CE1'!K16))</f>
        <v/>
      </c>
      <c r="O336" s="51" t="str">
        <f>IF('Classe CE1'!$B16="","",N('Classe CE1'!L16))</f>
        <v/>
      </c>
      <c r="P336" s="51" t="str">
        <f>IF('Classe CE1'!$B16="","",N('Classe CE1'!M16))</f>
        <v/>
      </c>
      <c r="Q336" s="21" t="str">
        <f>IF('Classe CE1'!$B16="","",IF('Classe CE1'!Q16="","",'Classe CE1'!Q16))</f>
        <v/>
      </c>
      <c r="R336" s="51" t="str">
        <f>IF('Classe CE1'!$B16="","",N('Classe CE1'!N16))</f>
        <v/>
      </c>
      <c r="S336" s="51" t="str">
        <f>IF('Classe CE1'!$B16="","",N('Classe CE1'!O16))</f>
        <v/>
      </c>
      <c r="T336" s="51" t="str">
        <f>IF('Classe CE1'!$B16="","",N('Classe CE1'!P16))</f>
        <v/>
      </c>
    </row>
    <row r="337">
      <c r="A337" s="16" t="str">
        <f>IF('Classe CE1'!$B17="","",IF('Classe CE1'!A17="","",'Classe CE1'!A17))</f>
        <v/>
      </c>
      <c r="B337" s="16" t="str">
        <f>IF('Classe CE1'!$B17="","",IF('Classe CE1'!B17="","",'Classe CE1'!B17))</f>
        <v/>
      </c>
      <c r="C337" s="16" t="str">
        <f>IF('Classe CE1'!$B17="","",IF('Classe CE1'!C17="","",'Classe CE1'!C17))</f>
        <v/>
      </c>
      <c r="D337" s="16" t="str">
        <f>IF($B337="","",C337&amp;" "&amp;B337&amp;" - "&amp;E337)</f>
        <v/>
      </c>
      <c r="E337" s="17" t="str">
        <f>IF($B337="","",Paramètres!$A$19)</f>
        <v/>
      </c>
      <c r="F337" s="17" t="str">
        <f>IF($B337="","",Paramètres!$B$19)</f>
        <v/>
      </c>
      <c r="G337" s="17" t="str">
        <f>IF('Classe CE1'!$B17="","",IF('Classe CE1'!D17="","",'Classe CE1'!D17))</f>
        <v/>
      </c>
      <c r="H337" s="78" t="str">
        <f>IF('Classe CE1'!$B17="","",IF('Classe CE1'!E17="","",'Classe CE1'!E17))</f>
        <v/>
      </c>
      <c r="I337" s="16" t="str">
        <f>IF('Classe CE1'!$B17="","",IF('Classe CE1'!F17="","",'Classe CE1'!F17))</f>
        <v/>
      </c>
      <c r="J337" s="16" t="str">
        <f>IF('Classe CE1'!$B17="","",IF('Classe CE1'!G17="","",'Classe CE1'!G17))</f>
        <v/>
      </c>
      <c r="K337" s="18" t="str">
        <f>IF('Classe CE1'!$B17="","",N('Classe CE1'!H17))</f>
        <v/>
      </c>
      <c r="L337" s="18" t="str">
        <f>IF('Classe CE1'!$B17="","",N('Classe CE1'!I17))</f>
        <v/>
      </c>
      <c r="M337" s="18" t="str">
        <f>IF('Classe CE1'!$B17="","",N('Classe CE1'!J17))</f>
        <v/>
      </c>
      <c r="N337" s="18" t="str">
        <f>IF('Classe CE1'!$B17="","",N('Classe CE1'!K17))</f>
        <v/>
      </c>
      <c r="O337" s="18" t="str">
        <f>IF('Classe CE1'!$B17="","",N('Classe CE1'!L17))</f>
        <v/>
      </c>
      <c r="P337" s="18" t="str">
        <f>IF('Classe CE1'!$B17="","",N('Classe CE1'!M17))</f>
        <v/>
      </c>
      <c r="Q337" s="17" t="str">
        <f>IF('Classe CE1'!$B17="","",IF('Classe CE1'!Q17="","",'Classe CE1'!Q17))</f>
        <v/>
      </c>
      <c r="R337" s="18" t="str">
        <f>IF('Classe CE1'!$B17="","",N('Classe CE1'!N17))</f>
        <v/>
      </c>
      <c r="S337" s="18" t="str">
        <f>IF('Classe CE1'!$B17="","",N('Classe CE1'!O17))</f>
        <v/>
      </c>
      <c r="T337" s="18" t="str">
        <f>IF('Classe CE1'!$B17="","",N('Classe CE1'!P17))</f>
        <v/>
      </c>
    </row>
    <row r="338">
      <c r="A338" s="20" t="str">
        <f>IF('Classe CE1'!$B18="","",IF('Classe CE1'!A18="","",'Classe CE1'!A18))</f>
        <v/>
      </c>
      <c r="B338" s="20" t="str">
        <f>IF('Classe CE1'!$B18="","",IF('Classe CE1'!B18="","",'Classe CE1'!B18))</f>
        <v/>
      </c>
      <c r="C338" s="20" t="str">
        <f>IF('Classe CE1'!$B18="","",IF('Classe CE1'!C18="","",'Classe CE1'!C18))</f>
        <v/>
      </c>
      <c r="D338" s="20" t="str">
        <f>IF($B338="","",C338&amp;" "&amp;B338&amp;" - "&amp;E338)</f>
        <v/>
      </c>
      <c r="E338" s="21" t="str">
        <f>IF($B338="","",Paramètres!$A$19)</f>
        <v/>
      </c>
      <c r="F338" s="21" t="str">
        <f>IF($B338="","",Paramètres!$B$19)</f>
        <v/>
      </c>
      <c r="G338" s="21" t="str">
        <f>IF('Classe CE1'!$B18="","",IF('Classe CE1'!D18="","",'Classe CE1'!D18))</f>
        <v/>
      </c>
      <c r="H338" s="77" t="str">
        <f>IF('Classe CE1'!$B18="","",IF('Classe CE1'!E18="","",'Classe CE1'!E18))</f>
        <v/>
      </c>
      <c r="I338" s="20" t="str">
        <f>IF('Classe CE1'!$B18="","",IF('Classe CE1'!F18="","",'Classe CE1'!F18))</f>
        <v/>
      </c>
      <c r="J338" s="20" t="str">
        <f>IF('Classe CE1'!$B18="","",IF('Classe CE1'!G18="","",'Classe CE1'!G18))</f>
        <v/>
      </c>
      <c r="K338" s="51" t="str">
        <f>IF('Classe CE1'!$B18="","",N('Classe CE1'!H18))</f>
        <v/>
      </c>
      <c r="L338" s="51" t="str">
        <f>IF('Classe CE1'!$B18="","",N('Classe CE1'!I18))</f>
        <v/>
      </c>
      <c r="M338" s="51" t="str">
        <f>IF('Classe CE1'!$B18="","",N('Classe CE1'!J18))</f>
        <v/>
      </c>
      <c r="N338" s="51" t="str">
        <f>IF('Classe CE1'!$B18="","",N('Classe CE1'!K18))</f>
        <v/>
      </c>
      <c r="O338" s="51" t="str">
        <f>IF('Classe CE1'!$B18="","",N('Classe CE1'!L18))</f>
        <v/>
      </c>
      <c r="P338" s="51" t="str">
        <f>IF('Classe CE1'!$B18="","",N('Classe CE1'!M18))</f>
        <v/>
      </c>
      <c r="Q338" s="21" t="str">
        <f>IF('Classe CE1'!$B18="","",IF('Classe CE1'!Q18="","",'Classe CE1'!Q18))</f>
        <v/>
      </c>
      <c r="R338" s="51" t="str">
        <f>IF('Classe CE1'!$B18="","",N('Classe CE1'!N18))</f>
        <v/>
      </c>
      <c r="S338" s="51" t="str">
        <f>IF('Classe CE1'!$B18="","",N('Classe CE1'!O18))</f>
        <v/>
      </c>
      <c r="T338" s="51" t="str">
        <f>IF('Classe CE1'!$B18="","",N('Classe CE1'!P18))</f>
        <v/>
      </c>
    </row>
    <row r="339">
      <c r="A339" s="16" t="str">
        <f>IF('Classe CE1'!$B19="","",IF('Classe CE1'!A19="","",'Classe CE1'!A19))</f>
        <v/>
      </c>
      <c r="B339" s="16" t="str">
        <f>IF('Classe CE1'!$B19="","",IF('Classe CE1'!B19="","",'Classe CE1'!B19))</f>
        <v/>
      </c>
      <c r="C339" s="16" t="str">
        <f>IF('Classe CE1'!$B19="","",IF('Classe CE1'!C19="","",'Classe CE1'!C19))</f>
        <v/>
      </c>
      <c r="D339" s="16" t="str">
        <f>IF($B339="","",C339&amp;" "&amp;B339&amp;" - "&amp;E339)</f>
        <v/>
      </c>
      <c r="E339" s="17" t="str">
        <f>IF($B339="","",Paramètres!$A$19)</f>
        <v/>
      </c>
      <c r="F339" s="17" t="str">
        <f>IF($B339="","",Paramètres!$B$19)</f>
        <v/>
      </c>
      <c r="G339" s="17" t="str">
        <f>IF('Classe CE1'!$B19="","",IF('Classe CE1'!D19="","",'Classe CE1'!D19))</f>
        <v/>
      </c>
      <c r="H339" s="78" t="str">
        <f>IF('Classe CE1'!$B19="","",IF('Classe CE1'!E19="","",'Classe CE1'!E19))</f>
        <v/>
      </c>
      <c r="I339" s="16" t="str">
        <f>IF('Classe CE1'!$B19="","",IF('Classe CE1'!F19="","",'Classe CE1'!F19))</f>
        <v/>
      </c>
      <c r="J339" s="16" t="str">
        <f>IF('Classe CE1'!$B19="","",IF('Classe CE1'!G19="","",'Classe CE1'!G19))</f>
        <v/>
      </c>
      <c r="K339" s="18" t="str">
        <f>IF('Classe CE1'!$B19="","",N('Classe CE1'!H19))</f>
        <v/>
      </c>
      <c r="L339" s="18" t="str">
        <f>IF('Classe CE1'!$B19="","",N('Classe CE1'!I19))</f>
        <v/>
      </c>
      <c r="M339" s="18" t="str">
        <f>IF('Classe CE1'!$B19="","",N('Classe CE1'!J19))</f>
        <v/>
      </c>
      <c r="N339" s="18" t="str">
        <f>IF('Classe CE1'!$B19="","",N('Classe CE1'!K19))</f>
        <v/>
      </c>
      <c r="O339" s="18" t="str">
        <f>IF('Classe CE1'!$B19="","",N('Classe CE1'!L19))</f>
        <v/>
      </c>
      <c r="P339" s="18" t="str">
        <f>IF('Classe CE1'!$B19="","",N('Classe CE1'!M19))</f>
        <v/>
      </c>
      <c r="Q339" s="17" t="str">
        <f>IF('Classe CE1'!$B19="","",IF('Classe CE1'!Q19="","",'Classe CE1'!Q19))</f>
        <v/>
      </c>
      <c r="R339" s="18" t="str">
        <f>IF('Classe CE1'!$B19="","",N('Classe CE1'!N19))</f>
        <v/>
      </c>
      <c r="S339" s="18" t="str">
        <f>IF('Classe CE1'!$B19="","",N('Classe CE1'!O19))</f>
        <v/>
      </c>
      <c r="T339" s="18" t="str">
        <f>IF('Classe CE1'!$B19="","",N('Classe CE1'!P19))</f>
        <v/>
      </c>
    </row>
    <row r="340">
      <c r="A340" s="20" t="str">
        <f>IF('Classe CE1'!$B20="","",IF('Classe CE1'!A20="","",'Classe CE1'!A20))</f>
        <v/>
      </c>
      <c r="B340" s="20" t="str">
        <f>IF('Classe CE1'!$B20="","",IF('Classe CE1'!B20="","",'Classe CE1'!B20))</f>
        <v/>
      </c>
      <c r="C340" s="20" t="str">
        <f>IF('Classe CE1'!$B20="","",IF('Classe CE1'!C20="","",'Classe CE1'!C20))</f>
        <v/>
      </c>
      <c r="D340" s="20" t="str">
        <f>IF($B340="","",C340&amp;" "&amp;B340&amp;" - "&amp;E340)</f>
        <v/>
      </c>
      <c r="E340" s="21" t="str">
        <f>IF($B340="","",Paramètres!$A$19)</f>
        <v/>
      </c>
      <c r="F340" s="21" t="str">
        <f>IF($B340="","",Paramètres!$B$19)</f>
        <v/>
      </c>
      <c r="G340" s="21" t="str">
        <f>IF('Classe CE1'!$B20="","",IF('Classe CE1'!D20="","",'Classe CE1'!D20))</f>
        <v/>
      </c>
      <c r="H340" s="77" t="str">
        <f>IF('Classe CE1'!$B20="","",IF('Classe CE1'!E20="","",'Classe CE1'!E20))</f>
        <v/>
      </c>
      <c r="I340" s="20" t="str">
        <f>IF('Classe CE1'!$B20="","",IF('Classe CE1'!F20="","",'Classe CE1'!F20))</f>
        <v/>
      </c>
      <c r="J340" s="20" t="str">
        <f>IF('Classe CE1'!$B20="","",IF('Classe CE1'!G20="","",'Classe CE1'!G20))</f>
        <v/>
      </c>
      <c r="K340" s="51" t="str">
        <f>IF('Classe CE1'!$B20="","",N('Classe CE1'!H20))</f>
        <v/>
      </c>
      <c r="L340" s="51" t="str">
        <f>IF('Classe CE1'!$B20="","",N('Classe CE1'!I20))</f>
        <v/>
      </c>
      <c r="M340" s="51" t="str">
        <f>IF('Classe CE1'!$B20="","",N('Classe CE1'!J20))</f>
        <v/>
      </c>
      <c r="N340" s="51" t="str">
        <f>IF('Classe CE1'!$B20="","",N('Classe CE1'!K20))</f>
        <v/>
      </c>
      <c r="O340" s="51" t="str">
        <f>IF('Classe CE1'!$B20="","",N('Classe CE1'!L20))</f>
        <v/>
      </c>
      <c r="P340" s="51" t="str">
        <f>IF('Classe CE1'!$B20="","",N('Classe CE1'!M20))</f>
        <v/>
      </c>
      <c r="Q340" s="21" t="str">
        <f>IF('Classe CE1'!$B20="","",IF('Classe CE1'!Q20="","",'Classe CE1'!Q20))</f>
        <v/>
      </c>
      <c r="R340" s="51" t="str">
        <f>IF('Classe CE1'!$B20="","",N('Classe CE1'!N20))</f>
        <v/>
      </c>
      <c r="S340" s="51" t="str">
        <f>IF('Classe CE1'!$B20="","",N('Classe CE1'!O20))</f>
        <v/>
      </c>
      <c r="T340" s="51" t="str">
        <f>IF('Classe CE1'!$B20="","",N('Classe CE1'!P20))</f>
        <v/>
      </c>
    </row>
    <row r="341">
      <c r="A341" s="16" t="str">
        <f>IF('Classe CE1'!$B21="","",IF('Classe CE1'!A21="","",'Classe CE1'!A21))</f>
        <v/>
      </c>
      <c r="B341" s="16" t="str">
        <f>IF('Classe CE1'!$B21="","",IF('Classe CE1'!B21="","",'Classe CE1'!B21))</f>
        <v/>
      </c>
      <c r="C341" s="16" t="str">
        <f>IF('Classe CE1'!$B21="","",IF('Classe CE1'!C21="","",'Classe CE1'!C21))</f>
        <v/>
      </c>
      <c r="D341" s="16" t="str">
        <f>IF($B341="","",C341&amp;" "&amp;B341&amp;" - "&amp;E341)</f>
        <v/>
      </c>
      <c r="E341" s="17" t="str">
        <f>IF($B341="","",Paramètres!$A$19)</f>
        <v/>
      </c>
      <c r="F341" s="17" t="str">
        <f>IF($B341="","",Paramètres!$B$19)</f>
        <v/>
      </c>
      <c r="G341" s="17" t="str">
        <f>IF('Classe CE1'!$B21="","",IF('Classe CE1'!D21="","",'Classe CE1'!D21))</f>
        <v/>
      </c>
      <c r="H341" s="78" t="str">
        <f>IF('Classe CE1'!$B21="","",IF('Classe CE1'!E21="","",'Classe CE1'!E21))</f>
        <v/>
      </c>
      <c r="I341" s="16" t="str">
        <f>IF('Classe CE1'!$B21="","",IF('Classe CE1'!F21="","",'Classe CE1'!F21))</f>
        <v/>
      </c>
      <c r="J341" s="16" t="str">
        <f>IF('Classe CE1'!$B21="","",IF('Classe CE1'!G21="","",'Classe CE1'!G21))</f>
        <v/>
      </c>
      <c r="K341" s="18" t="str">
        <f>IF('Classe CE1'!$B21="","",N('Classe CE1'!H21))</f>
        <v/>
      </c>
      <c r="L341" s="18" t="str">
        <f>IF('Classe CE1'!$B21="","",N('Classe CE1'!I21))</f>
        <v/>
      </c>
      <c r="M341" s="18" t="str">
        <f>IF('Classe CE1'!$B21="","",N('Classe CE1'!J21))</f>
        <v/>
      </c>
      <c r="N341" s="18" t="str">
        <f>IF('Classe CE1'!$B21="","",N('Classe CE1'!K21))</f>
        <v/>
      </c>
      <c r="O341" s="18" t="str">
        <f>IF('Classe CE1'!$B21="","",N('Classe CE1'!L21))</f>
        <v/>
      </c>
      <c r="P341" s="18" t="str">
        <f>IF('Classe CE1'!$B21="","",N('Classe CE1'!M21))</f>
        <v/>
      </c>
      <c r="Q341" s="17" t="str">
        <f>IF('Classe CE1'!$B21="","",IF('Classe CE1'!Q21="","",'Classe CE1'!Q21))</f>
        <v/>
      </c>
      <c r="R341" s="18" t="str">
        <f>IF('Classe CE1'!$B21="","",N('Classe CE1'!N21))</f>
        <v/>
      </c>
      <c r="S341" s="18" t="str">
        <f>IF('Classe CE1'!$B21="","",N('Classe CE1'!O21))</f>
        <v/>
      </c>
      <c r="T341" s="18" t="str">
        <f>IF('Classe CE1'!$B21="","",N('Classe CE1'!P21))</f>
        <v/>
      </c>
    </row>
    <row r="342">
      <c r="A342" s="20" t="str">
        <f>IF('Classe CE1'!$B22="","",IF('Classe CE1'!A22="","",'Classe CE1'!A22))</f>
        <v/>
      </c>
      <c r="B342" s="20" t="str">
        <f>IF('Classe CE1'!$B22="","",IF('Classe CE1'!B22="","",'Classe CE1'!B22))</f>
        <v/>
      </c>
      <c r="C342" s="20" t="str">
        <f>IF('Classe CE1'!$B22="","",IF('Classe CE1'!C22="","",'Classe CE1'!C22))</f>
        <v/>
      </c>
      <c r="D342" s="20" t="str">
        <f>IF($B342="","",C342&amp;" "&amp;B342&amp;" - "&amp;E342)</f>
        <v/>
      </c>
      <c r="E342" s="21" t="str">
        <f>IF($B342="","",Paramètres!$A$19)</f>
        <v/>
      </c>
      <c r="F342" s="21" t="str">
        <f>IF($B342="","",Paramètres!$B$19)</f>
        <v/>
      </c>
      <c r="G342" s="21" t="str">
        <f>IF('Classe CE1'!$B22="","",IF('Classe CE1'!D22="","",'Classe CE1'!D22))</f>
        <v/>
      </c>
      <c r="H342" s="77" t="str">
        <f>IF('Classe CE1'!$B22="","",IF('Classe CE1'!E22="","",'Classe CE1'!E22))</f>
        <v/>
      </c>
      <c r="I342" s="20" t="str">
        <f>IF('Classe CE1'!$B22="","",IF('Classe CE1'!F22="","",'Classe CE1'!F22))</f>
        <v/>
      </c>
      <c r="J342" s="20" t="str">
        <f>IF('Classe CE1'!$B22="","",IF('Classe CE1'!G22="","",'Classe CE1'!G22))</f>
        <v/>
      </c>
      <c r="K342" s="51" t="str">
        <f>IF('Classe CE1'!$B22="","",N('Classe CE1'!H22))</f>
        <v/>
      </c>
      <c r="L342" s="51" t="str">
        <f>IF('Classe CE1'!$B22="","",N('Classe CE1'!I22))</f>
        <v/>
      </c>
      <c r="M342" s="51" t="str">
        <f>IF('Classe CE1'!$B22="","",N('Classe CE1'!J22))</f>
        <v/>
      </c>
      <c r="N342" s="51" t="str">
        <f>IF('Classe CE1'!$B22="","",N('Classe CE1'!K22))</f>
        <v/>
      </c>
      <c r="O342" s="51" t="str">
        <f>IF('Classe CE1'!$B22="","",N('Classe CE1'!L22))</f>
        <v/>
      </c>
      <c r="P342" s="51" t="str">
        <f>IF('Classe CE1'!$B22="","",N('Classe CE1'!M22))</f>
        <v/>
      </c>
      <c r="Q342" s="21" t="str">
        <f>IF('Classe CE1'!$B22="","",IF('Classe CE1'!Q22="","",'Classe CE1'!Q22))</f>
        <v/>
      </c>
      <c r="R342" s="51" t="str">
        <f>IF('Classe CE1'!$B22="","",N('Classe CE1'!N22))</f>
        <v/>
      </c>
      <c r="S342" s="51" t="str">
        <f>IF('Classe CE1'!$B22="","",N('Classe CE1'!O22))</f>
        <v/>
      </c>
      <c r="T342" s="51" t="str">
        <f>IF('Classe CE1'!$B22="","",N('Classe CE1'!P22))</f>
        <v/>
      </c>
    </row>
    <row r="343">
      <c r="A343" s="16" t="str">
        <f>IF('Classe CE1'!$B23="","",IF('Classe CE1'!A23="","",'Classe CE1'!A23))</f>
        <v/>
      </c>
      <c r="B343" s="16" t="str">
        <f>IF('Classe CE1'!$B23="","",IF('Classe CE1'!B23="","",'Classe CE1'!B23))</f>
        <v/>
      </c>
      <c r="C343" s="16" t="str">
        <f>IF('Classe CE1'!$B23="","",IF('Classe CE1'!C23="","",'Classe CE1'!C23))</f>
        <v/>
      </c>
      <c r="D343" s="16" t="str">
        <f>IF($B343="","",C343&amp;" "&amp;B343&amp;" - "&amp;E343)</f>
        <v/>
      </c>
      <c r="E343" s="17" t="str">
        <f>IF($B343="","",Paramètres!$A$19)</f>
        <v/>
      </c>
      <c r="F343" s="17" t="str">
        <f>IF($B343="","",Paramètres!$B$19)</f>
        <v/>
      </c>
      <c r="G343" s="17" t="str">
        <f>IF('Classe CE1'!$B23="","",IF('Classe CE1'!D23="","",'Classe CE1'!D23))</f>
        <v/>
      </c>
      <c r="H343" s="78" t="str">
        <f>IF('Classe CE1'!$B23="","",IF('Classe CE1'!E23="","",'Classe CE1'!E23))</f>
        <v/>
      </c>
      <c r="I343" s="16" t="str">
        <f>IF('Classe CE1'!$B23="","",IF('Classe CE1'!F23="","",'Classe CE1'!F23))</f>
        <v/>
      </c>
      <c r="J343" s="16" t="str">
        <f>IF('Classe CE1'!$B23="","",IF('Classe CE1'!G23="","",'Classe CE1'!G23))</f>
        <v/>
      </c>
      <c r="K343" s="18" t="str">
        <f>IF('Classe CE1'!$B23="","",N('Classe CE1'!H23))</f>
        <v/>
      </c>
      <c r="L343" s="18" t="str">
        <f>IF('Classe CE1'!$B23="","",N('Classe CE1'!I23))</f>
        <v/>
      </c>
      <c r="M343" s="18" t="str">
        <f>IF('Classe CE1'!$B23="","",N('Classe CE1'!J23))</f>
        <v/>
      </c>
      <c r="N343" s="18" t="str">
        <f>IF('Classe CE1'!$B23="","",N('Classe CE1'!K23))</f>
        <v/>
      </c>
      <c r="O343" s="18" t="str">
        <f>IF('Classe CE1'!$B23="","",N('Classe CE1'!L23))</f>
        <v/>
      </c>
      <c r="P343" s="18" t="str">
        <f>IF('Classe CE1'!$B23="","",N('Classe CE1'!M23))</f>
        <v/>
      </c>
      <c r="Q343" s="17" t="str">
        <f>IF('Classe CE1'!$B23="","",IF('Classe CE1'!Q23="","",'Classe CE1'!Q23))</f>
        <v/>
      </c>
      <c r="R343" s="18" t="str">
        <f>IF('Classe CE1'!$B23="","",N('Classe CE1'!N23))</f>
        <v/>
      </c>
      <c r="S343" s="18" t="str">
        <f>IF('Classe CE1'!$B23="","",N('Classe CE1'!O23))</f>
        <v/>
      </c>
      <c r="T343" s="18" t="str">
        <f>IF('Classe CE1'!$B23="","",N('Classe CE1'!P23))</f>
        <v/>
      </c>
    </row>
    <row r="344">
      <c r="A344" s="20" t="str">
        <f>IF('Classe CE1'!$B24="","",IF('Classe CE1'!A24="","",'Classe CE1'!A24))</f>
        <v/>
      </c>
      <c r="B344" s="20" t="str">
        <f>IF('Classe CE1'!$B24="","",IF('Classe CE1'!B24="","",'Classe CE1'!B24))</f>
        <v/>
      </c>
      <c r="C344" s="20" t="str">
        <f>IF('Classe CE1'!$B24="","",IF('Classe CE1'!C24="","",'Classe CE1'!C24))</f>
        <v/>
      </c>
      <c r="D344" s="20" t="str">
        <f>IF($B344="","",C344&amp;" "&amp;B344&amp;" - "&amp;E344)</f>
        <v/>
      </c>
      <c r="E344" s="21" t="str">
        <f>IF($B344="","",Paramètres!$A$19)</f>
        <v/>
      </c>
      <c r="F344" s="21" t="str">
        <f>IF($B344="","",Paramètres!$B$19)</f>
        <v/>
      </c>
      <c r="G344" s="21" t="str">
        <f>IF('Classe CE1'!$B24="","",IF('Classe CE1'!D24="","",'Classe CE1'!D24))</f>
        <v/>
      </c>
      <c r="H344" s="77" t="str">
        <f>IF('Classe CE1'!$B24="","",IF('Classe CE1'!E24="","",'Classe CE1'!E24))</f>
        <v/>
      </c>
      <c r="I344" s="20" t="str">
        <f>IF('Classe CE1'!$B24="","",IF('Classe CE1'!F24="","",'Classe CE1'!F24))</f>
        <v/>
      </c>
      <c r="J344" s="20" t="str">
        <f>IF('Classe CE1'!$B24="","",IF('Classe CE1'!G24="","",'Classe CE1'!G24))</f>
        <v/>
      </c>
      <c r="K344" s="51" t="str">
        <f>IF('Classe CE1'!$B24="","",N('Classe CE1'!H24))</f>
        <v/>
      </c>
      <c r="L344" s="51" t="str">
        <f>IF('Classe CE1'!$B24="","",N('Classe CE1'!I24))</f>
        <v/>
      </c>
      <c r="M344" s="51" t="str">
        <f>IF('Classe CE1'!$B24="","",N('Classe CE1'!J24))</f>
        <v/>
      </c>
      <c r="N344" s="51" t="str">
        <f>IF('Classe CE1'!$B24="","",N('Classe CE1'!K24))</f>
        <v/>
      </c>
      <c r="O344" s="51" t="str">
        <f>IF('Classe CE1'!$B24="","",N('Classe CE1'!L24))</f>
        <v/>
      </c>
      <c r="P344" s="51" t="str">
        <f>IF('Classe CE1'!$B24="","",N('Classe CE1'!M24))</f>
        <v/>
      </c>
      <c r="Q344" s="21" t="str">
        <f>IF('Classe CE1'!$B24="","",IF('Classe CE1'!Q24="","",'Classe CE1'!Q24))</f>
        <v/>
      </c>
      <c r="R344" s="51" t="str">
        <f>IF('Classe CE1'!$B24="","",N('Classe CE1'!N24))</f>
        <v/>
      </c>
      <c r="S344" s="51" t="str">
        <f>IF('Classe CE1'!$B24="","",N('Classe CE1'!O24))</f>
        <v/>
      </c>
      <c r="T344" s="51" t="str">
        <f>IF('Classe CE1'!$B24="","",N('Classe CE1'!P24))</f>
        <v/>
      </c>
    </row>
    <row r="345">
      <c r="A345" s="16" t="str">
        <f>IF('Classe CE1'!$B25="","",IF('Classe CE1'!A25="","",'Classe CE1'!A25))</f>
        <v/>
      </c>
      <c r="B345" s="16" t="str">
        <f>IF('Classe CE1'!$B25="","",IF('Classe CE1'!B25="","",'Classe CE1'!B25))</f>
        <v/>
      </c>
      <c r="C345" s="16" t="str">
        <f>IF('Classe CE1'!$B25="","",IF('Classe CE1'!C25="","",'Classe CE1'!C25))</f>
        <v/>
      </c>
      <c r="D345" s="16" t="str">
        <f>IF($B345="","",C345&amp;" "&amp;B345&amp;" - "&amp;E345)</f>
        <v/>
      </c>
      <c r="E345" s="17" t="str">
        <f>IF($B345="","",Paramètres!$A$19)</f>
        <v/>
      </c>
      <c r="F345" s="17" t="str">
        <f>IF($B345="","",Paramètres!$B$19)</f>
        <v/>
      </c>
      <c r="G345" s="17" t="str">
        <f>IF('Classe CE1'!$B25="","",IF('Classe CE1'!D25="","",'Classe CE1'!D25))</f>
        <v/>
      </c>
      <c r="H345" s="78" t="str">
        <f>IF('Classe CE1'!$B25="","",IF('Classe CE1'!E25="","",'Classe CE1'!E25))</f>
        <v/>
      </c>
      <c r="I345" s="16" t="str">
        <f>IF('Classe CE1'!$B25="","",IF('Classe CE1'!F25="","",'Classe CE1'!F25))</f>
        <v/>
      </c>
      <c r="J345" s="16" t="str">
        <f>IF('Classe CE1'!$B25="","",IF('Classe CE1'!G25="","",'Classe CE1'!G25))</f>
        <v/>
      </c>
      <c r="K345" s="18" t="str">
        <f>IF('Classe CE1'!$B25="","",N('Classe CE1'!H25))</f>
        <v/>
      </c>
      <c r="L345" s="18" t="str">
        <f>IF('Classe CE1'!$B25="","",N('Classe CE1'!I25))</f>
        <v/>
      </c>
      <c r="M345" s="18" t="str">
        <f>IF('Classe CE1'!$B25="","",N('Classe CE1'!J25))</f>
        <v/>
      </c>
      <c r="N345" s="18" t="str">
        <f>IF('Classe CE1'!$B25="","",N('Classe CE1'!K25))</f>
        <v/>
      </c>
      <c r="O345" s="18" t="str">
        <f>IF('Classe CE1'!$B25="","",N('Classe CE1'!L25))</f>
        <v/>
      </c>
      <c r="P345" s="18" t="str">
        <f>IF('Classe CE1'!$B25="","",N('Classe CE1'!M25))</f>
        <v/>
      </c>
      <c r="Q345" s="17" t="str">
        <f>IF('Classe CE1'!$B25="","",IF('Classe CE1'!Q25="","",'Classe CE1'!Q25))</f>
        <v/>
      </c>
      <c r="R345" s="18" t="str">
        <f>IF('Classe CE1'!$B25="","",N('Classe CE1'!N25))</f>
        <v/>
      </c>
      <c r="S345" s="18" t="str">
        <f>IF('Classe CE1'!$B25="","",N('Classe CE1'!O25))</f>
        <v/>
      </c>
      <c r="T345" s="18" t="str">
        <f>IF('Classe CE1'!$B25="","",N('Classe CE1'!P25))</f>
        <v/>
      </c>
    </row>
    <row r="346">
      <c r="A346" s="20" t="str">
        <f>IF('Classe CE1'!$B26="","",IF('Classe CE1'!A26="","",'Classe CE1'!A26))</f>
        <v/>
      </c>
      <c r="B346" s="20" t="str">
        <f>IF('Classe CE1'!$B26="","",IF('Classe CE1'!B26="","",'Classe CE1'!B26))</f>
        <v/>
      </c>
      <c r="C346" s="20" t="str">
        <f>IF('Classe CE1'!$B26="","",IF('Classe CE1'!C26="","",'Classe CE1'!C26))</f>
        <v/>
      </c>
      <c r="D346" s="20" t="str">
        <f>IF($B346="","",C346&amp;" "&amp;B346&amp;" - "&amp;E346)</f>
        <v/>
      </c>
      <c r="E346" s="21" t="str">
        <f>IF($B346="","",Paramètres!$A$19)</f>
        <v/>
      </c>
      <c r="F346" s="21" t="str">
        <f>IF($B346="","",Paramètres!$B$19)</f>
        <v/>
      </c>
      <c r="G346" s="21" t="str">
        <f>IF('Classe CE1'!$B26="","",IF('Classe CE1'!D26="","",'Classe CE1'!D26))</f>
        <v/>
      </c>
      <c r="H346" s="77" t="str">
        <f>IF('Classe CE1'!$B26="","",IF('Classe CE1'!E26="","",'Classe CE1'!E26))</f>
        <v/>
      </c>
      <c r="I346" s="20" t="str">
        <f>IF('Classe CE1'!$B26="","",IF('Classe CE1'!F26="","",'Classe CE1'!F26))</f>
        <v/>
      </c>
      <c r="J346" s="20" t="str">
        <f>IF('Classe CE1'!$B26="","",IF('Classe CE1'!G26="","",'Classe CE1'!G26))</f>
        <v/>
      </c>
      <c r="K346" s="51" t="str">
        <f>IF('Classe CE1'!$B26="","",N('Classe CE1'!H26))</f>
        <v/>
      </c>
      <c r="L346" s="51" t="str">
        <f>IF('Classe CE1'!$B26="","",N('Classe CE1'!I26))</f>
        <v/>
      </c>
      <c r="M346" s="51" t="str">
        <f>IF('Classe CE1'!$B26="","",N('Classe CE1'!J26))</f>
        <v/>
      </c>
      <c r="N346" s="51" t="str">
        <f>IF('Classe CE1'!$B26="","",N('Classe CE1'!K26))</f>
        <v/>
      </c>
      <c r="O346" s="51" t="str">
        <f>IF('Classe CE1'!$B26="","",N('Classe CE1'!L26))</f>
        <v/>
      </c>
      <c r="P346" s="51" t="str">
        <f>IF('Classe CE1'!$B26="","",N('Classe CE1'!M26))</f>
        <v/>
      </c>
      <c r="Q346" s="21" t="str">
        <f>IF('Classe CE1'!$B26="","",IF('Classe CE1'!Q26="","",'Classe CE1'!Q26))</f>
        <v/>
      </c>
      <c r="R346" s="51" t="str">
        <f>IF('Classe CE1'!$B26="","",N('Classe CE1'!N26))</f>
        <v/>
      </c>
      <c r="S346" s="51" t="str">
        <f>IF('Classe CE1'!$B26="","",N('Classe CE1'!O26))</f>
        <v/>
      </c>
      <c r="T346" s="51" t="str">
        <f>IF('Classe CE1'!$B26="","",N('Classe CE1'!P26))</f>
        <v/>
      </c>
    </row>
    <row r="347">
      <c r="A347" s="16" t="str">
        <f>IF('Classe CE1'!$B27="","",IF('Classe CE1'!A27="","",'Classe CE1'!A27))</f>
        <v/>
      </c>
      <c r="B347" s="16" t="str">
        <f>IF('Classe CE1'!$B27="","",IF('Classe CE1'!B27="","",'Classe CE1'!B27))</f>
        <v/>
      </c>
      <c r="C347" s="16" t="str">
        <f>IF('Classe CE1'!$B27="","",IF('Classe CE1'!C27="","",'Classe CE1'!C27))</f>
        <v/>
      </c>
      <c r="D347" s="16" t="str">
        <f>IF($B347="","",C347&amp;" "&amp;B347&amp;" - "&amp;E347)</f>
        <v/>
      </c>
      <c r="E347" s="17" t="str">
        <f>IF($B347="","",Paramètres!$A$19)</f>
        <v/>
      </c>
      <c r="F347" s="17" t="str">
        <f>IF($B347="","",Paramètres!$B$19)</f>
        <v/>
      </c>
      <c r="G347" s="17" t="str">
        <f>IF('Classe CE1'!$B27="","",IF('Classe CE1'!D27="","",'Classe CE1'!D27))</f>
        <v/>
      </c>
      <c r="H347" s="78" t="str">
        <f>IF('Classe CE1'!$B27="","",IF('Classe CE1'!E27="","",'Classe CE1'!E27))</f>
        <v/>
      </c>
      <c r="I347" s="16" t="str">
        <f>IF('Classe CE1'!$B27="","",IF('Classe CE1'!F27="","",'Classe CE1'!F27))</f>
        <v/>
      </c>
      <c r="J347" s="16" t="str">
        <f>IF('Classe CE1'!$B27="","",IF('Classe CE1'!G27="","",'Classe CE1'!G27))</f>
        <v/>
      </c>
      <c r="K347" s="18" t="str">
        <f>IF('Classe CE1'!$B27="","",N('Classe CE1'!H27))</f>
        <v/>
      </c>
      <c r="L347" s="18" t="str">
        <f>IF('Classe CE1'!$B27="","",N('Classe CE1'!I27))</f>
        <v/>
      </c>
      <c r="M347" s="18" t="str">
        <f>IF('Classe CE1'!$B27="","",N('Classe CE1'!J27))</f>
        <v/>
      </c>
      <c r="N347" s="18" t="str">
        <f>IF('Classe CE1'!$B27="","",N('Classe CE1'!K27))</f>
        <v/>
      </c>
      <c r="O347" s="18" t="str">
        <f>IF('Classe CE1'!$B27="","",N('Classe CE1'!L27))</f>
        <v/>
      </c>
      <c r="P347" s="18" t="str">
        <f>IF('Classe CE1'!$B27="","",N('Classe CE1'!M27))</f>
        <v/>
      </c>
      <c r="Q347" s="17" t="str">
        <f>IF('Classe CE1'!$B27="","",IF('Classe CE1'!Q27="","",'Classe CE1'!Q27))</f>
        <v/>
      </c>
      <c r="R347" s="18" t="str">
        <f>IF('Classe CE1'!$B27="","",N('Classe CE1'!N27))</f>
        <v/>
      </c>
      <c r="S347" s="18" t="str">
        <f>IF('Classe CE1'!$B27="","",N('Classe CE1'!O27))</f>
        <v/>
      </c>
      <c r="T347" s="18" t="str">
        <f>IF('Classe CE1'!$B27="","",N('Classe CE1'!P27))</f>
        <v/>
      </c>
    </row>
    <row r="348">
      <c r="A348" s="20" t="str">
        <f>IF('Classe CE1'!$B28="","",IF('Classe CE1'!A28="","",'Classe CE1'!A28))</f>
        <v/>
      </c>
      <c r="B348" s="20" t="str">
        <f>IF('Classe CE1'!$B28="","",IF('Classe CE1'!B28="","",'Classe CE1'!B28))</f>
        <v/>
      </c>
      <c r="C348" s="20" t="str">
        <f>IF('Classe CE1'!$B28="","",IF('Classe CE1'!C28="","",'Classe CE1'!C28))</f>
        <v/>
      </c>
      <c r="D348" s="20" t="str">
        <f>IF($B348="","",C348&amp;" "&amp;B348&amp;" - "&amp;E348)</f>
        <v/>
      </c>
      <c r="E348" s="21" t="str">
        <f>IF($B348="","",Paramètres!$A$19)</f>
        <v/>
      </c>
      <c r="F348" s="21" t="str">
        <f>IF($B348="","",Paramètres!$B$19)</f>
        <v/>
      </c>
      <c r="G348" s="21" t="str">
        <f>IF('Classe CE1'!$B28="","",IF('Classe CE1'!D28="","",'Classe CE1'!D28))</f>
        <v/>
      </c>
      <c r="H348" s="77" t="str">
        <f>IF('Classe CE1'!$B28="","",IF('Classe CE1'!E28="","",'Classe CE1'!E28))</f>
        <v/>
      </c>
      <c r="I348" s="20" t="str">
        <f>IF('Classe CE1'!$B28="","",IF('Classe CE1'!F28="","",'Classe CE1'!F28))</f>
        <v/>
      </c>
      <c r="J348" s="20" t="str">
        <f>IF('Classe CE1'!$B28="","",IF('Classe CE1'!G28="","",'Classe CE1'!G28))</f>
        <v/>
      </c>
      <c r="K348" s="51" t="str">
        <f>IF('Classe CE1'!$B28="","",N('Classe CE1'!H28))</f>
        <v/>
      </c>
      <c r="L348" s="51" t="str">
        <f>IF('Classe CE1'!$B28="","",N('Classe CE1'!I28))</f>
        <v/>
      </c>
      <c r="M348" s="51" t="str">
        <f>IF('Classe CE1'!$B28="","",N('Classe CE1'!J28))</f>
        <v/>
      </c>
      <c r="N348" s="51" t="str">
        <f>IF('Classe CE1'!$B28="","",N('Classe CE1'!K28))</f>
        <v/>
      </c>
      <c r="O348" s="51" t="str">
        <f>IF('Classe CE1'!$B28="","",N('Classe CE1'!L28))</f>
        <v/>
      </c>
      <c r="P348" s="51" t="str">
        <f>IF('Classe CE1'!$B28="","",N('Classe CE1'!M28))</f>
        <v/>
      </c>
      <c r="Q348" s="21" t="str">
        <f>IF('Classe CE1'!$B28="","",IF('Classe CE1'!Q28="","",'Classe CE1'!Q28))</f>
        <v/>
      </c>
      <c r="R348" s="51" t="str">
        <f>IF('Classe CE1'!$B28="","",N('Classe CE1'!N28))</f>
        <v/>
      </c>
      <c r="S348" s="51" t="str">
        <f>IF('Classe CE1'!$B28="","",N('Classe CE1'!O28))</f>
        <v/>
      </c>
      <c r="T348" s="51" t="str">
        <f>IF('Classe CE1'!$B28="","",N('Classe CE1'!P28))</f>
        <v/>
      </c>
    </row>
    <row r="349">
      <c r="A349" s="16" t="str">
        <f>IF('Classe CE1'!$B29="","",IF('Classe CE1'!A29="","",'Classe CE1'!A29))</f>
        <v/>
      </c>
      <c r="B349" s="16" t="str">
        <f>IF('Classe CE1'!$B29="","",IF('Classe CE1'!B29="","",'Classe CE1'!B29))</f>
        <v/>
      </c>
      <c r="C349" s="16" t="str">
        <f>IF('Classe CE1'!$B29="","",IF('Classe CE1'!C29="","",'Classe CE1'!C29))</f>
        <v/>
      </c>
      <c r="D349" s="16" t="str">
        <f>IF($B349="","",C349&amp;" "&amp;B349&amp;" - "&amp;E349)</f>
        <v/>
      </c>
      <c r="E349" s="17" t="str">
        <f>IF($B349="","",Paramètres!$A$19)</f>
        <v/>
      </c>
      <c r="F349" s="17" t="str">
        <f>IF($B349="","",Paramètres!$B$19)</f>
        <v/>
      </c>
      <c r="G349" s="17" t="str">
        <f>IF('Classe CE1'!$B29="","",IF('Classe CE1'!D29="","",'Classe CE1'!D29))</f>
        <v/>
      </c>
      <c r="H349" s="78" t="str">
        <f>IF('Classe CE1'!$B29="","",IF('Classe CE1'!E29="","",'Classe CE1'!E29))</f>
        <v/>
      </c>
      <c r="I349" s="16" t="str">
        <f>IF('Classe CE1'!$B29="","",IF('Classe CE1'!F29="","",'Classe CE1'!F29))</f>
        <v/>
      </c>
      <c r="J349" s="16" t="str">
        <f>IF('Classe CE1'!$B29="","",IF('Classe CE1'!G29="","",'Classe CE1'!G29))</f>
        <v/>
      </c>
      <c r="K349" s="18" t="str">
        <f>IF('Classe CE1'!$B29="","",N('Classe CE1'!H29))</f>
        <v/>
      </c>
      <c r="L349" s="18" t="str">
        <f>IF('Classe CE1'!$B29="","",N('Classe CE1'!I29))</f>
        <v/>
      </c>
      <c r="M349" s="18" t="str">
        <f>IF('Classe CE1'!$B29="","",N('Classe CE1'!J29))</f>
        <v/>
      </c>
      <c r="N349" s="18" t="str">
        <f>IF('Classe CE1'!$B29="","",N('Classe CE1'!K29))</f>
        <v/>
      </c>
      <c r="O349" s="18" t="str">
        <f>IF('Classe CE1'!$B29="","",N('Classe CE1'!L29))</f>
        <v/>
      </c>
      <c r="P349" s="18" t="str">
        <f>IF('Classe CE1'!$B29="","",N('Classe CE1'!M29))</f>
        <v/>
      </c>
      <c r="Q349" s="17" t="str">
        <f>IF('Classe CE1'!$B29="","",IF('Classe CE1'!Q29="","",'Classe CE1'!Q29))</f>
        <v/>
      </c>
      <c r="R349" s="18" t="str">
        <f>IF('Classe CE1'!$B29="","",N('Classe CE1'!N29))</f>
        <v/>
      </c>
      <c r="S349" s="18" t="str">
        <f>IF('Classe CE1'!$B29="","",N('Classe CE1'!O29))</f>
        <v/>
      </c>
      <c r="T349" s="18" t="str">
        <f>IF('Classe CE1'!$B29="","",N('Classe CE1'!P29))</f>
        <v/>
      </c>
    </row>
    <row r="350">
      <c r="A350" s="20" t="str">
        <f>IF('Classe CE1'!$B30="","",IF('Classe CE1'!A30="","",'Classe CE1'!A30))</f>
        <v/>
      </c>
      <c r="B350" s="20" t="str">
        <f>IF('Classe CE1'!$B30="","",IF('Classe CE1'!B30="","",'Classe CE1'!B30))</f>
        <v/>
      </c>
      <c r="C350" s="20" t="str">
        <f>IF('Classe CE1'!$B30="","",IF('Classe CE1'!C30="","",'Classe CE1'!C30))</f>
        <v/>
      </c>
      <c r="D350" s="20" t="str">
        <f>IF($B350="","",C350&amp;" "&amp;B350&amp;" - "&amp;E350)</f>
        <v/>
      </c>
      <c r="E350" s="21" t="str">
        <f>IF($B350="","",Paramètres!$A$19)</f>
        <v/>
      </c>
      <c r="F350" s="21" t="str">
        <f>IF($B350="","",Paramètres!$B$19)</f>
        <v/>
      </c>
      <c r="G350" s="21" t="str">
        <f>IF('Classe CE1'!$B30="","",IF('Classe CE1'!D30="","",'Classe CE1'!D30))</f>
        <v/>
      </c>
      <c r="H350" s="77" t="str">
        <f>IF('Classe CE1'!$B30="","",IF('Classe CE1'!E30="","",'Classe CE1'!E30))</f>
        <v/>
      </c>
      <c r="I350" s="20" t="str">
        <f>IF('Classe CE1'!$B30="","",IF('Classe CE1'!F30="","",'Classe CE1'!F30))</f>
        <v/>
      </c>
      <c r="J350" s="20" t="str">
        <f>IF('Classe CE1'!$B30="","",IF('Classe CE1'!G30="","",'Classe CE1'!G30))</f>
        <v/>
      </c>
      <c r="K350" s="51" t="str">
        <f>IF('Classe CE1'!$B30="","",N('Classe CE1'!H30))</f>
        <v/>
      </c>
      <c r="L350" s="51" t="str">
        <f>IF('Classe CE1'!$B30="","",N('Classe CE1'!I30))</f>
        <v/>
      </c>
      <c r="M350" s="51" t="str">
        <f>IF('Classe CE1'!$B30="","",N('Classe CE1'!J30))</f>
        <v/>
      </c>
      <c r="N350" s="51" t="str">
        <f>IF('Classe CE1'!$B30="","",N('Classe CE1'!K30))</f>
        <v/>
      </c>
      <c r="O350" s="51" t="str">
        <f>IF('Classe CE1'!$B30="","",N('Classe CE1'!L30))</f>
        <v/>
      </c>
      <c r="P350" s="51" t="str">
        <f>IF('Classe CE1'!$B30="","",N('Classe CE1'!M30))</f>
        <v/>
      </c>
      <c r="Q350" s="21" t="str">
        <f>IF('Classe CE1'!$B30="","",IF('Classe CE1'!Q30="","",'Classe CE1'!Q30))</f>
        <v/>
      </c>
      <c r="R350" s="51" t="str">
        <f>IF('Classe CE1'!$B30="","",N('Classe CE1'!N30))</f>
        <v/>
      </c>
      <c r="S350" s="51" t="str">
        <f>IF('Classe CE1'!$B30="","",N('Classe CE1'!O30))</f>
        <v/>
      </c>
      <c r="T350" s="51" t="str">
        <f>IF('Classe CE1'!$B30="","",N('Classe CE1'!P30))</f>
        <v/>
      </c>
    </row>
    <row r="351">
      <c r="A351" s="16" t="str">
        <f>IF('Classe CE1'!$B31="","",IF('Classe CE1'!A31="","",'Classe CE1'!A31))</f>
        <v/>
      </c>
      <c r="B351" s="16" t="str">
        <f>IF('Classe CE1'!$B31="","",IF('Classe CE1'!B31="","",'Classe CE1'!B31))</f>
        <v/>
      </c>
      <c r="C351" s="16" t="str">
        <f>IF('Classe CE1'!$B31="","",IF('Classe CE1'!C31="","",'Classe CE1'!C31))</f>
        <v/>
      </c>
      <c r="D351" s="16" t="str">
        <f>IF($B351="","",C351&amp;" "&amp;B351&amp;" - "&amp;E351)</f>
        <v/>
      </c>
      <c r="E351" s="17" t="str">
        <f>IF($B351="","",Paramètres!$A$19)</f>
        <v/>
      </c>
      <c r="F351" s="17" t="str">
        <f>IF($B351="","",Paramètres!$B$19)</f>
        <v/>
      </c>
      <c r="G351" s="17" t="str">
        <f>IF('Classe CE1'!$B31="","",IF('Classe CE1'!D31="","",'Classe CE1'!D31))</f>
        <v/>
      </c>
      <c r="H351" s="78" t="str">
        <f>IF('Classe CE1'!$B31="","",IF('Classe CE1'!E31="","",'Classe CE1'!E31))</f>
        <v/>
      </c>
      <c r="I351" s="16" t="str">
        <f>IF('Classe CE1'!$B31="","",IF('Classe CE1'!F31="","",'Classe CE1'!F31))</f>
        <v/>
      </c>
      <c r="J351" s="16" t="str">
        <f>IF('Classe CE1'!$B31="","",IF('Classe CE1'!G31="","",'Classe CE1'!G31))</f>
        <v/>
      </c>
      <c r="K351" s="18" t="str">
        <f>IF('Classe CE1'!$B31="","",N('Classe CE1'!H31))</f>
        <v/>
      </c>
      <c r="L351" s="18" t="str">
        <f>IF('Classe CE1'!$B31="","",N('Classe CE1'!I31))</f>
        <v/>
      </c>
      <c r="M351" s="18" t="str">
        <f>IF('Classe CE1'!$B31="","",N('Classe CE1'!J31))</f>
        <v/>
      </c>
      <c r="N351" s="18" t="str">
        <f>IF('Classe CE1'!$B31="","",N('Classe CE1'!K31))</f>
        <v/>
      </c>
      <c r="O351" s="18" t="str">
        <f>IF('Classe CE1'!$B31="","",N('Classe CE1'!L31))</f>
        <v/>
      </c>
      <c r="P351" s="18" t="str">
        <f>IF('Classe CE1'!$B31="","",N('Classe CE1'!M31))</f>
        <v/>
      </c>
      <c r="Q351" s="17" t="str">
        <f>IF('Classe CE1'!$B31="","",IF('Classe CE1'!Q31="","",'Classe CE1'!Q31))</f>
        <v/>
      </c>
      <c r="R351" s="18" t="str">
        <f>IF('Classe CE1'!$B31="","",N('Classe CE1'!N31))</f>
        <v/>
      </c>
      <c r="S351" s="18" t="str">
        <f>IF('Classe CE1'!$B31="","",N('Classe CE1'!O31))</f>
        <v/>
      </c>
      <c r="T351" s="18" t="str">
        <f>IF('Classe CE1'!$B31="","",N('Classe CE1'!P31))</f>
        <v/>
      </c>
    </row>
    <row r="352">
      <c r="A352" s="20" t="str">
        <f>IF('Classe CE1'!$B32="","",IF('Classe CE1'!A32="","",'Classe CE1'!A32))</f>
        <v/>
      </c>
      <c r="B352" s="20" t="str">
        <f>IF('Classe CE1'!$B32="","",IF('Classe CE1'!B32="","",'Classe CE1'!B32))</f>
        <v/>
      </c>
      <c r="C352" s="20" t="str">
        <f>IF('Classe CE1'!$B32="","",IF('Classe CE1'!C32="","",'Classe CE1'!C32))</f>
        <v/>
      </c>
      <c r="D352" s="20" t="str">
        <f>IF($B352="","",C352&amp;" "&amp;B352&amp;" - "&amp;E352)</f>
        <v/>
      </c>
      <c r="E352" s="21" t="str">
        <f>IF($B352="","",Paramètres!$A$19)</f>
        <v/>
      </c>
      <c r="F352" s="21" t="str">
        <f>IF($B352="","",Paramètres!$B$19)</f>
        <v/>
      </c>
      <c r="G352" s="21" t="str">
        <f>IF('Classe CE1'!$B32="","",IF('Classe CE1'!D32="","",'Classe CE1'!D32))</f>
        <v/>
      </c>
      <c r="H352" s="77" t="str">
        <f>IF('Classe CE1'!$B32="","",IF('Classe CE1'!E32="","",'Classe CE1'!E32))</f>
        <v/>
      </c>
      <c r="I352" s="20" t="str">
        <f>IF('Classe CE1'!$B32="","",IF('Classe CE1'!F32="","",'Classe CE1'!F32))</f>
        <v/>
      </c>
      <c r="J352" s="20" t="str">
        <f>IF('Classe CE1'!$B32="","",IF('Classe CE1'!G32="","",'Classe CE1'!G32))</f>
        <v/>
      </c>
      <c r="K352" s="51" t="str">
        <f>IF('Classe CE1'!$B32="","",N('Classe CE1'!H32))</f>
        <v/>
      </c>
      <c r="L352" s="51" t="str">
        <f>IF('Classe CE1'!$B32="","",N('Classe CE1'!I32))</f>
        <v/>
      </c>
      <c r="M352" s="51" t="str">
        <f>IF('Classe CE1'!$B32="","",N('Classe CE1'!J32))</f>
        <v/>
      </c>
      <c r="N352" s="51" t="str">
        <f>IF('Classe CE1'!$B32="","",N('Classe CE1'!K32))</f>
        <v/>
      </c>
      <c r="O352" s="51" t="str">
        <f>IF('Classe CE1'!$B32="","",N('Classe CE1'!L32))</f>
        <v/>
      </c>
      <c r="P352" s="51" t="str">
        <f>IF('Classe CE1'!$B32="","",N('Classe CE1'!M32))</f>
        <v/>
      </c>
      <c r="Q352" s="21" t="str">
        <f>IF('Classe CE1'!$B32="","",IF('Classe CE1'!Q32="","",'Classe CE1'!Q32))</f>
        <v/>
      </c>
      <c r="R352" s="51" t="str">
        <f>IF('Classe CE1'!$B32="","",N('Classe CE1'!N32))</f>
        <v/>
      </c>
      <c r="S352" s="51" t="str">
        <f>IF('Classe CE1'!$B32="","",N('Classe CE1'!O32))</f>
        <v/>
      </c>
      <c r="T352" s="51" t="str">
        <f>IF('Classe CE1'!$B32="","",N('Classe CE1'!P32))</f>
        <v/>
      </c>
    </row>
    <row r="353">
      <c r="A353" s="16" t="str">
        <f>IF('Classe CE1'!$B33="","",IF('Classe CE1'!A33="","",'Classe CE1'!A33))</f>
        <v/>
      </c>
      <c r="B353" s="16" t="str">
        <f>IF('Classe CE1'!$B33="","",IF('Classe CE1'!B33="","",'Classe CE1'!B33))</f>
        <v/>
      </c>
      <c r="C353" s="16" t="str">
        <f>IF('Classe CE1'!$B33="","",IF('Classe CE1'!C33="","",'Classe CE1'!C33))</f>
        <v/>
      </c>
      <c r="D353" s="16" t="str">
        <f>IF($B353="","",C353&amp;" "&amp;B353&amp;" - "&amp;E353)</f>
        <v/>
      </c>
      <c r="E353" s="17" t="str">
        <f>IF($B353="","",Paramètres!$A$19)</f>
        <v/>
      </c>
      <c r="F353" s="17" t="str">
        <f>IF($B353="","",Paramètres!$B$19)</f>
        <v/>
      </c>
      <c r="G353" s="17" t="str">
        <f>IF('Classe CE1'!$B33="","",IF('Classe CE1'!D33="","",'Classe CE1'!D33))</f>
        <v/>
      </c>
      <c r="H353" s="78" t="str">
        <f>IF('Classe CE1'!$B33="","",IF('Classe CE1'!E33="","",'Classe CE1'!E33))</f>
        <v/>
      </c>
      <c r="I353" s="16" t="str">
        <f>IF('Classe CE1'!$B33="","",IF('Classe CE1'!F33="","",'Classe CE1'!F33))</f>
        <v/>
      </c>
      <c r="J353" s="16" t="str">
        <f>IF('Classe CE1'!$B33="","",IF('Classe CE1'!G33="","",'Classe CE1'!G33))</f>
        <v/>
      </c>
      <c r="K353" s="18" t="str">
        <f>IF('Classe CE1'!$B33="","",N('Classe CE1'!H33))</f>
        <v/>
      </c>
      <c r="L353" s="18" t="str">
        <f>IF('Classe CE1'!$B33="","",N('Classe CE1'!I33))</f>
        <v/>
      </c>
      <c r="M353" s="18" t="str">
        <f>IF('Classe CE1'!$B33="","",N('Classe CE1'!J33))</f>
        <v/>
      </c>
      <c r="N353" s="18" t="str">
        <f>IF('Classe CE1'!$B33="","",N('Classe CE1'!K33))</f>
        <v/>
      </c>
      <c r="O353" s="18" t="str">
        <f>IF('Classe CE1'!$B33="","",N('Classe CE1'!L33))</f>
        <v/>
      </c>
      <c r="P353" s="18" t="str">
        <f>IF('Classe CE1'!$B33="","",N('Classe CE1'!M33))</f>
        <v/>
      </c>
      <c r="Q353" s="17" t="str">
        <f>IF('Classe CE1'!$B33="","",IF('Classe CE1'!Q33="","",'Classe CE1'!Q33))</f>
        <v/>
      </c>
      <c r="R353" s="18" t="str">
        <f>IF('Classe CE1'!$B33="","",N('Classe CE1'!N33))</f>
        <v/>
      </c>
      <c r="S353" s="18" t="str">
        <f>IF('Classe CE1'!$B33="","",N('Classe CE1'!O33))</f>
        <v/>
      </c>
      <c r="T353" s="18" t="str">
        <f>IF('Classe CE1'!$B33="","",N('Classe CE1'!P33))</f>
        <v/>
      </c>
    </row>
    <row r="354">
      <c r="A354" s="20" t="str">
        <f>IF('Classe CE1'!$B34="","",IF('Classe CE1'!A34="","",'Classe CE1'!A34))</f>
        <v/>
      </c>
      <c r="B354" s="20" t="str">
        <f>IF('Classe CE1'!$B34="","",IF('Classe CE1'!B34="","",'Classe CE1'!B34))</f>
        <v/>
      </c>
      <c r="C354" s="20" t="str">
        <f>IF('Classe CE1'!$B34="","",IF('Classe CE1'!C34="","",'Classe CE1'!C34))</f>
        <v/>
      </c>
      <c r="D354" s="20" t="str">
        <f>IF($B354="","",C354&amp;" "&amp;B354&amp;" - "&amp;E354)</f>
        <v/>
      </c>
      <c r="E354" s="21" t="str">
        <f>IF($B354="","",Paramètres!$A$19)</f>
        <v/>
      </c>
      <c r="F354" s="21" t="str">
        <f>IF($B354="","",Paramètres!$B$19)</f>
        <v/>
      </c>
      <c r="G354" s="21" t="str">
        <f>IF('Classe CE1'!$B34="","",IF('Classe CE1'!D34="","",'Classe CE1'!D34))</f>
        <v/>
      </c>
      <c r="H354" s="77" t="str">
        <f>IF('Classe CE1'!$B34="","",IF('Classe CE1'!E34="","",'Classe CE1'!E34))</f>
        <v/>
      </c>
      <c r="I354" s="20" t="str">
        <f>IF('Classe CE1'!$B34="","",IF('Classe CE1'!F34="","",'Classe CE1'!F34))</f>
        <v/>
      </c>
      <c r="J354" s="20" t="str">
        <f>IF('Classe CE1'!$B34="","",IF('Classe CE1'!G34="","",'Classe CE1'!G34))</f>
        <v/>
      </c>
      <c r="K354" s="51" t="str">
        <f>IF('Classe CE1'!$B34="","",N('Classe CE1'!H34))</f>
        <v/>
      </c>
      <c r="L354" s="51" t="str">
        <f>IF('Classe CE1'!$B34="","",N('Classe CE1'!I34))</f>
        <v/>
      </c>
      <c r="M354" s="51" t="str">
        <f>IF('Classe CE1'!$B34="","",N('Classe CE1'!J34))</f>
        <v/>
      </c>
      <c r="N354" s="51" t="str">
        <f>IF('Classe CE1'!$B34="","",N('Classe CE1'!K34))</f>
        <v/>
      </c>
      <c r="O354" s="51" t="str">
        <f>IF('Classe CE1'!$B34="","",N('Classe CE1'!L34))</f>
        <v/>
      </c>
      <c r="P354" s="51" t="str">
        <f>IF('Classe CE1'!$B34="","",N('Classe CE1'!M34))</f>
        <v/>
      </c>
      <c r="Q354" s="21" t="str">
        <f>IF('Classe CE1'!$B34="","",IF('Classe CE1'!Q34="","",'Classe CE1'!Q34))</f>
        <v/>
      </c>
      <c r="R354" s="51" t="str">
        <f>IF('Classe CE1'!$B34="","",N('Classe CE1'!N34))</f>
        <v/>
      </c>
      <c r="S354" s="51" t="str">
        <f>IF('Classe CE1'!$B34="","",N('Classe CE1'!O34))</f>
        <v/>
      </c>
      <c r="T354" s="51" t="str">
        <f>IF('Classe CE1'!$B34="","",N('Classe CE1'!P34))</f>
        <v/>
      </c>
    </row>
    <row r="355">
      <c r="A355" s="16" t="str">
        <f>IF('Classe CE1'!$B35="","",IF('Classe CE1'!A35="","",'Classe CE1'!A35))</f>
        <v/>
      </c>
      <c r="B355" s="16" t="str">
        <f>IF('Classe CE1'!$B35="","",IF('Classe CE1'!B35="","",'Classe CE1'!B35))</f>
        <v/>
      </c>
      <c r="C355" s="16" t="str">
        <f>IF('Classe CE1'!$B35="","",IF('Classe CE1'!C35="","",'Classe CE1'!C35))</f>
        <v/>
      </c>
      <c r="D355" s="16" t="str">
        <f>IF($B355="","",C355&amp;" "&amp;B355&amp;" - "&amp;E355)</f>
        <v/>
      </c>
      <c r="E355" s="17" t="str">
        <f>IF($B355="","",Paramètres!$A$19)</f>
        <v/>
      </c>
      <c r="F355" s="17" t="str">
        <f>IF($B355="","",Paramètres!$B$19)</f>
        <v/>
      </c>
      <c r="G355" s="17" t="str">
        <f>IF('Classe CE1'!$B35="","",IF('Classe CE1'!D35="","",'Classe CE1'!D35))</f>
        <v/>
      </c>
      <c r="H355" s="78" t="str">
        <f>IF('Classe CE1'!$B35="","",IF('Classe CE1'!E35="","",'Classe CE1'!E35))</f>
        <v/>
      </c>
      <c r="I355" s="16" t="str">
        <f>IF('Classe CE1'!$B35="","",IF('Classe CE1'!F35="","",'Classe CE1'!F35))</f>
        <v/>
      </c>
      <c r="J355" s="16" t="str">
        <f>IF('Classe CE1'!$B35="","",IF('Classe CE1'!G35="","",'Classe CE1'!G35))</f>
        <v/>
      </c>
      <c r="K355" s="18" t="str">
        <f>IF('Classe CE1'!$B35="","",N('Classe CE1'!H35))</f>
        <v/>
      </c>
      <c r="L355" s="18" t="str">
        <f>IF('Classe CE1'!$B35="","",N('Classe CE1'!I35))</f>
        <v/>
      </c>
      <c r="M355" s="18" t="str">
        <f>IF('Classe CE1'!$B35="","",N('Classe CE1'!J35))</f>
        <v/>
      </c>
      <c r="N355" s="18" t="str">
        <f>IF('Classe CE1'!$B35="","",N('Classe CE1'!K35))</f>
        <v/>
      </c>
      <c r="O355" s="18" t="str">
        <f>IF('Classe CE1'!$B35="","",N('Classe CE1'!L35))</f>
        <v/>
      </c>
      <c r="P355" s="18" t="str">
        <f>IF('Classe CE1'!$B35="","",N('Classe CE1'!M35))</f>
        <v/>
      </c>
      <c r="Q355" s="17" t="str">
        <f>IF('Classe CE1'!$B35="","",IF('Classe CE1'!Q35="","",'Classe CE1'!Q35))</f>
        <v/>
      </c>
      <c r="R355" s="18" t="str">
        <f>IF('Classe CE1'!$B35="","",N('Classe CE1'!N35))</f>
        <v/>
      </c>
      <c r="S355" s="18" t="str">
        <f>IF('Classe CE1'!$B35="","",N('Classe CE1'!O35))</f>
        <v/>
      </c>
      <c r="T355" s="18" t="str">
        <f>IF('Classe CE1'!$B35="","",N('Classe CE1'!P35))</f>
        <v/>
      </c>
    </row>
    <row r="356">
      <c r="A356" s="20" t="str">
        <f>IF('Classe CE1'!$B36="","",IF('Classe CE1'!A36="","",'Classe CE1'!A36))</f>
        <v/>
      </c>
      <c r="B356" s="20" t="str">
        <f>IF('Classe CE1'!$B36="","",IF('Classe CE1'!B36="","",'Classe CE1'!B36))</f>
        <v/>
      </c>
      <c r="C356" s="20" t="str">
        <f>IF('Classe CE1'!$B36="","",IF('Classe CE1'!C36="","",'Classe CE1'!C36))</f>
        <v/>
      </c>
      <c r="D356" s="20" t="str">
        <f>IF($B356="","",C356&amp;" "&amp;B356&amp;" - "&amp;E356)</f>
        <v/>
      </c>
      <c r="E356" s="21" t="str">
        <f>IF($B356="","",Paramètres!$A$19)</f>
        <v/>
      </c>
      <c r="F356" s="21" t="str">
        <f>IF($B356="","",Paramètres!$B$19)</f>
        <v/>
      </c>
      <c r="G356" s="21" t="str">
        <f>IF('Classe CE1'!$B36="","",IF('Classe CE1'!D36="","",'Classe CE1'!D36))</f>
        <v/>
      </c>
      <c r="H356" s="77" t="str">
        <f>IF('Classe CE1'!$B36="","",IF('Classe CE1'!E36="","",'Classe CE1'!E36))</f>
        <v/>
      </c>
      <c r="I356" s="20" t="str">
        <f>IF('Classe CE1'!$B36="","",IF('Classe CE1'!F36="","",'Classe CE1'!F36))</f>
        <v/>
      </c>
      <c r="J356" s="20" t="str">
        <f>IF('Classe CE1'!$B36="","",IF('Classe CE1'!G36="","",'Classe CE1'!G36))</f>
        <v/>
      </c>
      <c r="K356" s="51" t="str">
        <f>IF('Classe CE1'!$B36="","",N('Classe CE1'!H36))</f>
        <v/>
      </c>
      <c r="L356" s="51" t="str">
        <f>IF('Classe CE1'!$B36="","",N('Classe CE1'!I36))</f>
        <v/>
      </c>
      <c r="M356" s="51" t="str">
        <f>IF('Classe CE1'!$B36="","",N('Classe CE1'!J36))</f>
        <v/>
      </c>
      <c r="N356" s="51" t="str">
        <f>IF('Classe CE1'!$B36="","",N('Classe CE1'!K36))</f>
        <v/>
      </c>
      <c r="O356" s="51" t="str">
        <f>IF('Classe CE1'!$B36="","",N('Classe CE1'!L36))</f>
        <v/>
      </c>
      <c r="P356" s="51" t="str">
        <f>IF('Classe CE1'!$B36="","",N('Classe CE1'!M36))</f>
        <v/>
      </c>
      <c r="Q356" s="21" t="str">
        <f>IF('Classe CE1'!$B36="","",IF('Classe CE1'!Q36="","",'Classe CE1'!Q36))</f>
        <v/>
      </c>
      <c r="R356" s="51" t="str">
        <f>IF('Classe CE1'!$B36="","",N('Classe CE1'!N36))</f>
        <v/>
      </c>
      <c r="S356" s="51" t="str">
        <f>IF('Classe CE1'!$B36="","",N('Classe CE1'!O36))</f>
        <v/>
      </c>
      <c r="T356" s="51" t="str">
        <f>IF('Classe CE1'!$B36="","",N('Classe CE1'!P36))</f>
        <v/>
      </c>
    </row>
    <row r="357">
      <c r="A357" s="16" t="str">
        <f>IF('Classe CE1'!$B37="","",IF('Classe CE1'!A37="","",'Classe CE1'!A37))</f>
        <v/>
      </c>
      <c r="B357" s="16" t="str">
        <f>IF('Classe CE1'!$B37="","",IF('Classe CE1'!B37="","",'Classe CE1'!B37))</f>
        <v/>
      </c>
      <c r="C357" s="16" t="str">
        <f>IF('Classe CE1'!$B37="","",IF('Classe CE1'!C37="","",'Classe CE1'!C37))</f>
        <v/>
      </c>
      <c r="D357" s="16" t="str">
        <f>IF($B357="","",C357&amp;" "&amp;B357&amp;" - "&amp;E357)</f>
        <v/>
      </c>
      <c r="E357" s="17" t="str">
        <f>IF($B357="","",Paramètres!$A$19)</f>
        <v/>
      </c>
      <c r="F357" s="17" t="str">
        <f>IF($B357="","",Paramètres!$B$19)</f>
        <v/>
      </c>
      <c r="G357" s="17" t="str">
        <f>IF('Classe CE1'!$B37="","",IF('Classe CE1'!D37="","",'Classe CE1'!D37))</f>
        <v/>
      </c>
      <c r="H357" s="78" t="str">
        <f>IF('Classe CE1'!$B37="","",IF('Classe CE1'!E37="","",'Classe CE1'!E37))</f>
        <v/>
      </c>
      <c r="I357" s="16" t="str">
        <f>IF('Classe CE1'!$B37="","",IF('Classe CE1'!F37="","",'Classe CE1'!F37))</f>
        <v/>
      </c>
      <c r="J357" s="16" t="str">
        <f>IF('Classe CE1'!$B37="","",IF('Classe CE1'!G37="","",'Classe CE1'!G37))</f>
        <v/>
      </c>
      <c r="K357" s="18" t="str">
        <f>IF('Classe CE1'!$B37="","",N('Classe CE1'!H37))</f>
        <v/>
      </c>
      <c r="L357" s="18" t="str">
        <f>IF('Classe CE1'!$B37="","",N('Classe CE1'!I37))</f>
        <v/>
      </c>
      <c r="M357" s="18" t="str">
        <f>IF('Classe CE1'!$B37="","",N('Classe CE1'!J37))</f>
        <v/>
      </c>
      <c r="N357" s="18" t="str">
        <f>IF('Classe CE1'!$B37="","",N('Classe CE1'!K37))</f>
        <v/>
      </c>
      <c r="O357" s="18" t="str">
        <f>IF('Classe CE1'!$B37="","",N('Classe CE1'!L37))</f>
        <v/>
      </c>
      <c r="P357" s="18" t="str">
        <f>IF('Classe CE1'!$B37="","",N('Classe CE1'!M37))</f>
        <v/>
      </c>
      <c r="Q357" s="17" t="str">
        <f>IF('Classe CE1'!$B37="","",IF('Classe CE1'!Q37="","",'Classe CE1'!Q37))</f>
        <v/>
      </c>
      <c r="R357" s="18" t="str">
        <f>IF('Classe CE1'!$B37="","",N('Classe CE1'!N37))</f>
        <v/>
      </c>
      <c r="S357" s="18" t="str">
        <f>IF('Classe CE1'!$B37="","",N('Classe CE1'!O37))</f>
        <v/>
      </c>
      <c r="T357" s="18" t="str">
        <f>IF('Classe CE1'!$B37="","",N('Classe CE1'!P37))</f>
        <v/>
      </c>
    </row>
    <row r="358">
      <c r="A358" s="20" t="str">
        <f>IF('Classe CE1'!$B38="","",IF('Classe CE1'!A38="","",'Classe CE1'!A38))</f>
        <v/>
      </c>
      <c r="B358" s="20" t="str">
        <f>IF('Classe CE1'!$B38="","",IF('Classe CE1'!B38="","",'Classe CE1'!B38))</f>
        <v/>
      </c>
      <c r="C358" s="20" t="str">
        <f>IF('Classe CE1'!$B38="","",IF('Classe CE1'!C38="","",'Classe CE1'!C38))</f>
        <v/>
      </c>
      <c r="D358" s="20" t="str">
        <f>IF($B358="","",C358&amp;" "&amp;B358&amp;" - "&amp;E358)</f>
        <v/>
      </c>
      <c r="E358" s="21" t="str">
        <f>IF($B358="","",Paramètres!$A$19)</f>
        <v/>
      </c>
      <c r="F358" s="21" t="str">
        <f>IF($B358="","",Paramètres!$B$19)</f>
        <v/>
      </c>
      <c r="G358" s="21" t="str">
        <f>IF('Classe CE1'!$B38="","",IF('Classe CE1'!D38="","",'Classe CE1'!D38))</f>
        <v/>
      </c>
      <c r="H358" s="77" t="str">
        <f>IF('Classe CE1'!$B38="","",IF('Classe CE1'!E38="","",'Classe CE1'!E38))</f>
        <v/>
      </c>
      <c r="I358" s="20" t="str">
        <f>IF('Classe CE1'!$B38="","",IF('Classe CE1'!F38="","",'Classe CE1'!F38))</f>
        <v/>
      </c>
      <c r="J358" s="20" t="str">
        <f>IF('Classe CE1'!$B38="","",IF('Classe CE1'!G38="","",'Classe CE1'!G38))</f>
        <v/>
      </c>
      <c r="K358" s="51" t="str">
        <f>IF('Classe CE1'!$B38="","",N('Classe CE1'!H38))</f>
        <v/>
      </c>
      <c r="L358" s="51" t="str">
        <f>IF('Classe CE1'!$B38="","",N('Classe CE1'!I38))</f>
        <v/>
      </c>
      <c r="M358" s="51" t="str">
        <f>IF('Classe CE1'!$B38="","",N('Classe CE1'!J38))</f>
        <v/>
      </c>
      <c r="N358" s="51" t="str">
        <f>IF('Classe CE1'!$B38="","",N('Classe CE1'!K38))</f>
        <v/>
      </c>
      <c r="O358" s="51" t="str">
        <f>IF('Classe CE1'!$B38="","",N('Classe CE1'!L38))</f>
        <v/>
      </c>
      <c r="P358" s="51" t="str">
        <f>IF('Classe CE1'!$B38="","",N('Classe CE1'!M38))</f>
        <v/>
      </c>
      <c r="Q358" s="21" t="str">
        <f>IF('Classe CE1'!$B38="","",IF('Classe CE1'!Q38="","",'Classe CE1'!Q38))</f>
        <v/>
      </c>
      <c r="R358" s="51" t="str">
        <f>IF('Classe CE1'!$B38="","",N('Classe CE1'!N38))</f>
        <v/>
      </c>
      <c r="S358" s="51" t="str">
        <f>IF('Classe CE1'!$B38="","",N('Classe CE1'!O38))</f>
        <v/>
      </c>
      <c r="T358" s="51" t="str">
        <f>IF('Classe CE1'!$B38="","",N('Classe CE1'!P38))</f>
        <v/>
      </c>
    </row>
    <row r="359">
      <c r="A359" s="16" t="str">
        <f>IF('Classe CE1'!$B39="","",IF('Classe CE1'!A39="","",'Classe CE1'!A39))</f>
        <v/>
      </c>
      <c r="B359" s="16" t="str">
        <f>IF('Classe CE1'!$B39="","",IF('Classe CE1'!B39="","",'Classe CE1'!B39))</f>
        <v/>
      </c>
      <c r="C359" s="16" t="str">
        <f>IF('Classe CE1'!$B39="","",IF('Classe CE1'!C39="","",'Classe CE1'!C39))</f>
        <v/>
      </c>
      <c r="D359" s="16" t="str">
        <f>IF($B359="","",C359&amp;" "&amp;B359&amp;" - "&amp;E359)</f>
        <v/>
      </c>
      <c r="E359" s="17" t="str">
        <f>IF($B359="","",Paramètres!$A$19)</f>
        <v/>
      </c>
      <c r="F359" s="17" t="str">
        <f>IF($B359="","",Paramètres!$B$19)</f>
        <v/>
      </c>
      <c r="G359" s="17" t="str">
        <f>IF('Classe CE1'!$B39="","",IF('Classe CE1'!D39="","",'Classe CE1'!D39))</f>
        <v/>
      </c>
      <c r="H359" s="78" t="str">
        <f>IF('Classe CE1'!$B39="","",IF('Classe CE1'!E39="","",'Classe CE1'!E39))</f>
        <v/>
      </c>
      <c r="I359" s="16" t="str">
        <f>IF('Classe CE1'!$B39="","",IF('Classe CE1'!F39="","",'Classe CE1'!F39))</f>
        <v/>
      </c>
      <c r="J359" s="16" t="str">
        <f>IF('Classe CE1'!$B39="","",IF('Classe CE1'!G39="","",'Classe CE1'!G39))</f>
        <v/>
      </c>
      <c r="K359" s="18" t="str">
        <f>IF('Classe CE1'!$B39="","",N('Classe CE1'!H39))</f>
        <v/>
      </c>
      <c r="L359" s="18" t="str">
        <f>IF('Classe CE1'!$B39="","",N('Classe CE1'!I39))</f>
        <v/>
      </c>
      <c r="M359" s="18" t="str">
        <f>IF('Classe CE1'!$B39="","",N('Classe CE1'!J39))</f>
        <v/>
      </c>
      <c r="N359" s="18" t="str">
        <f>IF('Classe CE1'!$B39="","",N('Classe CE1'!K39))</f>
        <v/>
      </c>
      <c r="O359" s="18" t="str">
        <f>IF('Classe CE1'!$B39="","",N('Classe CE1'!L39))</f>
        <v/>
      </c>
      <c r="P359" s="18" t="str">
        <f>IF('Classe CE1'!$B39="","",N('Classe CE1'!M39))</f>
        <v/>
      </c>
      <c r="Q359" s="17" t="str">
        <f>IF('Classe CE1'!$B39="","",IF('Classe CE1'!Q39="","",'Classe CE1'!Q39))</f>
        <v/>
      </c>
      <c r="R359" s="18" t="str">
        <f>IF('Classe CE1'!$B39="","",N('Classe CE1'!N39))</f>
        <v/>
      </c>
      <c r="S359" s="18" t="str">
        <f>IF('Classe CE1'!$B39="","",N('Classe CE1'!O39))</f>
        <v/>
      </c>
      <c r="T359" s="18" t="str">
        <f>IF('Classe CE1'!$B39="","",N('Classe CE1'!P39))</f>
        <v/>
      </c>
    </row>
    <row r="360">
      <c r="A360" s="20" t="str">
        <f>IF('Classe CE1'!$B40="","",IF('Classe CE1'!A40="","",'Classe CE1'!A40))</f>
        <v/>
      </c>
      <c r="B360" s="20" t="str">
        <f>IF('Classe CE1'!$B40="","",IF('Classe CE1'!B40="","",'Classe CE1'!B40))</f>
        <v/>
      </c>
      <c r="C360" s="20" t="str">
        <f>IF('Classe CE1'!$B40="","",IF('Classe CE1'!C40="","",'Classe CE1'!C40))</f>
        <v/>
      </c>
      <c r="D360" s="20" t="str">
        <f>IF($B360="","",C360&amp;" "&amp;B360&amp;" - "&amp;E360)</f>
        <v/>
      </c>
      <c r="E360" s="21" t="str">
        <f>IF($B360="","",Paramètres!$A$19)</f>
        <v/>
      </c>
      <c r="F360" s="21" t="str">
        <f>IF($B360="","",Paramètres!$B$19)</f>
        <v/>
      </c>
      <c r="G360" s="21" t="str">
        <f>IF('Classe CE1'!$B40="","",IF('Classe CE1'!D40="","",'Classe CE1'!D40))</f>
        <v/>
      </c>
      <c r="H360" s="77" t="str">
        <f>IF('Classe CE1'!$B40="","",IF('Classe CE1'!E40="","",'Classe CE1'!E40))</f>
        <v/>
      </c>
      <c r="I360" s="20" t="str">
        <f>IF('Classe CE1'!$B40="","",IF('Classe CE1'!F40="","",'Classe CE1'!F40))</f>
        <v/>
      </c>
      <c r="J360" s="20" t="str">
        <f>IF('Classe CE1'!$B40="","",IF('Classe CE1'!G40="","",'Classe CE1'!G40))</f>
        <v/>
      </c>
      <c r="K360" s="51" t="str">
        <f>IF('Classe CE1'!$B40="","",N('Classe CE1'!H40))</f>
        <v/>
      </c>
      <c r="L360" s="51" t="str">
        <f>IF('Classe CE1'!$B40="","",N('Classe CE1'!I40))</f>
        <v/>
      </c>
      <c r="M360" s="51" t="str">
        <f>IF('Classe CE1'!$B40="","",N('Classe CE1'!J40))</f>
        <v/>
      </c>
      <c r="N360" s="51" t="str">
        <f>IF('Classe CE1'!$B40="","",N('Classe CE1'!K40))</f>
        <v/>
      </c>
      <c r="O360" s="51" t="str">
        <f>IF('Classe CE1'!$B40="","",N('Classe CE1'!L40))</f>
        <v/>
      </c>
      <c r="P360" s="51" t="str">
        <f>IF('Classe CE1'!$B40="","",N('Classe CE1'!M40))</f>
        <v/>
      </c>
      <c r="Q360" s="21" t="str">
        <f>IF('Classe CE1'!$B40="","",IF('Classe CE1'!Q40="","",'Classe CE1'!Q40))</f>
        <v/>
      </c>
      <c r="R360" s="51" t="str">
        <f>IF('Classe CE1'!$B40="","",N('Classe CE1'!N40))</f>
        <v/>
      </c>
      <c r="S360" s="51" t="str">
        <f>IF('Classe CE1'!$B40="","",N('Classe CE1'!O40))</f>
        <v/>
      </c>
      <c r="T360" s="51" t="str">
        <f>IF('Classe CE1'!$B40="","",N('Classe CE1'!P40))</f>
        <v/>
      </c>
    </row>
    <row r="361">
      <c r="A361" s="16" t="str">
        <f>IF('Classe CE1'!$B41="","",IF('Classe CE1'!A41="","",'Classe CE1'!A41))</f>
        <v/>
      </c>
      <c r="B361" s="16" t="str">
        <f>IF('Classe CE1'!$B41="","",IF('Classe CE1'!B41="","",'Classe CE1'!B41))</f>
        <v/>
      </c>
      <c r="C361" s="16" t="str">
        <f>IF('Classe CE1'!$B41="","",IF('Classe CE1'!C41="","",'Classe CE1'!C41))</f>
        <v/>
      </c>
      <c r="D361" s="16" t="str">
        <f>IF($B361="","",C361&amp;" "&amp;B361&amp;" - "&amp;E361)</f>
        <v/>
      </c>
      <c r="E361" s="17" t="str">
        <f>IF($B361="","",Paramètres!$A$19)</f>
        <v/>
      </c>
      <c r="F361" s="17" t="str">
        <f>IF($B361="","",Paramètres!$B$19)</f>
        <v/>
      </c>
      <c r="G361" s="17" t="str">
        <f>IF('Classe CE1'!$B41="","",IF('Classe CE1'!D41="","",'Classe CE1'!D41))</f>
        <v/>
      </c>
      <c r="H361" s="78" t="str">
        <f>IF('Classe CE1'!$B41="","",IF('Classe CE1'!E41="","",'Classe CE1'!E41))</f>
        <v/>
      </c>
      <c r="I361" s="16" t="str">
        <f>IF('Classe CE1'!$B41="","",IF('Classe CE1'!F41="","",'Classe CE1'!F41))</f>
        <v/>
      </c>
      <c r="J361" s="16" t="str">
        <f>IF('Classe CE1'!$B41="","",IF('Classe CE1'!G41="","",'Classe CE1'!G41))</f>
        <v/>
      </c>
      <c r="K361" s="18" t="str">
        <f>IF('Classe CE1'!$B41="","",N('Classe CE1'!H41))</f>
        <v/>
      </c>
      <c r="L361" s="18" t="str">
        <f>IF('Classe CE1'!$B41="","",N('Classe CE1'!I41))</f>
        <v/>
      </c>
      <c r="M361" s="18" t="str">
        <f>IF('Classe CE1'!$B41="","",N('Classe CE1'!J41))</f>
        <v/>
      </c>
      <c r="N361" s="18" t="str">
        <f>IF('Classe CE1'!$B41="","",N('Classe CE1'!K41))</f>
        <v/>
      </c>
      <c r="O361" s="18" t="str">
        <f>IF('Classe CE1'!$B41="","",N('Classe CE1'!L41))</f>
        <v/>
      </c>
      <c r="P361" s="18" t="str">
        <f>IF('Classe CE1'!$B41="","",N('Classe CE1'!M41))</f>
        <v/>
      </c>
      <c r="Q361" s="17" t="str">
        <f>IF('Classe CE1'!$B41="","",IF('Classe CE1'!Q41="","",'Classe CE1'!Q41))</f>
        <v/>
      </c>
      <c r="R361" s="18" t="str">
        <f>IF('Classe CE1'!$B41="","",N('Classe CE1'!N41))</f>
        <v/>
      </c>
      <c r="S361" s="18" t="str">
        <f>IF('Classe CE1'!$B41="","",N('Classe CE1'!O41))</f>
        <v/>
      </c>
      <c r="T361" s="18" t="str">
        <f>IF('Classe CE1'!$B41="","",N('Classe CE1'!P41))</f>
        <v/>
      </c>
    </row>
    <row r="362">
      <c r="A362" s="20" t="str">
        <f>IF('Classe CE1'!$B42="","",IF('Classe CE1'!A42="","",'Classe CE1'!A42))</f>
        <v/>
      </c>
      <c r="B362" s="20" t="str">
        <f>IF('Classe CE1'!$B42="","",IF('Classe CE1'!B42="","",'Classe CE1'!B42))</f>
        <v/>
      </c>
      <c r="C362" s="20" t="str">
        <f>IF('Classe CE1'!$B42="","",IF('Classe CE1'!C42="","",'Classe CE1'!C42))</f>
        <v/>
      </c>
      <c r="D362" s="20" t="str">
        <f>IF($B362="","",C362&amp;" "&amp;B362&amp;" - "&amp;E362)</f>
        <v/>
      </c>
      <c r="E362" s="21" t="str">
        <f>IF($B362="","",Paramètres!$A$19)</f>
        <v/>
      </c>
      <c r="F362" s="21" t="str">
        <f>IF($B362="","",Paramètres!$B$19)</f>
        <v/>
      </c>
      <c r="G362" s="21" t="str">
        <f>IF('Classe CE1'!$B42="","",IF('Classe CE1'!D42="","",'Classe CE1'!D42))</f>
        <v/>
      </c>
      <c r="H362" s="77" t="str">
        <f>IF('Classe CE1'!$B42="","",IF('Classe CE1'!E42="","",'Classe CE1'!E42))</f>
        <v/>
      </c>
      <c r="I362" s="20" t="str">
        <f>IF('Classe CE1'!$B42="","",IF('Classe CE1'!F42="","",'Classe CE1'!F42))</f>
        <v/>
      </c>
      <c r="J362" s="20" t="str">
        <f>IF('Classe CE1'!$B42="","",IF('Classe CE1'!G42="","",'Classe CE1'!G42))</f>
        <v/>
      </c>
      <c r="K362" s="51" t="str">
        <f>IF('Classe CE1'!$B42="","",N('Classe CE1'!H42))</f>
        <v/>
      </c>
      <c r="L362" s="51" t="str">
        <f>IF('Classe CE1'!$B42="","",N('Classe CE1'!I42))</f>
        <v/>
      </c>
      <c r="M362" s="51" t="str">
        <f>IF('Classe CE1'!$B42="","",N('Classe CE1'!J42))</f>
        <v/>
      </c>
      <c r="N362" s="51" t="str">
        <f>IF('Classe CE1'!$B42="","",N('Classe CE1'!K42))</f>
        <v/>
      </c>
      <c r="O362" s="51" t="str">
        <f>IF('Classe CE1'!$B42="","",N('Classe CE1'!L42))</f>
        <v/>
      </c>
      <c r="P362" s="51" t="str">
        <f>IF('Classe CE1'!$B42="","",N('Classe CE1'!M42))</f>
        <v/>
      </c>
      <c r="Q362" s="21" t="str">
        <f>IF('Classe CE1'!$B42="","",IF('Classe CE1'!Q42="","",'Classe CE1'!Q42))</f>
        <v/>
      </c>
      <c r="R362" s="51" t="str">
        <f>IF('Classe CE1'!$B42="","",N('Classe CE1'!N42))</f>
        <v/>
      </c>
      <c r="S362" s="51" t="str">
        <f>IF('Classe CE1'!$B42="","",N('Classe CE1'!O42))</f>
        <v/>
      </c>
      <c r="T362" s="51" t="str">
        <f>IF('Classe CE1'!$B42="","",N('Classe CE1'!P42))</f>
        <v/>
      </c>
    </row>
    <row r="363">
      <c r="A363" s="16" t="str">
        <f>IF('Classe CE1'!$B43="","",IF('Classe CE1'!A43="","",'Classe CE1'!A43))</f>
        <v/>
      </c>
      <c r="B363" s="16" t="str">
        <f>IF('Classe CE1'!$B43="","",IF('Classe CE1'!B43="","",'Classe CE1'!B43))</f>
        <v/>
      </c>
      <c r="C363" s="16" t="str">
        <f>IF('Classe CE1'!$B43="","",IF('Classe CE1'!C43="","",'Classe CE1'!C43))</f>
        <v/>
      </c>
      <c r="D363" s="16" t="str">
        <f>IF($B363="","",C363&amp;" "&amp;B363&amp;" - "&amp;E363)</f>
        <v/>
      </c>
      <c r="E363" s="17" t="str">
        <f>IF($B363="","",Paramètres!$A$19)</f>
        <v/>
      </c>
      <c r="F363" s="17" t="str">
        <f>IF($B363="","",Paramètres!$B$19)</f>
        <v/>
      </c>
      <c r="G363" s="17" t="str">
        <f>IF('Classe CE1'!$B43="","",IF('Classe CE1'!D43="","",'Classe CE1'!D43))</f>
        <v/>
      </c>
      <c r="H363" s="78" t="str">
        <f>IF('Classe CE1'!$B43="","",IF('Classe CE1'!E43="","",'Classe CE1'!E43))</f>
        <v/>
      </c>
      <c r="I363" s="16" t="str">
        <f>IF('Classe CE1'!$B43="","",IF('Classe CE1'!F43="","",'Classe CE1'!F43))</f>
        <v/>
      </c>
      <c r="J363" s="16" t="str">
        <f>IF('Classe CE1'!$B43="","",IF('Classe CE1'!G43="","",'Classe CE1'!G43))</f>
        <v/>
      </c>
      <c r="K363" s="18" t="str">
        <f>IF('Classe CE1'!$B43="","",N('Classe CE1'!H43))</f>
        <v/>
      </c>
      <c r="L363" s="18" t="str">
        <f>IF('Classe CE1'!$B43="","",N('Classe CE1'!I43))</f>
        <v/>
      </c>
      <c r="M363" s="18" t="str">
        <f>IF('Classe CE1'!$B43="","",N('Classe CE1'!J43))</f>
        <v/>
      </c>
      <c r="N363" s="18" t="str">
        <f>IF('Classe CE1'!$B43="","",N('Classe CE1'!K43))</f>
        <v/>
      </c>
      <c r="O363" s="18" t="str">
        <f>IF('Classe CE1'!$B43="","",N('Classe CE1'!L43))</f>
        <v/>
      </c>
      <c r="P363" s="18" t="str">
        <f>IF('Classe CE1'!$B43="","",N('Classe CE1'!M43))</f>
        <v/>
      </c>
      <c r="Q363" s="17" t="str">
        <f>IF('Classe CE1'!$B43="","",IF('Classe CE1'!Q43="","",'Classe CE1'!Q43))</f>
        <v/>
      </c>
      <c r="R363" s="18" t="str">
        <f>IF('Classe CE1'!$B43="","",N('Classe CE1'!N43))</f>
        <v/>
      </c>
      <c r="S363" s="18" t="str">
        <f>IF('Classe CE1'!$B43="","",N('Classe CE1'!O43))</f>
        <v/>
      </c>
      <c r="T363" s="18" t="str">
        <f>IF('Classe CE1'!$B43="","",N('Classe CE1'!P43))</f>
        <v/>
      </c>
    </row>
    <row r="364">
      <c r="A364" s="20" t="str">
        <f>IF('Classe CE1'!$B44="","",IF('Classe CE1'!A44="","",'Classe CE1'!A44))</f>
        <v/>
      </c>
      <c r="B364" s="20" t="str">
        <f>IF('Classe CE1'!$B44="","",IF('Classe CE1'!B44="","",'Classe CE1'!B44))</f>
        <v/>
      </c>
      <c r="C364" s="20" t="str">
        <f>IF('Classe CE1'!$B44="","",IF('Classe CE1'!C44="","",'Classe CE1'!C44))</f>
        <v/>
      </c>
      <c r="D364" s="20" t="str">
        <f>IF($B364="","",C364&amp;" "&amp;B364&amp;" - "&amp;E364)</f>
        <v/>
      </c>
      <c r="E364" s="21" t="str">
        <f>IF($B364="","",Paramètres!$A$19)</f>
        <v/>
      </c>
      <c r="F364" s="21" t="str">
        <f>IF($B364="","",Paramètres!$B$19)</f>
        <v/>
      </c>
      <c r="G364" s="21" t="str">
        <f>IF('Classe CE1'!$B44="","",IF('Classe CE1'!D44="","",'Classe CE1'!D44))</f>
        <v/>
      </c>
      <c r="H364" s="77" t="str">
        <f>IF('Classe CE1'!$B44="","",IF('Classe CE1'!E44="","",'Classe CE1'!E44))</f>
        <v/>
      </c>
      <c r="I364" s="20" t="str">
        <f>IF('Classe CE1'!$B44="","",IF('Classe CE1'!F44="","",'Classe CE1'!F44))</f>
        <v/>
      </c>
      <c r="J364" s="20" t="str">
        <f>IF('Classe CE1'!$B44="","",IF('Classe CE1'!G44="","",'Classe CE1'!G44))</f>
        <v/>
      </c>
      <c r="K364" s="51" t="str">
        <f>IF('Classe CE1'!$B44="","",N('Classe CE1'!H44))</f>
        <v/>
      </c>
      <c r="L364" s="51" t="str">
        <f>IF('Classe CE1'!$B44="","",N('Classe CE1'!I44))</f>
        <v/>
      </c>
      <c r="M364" s="51" t="str">
        <f>IF('Classe CE1'!$B44="","",N('Classe CE1'!J44))</f>
        <v/>
      </c>
      <c r="N364" s="51" t="str">
        <f>IF('Classe CE1'!$B44="","",N('Classe CE1'!K44))</f>
        <v/>
      </c>
      <c r="O364" s="51" t="str">
        <f>IF('Classe CE1'!$B44="","",N('Classe CE1'!L44))</f>
        <v/>
      </c>
      <c r="P364" s="51" t="str">
        <f>IF('Classe CE1'!$B44="","",N('Classe CE1'!M44))</f>
        <v/>
      </c>
      <c r="Q364" s="21" t="str">
        <f>IF('Classe CE1'!$B44="","",IF('Classe CE1'!Q44="","",'Classe CE1'!Q44))</f>
        <v/>
      </c>
      <c r="R364" s="51" t="str">
        <f>IF('Classe CE1'!$B44="","",N('Classe CE1'!N44))</f>
        <v/>
      </c>
      <c r="S364" s="51" t="str">
        <f>IF('Classe CE1'!$B44="","",N('Classe CE1'!O44))</f>
        <v/>
      </c>
      <c r="T364" s="51" t="str">
        <f>IF('Classe CE1'!$B44="","",N('Classe CE1'!P44))</f>
        <v/>
      </c>
    </row>
    <row r="365">
      <c r="A365" s="16" t="str">
        <f>IF('Classe CE1'!$B45="","",IF('Classe CE1'!A45="","",'Classe CE1'!A45))</f>
        <v/>
      </c>
      <c r="B365" s="16" t="str">
        <f>IF('Classe CE1'!$B45="","",IF('Classe CE1'!B45="","",'Classe CE1'!B45))</f>
        <v/>
      </c>
      <c r="C365" s="16" t="str">
        <f>IF('Classe CE1'!$B45="","",IF('Classe CE1'!C45="","",'Classe CE1'!C45))</f>
        <v/>
      </c>
      <c r="D365" s="16" t="str">
        <f>IF($B365="","",C365&amp;" "&amp;B365&amp;" - "&amp;E365)</f>
        <v/>
      </c>
      <c r="E365" s="17" t="str">
        <f>IF($B365="","",Paramètres!$A$19)</f>
        <v/>
      </c>
      <c r="F365" s="17" t="str">
        <f>IF($B365="","",Paramètres!$B$19)</f>
        <v/>
      </c>
      <c r="G365" s="17" t="str">
        <f>IF('Classe CE1'!$B45="","",IF('Classe CE1'!D45="","",'Classe CE1'!D45))</f>
        <v/>
      </c>
      <c r="H365" s="78" t="str">
        <f>IF('Classe CE1'!$B45="","",IF('Classe CE1'!E45="","",'Classe CE1'!E45))</f>
        <v/>
      </c>
      <c r="I365" s="16" t="str">
        <f>IF('Classe CE1'!$B45="","",IF('Classe CE1'!F45="","",'Classe CE1'!F45))</f>
        <v/>
      </c>
      <c r="J365" s="16" t="str">
        <f>IF('Classe CE1'!$B45="","",IF('Classe CE1'!G45="","",'Classe CE1'!G45))</f>
        <v/>
      </c>
      <c r="K365" s="18" t="str">
        <f>IF('Classe CE1'!$B45="","",N('Classe CE1'!H45))</f>
        <v/>
      </c>
      <c r="L365" s="18" t="str">
        <f>IF('Classe CE1'!$B45="","",N('Classe CE1'!I45))</f>
        <v/>
      </c>
      <c r="M365" s="18" t="str">
        <f>IF('Classe CE1'!$B45="","",N('Classe CE1'!J45))</f>
        <v/>
      </c>
      <c r="N365" s="18" t="str">
        <f>IF('Classe CE1'!$B45="","",N('Classe CE1'!K45))</f>
        <v/>
      </c>
      <c r="O365" s="18" t="str">
        <f>IF('Classe CE1'!$B45="","",N('Classe CE1'!L45))</f>
        <v/>
      </c>
      <c r="P365" s="18" t="str">
        <f>IF('Classe CE1'!$B45="","",N('Classe CE1'!M45))</f>
        <v/>
      </c>
      <c r="Q365" s="17" t="str">
        <f>IF('Classe CE1'!$B45="","",IF('Classe CE1'!Q45="","",'Classe CE1'!Q45))</f>
        <v/>
      </c>
      <c r="R365" s="18" t="str">
        <f>IF('Classe CE1'!$B45="","",N('Classe CE1'!N45))</f>
        <v/>
      </c>
      <c r="S365" s="18" t="str">
        <f>IF('Classe CE1'!$B45="","",N('Classe CE1'!O45))</f>
        <v/>
      </c>
      <c r="T365" s="18" t="str">
        <f>IF('Classe CE1'!$B45="","",N('Classe CE1'!P45))</f>
        <v/>
      </c>
    </row>
    <row r="366">
      <c r="A366" s="20" t="str">
        <f>IF('Classe CE1'!$B46="","",IF('Classe CE1'!A46="","",'Classe CE1'!A46))</f>
        <v/>
      </c>
      <c r="B366" s="20" t="str">
        <f>IF('Classe CE1'!$B46="","",IF('Classe CE1'!B46="","",'Classe CE1'!B46))</f>
        <v/>
      </c>
      <c r="C366" s="20" t="str">
        <f>IF('Classe CE1'!$B46="","",IF('Classe CE1'!C46="","",'Classe CE1'!C46))</f>
        <v/>
      </c>
      <c r="D366" s="20" t="str">
        <f>IF($B366="","",C366&amp;" "&amp;B366&amp;" - "&amp;E366)</f>
        <v/>
      </c>
      <c r="E366" s="21" t="str">
        <f>IF($B366="","",Paramètres!$A$19)</f>
        <v/>
      </c>
      <c r="F366" s="21" t="str">
        <f>IF($B366="","",Paramètres!$B$19)</f>
        <v/>
      </c>
      <c r="G366" s="21" t="str">
        <f>IF('Classe CE1'!$B46="","",IF('Classe CE1'!D46="","",'Classe CE1'!D46))</f>
        <v/>
      </c>
      <c r="H366" s="77" t="str">
        <f>IF('Classe CE1'!$B46="","",IF('Classe CE1'!E46="","",'Classe CE1'!E46))</f>
        <v/>
      </c>
      <c r="I366" s="20" t="str">
        <f>IF('Classe CE1'!$B46="","",IF('Classe CE1'!F46="","",'Classe CE1'!F46))</f>
        <v/>
      </c>
      <c r="J366" s="20" t="str">
        <f>IF('Classe CE1'!$B46="","",IF('Classe CE1'!G46="","",'Classe CE1'!G46))</f>
        <v/>
      </c>
      <c r="K366" s="51" t="str">
        <f>IF('Classe CE1'!$B46="","",N('Classe CE1'!H46))</f>
        <v/>
      </c>
      <c r="L366" s="51" t="str">
        <f>IF('Classe CE1'!$B46="","",N('Classe CE1'!I46))</f>
        <v/>
      </c>
      <c r="M366" s="51" t="str">
        <f>IF('Classe CE1'!$B46="","",N('Classe CE1'!J46))</f>
        <v/>
      </c>
      <c r="N366" s="51" t="str">
        <f>IF('Classe CE1'!$B46="","",N('Classe CE1'!K46))</f>
        <v/>
      </c>
      <c r="O366" s="51" t="str">
        <f>IF('Classe CE1'!$B46="","",N('Classe CE1'!L46))</f>
        <v/>
      </c>
      <c r="P366" s="51" t="str">
        <f>IF('Classe CE1'!$B46="","",N('Classe CE1'!M46))</f>
        <v/>
      </c>
      <c r="Q366" s="21" t="str">
        <f>IF('Classe CE1'!$B46="","",IF('Classe CE1'!Q46="","",'Classe CE1'!Q46))</f>
        <v/>
      </c>
      <c r="R366" s="51" t="str">
        <f>IF('Classe CE1'!$B46="","",N('Classe CE1'!N46))</f>
        <v/>
      </c>
      <c r="S366" s="51" t="str">
        <f>IF('Classe CE1'!$B46="","",N('Classe CE1'!O46))</f>
        <v/>
      </c>
      <c r="T366" s="51" t="str">
        <f>IF('Classe CE1'!$B46="","",N('Classe CE1'!P46))</f>
        <v/>
      </c>
    </row>
    <row r="367">
      <c r="A367" s="16" t="str">
        <f>IF('Classe CE1'!$B47="","",IF('Classe CE1'!A47="","",'Classe CE1'!A47))</f>
        <v/>
      </c>
      <c r="B367" s="16" t="str">
        <f>IF('Classe CE1'!$B47="","",IF('Classe CE1'!B47="","",'Classe CE1'!B47))</f>
        <v/>
      </c>
      <c r="C367" s="16" t="str">
        <f>IF('Classe CE1'!$B47="","",IF('Classe CE1'!C47="","",'Classe CE1'!C47))</f>
        <v/>
      </c>
      <c r="D367" s="16" t="str">
        <f>IF($B367="","",C367&amp;" "&amp;B367&amp;" - "&amp;E367)</f>
        <v/>
      </c>
      <c r="E367" s="17" t="str">
        <f>IF($B367="","",Paramètres!$A$19)</f>
        <v/>
      </c>
      <c r="F367" s="17" t="str">
        <f>IF($B367="","",Paramètres!$B$19)</f>
        <v/>
      </c>
      <c r="G367" s="17" t="str">
        <f>IF('Classe CE1'!$B47="","",IF('Classe CE1'!D47="","",'Classe CE1'!D47))</f>
        <v/>
      </c>
      <c r="H367" s="78" t="str">
        <f>IF('Classe CE1'!$B47="","",IF('Classe CE1'!E47="","",'Classe CE1'!E47))</f>
        <v/>
      </c>
      <c r="I367" s="16" t="str">
        <f>IF('Classe CE1'!$B47="","",IF('Classe CE1'!F47="","",'Classe CE1'!F47))</f>
        <v/>
      </c>
      <c r="J367" s="16" t="str">
        <f>IF('Classe CE1'!$B47="","",IF('Classe CE1'!G47="","",'Classe CE1'!G47))</f>
        <v/>
      </c>
      <c r="K367" s="18" t="str">
        <f>IF('Classe CE1'!$B47="","",N('Classe CE1'!H47))</f>
        <v/>
      </c>
      <c r="L367" s="18" t="str">
        <f>IF('Classe CE1'!$B47="","",N('Classe CE1'!I47))</f>
        <v/>
      </c>
      <c r="M367" s="18" t="str">
        <f>IF('Classe CE1'!$B47="","",N('Classe CE1'!J47))</f>
        <v/>
      </c>
      <c r="N367" s="18" t="str">
        <f>IF('Classe CE1'!$B47="","",N('Classe CE1'!K47))</f>
        <v/>
      </c>
      <c r="O367" s="18" t="str">
        <f>IF('Classe CE1'!$B47="","",N('Classe CE1'!L47))</f>
        <v/>
      </c>
      <c r="P367" s="18" t="str">
        <f>IF('Classe CE1'!$B47="","",N('Classe CE1'!M47))</f>
        <v/>
      </c>
      <c r="Q367" s="17" t="str">
        <f>IF('Classe CE1'!$B47="","",IF('Classe CE1'!Q47="","",'Classe CE1'!Q47))</f>
        <v/>
      </c>
      <c r="R367" s="18" t="str">
        <f>IF('Classe CE1'!$B47="","",N('Classe CE1'!N47))</f>
        <v/>
      </c>
      <c r="S367" s="18" t="str">
        <f>IF('Classe CE1'!$B47="","",N('Classe CE1'!O47))</f>
        <v/>
      </c>
      <c r="T367" s="18" t="str">
        <f>IF('Classe CE1'!$B47="","",N('Classe CE1'!P47))</f>
        <v/>
      </c>
    </row>
    <row r="368">
      <c r="A368" s="20" t="str">
        <f>IF('Classe CE1'!$B48="","",IF('Classe CE1'!A48="","",'Classe CE1'!A48))</f>
        <v/>
      </c>
      <c r="B368" s="20" t="str">
        <f>IF('Classe CE1'!$B48="","",IF('Classe CE1'!B48="","",'Classe CE1'!B48))</f>
        <v/>
      </c>
      <c r="C368" s="20" t="str">
        <f>IF('Classe CE1'!$B48="","",IF('Classe CE1'!C48="","",'Classe CE1'!C48))</f>
        <v/>
      </c>
      <c r="D368" s="20" t="str">
        <f>IF($B368="","",C368&amp;" "&amp;B368&amp;" - "&amp;E368)</f>
        <v/>
      </c>
      <c r="E368" s="21" t="str">
        <f>IF($B368="","",Paramètres!$A$19)</f>
        <v/>
      </c>
      <c r="F368" s="21" t="str">
        <f>IF($B368="","",Paramètres!$B$19)</f>
        <v/>
      </c>
      <c r="G368" s="21" t="str">
        <f>IF('Classe CE1'!$B48="","",IF('Classe CE1'!D48="","",'Classe CE1'!D48))</f>
        <v/>
      </c>
      <c r="H368" s="77" t="str">
        <f>IF('Classe CE1'!$B48="","",IF('Classe CE1'!E48="","",'Classe CE1'!E48))</f>
        <v/>
      </c>
      <c r="I368" s="20" t="str">
        <f>IF('Classe CE1'!$B48="","",IF('Classe CE1'!F48="","",'Classe CE1'!F48))</f>
        <v/>
      </c>
      <c r="J368" s="20" t="str">
        <f>IF('Classe CE1'!$B48="","",IF('Classe CE1'!G48="","",'Classe CE1'!G48))</f>
        <v/>
      </c>
      <c r="K368" s="51" t="str">
        <f>IF('Classe CE1'!$B48="","",N('Classe CE1'!H48))</f>
        <v/>
      </c>
      <c r="L368" s="51" t="str">
        <f>IF('Classe CE1'!$B48="","",N('Classe CE1'!I48))</f>
        <v/>
      </c>
      <c r="M368" s="51" t="str">
        <f>IF('Classe CE1'!$B48="","",N('Classe CE1'!J48))</f>
        <v/>
      </c>
      <c r="N368" s="51" t="str">
        <f>IF('Classe CE1'!$B48="","",N('Classe CE1'!K48))</f>
        <v/>
      </c>
      <c r="O368" s="51" t="str">
        <f>IF('Classe CE1'!$B48="","",N('Classe CE1'!L48))</f>
        <v/>
      </c>
      <c r="P368" s="51" t="str">
        <f>IF('Classe CE1'!$B48="","",N('Classe CE1'!M48))</f>
        <v/>
      </c>
      <c r="Q368" s="21" t="str">
        <f>IF('Classe CE1'!$B48="","",IF('Classe CE1'!Q48="","",'Classe CE1'!Q48))</f>
        <v/>
      </c>
      <c r="R368" s="51" t="str">
        <f>IF('Classe CE1'!$B48="","",N('Classe CE1'!N48))</f>
        <v/>
      </c>
      <c r="S368" s="51" t="str">
        <f>IF('Classe CE1'!$B48="","",N('Classe CE1'!O48))</f>
        <v/>
      </c>
      <c r="T368" s="51" t="str">
        <f>IF('Classe CE1'!$B48="","",N('Classe CE1'!P48))</f>
        <v/>
      </c>
    </row>
    <row r="369">
      <c r="A369" s="16" t="str">
        <f>IF('Classe CE1'!$B49="","",IF('Classe CE1'!A49="","",'Classe CE1'!A49))</f>
        <v/>
      </c>
      <c r="B369" s="16" t="str">
        <f>IF('Classe CE1'!$B49="","",IF('Classe CE1'!B49="","",'Classe CE1'!B49))</f>
        <v/>
      </c>
      <c r="C369" s="16" t="str">
        <f>IF('Classe CE1'!$B49="","",IF('Classe CE1'!C49="","",'Classe CE1'!C49))</f>
        <v/>
      </c>
      <c r="D369" s="16" t="str">
        <f>IF($B369="","",C369&amp;" "&amp;B369&amp;" - "&amp;E369)</f>
        <v/>
      </c>
      <c r="E369" s="17" t="str">
        <f>IF($B369="","",Paramètres!$A$19)</f>
        <v/>
      </c>
      <c r="F369" s="17" t="str">
        <f>IF($B369="","",Paramètres!$B$19)</f>
        <v/>
      </c>
      <c r="G369" s="17" t="str">
        <f>IF('Classe CE1'!$B49="","",IF('Classe CE1'!D49="","",'Classe CE1'!D49))</f>
        <v/>
      </c>
      <c r="H369" s="78" t="str">
        <f>IF('Classe CE1'!$B49="","",IF('Classe CE1'!E49="","",'Classe CE1'!E49))</f>
        <v/>
      </c>
      <c r="I369" s="16" t="str">
        <f>IF('Classe CE1'!$B49="","",IF('Classe CE1'!F49="","",'Classe CE1'!F49))</f>
        <v/>
      </c>
      <c r="J369" s="16" t="str">
        <f>IF('Classe CE1'!$B49="","",IF('Classe CE1'!G49="","",'Classe CE1'!G49))</f>
        <v/>
      </c>
      <c r="K369" s="18" t="str">
        <f>IF('Classe CE1'!$B49="","",N('Classe CE1'!H49))</f>
        <v/>
      </c>
      <c r="L369" s="18" t="str">
        <f>IF('Classe CE1'!$B49="","",N('Classe CE1'!I49))</f>
        <v/>
      </c>
      <c r="M369" s="18" t="str">
        <f>IF('Classe CE1'!$B49="","",N('Classe CE1'!J49))</f>
        <v/>
      </c>
      <c r="N369" s="18" t="str">
        <f>IF('Classe CE1'!$B49="","",N('Classe CE1'!K49))</f>
        <v/>
      </c>
      <c r="O369" s="18" t="str">
        <f>IF('Classe CE1'!$B49="","",N('Classe CE1'!L49))</f>
        <v/>
      </c>
      <c r="P369" s="18" t="str">
        <f>IF('Classe CE1'!$B49="","",N('Classe CE1'!M49))</f>
        <v/>
      </c>
      <c r="Q369" s="17" t="str">
        <f>IF('Classe CE1'!$B49="","",IF('Classe CE1'!Q49="","",'Classe CE1'!Q49))</f>
        <v/>
      </c>
      <c r="R369" s="18" t="str">
        <f>IF('Classe CE1'!$B49="","",N('Classe CE1'!N49))</f>
        <v/>
      </c>
      <c r="S369" s="18" t="str">
        <f>IF('Classe CE1'!$B49="","",N('Classe CE1'!O49))</f>
        <v/>
      </c>
      <c r="T369" s="18" t="str">
        <f>IF('Classe CE1'!$B49="","",N('Classe CE1'!P49))</f>
        <v/>
      </c>
    </row>
    <row r="370">
      <c r="A370" s="20" t="str">
        <f>IF('Classe CE1'!$B50="","",IF('Classe CE1'!A50="","",'Classe CE1'!A50))</f>
        <v/>
      </c>
      <c r="B370" s="20" t="str">
        <f>IF('Classe CE1'!$B50="","",IF('Classe CE1'!B50="","",'Classe CE1'!B50))</f>
        <v/>
      </c>
      <c r="C370" s="20" t="str">
        <f>IF('Classe CE1'!$B50="","",IF('Classe CE1'!C50="","",'Classe CE1'!C50))</f>
        <v/>
      </c>
      <c r="D370" s="20" t="str">
        <f>IF($B370="","",C370&amp;" "&amp;B370&amp;" - "&amp;E370)</f>
        <v/>
      </c>
      <c r="E370" s="21" t="str">
        <f>IF($B370="","",Paramètres!$A$19)</f>
        <v/>
      </c>
      <c r="F370" s="21" t="str">
        <f>IF($B370="","",Paramètres!$B$19)</f>
        <v/>
      </c>
      <c r="G370" s="21" t="str">
        <f>IF('Classe CE1'!$B50="","",IF('Classe CE1'!D50="","",'Classe CE1'!D50))</f>
        <v/>
      </c>
      <c r="H370" s="77" t="str">
        <f>IF('Classe CE1'!$B50="","",IF('Classe CE1'!E50="","",'Classe CE1'!E50))</f>
        <v/>
      </c>
      <c r="I370" s="20" t="str">
        <f>IF('Classe CE1'!$B50="","",IF('Classe CE1'!F50="","",'Classe CE1'!F50))</f>
        <v/>
      </c>
      <c r="J370" s="20" t="str">
        <f>IF('Classe CE1'!$B50="","",IF('Classe CE1'!G50="","",'Classe CE1'!G50))</f>
        <v/>
      </c>
      <c r="K370" s="51" t="str">
        <f>IF('Classe CE1'!$B50="","",N('Classe CE1'!H50))</f>
        <v/>
      </c>
      <c r="L370" s="51" t="str">
        <f>IF('Classe CE1'!$B50="","",N('Classe CE1'!I50))</f>
        <v/>
      </c>
      <c r="M370" s="51" t="str">
        <f>IF('Classe CE1'!$B50="","",N('Classe CE1'!J50))</f>
        <v/>
      </c>
      <c r="N370" s="51" t="str">
        <f>IF('Classe CE1'!$B50="","",N('Classe CE1'!K50))</f>
        <v/>
      </c>
      <c r="O370" s="51" t="str">
        <f>IF('Classe CE1'!$B50="","",N('Classe CE1'!L50))</f>
        <v/>
      </c>
      <c r="P370" s="51" t="str">
        <f>IF('Classe CE1'!$B50="","",N('Classe CE1'!M50))</f>
        <v/>
      </c>
      <c r="Q370" s="21" t="str">
        <f>IF('Classe CE1'!$B50="","",IF('Classe CE1'!Q50="","",'Classe CE1'!Q50))</f>
        <v/>
      </c>
      <c r="R370" s="51" t="str">
        <f>IF('Classe CE1'!$B50="","",N('Classe CE1'!N50))</f>
        <v/>
      </c>
      <c r="S370" s="51" t="str">
        <f>IF('Classe CE1'!$B50="","",N('Classe CE1'!O50))</f>
        <v/>
      </c>
      <c r="T370" s="51" t="str">
        <f>IF('Classe CE1'!$B50="","",N('Classe CE1'!P50))</f>
        <v/>
      </c>
    </row>
    <row r="371">
      <c r="A371" s="16" t="str">
        <f>IF('Classe CE1'!$B51="","",IF('Classe CE1'!A51="","",'Classe CE1'!A51))</f>
        <v/>
      </c>
      <c r="B371" s="16" t="str">
        <f>IF('Classe CE1'!$B51="","",IF('Classe CE1'!B51="","",'Classe CE1'!B51))</f>
        <v/>
      </c>
      <c r="C371" s="16" t="str">
        <f>IF('Classe CE1'!$B51="","",IF('Classe CE1'!C51="","",'Classe CE1'!C51))</f>
        <v/>
      </c>
      <c r="D371" s="16" t="str">
        <f>IF($B371="","",C371&amp;" "&amp;B371&amp;" - "&amp;E371)</f>
        <v/>
      </c>
      <c r="E371" s="17" t="str">
        <f>IF($B371="","",Paramètres!$A$19)</f>
        <v/>
      </c>
      <c r="F371" s="17" t="str">
        <f>IF($B371="","",Paramètres!$B$19)</f>
        <v/>
      </c>
      <c r="G371" s="17" t="str">
        <f>IF('Classe CE1'!$B51="","",IF('Classe CE1'!D51="","",'Classe CE1'!D51))</f>
        <v/>
      </c>
      <c r="H371" s="78" t="str">
        <f>IF('Classe CE1'!$B51="","",IF('Classe CE1'!E51="","",'Classe CE1'!E51))</f>
        <v/>
      </c>
      <c r="I371" s="16" t="str">
        <f>IF('Classe CE1'!$B51="","",IF('Classe CE1'!F51="","",'Classe CE1'!F51))</f>
        <v/>
      </c>
      <c r="J371" s="16" t="str">
        <f>IF('Classe CE1'!$B51="","",IF('Classe CE1'!G51="","",'Classe CE1'!G51))</f>
        <v/>
      </c>
      <c r="K371" s="18" t="str">
        <f>IF('Classe CE1'!$B51="","",N('Classe CE1'!H51))</f>
        <v/>
      </c>
      <c r="L371" s="18" t="str">
        <f>IF('Classe CE1'!$B51="","",N('Classe CE1'!I51))</f>
        <v/>
      </c>
      <c r="M371" s="18" t="str">
        <f>IF('Classe CE1'!$B51="","",N('Classe CE1'!J51))</f>
        <v/>
      </c>
      <c r="N371" s="18" t="str">
        <f>IF('Classe CE1'!$B51="","",N('Classe CE1'!K51))</f>
        <v/>
      </c>
      <c r="O371" s="18" t="str">
        <f>IF('Classe CE1'!$B51="","",N('Classe CE1'!L51))</f>
        <v/>
      </c>
      <c r="P371" s="18" t="str">
        <f>IF('Classe CE1'!$B51="","",N('Classe CE1'!M51))</f>
        <v/>
      </c>
      <c r="Q371" s="17" t="str">
        <f>IF('Classe CE1'!$B51="","",IF('Classe CE1'!Q51="","",'Classe CE1'!Q51))</f>
        <v/>
      </c>
      <c r="R371" s="18" t="str">
        <f>IF('Classe CE1'!$B51="","",N('Classe CE1'!N51))</f>
        <v/>
      </c>
      <c r="S371" s="18" t="str">
        <f>IF('Classe CE1'!$B51="","",N('Classe CE1'!O51))</f>
        <v/>
      </c>
      <c r="T371" s="18" t="str">
        <f>IF('Classe CE1'!$B51="","",N('Classe CE1'!P51))</f>
        <v/>
      </c>
    </row>
    <row r="372">
      <c r="A372" s="20" t="str">
        <f>IF('Classe CE1'!$B52="","",IF('Classe CE1'!A52="","",'Classe CE1'!A52))</f>
        <v/>
      </c>
      <c r="B372" s="20" t="str">
        <f>IF('Classe CE1'!$B52="","",IF('Classe CE1'!B52="","",'Classe CE1'!B52))</f>
        <v/>
      </c>
      <c r="C372" s="20" t="str">
        <f>IF('Classe CE1'!$B52="","",IF('Classe CE1'!C52="","",'Classe CE1'!C52))</f>
        <v/>
      </c>
      <c r="D372" s="20" t="str">
        <f>IF($B372="","",C372&amp;" "&amp;B372&amp;" - "&amp;E372)</f>
        <v/>
      </c>
      <c r="E372" s="21" t="str">
        <f>IF($B372="","",Paramètres!$A$19)</f>
        <v/>
      </c>
      <c r="F372" s="21" t="str">
        <f>IF($B372="","",Paramètres!$B$19)</f>
        <v/>
      </c>
      <c r="G372" s="21" t="str">
        <f>IF('Classe CE1'!$B52="","",IF('Classe CE1'!D52="","",'Classe CE1'!D52))</f>
        <v/>
      </c>
      <c r="H372" s="77" t="str">
        <f>IF('Classe CE1'!$B52="","",IF('Classe CE1'!E52="","",'Classe CE1'!E52))</f>
        <v/>
      </c>
      <c r="I372" s="20" t="str">
        <f>IF('Classe CE1'!$B52="","",IF('Classe CE1'!F52="","",'Classe CE1'!F52))</f>
        <v/>
      </c>
      <c r="J372" s="20" t="str">
        <f>IF('Classe CE1'!$B52="","",IF('Classe CE1'!G52="","",'Classe CE1'!G52))</f>
        <v/>
      </c>
      <c r="K372" s="51" t="str">
        <f>IF('Classe CE1'!$B52="","",N('Classe CE1'!H52))</f>
        <v/>
      </c>
      <c r="L372" s="51" t="str">
        <f>IF('Classe CE1'!$B52="","",N('Classe CE1'!I52))</f>
        <v/>
      </c>
      <c r="M372" s="51" t="str">
        <f>IF('Classe CE1'!$B52="","",N('Classe CE1'!J52))</f>
        <v/>
      </c>
      <c r="N372" s="51" t="str">
        <f>IF('Classe CE1'!$B52="","",N('Classe CE1'!K52))</f>
        <v/>
      </c>
      <c r="O372" s="51" t="str">
        <f>IF('Classe CE1'!$B52="","",N('Classe CE1'!L52))</f>
        <v/>
      </c>
      <c r="P372" s="51" t="str">
        <f>IF('Classe CE1'!$B52="","",N('Classe CE1'!M52))</f>
        <v/>
      </c>
      <c r="Q372" s="21" t="str">
        <f>IF('Classe CE1'!$B52="","",IF('Classe CE1'!Q52="","",'Classe CE1'!Q52))</f>
        <v/>
      </c>
      <c r="R372" s="51" t="str">
        <f>IF('Classe CE1'!$B52="","",N('Classe CE1'!N52))</f>
        <v/>
      </c>
      <c r="S372" s="51" t="str">
        <f>IF('Classe CE1'!$B52="","",N('Classe CE1'!O52))</f>
        <v/>
      </c>
      <c r="T372" s="51" t="str">
        <f>IF('Classe CE1'!$B52="","",N('Classe CE1'!P52))</f>
        <v/>
      </c>
    </row>
    <row r="373">
      <c r="A373" s="16" t="str">
        <f>IF('Classe CE1'!$B53="","",IF('Classe CE1'!A53="","",'Classe CE1'!A53))</f>
        <v/>
      </c>
      <c r="B373" s="16" t="str">
        <f>IF('Classe CE1'!$B53="","",IF('Classe CE1'!B53="","",'Classe CE1'!B53))</f>
        <v/>
      </c>
      <c r="C373" s="16" t="str">
        <f>IF('Classe CE1'!$B53="","",IF('Classe CE1'!C53="","",'Classe CE1'!C53))</f>
        <v/>
      </c>
      <c r="D373" s="16" t="str">
        <f>IF($B373="","",C373&amp;" "&amp;B373&amp;" - "&amp;E373)</f>
        <v/>
      </c>
      <c r="E373" s="17" t="str">
        <f>IF($B373="","",Paramètres!$A$19)</f>
        <v/>
      </c>
      <c r="F373" s="17" t="str">
        <f>IF($B373="","",Paramètres!$B$19)</f>
        <v/>
      </c>
      <c r="G373" s="17" t="str">
        <f>IF('Classe CE1'!$B53="","",IF('Classe CE1'!D53="","",'Classe CE1'!D53))</f>
        <v/>
      </c>
      <c r="H373" s="78" t="str">
        <f>IF('Classe CE1'!$B53="","",IF('Classe CE1'!E53="","",'Classe CE1'!E53))</f>
        <v/>
      </c>
      <c r="I373" s="16" t="str">
        <f>IF('Classe CE1'!$B53="","",IF('Classe CE1'!F53="","",'Classe CE1'!F53))</f>
        <v/>
      </c>
      <c r="J373" s="16" t="str">
        <f>IF('Classe CE1'!$B53="","",IF('Classe CE1'!G53="","",'Classe CE1'!G53))</f>
        <v/>
      </c>
      <c r="K373" s="18" t="str">
        <f>IF('Classe CE1'!$B53="","",N('Classe CE1'!H53))</f>
        <v/>
      </c>
      <c r="L373" s="18" t="str">
        <f>IF('Classe CE1'!$B53="","",N('Classe CE1'!I53))</f>
        <v/>
      </c>
      <c r="M373" s="18" t="str">
        <f>IF('Classe CE1'!$B53="","",N('Classe CE1'!J53))</f>
        <v/>
      </c>
      <c r="N373" s="18" t="str">
        <f>IF('Classe CE1'!$B53="","",N('Classe CE1'!K53))</f>
        <v/>
      </c>
      <c r="O373" s="18" t="str">
        <f>IF('Classe CE1'!$B53="","",N('Classe CE1'!L53))</f>
        <v/>
      </c>
      <c r="P373" s="18" t="str">
        <f>IF('Classe CE1'!$B53="","",N('Classe CE1'!M53))</f>
        <v/>
      </c>
      <c r="Q373" s="17" t="str">
        <f>IF('Classe CE1'!$B53="","",IF('Classe CE1'!Q53="","",'Classe CE1'!Q53))</f>
        <v/>
      </c>
      <c r="R373" s="18" t="str">
        <f>IF('Classe CE1'!$B53="","",N('Classe CE1'!N53))</f>
        <v/>
      </c>
      <c r="S373" s="18" t="str">
        <f>IF('Classe CE1'!$B53="","",N('Classe CE1'!O53))</f>
        <v/>
      </c>
      <c r="T373" s="18" t="str">
        <f>IF('Classe CE1'!$B53="","",N('Classe CE1'!P53))</f>
        <v/>
      </c>
    </row>
    <row r="374">
      <c r="A374" s="20" t="str">
        <f>IF('Classe CE1'!$B54="","",IF('Classe CE1'!A54="","",'Classe CE1'!A54))</f>
        <v/>
      </c>
      <c r="B374" s="20" t="str">
        <f>IF('Classe CE1'!$B54="","",IF('Classe CE1'!B54="","",'Classe CE1'!B54))</f>
        <v/>
      </c>
      <c r="C374" s="20" t="str">
        <f>IF('Classe CE1'!$B54="","",IF('Classe CE1'!C54="","",'Classe CE1'!C54))</f>
        <v/>
      </c>
      <c r="D374" s="20" t="str">
        <f>IF($B374="","",C374&amp;" "&amp;B374&amp;" - "&amp;E374)</f>
        <v/>
      </c>
      <c r="E374" s="21" t="str">
        <f>IF($B374="","",Paramètres!$A$19)</f>
        <v/>
      </c>
      <c r="F374" s="21" t="str">
        <f>IF($B374="","",Paramètres!$B$19)</f>
        <v/>
      </c>
      <c r="G374" s="21" t="str">
        <f>IF('Classe CE1'!$B54="","",IF('Classe CE1'!D54="","",'Classe CE1'!D54))</f>
        <v/>
      </c>
      <c r="H374" s="77" t="str">
        <f>IF('Classe CE1'!$B54="","",IF('Classe CE1'!E54="","",'Classe CE1'!E54))</f>
        <v/>
      </c>
      <c r="I374" s="20" t="str">
        <f>IF('Classe CE1'!$B54="","",IF('Classe CE1'!F54="","",'Classe CE1'!F54))</f>
        <v/>
      </c>
      <c r="J374" s="20" t="str">
        <f>IF('Classe CE1'!$B54="","",IF('Classe CE1'!G54="","",'Classe CE1'!G54))</f>
        <v/>
      </c>
      <c r="K374" s="51" t="str">
        <f>IF('Classe CE1'!$B54="","",N('Classe CE1'!H54))</f>
        <v/>
      </c>
      <c r="L374" s="51" t="str">
        <f>IF('Classe CE1'!$B54="","",N('Classe CE1'!I54))</f>
        <v/>
      </c>
      <c r="M374" s="51" t="str">
        <f>IF('Classe CE1'!$B54="","",N('Classe CE1'!J54))</f>
        <v/>
      </c>
      <c r="N374" s="51" t="str">
        <f>IF('Classe CE1'!$B54="","",N('Classe CE1'!K54))</f>
        <v/>
      </c>
      <c r="O374" s="51" t="str">
        <f>IF('Classe CE1'!$B54="","",N('Classe CE1'!L54))</f>
        <v/>
      </c>
      <c r="P374" s="51" t="str">
        <f>IF('Classe CE1'!$B54="","",N('Classe CE1'!M54))</f>
        <v/>
      </c>
      <c r="Q374" s="21" t="str">
        <f>IF('Classe CE1'!$B54="","",IF('Classe CE1'!Q54="","",'Classe CE1'!Q54))</f>
        <v/>
      </c>
      <c r="R374" s="51" t="str">
        <f>IF('Classe CE1'!$B54="","",N('Classe CE1'!N54))</f>
        <v/>
      </c>
      <c r="S374" s="51" t="str">
        <f>IF('Classe CE1'!$B54="","",N('Classe CE1'!O54))</f>
        <v/>
      </c>
      <c r="T374" s="51" t="str">
        <f>IF('Classe CE1'!$B54="","",N('Classe CE1'!P54))</f>
        <v/>
      </c>
    </row>
    <row r="375">
      <c r="A375" s="16" t="str">
        <f>IF('Classe CE1'!$B55="","",IF('Classe CE1'!A55="","",'Classe CE1'!A55))</f>
        <v/>
      </c>
      <c r="B375" s="16" t="str">
        <f>IF('Classe CE1'!$B55="","",IF('Classe CE1'!B55="","",'Classe CE1'!B55))</f>
        <v/>
      </c>
      <c r="C375" s="16" t="str">
        <f>IF('Classe CE1'!$B55="","",IF('Classe CE1'!C55="","",'Classe CE1'!C55))</f>
        <v/>
      </c>
      <c r="D375" s="16" t="str">
        <f>IF($B375="","",C375&amp;" "&amp;B375&amp;" - "&amp;E375)</f>
        <v/>
      </c>
      <c r="E375" s="17" t="str">
        <f>IF($B375="","",Paramètres!$A$19)</f>
        <v/>
      </c>
      <c r="F375" s="17" t="str">
        <f>IF($B375="","",Paramètres!$B$19)</f>
        <v/>
      </c>
      <c r="G375" s="17" t="str">
        <f>IF('Classe CE1'!$B55="","",IF('Classe CE1'!D55="","",'Classe CE1'!D55))</f>
        <v/>
      </c>
      <c r="H375" s="78" t="str">
        <f>IF('Classe CE1'!$B55="","",IF('Classe CE1'!E55="","",'Classe CE1'!E55))</f>
        <v/>
      </c>
      <c r="I375" s="16" t="str">
        <f>IF('Classe CE1'!$B55="","",IF('Classe CE1'!F55="","",'Classe CE1'!F55))</f>
        <v/>
      </c>
      <c r="J375" s="16" t="str">
        <f>IF('Classe CE1'!$B55="","",IF('Classe CE1'!G55="","",'Classe CE1'!G55))</f>
        <v/>
      </c>
      <c r="K375" s="18" t="str">
        <f>IF('Classe CE1'!$B55="","",N('Classe CE1'!H55))</f>
        <v/>
      </c>
      <c r="L375" s="18" t="str">
        <f>IF('Classe CE1'!$B55="","",N('Classe CE1'!I55))</f>
        <v/>
      </c>
      <c r="M375" s="18" t="str">
        <f>IF('Classe CE1'!$B55="","",N('Classe CE1'!J55))</f>
        <v/>
      </c>
      <c r="N375" s="18" t="str">
        <f>IF('Classe CE1'!$B55="","",N('Classe CE1'!K55))</f>
        <v/>
      </c>
      <c r="O375" s="18" t="str">
        <f>IF('Classe CE1'!$B55="","",N('Classe CE1'!L55))</f>
        <v/>
      </c>
      <c r="P375" s="18" t="str">
        <f>IF('Classe CE1'!$B55="","",N('Classe CE1'!M55))</f>
        <v/>
      </c>
      <c r="Q375" s="17" t="str">
        <f>IF('Classe CE1'!$B55="","",IF('Classe CE1'!Q55="","",'Classe CE1'!Q55))</f>
        <v/>
      </c>
      <c r="R375" s="18" t="str">
        <f>IF('Classe CE1'!$B55="","",N('Classe CE1'!N55))</f>
        <v/>
      </c>
      <c r="S375" s="18" t="str">
        <f>IF('Classe CE1'!$B55="","",N('Classe CE1'!O55))</f>
        <v/>
      </c>
      <c r="T375" s="18" t="str">
        <f>IF('Classe CE1'!$B55="","",N('Classe CE1'!P55))</f>
        <v/>
      </c>
    </row>
    <row r="376">
      <c r="A376" s="20" t="str">
        <f>IF('Classe CE1'!$B56="","",IF('Classe CE1'!A56="","",'Classe CE1'!A56))</f>
        <v/>
      </c>
      <c r="B376" s="20" t="str">
        <f>IF('Classe CE1'!$B56="","",IF('Classe CE1'!B56="","",'Classe CE1'!B56))</f>
        <v/>
      </c>
      <c r="C376" s="20" t="str">
        <f>IF('Classe CE1'!$B56="","",IF('Classe CE1'!C56="","",'Classe CE1'!C56))</f>
        <v/>
      </c>
      <c r="D376" s="20" t="str">
        <f>IF($B376="","",C376&amp;" "&amp;B376&amp;" - "&amp;E376)</f>
        <v/>
      </c>
      <c r="E376" s="21" t="str">
        <f>IF($B376="","",Paramètres!$A$19)</f>
        <v/>
      </c>
      <c r="F376" s="21" t="str">
        <f>IF($B376="","",Paramètres!$B$19)</f>
        <v/>
      </c>
      <c r="G376" s="21" t="str">
        <f>IF('Classe CE1'!$B56="","",IF('Classe CE1'!D56="","",'Classe CE1'!D56))</f>
        <v/>
      </c>
      <c r="H376" s="77" t="str">
        <f>IF('Classe CE1'!$B56="","",IF('Classe CE1'!E56="","",'Classe CE1'!E56))</f>
        <v/>
      </c>
      <c r="I376" s="20" t="str">
        <f>IF('Classe CE1'!$B56="","",IF('Classe CE1'!F56="","",'Classe CE1'!F56))</f>
        <v/>
      </c>
      <c r="J376" s="20" t="str">
        <f>IF('Classe CE1'!$B56="","",IF('Classe CE1'!G56="","",'Classe CE1'!G56))</f>
        <v/>
      </c>
      <c r="K376" s="51" t="str">
        <f>IF('Classe CE1'!$B56="","",N('Classe CE1'!H56))</f>
        <v/>
      </c>
      <c r="L376" s="51" t="str">
        <f>IF('Classe CE1'!$B56="","",N('Classe CE1'!I56))</f>
        <v/>
      </c>
      <c r="M376" s="51" t="str">
        <f>IF('Classe CE1'!$B56="","",N('Classe CE1'!J56))</f>
        <v/>
      </c>
      <c r="N376" s="51" t="str">
        <f>IF('Classe CE1'!$B56="","",N('Classe CE1'!K56))</f>
        <v/>
      </c>
      <c r="O376" s="51" t="str">
        <f>IF('Classe CE1'!$B56="","",N('Classe CE1'!L56))</f>
        <v/>
      </c>
      <c r="P376" s="51" t="str">
        <f>IF('Classe CE1'!$B56="","",N('Classe CE1'!M56))</f>
        <v/>
      </c>
      <c r="Q376" s="21" t="str">
        <f>IF('Classe CE1'!$B56="","",IF('Classe CE1'!Q56="","",'Classe CE1'!Q56))</f>
        <v/>
      </c>
      <c r="R376" s="51" t="str">
        <f>IF('Classe CE1'!$B56="","",N('Classe CE1'!N56))</f>
        <v/>
      </c>
      <c r="S376" s="51" t="str">
        <f>IF('Classe CE1'!$B56="","",N('Classe CE1'!O56))</f>
        <v/>
      </c>
      <c r="T376" s="51" t="str">
        <f>IF('Classe CE1'!$B56="","",N('Classe CE1'!P56))</f>
        <v/>
      </c>
    </row>
    <row r="377">
      <c r="A377" s="16" t="str">
        <f>IF('Classe CE1'!$B57="","",IF('Classe CE1'!A57="","",'Classe CE1'!A57))</f>
        <v/>
      </c>
      <c r="B377" s="16" t="str">
        <f>IF('Classe CE1'!$B57="","",IF('Classe CE1'!B57="","",'Classe CE1'!B57))</f>
        <v/>
      </c>
      <c r="C377" s="16" t="str">
        <f>IF('Classe CE1'!$B57="","",IF('Classe CE1'!C57="","",'Classe CE1'!C57))</f>
        <v/>
      </c>
      <c r="D377" s="16" t="str">
        <f>IF($B377="","",C377&amp;" "&amp;B377&amp;" - "&amp;E377)</f>
        <v/>
      </c>
      <c r="E377" s="17" t="str">
        <f>IF($B377="","",Paramètres!$A$19)</f>
        <v/>
      </c>
      <c r="F377" s="17" t="str">
        <f>IF($B377="","",Paramètres!$B$19)</f>
        <v/>
      </c>
      <c r="G377" s="17" t="str">
        <f>IF('Classe CE1'!$B57="","",IF('Classe CE1'!D57="","",'Classe CE1'!D57))</f>
        <v/>
      </c>
      <c r="H377" s="78" t="str">
        <f>IF('Classe CE1'!$B57="","",IF('Classe CE1'!E57="","",'Classe CE1'!E57))</f>
        <v/>
      </c>
      <c r="I377" s="16" t="str">
        <f>IF('Classe CE1'!$B57="","",IF('Classe CE1'!F57="","",'Classe CE1'!F57))</f>
        <v/>
      </c>
      <c r="J377" s="16" t="str">
        <f>IF('Classe CE1'!$B57="","",IF('Classe CE1'!G57="","",'Classe CE1'!G57))</f>
        <v/>
      </c>
      <c r="K377" s="18" t="str">
        <f>IF('Classe CE1'!$B57="","",N('Classe CE1'!H57))</f>
        <v/>
      </c>
      <c r="L377" s="18" t="str">
        <f>IF('Classe CE1'!$B57="","",N('Classe CE1'!I57))</f>
        <v/>
      </c>
      <c r="M377" s="18" t="str">
        <f>IF('Classe CE1'!$B57="","",N('Classe CE1'!J57))</f>
        <v/>
      </c>
      <c r="N377" s="18" t="str">
        <f>IF('Classe CE1'!$B57="","",N('Classe CE1'!K57))</f>
        <v/>
      </c>
      <c r="O377" s="18" t="str">
        <f>IF('Classe CE1'!$B57="","",N('Classe CE1'!L57))</f>
        <v/>
      </c>
      <c r="P377" s="18" t="str">
        <f>IF('Classe CE1'!$B57="","",N('Classe CE1'!M57))</f>
        <v/>
      </c>
      <c r="Q377" s="17" t="str">
        <f>IF('Classe CE1'!$B57="","",IF('Classe CE1'!Q57="","",'Classe CE1'!Q57))</f>
        <v/>
      </c>
      <c r="R377" s="18" t="str">
        <f>IF('Classe CE1'!$B57="","",N('Classe CE1'!N57))</f>
        <v/>
      </c>
      <c r="S377" s="18" t="str">
        <f>IF('Classe CE1'!$B57="","",N('Classe CE1'!O57))</f>
        <v/>
      </c>
      <c r="T377" s="18" t="str">
        <f>IF('Classe CE1'!$B57="","",N('Classe CE1'!P57))</f>
        <v/>
      </c>
    </row>
    <row r="378">
      <c r="A378" s="20" t="str">
        <f>IF('Classe CE1'!$B58="","",IF('Classe CE1'!A58="","",'Classe CE1'!A58))</f>
        <v/>
      </c>
      <c r="B378" s="20" t="str">
        <f>IF('Classe CE1'!$B58="","",IF('Classe CE1'!B58="","",'Classe CE1'!B58))</f>
        <v/>
      </c>
      <c r="C378" s="20" t="str">
        <f>IF('Classe CE1'!$B58="","",IF('Classe CE1'!C58="","",'Classe CE1'!C58))</f>
        <v/>
      </c>
      <c r="D378" s="20" t="str">
        <f>IF($B378="","",C378&amp;" "&amp;B378&amp;" - "&amp;E378)</f>
        <v/>
      </c>
      <c r="E378" s="21" t="str">
        <f>IF($B378="","",Paramètres!$A$19)</f>
        <v/>
      </c>
      <c r="F378" s="21" t="str">
        <f>IF($B378="","",Paramètres!$B$19)</f>
        <v/>
      </c>
      <c r="G378" s="21" t="str">
        <f>IF('Classe CE1'!$B58="","",IF('Classe CE1'!D58="","",'Classe CE1'!D58))</f>
        <v/>
      </c>
      <c r="H378" s="77" t="str">
        <f>IF('Classe CE1'!$B58="","",IF('Classe CE1'!E58="","",'Classe CE1'!E58))</f>
        <v/>
      </c>
      <c r="I378" s="20" t="str">
        <f>IF('Classe CE1'!$B58="","",IF('Classe CE1'!F58="","",'Classe CE1'!F58))</f>
        <v/>
      </c>
      <c r="J378" s="20" t="str">
        <f>IF('Classe CE1'!$B58="","",IF('Classe CE1'!G58="","",'Classe CE1'!G58))</f>
        <v/>
      </c>
      <c r="K378" s="51" t="str">
        <f>IF('Classe CE1'!$B58="","",N('Classe CE1'!H58))</f>
        <v/>
      </c>
      <c r="L378" s="51" t="str">
        <f>IF('Classe CE1'!$B58="","",N('Classe CE1'!I58))</f>
        <v/>
      </c>
      <c r="M378" s="51" t="str">
        <f>IF('Classe CE1'!$B58="","",N('Classe CE1'!J58))</f>
        <v/>
      </c>
      <c r="N378" s="51" t="str">
        <f>IF('Classe CE1'!$B58="","",N('Classe CE1'!K58))</f>
        <v/>
      </c>
      <c r="O378" s="51" t="str">
        <f>IF('Classe CE1'!$B58="","",N('Classe CE1'!L58))</f>
        <v/>
      </c>
      <c r="P378" s="51" t="str">
        <f>IF('Classe CE1'!$B58="","",N('Classe CE1'!M58))</f>
        <v/>
      </c>
      <c r="Q378" s="21" t="str">
        <f>IF('Classe CE1'!$B58="","",IF('Classe CE1'!Q58="","",'Classe CE1'!Q58))</f>
        <v/>
      </c>
      <c r="R378" s="51" t="str">
        <f>IF('Classe CE1'!$B58="","",N('Classe CE1'!N58))</f>
        <v/>
      </c>
      <c r="S378" s="51" t="str">
        <f>IF('Classe CE1'!$B58="","",N('Classe CE1'!O58))</f>
        <v/>
      </c>
      <c r="T378" s="51" t="str">
        <f>IF('Classe CE1'!$B58="","",N('Classe CE1'!P58))</f>
        <v/>
      </c>
    </row>
    <row r="379">
      <c r="A379" s="16" t="str">
        <f>IF('Classe CE1'!$B59="","",IF('Classe CE1'!A59="","",'Classe CE1'!A59))</f>
        <v/>
      </c>
      <c r="B379" s="16" t="str">
        <f>IF('Classe CE1'!$B59="","",IF('Classe CE1'!B59="","",'Classe CE1'!B59))</f>
        <v/>
      </c>
      <c r="C379" s="16" t="str">
        <f>IF('Classe CE1'!$B59="","",IF('Classe CE1'!C59="","",'Classe CE1'!C59))</f>
        <v/>
      </c>
      <c r="D379" s="16" t="str">
        <f>IF($B379="","",C379&amp;" "&amp;B379&amp;" - "&amp;E379)</f>
        <v/>
      </c>
      <c r="E379" s="17" t="str">
        <f>IF($B379="","",Paramètres!$A$19)</f>
        <v/>
      </c>
      <c r="F379" s="17" t="str">
        <f>IF($B379="","",Paramètres!$B$19)</f>
        <v/>
      </c>
      <c r="G379" s="17" t="str">
        <f>IF('Classe CE1'!$B59="","",IF('Classe CE1'!D59="","",'Classe CE1'!D59))</f>
        <v/>
      </c>
      <c r="H379" s="78" t="str">
        <f>IF('Classe CE1'!$B59="","",IF('Classe CE1'!E59="","",'Classe CE1'!E59))</f>
        <v/>
      </c>
      <c r="I379" s="16" t="str">
        <f>IF('Classe CE1'!$B59="","",IF('Classe CE1'!F59="","",'Classe CE1'!F59))</f>
        <v/>
      </c>
      <c r="J379" s="16" t="str">
        <f>IF('Classe CE1'!$B59="","",IF('Classe CE1'!G59="","",'Classe CE1'!G59))</f>
        <v/>
      </c>
      <c r="K379" s="18" t="str">
        <f>IF('Classe CE1'!$B59="","",N('Classe CE1'!H59))</f>
        <v/>
      </c>
      <c r="L379" s="18" t="str">
        <f>IF('Classe CE1'!$B59="","",N('Classe CE1'!I59))</f>
        <v/>
      </c>
      <c r="M379" s="18" t="str">
        <f>IF('Classe CE1'!$B59="","",N('Classe CE1'!J59))</f>
        <v/>
      </c>
      <c r="N379" s="18" t="str">
        <f>IF('Classe CE1'!$B59="","",N('Classe CE1'!K59))</f>
        <v/>
      </c>
      <c r="O379" s="18" t="str">
        <f>IF('Classe CE1'!$B59="","",N('Classe CE1'!L59))</f>
        <v/>
      </c>
      <c r="P379" s="18" t="str">
        <f>IF('Classe CE1'!$B59="","",N('Classe CE1'!M59))</f>
        <v/>
      </c>
      <c r="Q379" s="17" t="str">
        <f>IF('Classe CE1'!$B59="","",IF('Classe CE1'!Q59="","",'Classe CE1'!Q59))</f>
        <v/>
      </c>
      <c r="R379" s="18" t="str">
        <f>IF('Classe CE1'!$B59="","",N('Classe CE1'!N59))</f>
        <v/>
      </c>
      <c r="S379" s="18" t="str">
        <f>IF('Classe CE1'!$B59="","",N('Classe CE1'!O59))</f>
        <v/>
      </c>
      <c r="T379" s="18" t="str">
        <f>IF('Classe CE1'!$B59="","",N('Classe CE1'!P59))</f>
        <v/>
      </c>
    </row>
    <row r="380">
      <c r="A380" s="20" t="str">
        <f>IF('Classe CE1'!$B60="","",IF('Classe CE1'!A60="","",'Classe CE1'!A60))</f>
        <v/>
      </c>
      <c r="B380" s="20" t="str">
        <f>IF('Classe CE1'!$B60="","",IF('Classe CE1'!B60="","",'Classe CE1'!B60))</f>
        <v/>
      </c>
      <c r="C380" s="20" t="str">
        <f>IF('Classe CE1'!$B60="","",IF('Classe CE1'!C60="","",'Classe CE1'!C60))</f>
        <v/>
      </c>
      <c r="D380" s="20" t="str">
        <f>IF($B380="","",C380&amp;" "&amp;B380&amp;" - "&amp;E380)</f>
        <v/>
      </c>
      <c r="E380" s="21" t="str">
        <f>IF($B380="","",Paramètres!$A$19)</f>
        <v/>
      </c>
      <c r="F380" s="21" t="str">
        <f>IF($B380="","",Paramètres!$B$19)</f>
        <v/>
      </c>
      <c r="G380" s="21" t="str">
        <f>IF('Classe CE1'!$B60="","",IF('Classe CE1'!D60="","",'Classe CE1'!D60))</f>
        <v/>
      </c>
      <c r="H380" s="77" t="str">
        <f>IF('Classe CE1'!$B60="","",IF('Classe CE1'!E60="","",'Classe CE1'!E60))</f>
        <v/>
      </c>
      <c r="I380" s="20" t="str">
        <f>IF('Classe CE1'!$B60="","",IF('Classe CE1'!F60="","",'Classe CE1'!F60))</f>
        <v/>
      </c>
      <c r="J380" s="20" t="str">
        <f>IF('Classe CE1'!$B60="","",IF('Classe CE1'!G60="","",'Classe CE1'!G60))</f>
        <v/>
      </c>
      <c r="K380" s="51" t="str">
        <f>IF('Classe CE1'!$B60="","",N('Classe CE1'!H60))</f>
        <v/>
      </c>
      <c r="L380" s="51" t="str">
        <f>IF('Classe CE1'!$B60="","",N('Classe CE1'!I60))</f>
        <v/>
      </c>
      <c r="M380" s="51" t="str">
        <f>IF('Classe CE1'!$B60="","",N('Classe CE1'!J60))</f>
        <v/>
      </c>
      <c r="N380" s="51" t="str">
        <f>IF('Classe CE1'!$B60="","",N('Classe CE1'!K60))</f>
        <v/>
      </c>
      <c r="O380" s="51" t="str">
        <f>IF('Classe CE1'!$B60="","",N('Classe CE1'!L60))</f>
        <v/>
      </c>
      <c r="P380" s="51" t="str">
        <f>IF('Classe CE1'!$B60="","",N('Classe CE1'!M60))</f>
        <v/>
      </c>
      <c r="Q380" s="21" t="str">
        <f>IF('Classe CE1'!$B60="","",IF('Classe CE1'!Q60="","",'Classe CE1'!Q60))</f>
        <v/>
      </c>
      <c r="R380" s="51" t="str">
        <f>IF('Classe CE1'!$B60="","",N('Classe CE1'!N60))</f>
        <v/>
      </c>
      <c r="S380" s="51" t="str">
        <f>IF('Classe CE1'!$B60="","",N('Classe CE1'!O60))</f>
        <v/>
      </c>
      <c r="T380" s="51" t="str">
        <f>IF('Classe CE1'!$B60="","",N('Classe CE1'!P60))</f>
        <v/>
      </c>
    </row>
    <row r="381">
      <c r="A381" s="16" t="str">
        <f>IF('Classe CE1'!$B61="","",IF('Classe CE1'!A61="","",'Classe CE1'!A61))</f>
        <v/>
      </c>
      <c r="B381" s="16" t="str">
        <f>IF('Classe CE1'!$B61="","",IF('Classe CE1'!B61="","",'Classe CE1'!B61))</f>
        <v/>
      </c>
      <c r="C381" s="16" t="str">
        <f>IF('Classe CE1'!$B61="","",IF('Classe CE1'!C61="","",'Classe CE1'!C61))</f>
        <v/>
      </c>
      <c r="D381" s="16" t="str">
        <f>IF($B381="","",C381&amp;" "&amp;B381&amp;" - "&amp;E381)</f>
        <v/>
      </c>
      <c r="E381" s="17" t="str">
        <f>IF($B381="","",Paramètres!$A$19)</f>
        <v/>
      </c>
      <c r="F381" s="17" t="str">
        <f>IF($B381="","",Paramètres!$B$19)</f>
        <v/>
      </c>
      <c r="G381" s="17" t="str">
        <f>IF('Classe CE1'!$B61="","",IF('Classe CE1'!D61="","",'Classe CE1'!D61))</f>
        <v/>
      </c>
      <c r="H381" s="78" t="str">
        <f>IF('Classe CE1'!$B61="","",IF('Classe CE1'!E61="","",'Classe CE1'!E61))</f>
        <v/>
      </c>
      <c r="I381" s="16" t="str">
        <f>IF('Classe CE1'!$B61="","",IF('Classe CE1'!F61="","",'Classe CE1'!F61))</f>
        <v/>
      </c>
      <c r="J381" s="16" t="str">
        <f>IF('Classe CE1'!$B61="","",IF('Classe CE1'!G61="","",'Classe CE1'!G61))</f>
        <v/>
      </c>
      <c r="K381" s="18" t="str">
        <f>IF('Classe CE1'!$B61="","",N('Classe CE1'!H61))</f>
        <v/>
      </c>
      <c r="L381" s="18" t="str">
        <f>IF('Classe CE1'!$B61="","",N('Classe CE1'!I61))</f>
        <v/>
      </c>
      <c r="M381" s="18" t="str">
        <f>IF('Classe CE1'!$B61="","",N('Classe CE1'!J61))</f>
        <v/>
      </c>
      <c r="N381" s="18" t="str">
        <f>IF('Classe CE1'!$B61="","",N('Classe CE1'!K61))</f>
        <v/>
      </c>
      <c r="O381" s="18" t="str">
        <f>IF('Classe CE1'!$B61="","",N('Classe CE1'!L61))</f>
        <v/>
      </c>
      <c r="P381" s="18" t="str">
        <f>IF('Classe CE1'!$B61="","",N('Classe CE1'!M61))</f>
        <v/>
      </c>
      <c r="Q381" s="17" t="str">
        <f>IF('Classe CE1'!$B61="","",IF('Classe CE1'!Q61="","",'Classe CE1'!Q61))</f>
        <v/>
      </c>
      <c r="R381" s="18" t="str">
        <f>IF('Classe CE1'!$B61="","",N('Classe CE1'!N61))</f>
        <v/>
      </c>
      <c r="S381" s="18" t="str">
        <f>IF('Classe CE1'!$B61="","",N('Classe CE1'!O61))</f>
        <v/>
      </c>
      <c r="T381" s="18" t="str">
        <f>IF('Classe CE1'!$B61="","",N('Classe CE1'!P61))</f>
        <v/>
      </c>
    </row>
    <row r="382">
      <c r="A382" s="20" t="str">
        <f>IF('Classe CE1'!$B62="","",IF('Classe CE1'!A62="","",'Classe CE1'!A62))</f>
        <v/>
      </c>
      <c r="B382" s="20" t="str">
        <f>IF('Classe CE1'!$B62="","",IF('Classe CE1'!B62="","",'Classe CE1'!B62))</f>
        <v/>
      </c>
      <c r="C382" s="20" t="str">
        <f>IF('Classe CE1'!$B62="","",IF('Classe CE1'!C62="","",'Classe CE1'!C62))</f>
        <v/>
      </c>
      <c r="D382" s="20" t="str">
        <f>IF($B382="","",C382&amp;" "&amp;B382&amp;" - "&amp;E382)</f>
        <v/>
      </c>
      <c r="E382" s="21" t="str">
        <f>IF($B382="","",Paramètres!$A$19)</f>
        <v/>
      </c>
      <c r="F382" s="21" t="str">
        <f>IF($B382="","",Paramètres!$B$19)</f>
        <v/>
      </c>
      <c r="G382" s="21" t="str">
        <f>IF('Classe CE1'!$B62="","",IF('Classe CE1'!D62="","",'Classe CE1'!D62))</f>
        <v/>
      </c>
      <c r="H382" s="77" t="str">
        <f>IF('Classe CE1'!$B62="","",IF('Classe CE1'!E62="","",'Classe CE1'!E62))</f>
        <v/>
      </c>
      <c r="I382" s="20" t="str">
        <f>IF('Classe CE1'!$B62="","",IF('Classe CE1'!F62="","",'Classe CE1'!F62))</f>
        <v/>
      </c>
      <c r="J382" s="20" t="str">
        <f>IF('Classe CE1'!$B62="","",IF('Classe CE1'!G62="","",'Classe CE1'!G62))</f>
        <v/>
      </c>
      <c r="K382" s="51" t="str">
        <f>IF('Classe CE1'!$B62="","",N('Classe CE1'!H62))</f>
        <v/>
      </c>
      <c r="L382" s="51" t="str">
        <f>IF('Classe CE1'!$B62="","",N('Classe CE1'!I62))</f>
        <v/>
      </c>
      <c r="M382" s="51" t="str">
        <f>IF('Classe CE1'!$B62="","",N('Classe CE1'!J62))</f>
        <v/>
      </c>
      <c r="N382" s="51" t="str">
        <f>IF('Classe CE1'!$B62="","",N('Classe CE1'!K62))</f>
        <v/>
      </c>
      <c r="O382" s="51" t="str">
        <f>IF('Classe CE1'!$B62="","",N('Classe CE1'!L62))</f>
        <v/>
      </c>
      <c r="P382" s="51" t="str">
        <f>IF('Classe CE1'!$B62="","",N('Classe CE1'!M62))</f>
        <v/>
      </c>
      <c r="Q382" s="21" t="str">
        <f>IF('Classe CE1'!$B62="","",IF('Classe CE1'!Q62="","",'Classe CE1'!Q62))</f>
        <v/>
      </c>
      <c r="R382" s="51" t="str">
        <f>IF('Classe CE1'!$B62="","",N('Classe CE1'!N62))</f>
        <v/>
      </c>
      <c r="S382" s="51" t="str">
        <f>IF('Classe CE1'!$B62="","",N('Classe CE1'!O62))</f>
        <v/>
      </c>
      <c r="T382" s="51" t="str">
        <f>IF('Classe CE1'!$B62="","",N('Classe CE1'!P62))</f>
        <v/>
      </c>
    </row>
    <row r="383">
      <c r="A383" s="16" t="str">
        <f>IF('Classe CE1'!$B63="","",IF('Classe CE1'!A63="","",'Classe CE1'!A63))</f>
        <v/>
      </c>
      <c r="B383" s="16" t="str">
        <f>IF('Classe CE1'!$B63="","",IF('Classe CE1'!B63="","",'Classe CE1'!B63))</f>
        <v/>
      </c>
      <c r="C383" s="16" t="str">
        <f>IF('Classe CE1'!$B63="","",IF('Classe CE1'!C63="","",'Classe CE1'!C63))</f>
        <v/>
      </c>
      <c r="D383" s="16" t="str">
        <f>IF($B383="","",C383&amp;" "&amp;B383&amp;" - "&amp;E383)</f>
        <v/>
      </c>
      <c r="E383" s="17" t="str">
        <f>IF($B383="","",Paramètres!$A$19)</f>
        <v/>
      </c>
      <c r="F383" s="17" t="str">
        <f>IF($B383="","",Paramètres!$B$19)</f>
        <v/>
      </c>
      <c r="G383" s="17" t="str">
        <f>IF('Classe CE1'!$B63="","",IF('Classe CE1'!D63="","",'Classe CE1'!D63))</f>
        <v/>
      </c>
      <c r="H383" s="78" t="str">
        <f>IF('Classe CE1'!$B63="","",IF('Classe CE1'!E63="","",'Classe CE1'!E63))</f>
        <v/>
      </c>
      <c r="I383" s="16" t="str">
        <f>IF('Classe CE1'!$B63="","",IF('Classe CE1'!F63="","",'Classe CE1'!F63))</f>
        <v/>
      </c>
      <c r="J383" s="16" t="str">
        <f>IF('Classe CE1'!$B63="","",IF('Classe CE1'!G63="","",'Classe CE1'!G63))</f>
        <v/>
      </c>
      <c r="K383" s="18" t="str">
        <f>IF('Classe CE1'!$B63="","",N('Classe CE1'!H63))</f>
        <v/>
      </c>
      <c r="L383" s="18" t="str">
        <f>IF('Classe CE1'!$B63="","",N('Classe CE1'!I63))</f>
        <v/>
      </c>
      <c r="M383" s="18" t="str">
        <f>IF('Classe CE1'!$B63="","",N('Classe CE1'!J63))</f>
        <v/>
      </c>
      <c r="N383" s="18" t="str">
        <f>IF('Classe CE1'!$B63="","",N('Classe CE1'!K63))</f>
        <v/>
      </c>
      <c r="O383" s="18" t="str">
        <f>IF('Classe CE1'!$B63="","",N('Classe CE1'!L63))</f>
        <v/>
      </c>
      <c r="P383" s="18" t="str">
        <f>IF('Classe CE1'!$B63="","",N('Classe CE1'!M63))</f>
        <v/>
      </c>
      <c r="Q383" s="17" t="str">
        <f>IF('Classe CE1'!$B63="","",IF('Classe CE1'!Q63="","",'Classe CE1'!Q63))</f>
        <v/>
      </c>
      <c r="R383" s="18" t="str">
        <f>IF('Classe CE1'!$B63="","",N('Classe CE1'!N63))</f>
        <v/>
      </c>
      <c r="S383" s="18" t="str">
        <f>IF('Classe CE1'!$B63="","",N('Classe CE1'!O63))</f>
        <v/>
      </c>
      <c r="T383" s="18" t="str">
        <f>IF('Classe CE1'!$B63="","",N('Classe CE1'!P63))</f>
        <v/>
      </c>
    </row>
    <row r="384">
      <c r="A384" s="20" t="str">
        <f>IF('Classe CE1'!$B64="","",IF('Classe CE1'!A64="","",'Classe CE1'!A64))</f>
        <v/>
      </c>
      <c r="B384" s="20" t="str">
        <f>IF('Classe CE1'!$B64="","",IF('Classe CE1'!B64="","",'Classe CE1'!B64))</f>
        <v/>
      </c>
      <c r="C384" s="20" t="str">
        <f>IF('Classe CE1'!$B64="","",IF('Classe CE1'!C64="","",'Classe CE1'!C64))</f>
        <v/>
      </c>
      <c r="D384" s="20" t="str">
        <f>IF($B384="","",C384&amp;" "&amp;B384&amp;" - "&amp;E384)</f>
        <v/>
      </c>
      <c r="E384" s="21" t="str">
        <f>IF($B384="","",Paramètres!$A$19)</f>
        <v/>
      </c>
      <c r="F384" s="21" t="str">
        <f>IF($B384="","",Paramètres!$B$19)</f>
        <v/>
      </c>
      <c r="G384" s="21" t="str">
        <f>IF('Classe CE1'!$B64="","",IF('Classe CE1'!D64="","",'Classe CE1'!D64))</f>
        <v/>
      </c>
      <c r="H384" s="77" t="str">
        <f>IF('Classe CE1'!$B64="","",IF('Classe CE1'!E64="","",'Classe CE1'!E64))</f>
        <v/>
      </c>
      <c r="I384" s="20" t="str">
        <f>IF('Classe CE1'!$B64="","",IF('Classe CE1'!F64="","",'Classe CE1'!F64))</f>
        <v/>
      </c>
      <c r="J384" s="20" t="str">
        <f>IF('Classe CE1'!$B64="","",IF('Classe CE1'!G64="","",'Classe CE1'!G64))</f>
        <v/>
      </c>
      <c r="K384" s="51" t="str">
        <f>IF('Classe CE1'!$B64="","",N('Classe CE1'!H64))</f>
        <v/>
      </c>
      <c r="L384" s="51" t="str">
        <f>IF('Classe CE1'!$B64="","",N('Classe CE1'!I64))</f>
        <v/>
      </c>
      <c r="M384" s="51" t="str">
        <f>IF('Classe CE1'!$B64="","",N('Classe CE1'!J64))</f>
        <v/>
      </c>
      <c r="N384" s="51" t="str">
        <f>IF('Classe CE1'!$B64="","",N('Classe CE1'!K64))</f>
        <v/>
      </c>
      <c r="O384" s="51" t="str">
        <f>IF('Classe CE1'!$B64="","",N('Classe CE1'!L64))</f>
        <v/>
      </c>
      <c r="P384" s="51" t="str">
        <f>IF('Classe CE1'!$B64="","",N('Classe CE1'!M64))</f>
        <v/>
      </c>
      <c r="Q384" s="21" t="str">
        <f>IF('Classe CE1'!$B64="","",IF('Classe CE1'!Q64="","",'Classe CE1'!Q64))</f>
        <v/>
      </c>
      <c r="R384" s="51" t="str">
        <f>IF('Classe CE1'!$B64="","",N('Classe CE1'!N64))</f>
        <v/>
      </c>
      <c r="S384" s="51" t="str">
        <f>IF('Classe CE1'!$B64="","",N('Classe CE1'!O64))</f>
        <v/>
      </c>
      <c r="T384" s="51" t="str">
        <f>IF('Classe CE1'!$B64="","",N('Classe CE1'!P64))</f>
        <v/>
      </c>
    </row>
    <row r="385">
      <c r="A385" s="16" t="str">
        <f>IF('Classe CE1'!$B65="","",IF('Classe CE1'!A65="","",'Classe CE1'!A65))</f>
        <v/>
      </c>
      <c r="B385" s="16" t="str">
        <f>IF('Classe CE1'!$B65="","",IF('Classe CE1'!B65="","",'Classe CE1'!B65))</f>
        <v/>
      </c>
      <c r="C385" s="16" t="str">
        <f>IF('Classe CE1'!$B65="","",IF('Classe CE1'!C65="","",'Classe CE1'!C65))</f>
        <v/>
      </c>
      <c r="D385" s="16" t="str">
        <f>IF($B385="","",C385&amp;" "&amp;B385&amp;" - "&amp;E385)</f>
        <v/>
      </c>
      <c r="E385" s="17" t="str">
        <f>IF($B385="","",Paramètres!$A$19)</f>
        <v/>
      </c>
      <c r="F385" s="17" t="str">
        <f>IF($B385="","",Paramètres!$B$19)</f>
        <v/>
      </c>
      <c r="G385" s="17" t="str">
        <f>IF('Classe CE1'!$B65="","",IF('Classe CE1'!D65="","",'Classe CE1'!D65))</f>
        <v/>
      </c>
      <c r="H385" s="78" t="str">
        <f>IF('Classe CE1'!$B65="","",IF('Classe CE1'!E65="","",'Classe CE1'!E65))</f>
        <v/>
      </c>
      <c r="I385" s="16" t="str">
        <f>IF('Classe CE1'!$B65="","",IF('Classe CE1'!F65="","",'Classe CE1'!F65))</f>
        <v/>
      </c>
      <c r="J385" s="16" t="str">
        <f>IF('Classe CE1'!$B65="","",IF('Classe CE1'!G65="","",'Classe CE1'!G65))</f>
        <v/>
      </c>
      <c r="K385" s="18" t="str">
        <f>IF('Classe CE1'!$B65="","",N('Classe CE1'!H65))</f>
        <v/>
      </c>
      <c r="L385" s="18" t="str">
        <f>IF('Classe CE1'!$B65="","",N('Classe CE1'!I65))</f>
        <v/>
      </c>
      <c r="M385" s="18" t="str">
        <f>IF('Classe CE1'!$B65="","",N('Classe CE1'!J65))</f>
        <v/>
      </c>
      <c r="N385" s="18" t="str">
        <f>IF('Classe CE1'!$B65="","",N('Classe CE1'!K65))</f>
        <v/>
      </c>
      <c r="O385" s="18" t="str">
        <f>IF('Classe CE1'!$B65="","",N('Classe CE1'!L65))</f>
        <v/>
      </c>
      <c r="P385" s="18" t="str">
        <f>IF('Classe CE1'!$B65="","",N('Classe CE1'!M65))</f>
        <v/>
      </c>
      <c r="Q385" s="17" t="str">
        <f>IF('Classe CE1'!$B65="","",IF('Classe CE1'!Q65="","",'Classe CE1'!Q65))</f>
        <v/>
      </c>
      <c r="R385" s="18" t="str">
        <f>IF('Classe CE1'!$B65="","",N('Classe CE1'!N65))</f>
        <v/>
      </c>
      <c r="S385" s="18" t="str">
        <f>IF('Classe CE1'!$B65="","",N('Classe CE1'!O65))</f>
        <v/>
      </c>
      <c r="T385" s="18" t="str">
        <f>IF('Classe CE1'!$B65="","",N('Classe CE1'!P65))</f>
        <v/>
      </c>
    </row>
    <row r="386">
      <c r="A386" s="20" t="str">
        <f>IF('Classe CE1'!$B66="","",IF('Classe CE1'!A66="","",'Classe CE1'!A66))</f>
        <v/>
      </c>
      <c r="B386" s="20" t="str">
        <f>IF('Classe CE1'!$B66="","",IF('Classe CE1'!B66="","",'Classe CE1'!B66))</f>
        <v/>
      </c>
      <c r="C386" s="20" t="str">
        <f>IF('Classe CE1'!$B66="","",IF('Classe CE1'!C66="","",'Classe CE1'!C66))</f>
        <v/>
      </c>
      <c r="D386" s="20" t="str">
        <f>IF($B386="","",C386&amp;" "&amp;B386&amp;" - "&amp;E386)</f>
        <v/>
      </c>
      <c r="E386" s="21" t="str">
        <f>IF($B386="","",Paramètres!$A$19)</f>
        <v/>
      </c>
      <c r="F386" s="21" t="str">
        <f>IF($B386="","",Paramètres!$B$19)</f>
        <v/>
      </c>
      <c r="G386" s="21" t="str">
        <f>IF('Classe CE1'!$B66="","",IF('Classe CE1'!D66="","",'Classe CE1'!D66))</f>
        <v/>
      </c>
      <c r="H386" s="77" t="str">
        <f>IF('Classe CE1'!$B66="","",IF('Classe CE1'!E66="","",'Classe CE1'!E66))</f>
        <v/>
      </c>
      <c r="I386" s="20" t="str">
        <f>IF('Classe CE1'!$B66="","",IF('Classe CE1'!F66="","",'Classe CE1'!F66))</f>
        <v/>
      </c>
      <c r="J386" s="20" t="str">
        <f>IF('Classe CE1'!$B66="","",IF('Classe CE1'!G66="","",'Classe CE1'!G66))</f>
        <v/>
      </c>
      <c r="K386" s="51" t="str">
        <f>IF('Classe CE1'!$B66="","",N('Classe CE1'!H66))</f>
        <v/>
      </c>
      <c r="L386" s="51" t="str">
        <f>IF('Classe CE1'!$B66="","",N('Classe CE1'!I66))</f>
        <v/>
      </c>
      <c r="M386" s="51" t="str">
        <f>IF('Classe CE1'!$B66="","",N('Classe CE1'!J66))</f>
        <v/>
      </c>
      <c r="N386" s="51" t="str">
        <f>IF('Classe CE1'!$B66="","",N('Classe CE1'!K66))</f>
        <v/>
      </c>
      <c r="O386" s="51" t="str">
        <f>IF('Classe CE1'!$B66="","",N('Classe CE1'!L66))</f>
        <v/>
      </c>
      <c r="P386" s="51" t="str">
        <f>IF('Classe CE1'!$B66="","",N('Classe CE1'!M66))</f>
        <v/>
      </c>
      <c r="Q386" s="21" t="str">
        <f>IF('Classe CE1'!$B66="","",IF('Classe CE1'!Q66="","",'Classe CE1'!Q66))</f>
        <v/>
      </c>
      <c r="R386" s="51" t="str">
        <f>IF('Classe CE1'!$B66="","",N('Classe CE1'!N66))</f>
        <v/>
      </c>
      <c r="S386" s="51" t="str">
        <f>IF('Classe CE1'!$B66="","",N('Classe CE1'!O66))</f>
        <v/>
      </c>
      <c r="T386" s="51" t="str">
        <f>IF('Classe CE1'!$B66="","",N('Classe CE1'!P66))</f>
        <v/>
      </c>
    </row>
    <row r="387">
      <c r="A387" s="16" t="str">
        <f>IF('Classe CE1'!$B67="","",IF('Classe CE1'!A67="","",'Classe CE1'!A67))</f>
        <v/>
      </c>
      <c r="B387" s="16" t="str">
        <f>IF('Classe CE1'!$B67="","",IF('Classe CE1'!B67="","",'Classe CE1'!B67))</f>
        <v/>
      </c>
      <c r="C387" s="16" t="str">
        <f>IF('Classe CE1'!$B67="","",IF('Classe CE1'!C67="","",'Classe CE1'!C67))</f>
        <v/>
      </c>
      <c r="D387" s="16" t="str">
        <f>IF($B387="","",C387&amp;" "&amp;B387&amp;" - "&amp;E387)</f>
        <v/>
      </c>
      <c r="E387" s="17" t="str">
        <f>IF($B387="","",Paramètres!$A$19)</f>
        <v/>
      </c>
      <c r="F387" s="17" t="str">
        <f>IF($B387="","",Paramètres!$B$19)</f>
        <v/>
      </c>
      <c r="G387" s="17" t="str">
        <f>IF('Classe CE1'!$B67="","",IF('Classe CE1'!D67="","",'Classe CE1'!D67))</f>
        <v/>
      </c>
      <c r="H387" s="78" t="str">
        <f>IF('Classe CE1'!$B67="","",IF('Classe CE1'!E67="","",'Classe CE1'!E67))</f>
        <v/>
      </c>
      <c r="I387" s="16" t="str">
        <f>IF('Classe CE1'!$B67="","",IF('Classe CE1'!F67="","",'Classe CE1'!F67))</f>
        <v/>
      </c>
      <c r="J387" s="16" t="str">
        <f>IF('Classe CE1'!$B67="","",IF('Classe CE1'!G67="","",'Classe CE1'!G67))</f>
        <v/>
      </c>
      <c r="K387" s="18" t="str">
        <f>IF('Classe CE1'!$B67="","",N('Classe CE1'!H67))</f>
        <v/>
      </c>
      <c r="L387" s="18" t="str">
        <f>IF('Classe CE1'!$B67="","",N('Classe CE1'!I67))</f>
        <v/>
      </c>
      <c r="M387" s="18" t="str">
        <f>IF('Classe CE1'!$B67="","",N('Classe CE1'!J67))</f>
        <v/>
      </c>
      <c r="N387" s="18" t="str">
        <f>IF('Classe CE1'!$B67="","",N('Classe CE1'!K67))</f>
        <v/>
      </c>
      <c r="O387" s="18" t="str">
        <f>IF('Classe CE1'!$B67="","",N('Classe CE1'!L67))</f>
        <v/>
      </c>
      <c r="P387" s="18" t="str">
        <f>IF('Classe CE1'!$B67="","",N('Classe CE1'!M67))</f>
        <v/>
      </c>
      <c r="Q387" s="17" t="str">
        <f>IF('Classe CE1'!$B67="","",IF('Classe CE1'!Q67="","",'Classe CE1'!Q67))</f>
        <v/>
      </c>
      <c r="R387" s="18" t="str">
        <f>IF('Classe CE1'!$B67="","",N('Classe CE1'!N67))</f>
        <v/>
      </c>
      <c r="S387" s="18" t="str">
        <f>IF('Classe CE1'!$B67="","",N('Classe CE1'!O67))</f>
        <v/>
      </c>
      <c r="T387" s="18" t="str">
        <f>IF('Classe CE1'!$B67="","",N('Classe CE1'!P67))</f>
        <v/>
      </c>
    </row>
    <row r="388">
      <c r="A388" s="20" t="str">
        <f>IF('Classe CE1'!$B68="","",IF('Classe CE1'!A68="","",'Classe CE1'!A68))</f>
        <v/>
      </c>
      <c r="B388" s="20" t="str">
        <f>IF('Classe CE1'!$B68="","",IF('Classe CE1'!B68="","",'Classe CE1'!B68))</f>
        <v/>
      </c>
      <c r="C388" s="20" t="str">
        <f>IF('Classe CE1'!$B68="","",IF('Classe CE1'!C68="","",'Classe CE1'!C68))</f>
        <v/>
      </c>
      <c r="D388" s="20" t="str">
        <f>IF($B388="","",C388&amp;" "&amp;B388&amp;" - "&amp;E388)</f>
        <v/>
      </c>
      <c r="E388" s="21" t="str">
        <f>IF($B388="","",Paramètres!$A$19)</f>
        <v/>
      </c>
      <c r="F388" s="21" t="str">
        <f>IF($B388="","",Paramètres!$B$19)</f>
        <v/>
      </c>
      <c r="G388" s="21" t="str">
        <f>IF('Classe CE1'!$B68="","",IF('Classe CE1'!D68="","",'Classe CE1'!D68))</f>
        <v/>
      </c>
      <c r="H388" s="77" t="str">
        <f>IF('Classe CE1'!$B68="","",IF('Classe CE1'!E68="","",'Classe CE1'!E68))</f>
        <v/>
      </c>
      <c r="I388" s="20" t="str">
        <f>IF('Classe CE1'!$B68="","",IF('Classe CE1'!F68="","",'Classe CE1'!F68))</f>
        <v/>
      </c>
      <c r="J388" s="20" t="str">
        <f>IF('Classe CE1'!$B68="","",IF('Classe CE1'!G68="","",'Classe CE1'!G68))</f>
        <v/>
      </c>
      <c r="K388" s="51" t="str">
        <f>IF('Classe CE1'!$B68="","",N('Classe CE1'!H68))</f>
        <v/>
      </c>
      <c r="L388" s="51" t="str">
        <f>IF('Classe CE1'!$B68="","",N('Classe CE1'!I68))</f>
        <v/>
      </c>
      <c r="M388" s="51" t="str">
        <f>IF('Classe CE1'!$B68="","",N('Classe CE1'!J68))</f>
        <v/>
      </c>
      <c r="N388" s="51" t="str">
        <f>IF('Classe CE1'!$B68="","",N('Classe CE1'!K68))</f>
        <v/>
      </c>
      <c r="O388" s="51" t="str">
        <f>IF('Classe CE1'!$B68="","",N('Classe CE1'!L68))</f>
        <v/>
      </c>
      <c r="P388" s="51" t="str">
        <f>IF('Classe CE1'!$B68="","",N('Classe CE1'!M68))</f>
        <v/>
      </c>
      <c r="Q388" s="21" t="str">
        <f>IF('Classe CE1'!$B68="","",IF('Classe CE1'!Q68="","",'Classe CE1'!Q68))</f>
        <v/>
      </c>
      <c r="R388" s="51" t="str">
        <f>IF('Classe CE1'!$B68="","",N('Classe CE1'!N68))</f>
        <v/>
      </c>
      <c r="S388" s="51" t="str">
        <f>IF('Classe CE1'!$B68="","",N('Classe CE1'!O68))</f>
        <v/>
      </c>
      <c r="T388" s="51" t="str">
        <f>IF('Classe CE1'!$B68="","",N('Classe CE1'!P68))</f>
        <v/>
      </c>
    </row>
    <row r="389">
      <c r="A389" s="16" t="str">
        <f>IF('Classe CE1'!$B69="","",IF('Classe CE1'!A69="","",'Classe CE1'!A69))</f>
        <v/>
      </c>
      <c r="B389" s="16" t="str">
        <f>IF('Classe CE1'!$B69="","",IF('Classe CE1'!B69="","",'Classe CE1'!B69))</f>
        <v/>
      </c>
      <c r="C389" s="16" t="str">
        <f>IF('Classe CE1'!$B69="","",IF('Classe CE1'!C69="","",'Classe CE1'!C69))</f>
        <v/>
      </c>
      <c r="D389" s="16" t="str">
        <f>IF($B389="","",C389&amp;" "&amp;B389&amp;" - "&amp;E389)</f>
        <v/>
      </c>
      <c r="E389" s="17" t="str">
        <f>IF($B389="","",Paramètres!$A$19)</f>
        <v/>
      </c>
      <c r="F389" s="17" t="str">
        <f>IF($B389="","",Paramètres!$B$19)</f>
        <v/>
      </c>
      <c r="G389" s="17" t="str">
        <f>IF('Classe CE1'!$B69="","",IF('Classe CE1'!D69="","",'Classe CE1'!D69))</f>
        <v/>
      </c>
      <c r="H389" s="78" t="str">
        <f>IF('Classe CE1'!$B69="","",IF('Classe CE1'!E69="","",'Classe CE1'!E69))</f>
        <v/>
      </c>
      <c r="I389" s="16" t="str">
        <f>IF('Classe CE1'!$B69="","",IF('Classe CE1'!F69="","",'Classe CE1'!F69))</f>
        <v/>
      </c>
      <c r="J389" s="16" t="str">
        <f>IF('Classe CE1'!$B69="","",IF('Classe CE1'!G69="","",'Classe CE1'!G69))</f>
        <v/>
      </c>
      <c r="K389" s="18" t="str">
        <f>IF('Classe CE1'!$B69="","",N('Classe CE1'!H69))</f>
        <v/>
      </c>
      <c r="L389" s="18" t="str">
        <f>IF('Classe CE1'!$B69="","",N('Classe CE1'!I69))</f>
        <v/>
      </c>
      <c r="M389" s="18" t="str">
        <f>IF('Classe CE1'!$B69="","",N('Classe CE1'!J69))</f>
        <v/>
      </c>
      <c r="N389" s="18" t="str">
        <f>IF('Classe CE1'!$B69="","",N('Classe CE1'!K69))</f>
        <v/>
      </c>
      <c r="O389" s="18" t="str">
        <f>IF('Classe CE1'!$B69="","",N('Classe CE1'!L69))</f>
        <v/>
      </c>
      <c r="P389" s="18" t="str">
        <f>IF('Classe CE1'!$B69="","",N('Classe CE1'!M69))</f>
        <v/>
      </c>
      <c r="Q389" s="17" t="str">
        <f>IF('Classe CE1'!$B69="","",IF('Classe CE1'!Q69="","",'Classe CE1'!Q69))</f>
        <v/>
      </c>
      <c r="R389" s="18" t="str">
        <f>IF('Classe CE1'!$B69="","",N('Classe CE1'!N69))</f>
        <v/>
      </c>
      <c r="S389" s="18" t="str">
        <f>IF('Classe CE1'!$B69="","",N('Classe CE1'!O69))</f>
        <v/>
      </c>
      <c r="T389" s="18" t="str">
        <f>IF('Classe CE1'!$B69="","",N('Classe CE1'!P69))</f>
        <v/>
      </c>
    </row>
    <row r="390">
      <c r="A390" s="20" t="str">
        <f>IF('Classe CE1'!$B70="","",IF('Classe CE1'!A70="","",'Classe CE1'!A70))</f>
        <v/>
      </c>
      <c r="B390" s="20" t="str">
        <f>IF('Classe CE1'!$B70="","",IF('Classe CE1'!B70="","",'Classe CE1'!B70))</f>
        <v/>
      </c>
      <c r="C390" s="20" t="str">
        <f>IF('Classe CE1'!$B70="","",IF('Classe CE1'!C70="","",'Classe CE1'!C70))</f>
        <v/>
      </c>
      <c r="D390" s="20" t="str">
        <f>IF($B390="","",C390&amp;" "&amp;B390&amp;" - "&amp;E390)</f>
        <v/>
      </c>
      <c r="E390" s="21" t="str">
        <f>IF($B390="","",Paramètres!$A$19)</f>
        <v/>
      </c>
      <c r="F390" s="21" t="str">
        <f>IF($B390="","",Paramètres!$B$19)</f>
        <v/>
      </c>
      <c r="G390" s="21" t="str">
        <f>IF('Classe CE1'!$B70="","",IF('Classe CE1'!D70="","",'Classe CE1'!D70))</f>
        <v/>
      </c>
      <c r="H390" s="77" t="str">
        <f>IF('Classe CE1'!$B70="","",IF('Classe CE1'!E70="","",'Classe CE1'!E70))</f>
        <v/>
      </c>
      <c r="I390" s="20" t="str">
        <f>IF('Classe CE1'!$B70="","",IF('Classe CE1'!F70="","",'Classe CE1'!F70))</f>
        <v/>
      </c>
      <c r="J390" s="20" t="str">
        <f>IF('Classe CE1'!$B70="","",IF('Classe CE1'!G70="","",'Classe CE1'!G70))</f>
        <v/>
      </c>
      <c r="K390" s="51" t="str">
        <f>IF('Classe CE1'!$B70="","",N('Classe CE1'!H70))</f>
        <v/>
      </c>
      <c r="L390" s="51" t="str">
        <f>IF('Classe CE1'!$B70="","",N('Classe CE1'!I70))</f>
        <v/>
      </c>
      <c r="M390" s="51" t="str">
        <f>IF('Classe CE1'!$B70="","",N('Classe CE1'!J70))</f>
        <v/>
      </c>
      <c r="N390" s="51" t="str">
        <f>IF('Classe CE1'!$B70="","",N('Classe CE1'!K70))</f>
        <v/>
      </c>
      <c r="O390" s="51" t="str">
        <f>IF('Classe CE1'!$B70="","",N('Classe CE1'!L70))</f>
        <v/>
      </c>
      <c r="P390" s="51" t="str">
        <f>IF('Classe CE1'!$B70="","",N('Classe CE1'!M70))</f>
        <v/>
      </c>
      <c r="Q390" s="21" t="str">
        <f>IF('Classe CE1'!$B70="","",IF('Classe CE1'!Q70="","",'Classe CE1'!Q70))</f>
        <v/>
      </c>
      <c r="R390" s="51" t="str">
        <f>IF('Classe CE1'!$B70="","",N('Classe CE1'!N70))</f>
        <v/>
      </c>
      <c r="S390" s="51" t="str">
        <f>IF('Classe CE1'!$B70="","",N('Classe CE1'!O70))</f>
        <v/>
      </c>
      <c r="T390" s="51" t="str">
        <f>IF('Classe CE1'!$B70="","",N('Classe CE1'!P70))</f>
        <v/>
      </c>
    </row>
    <row r="391">
      <c r="A391" s="16" t="str">
        <f>IF('Classe CE1'!$B71="","",IF('Classe CE1'!A71="","",'Classe CE1'!A71))</f>
        <v/>
      </c>
      <c r="B391" s="16" t="str">
        <f>IF('Classe CE1'!$B71="","",IF('Classe CE1'!B71="","",'Classe CE1'!B71))</f>
        <v/>
      </c>
      <c r="C391" s="16" t="str">
        <f>IF('Classe CE1'!$B71="","",IF('Classe CE1'!C71="","",'Classe CE1'!C71))</f>
        <v/>
      </c>
      <c r="D391" s="16" t="str">
        <f>IF($B391="","",C391&amp;" "&amp;B391&amp;" - "&amp;E391)</f>
        <v/>
      </c>
      <c r="E391" s="17" t="str">
        <f>IF($B391="","",Paramètres!$A$19)</f>
        <v/>
      </c>
      <c r="F391" s="17" t="str">
        <f>IF($B391="","",Paramètres!$B$19)</f>
        <v/>
      </c>
      <c r="G391" s="17" t="str">
        <f>IF('Classe CE1'!$B71="","",IF('Classe CE1'!D71="","",'Classe CE1'!D71))</f>
        <v/>
      </c>
      <c r="H391" s="78" t="str">
        <f>IF('Classe CE1'!$B71="","",IF('Classe CE1'!E71="","",'Classe CE1'!E71))</f>
        <v/>
      </c>
      <c r="I391" s="16" t="str">
        <f>IF('Classe CE1'!$B71="","",IF('Classe CE1'!F71="","",'Classe CE1'!F71))</f>
        <v/>
      </c>
      <c r="J391" s="16" t="str">
        <f>IF('Classe CE1'!$B71="","",IF('Classe CE1'!G71="","",'Classe CE1'!G71))</f>
        <v/>
      </c>
      <c r="K391" s="18" t="str">
        <f>IF('Classe CE1'!$B71="","",N('Classe CE1'!H71))</f>
        <v/>
      </c>
      <c r="L391" s="18" t="str">
        <f>IF('Classe CE1'!$B71="","",N('Classe CE1'!I71))</f>
        <v/>
      </c>
      <c r="M391" s="18" t="str">
        <f>IF('Classe CE1'!$B71="","",N('Classe CE1'!J71))</f>
        <v/>
      </c>
      <c r="N391" s="18" t="str">
        <f>IF('Classe CE1'!$B71="","",N('Classe CE1'!K71))</f>
        <v/>
      </c>
      <c r="O391" s="18" t="str">
        <f>IF('Classe CE1'!$B71="","",N('Classe CE1'!L71))</f>
        <v/>
      </c>
      <c r="P391" s="18" t="str">
        <f>IF('Classe CE1'!$B71="","",N('Classe CE1'!M71))</f>
        <v/>
      </c>
      <c r="Q391" s="17" t="str">
        <f>IF('Classe CE1'!$B71="","",IF('Classe CE1'!Q71="","",'Classe CE1'!Q71))</f>
        <v/>
      </c>
      <c r="R391" s="18" t="str">
        <f>IF('Classe CE1'!$B71="","",N('Classe CE1'!N71))</f>
        <v/>
      </c>
      <c r="S391" s="18" t="str">
        <f>IF('Classe CE1'!$B71="","",N('Classe CE1'!O71))</f>
        <v/>
      </c>
      <c r="T391" s="18" t="str">
        <f>IF('Classe CE1'!$B71="","",N('Classe CE1'!P71))</f>
        <v/>
      </c>
    </row>
    <row r="392">
      <c r="A392" s="20" t="str">
        <f>IF('Classe CE1'!$B72="","",IF('Classe CE1'!A72="","",'Classe CE1'!A72))</f>
        <v/>
      </c>
      <c r="B392" s="20" t="str">
        <f>IF('Classe CE1'!$B72="","",IF('Classe CE1'!B72="","",'Classe CE1'!B72))</f>
        <v/>
      </c>
      <c r="C392" s="20" t="str">
        <f>IF('Classe CE1'!$B72="","",IF('Classe CE1'!C72="","",'Classe CE1'!C72))</f>
        <v/>
      </c>
      <c r="D392" s="20" t="str">
        <f>IF($B392="","",C392&amp;" "&amp;B392&amp;" - "&amp;E392)</f>
        <v/>
      </c>
      <c r="E392" s="21" t="str">
        <f>IF($B392="","",Paramètres!$A$19)</f>
        <v/>
      </c>
      <c r="F392" s="21" t="str">
        <f>IF($B392="","",Paramètres!$B$19)</f>
        <v/>
      </c>
      <c r="G392" s="21" t="str">
        <f>IF('Classe CE1'!$B72="","",IF('Classe CE1'!D72="","",'Classe CE1'!D72))</f>
        <v/>
      </c>
      <c r="H392" s="77" t="str">
        <f>IF('Classe CE1'!$B72="","",IF('Classe CE1'!E72="","",'Classe CE1'!E72))</f>
        <v/>
      </c>
      <c r="I392" s="20" t="str">
        <f>IF('Classe CE1'!$B72="","",IF('Classe CE1'!F72="","",'Classe CE1'!F72))</f>
        <v/>
      </c>
      <c r="J392" s="20" t="str">
        <f>IF('Classe CE1'!$B72="","",IF('Classe CE1'!G72="","",'Classe CE1'!G72))</f>
        <v/>
      </c>
      <c r="K392" s="51" t="str">
        <f>IF('Classe CE1'!$B72="","",N('Classe CE1'!H72))</f>
        <v/>
      </c>
      <c r="L392" s="51" t="str">
        <f>IF('Classe CE1'!$B72="","",N('Classe CE1'!I72))</f>
        <v/>
      </c>
      <c r="M392" s="51" t="str">
        <f>IF('Classe CE1'!$B72="","",N('Classe CE1'!J72))</f>
        <v/>
      </c>
      <c r="N392" s="51" t="str">
        <f>IF('Classe CE1'!$B72="","",N('Classe CE1'!K72))</f>
        <v/>
      </c>
      <c r="O392" s="51" t="str">
        <f>IF('Classe CE1'!$B72="","",N('Classe CE1'!L72))</f>
        <v/>
      </c>
      <c r="P392" s="51" t="str">
        <f>IF('Classe CE1'!$B72="","",N('Classe CE1'!M72))</f>
        <v/>
      </c>
      <c r="Q392" s="21" t="str">
        <f>IF('Classe CE1'!$B72="","",IF('Classe CE1'!Q72="","",'Classe CE1'!Q72))</f>
        <v/>
      </c>
      <c r="R392" s="51" t="str">
        <f>IF('Classe CE1'!$B72="","",N('Classe CE1'!N72))</f>
        <v/>
      </c>
      <c r="S392" s="51" t="str">
        <f>IF('Classe CE1'!$B72="","",N('Classe CE1'!O72))</f>
        <v/>
      </c>
      <c r="T392" s="51" t="str">
        <f>IF('Classe CE1'!$B72="","",N('Classe CE1'!P72))</f>
        <v/>
      </c>
    </row>
    <row r="393">
      <c r="A393" s="16" t="str">
        <f>IF('Classe CE1'!$B73="","",IF('Classe CE1'!A73="","",'Classe CE1'!A73))</f>
        <v/>
      </c>
      <c r="B393" s="16" t="str">
        <f>IF('Classe CE1'!$B73="","",IF('Classe CE1'!B73="","",'Classe CE1'!B73))</f>
        <v/>
      </c>
      <c r="C393" s="16" t="str">
        <f>IF('Classe CE1'!$B73="","",IF('Classe CE1'!C73="","",'Classe CE1'!C73))</f>
        <v/>
      </c>
      <c r="D393" s="16" t="str">
        <f>IF($B393="","",C393&amp;" "&amp;B393&amp;" - "&amp;E393)</f>
        <v/>
      </c>
      <c r="E393" s="17" t="str">
        <f>IF($B393="","",Paramètres!$A$19)</f>
        <v/>
      </c>
      <c r="F393" s="17" t="str">
        <f>IF($B393="","",Paramètres!$B$19)</f>
        <v/>
      </c>
      <c r="G393" s="17" t="str">
        <f>IF('Classe CE1'!$B73="","",IF('Classe CE1'!D73="","",'Classe CE1'!D73))</f>
        <v/>
      </c>
      <c r="H393" s="78" t="str">
        <f>IF('Classe CE1'!$B73="","",IF('Classe CE1'!E73="","",'Classe CE1'!E73))</f>
        <v/>
      </c>
      <c r="I393" s="16" t="str">
        <f>IF('Classe CE1'!$B73="","",IF('Classe CE1'!F73="","",'Classe CE1'!F73))</f>
        <v/>
      </c>
      <c r="J393" s="16" t="str">
        <f>IF('Classe CE1'!$B73="","",IF('Classe CE1'!G73="","",'Classe CE1'!G73))</f>
        <v/>
      </c>
      <c r="K393" s="18" t="str">
        <f>IF('Classe CE1'!$B73="","",N('Classe CE1'!H73))</f>
        <v/>
      </c>
      <c r="L393" s="18" t="str">
        <f>IF('Classe CE1'!$B73="","",N('Classe CE1'!I73))</f>
        <v/>
      </c>
      <c r="M393" s="18" t="str">
        <f>IF('Classe CE1'!$B73="","",N('Classe CE1'!J73))</f>
        <v/>
      </c>
      <c r="N393" s="18" t="str">
        <f>IF('Classe CE1'!$B73="","",N('Classe CE1'!K73))</f>
        <v/>
      </c>
      <c r="O393" s="18" t="str">
        <f>IF('Classe CE1'!$B73="","",N('Classe CE1'!L73))</f>
        <v/>
      </c>
      <c r="P393" s="18" t="str">
        <f>IF('Classe CE1'!$B73="","",N('Classe CE1'!M73))</f>
        <v/>
      </c>
      <c r="Q393" s="17" t="str">
        <f>IF('Classe CE1'!$B73="","",IF('Classe CE1'!Q73="","",'Classe CE1'!Q73))</f>
        <v/>
      </c>
      <c r="R393" s="18" t="str">
        <f>IF('Classe CE1'!$B73="","",N('Classe CE1'!N73))</f>
        <v/>
      </c>
      <c r="S393" s="18" t="str">
        <f>IF('Classe CE1'!$B73="","",N('Classe CE1'!O73))</f>
        <v/>
      </c>
      <c r="T393" s="18" t="str">
        <f>IF('Classe CE1'!$B73="","",N('Classe CE1'!P73))</f>
        <v/>
      </c>
    </row>
    <row r="394">
      <c r="A394" s="20" t="str">
        <f>IF('Classe CE1'!$B74="","",IF('Classe CE1'!A74="","",'Classe CE1'!A74))</f>
        <v/>
      </c>
      <c r="B394" s="20" t="str">
        <f>IF('Classe CE1'!$B74="","",IF('Classe CE1'!B74="","",'Classe CE1'!B74))</f>
        <v/>
      </c>
      <c r="C394" s="20" t="str">
        <f>IF('Classe CE1'!$B74="","",IF('Classe CE1'!C74="","",'Classe CE1'!C74))</f>
        <v/>
      </c>
      <c r="D394" s="20" t="str">
        <f>IF($B394="","",C394&amp;" "&amp;B394&amp;" - "&amp;E394)</f>
        <v/>
      </c>
      <c r="E394" s="21" t="str">
        <f>IF($B394="","",Paramètres!$A$19)</f>
        <v/>
      </c>
      <c r="F394" s="21" t="str">
        <f>IF($B394="","",Paramètres!$B$19)</f>
        <v/>
      </c>
      <c r="G394" s="21" t="str">
        <f>IF('Classe CE1'!$B74="","",IF('Classe CE1'!D74="","",'Classe CE1'!D74))</f>
        <v/>
      </c>
      <c r="H394" s="77" t="str">
        <f>IF('Classe CE1'!$B74="","",IF('Classe CE1'!E74="","",'Classe CE1'!E74))</f>
        <v/>
      </c>
      <c r="I394" s="20" t="str">
        <f>IF('Classe CE1'!$B74="","",IF('Classe CE1'!F74="","",'Classe CE1'!F74))</f>
        <v/>
      </c>
      <c r="J394" s="20" t="str">
        <f>IF('Classe CE1'!$B74="","",IF('Classe CE1'!G74="","",'Classe CE1'!G74))</f>
        <v/>
      </c>
      <c r="K394" s="51" t="str">
        <f>IF('Classe CE1'!$B74="","",N('Classe CE1'!H74))</f>
        <v/>
      </c>
      <c r="L394" s="51" t="str">
        <f>IF('Classe CE1'!$B74="","",N('Classe CE1'!I74))</f>
        <v/>
      </c>
      <c r="M394" s="51" t="str">
        <f>IF('Classe CE1'!$B74="","",N('Classe CE1'!J74))</f>
        <v/>
      </c>
      <c r="N394" s="51" t="str">
        <f>IF('Classe CE1'!$B74="","",N('Classe CE1'!K74))</f>
        <v/>
      </c>
      <c r="O394" s="51" t="str">
        <f>IF('Classe CE1'!$B74="","",N('Classe CE1'!L74))</f>
        <v/>
      </c>
      <c r="P394" s="51" t="str">
        <f>IF('Classe CE1'!$B74="","",N('Classe CE1'!M74))</f>
        <v/>
      </c>
      <c r="Q394" s="21" t="str">
        <f>IF('Classe CE1'!$B74="","",IF('Classe CE1'!Q74="","",'Classe CE1'!Q74))</f>
        <v/>
      </c>
      <c r="R394" s="51" t="str">
        <f>IF('Classe CE1'!$B74="","",N('Classe CE1'!N74))</f>
        <v/>
      </c>
      <c r="S394" s="51" t="str">
        <f>IF('Classe CE1'!$B74="","",N('Classe CE1'!O74))</f>
        <v/>
      </c>
      <c r="T394" s="51" t="str">
        <f>IF('Classe CE1'!$B74="","",N('Classe CE1'!P74))</f>
        <v/>
      </c>
    </row>
    <row r="395">
      <c r="A395" s="16" t="str">
        <f>IF('Classe CE1'!$B75="","",IF('Classe CE1'!A75="","",'Classe CE1'!A75))</f>
        <v/>
      </c>
      <c r="B395" s="16" t="str">
        <f>IF('Classe CE1'!$B75="","",IF('Classe CE1'!B75="","",'Classe CE1'!B75))</f>
        <v/>
      </c>
      <c r="C395" s="16" t="str">
        <f>IF('Classe CE1'!$B75="","",IF('Classe CE1'!C75="","",'Classe CE1'!C75))</f>
        <v/>
      </c>
      <c r="D395" s="16" t="str">
        <f>IF($B395="","",C395&amp;" "&amp;B395&amp;" - "&amp;E395)</f>
        <v/>
      </c>
      <c r="E395" s="17" t="str">
        <f>IF($B395="","",Paramètres!$A$19)</f>
        <v/>
      </c>
      <c r="F395" s="17" t="str">
        <f>IF($B395="","",Paramètres!$B$19)</f>
        <v/>
      </c>
      <c r="G395" s="17" t="str">
        <f>IF('Classe CE1'!$B75="","",IF('Classe CE1'!D75="","",'Classe CE1'!D75))</f>
        <v/>
      </c>
      <c r="H395" s="78" t="str">
        <f>IF('Classe CE1'!$B75="","",IF('Classe CE1'!E75="","",'Classe CE1'!E75))</f>
        <v/>
      </c>
      <c r="I395" s="16" t="str">
        <f>IF('Classe CE1'!$B75="","",IF('Classe CE1'!F75="","",'Classe CE1'!F75))</f>
        <v/>
      </c>
      <c r="J395" s="16" t="str">
        <f>IF('Classe CE1'!$B75="","",IF('Classe CE1'!G75="","",'Classe CE1'!G75))</f>
        <v/>
      </c>
      <c r="K395" s="18" t="str">
        <f>IF('Classe CE1'!$B75="","",N('Classe CE1'!H75))</f>
        <v/>
      </c>
      <c r="L395" s="18" t="str">
        <f>IF('Classe CE1'!$B75="","",N('Classe CE1'!I75))</f>
        <v/>
      </c>
      <c r="M395" s="18" t="str">
        <f>IF('Classe CE1'!$B75="","",N('Classe CE1'!J75))</f>
        <v/>
      </c>
      <c r="N395" s="18" t="str">
        <f>IF('Classe CE1'!$B75="","",N('Classe CE1'!K75))</f>
        <v/>
      </c>
      <c r="O395" s="18" t="str">
        <f>IF('Classe CE1'!$B75="","",N('Classe CE1'!L75))</f>
        <v/>
      </c>
      <c r="P395" s="18" t="str">
        <f>IF('Classe CE1'!$B75="","",N('Classe CE1'!M75))</f>
        <v/>
      </c>
      <c r="Q395" s="17" t="str">
        <f>IF('Classe CE1'!$B75="","",IF('Classe CE1'!Q75="","",'Classe CE1'!Q75))</f>
        <v/>
      </c>
      <c r="R395" s="18" t="str">
        <f>IF('Classe CE1'!$B75="","",N('Classe CE1'!N75))</f>
        <v/>
      </c>
      <c r="S395" s="18" t="str">
        <f>IF('Classe CE1'!$B75="","",N('Classe CE1'!O75))</f>
        <v/>
      </c>
      <c r="T395" s="18" t="str">
        <f>IF('Classe CE1'!$B75="","",N('Classe CE1'!P75))</f>
        <v/>
      </c>
    </row>
    <row r="396">
      <c r="A396" s="20" t="str">
        <f>IF('Classe CE1'!$B76="","",IF('Classe CE1'!A76="","",'Classe CE1'!A76))</f>
        <v/>
      </c>
      <c r="B396" s="20" t="str">
        <f>IF('Classe CE1'!$B76="","",IF('Classe CE1'!B76="","",'Classe CE1'!B76))</f>
        <v/>
      </c>
      <c r="C396" s="20" t="str">
        <f>IF('Classe CE1'!$B76="","",IF('Classe CE1'!C76="","",'Classe CE1'!C76))</f>
        <v/>
      </c>
      <c r="D396" s="20" t="str">
        <f>IF($B396="","",C396&amp;" "&amp;B396&amp;" - "&amp;E396)</f>
        <v/>
      </c>
      <c r="E396" s="21" t="str">
        <f>IF($B396="","",Paramètres!$A$19)</f>
        <v/>
      </c>
      <c r="F396" s="21" t="str">
        <f>IF($B396="","",Paramètres!$B$19)</f>
        <v/>
      </c>
      <c r="G396" s="21" t="str">
        <f>IF('Classe CE1'!$B76="","",IF('Classe CE1'!D76="","",'Classe CE1'!D76))</f>
        <v/>
      </c>
      <c r="H396" s="77" t="str">
        <f>IF('Classe CE1'!$B76="","",IF('Classe CE1'!E76="","",'Classe CE1'!E76))</f>
        <v/>
      </c>
      <c r="I396" s="20" t="str">
        <f>IF('Classe CE1'!$B76="","",IF('Classe CE1'!F76="","",'Classe CE1'!F76))</f>
        <v/>
      </c>
      <c r="J396" s="20" t="str">
        <f>IF('Classe CE1'!$B76="","",IF('Classe CE1'!G76="","",'Classe CE1'!G76))</f>
        <v/>
      </c>
      <c r="K396" s="51" t="str">
        <f>IF('Classe CE1'!$B76="","",N('Classe CE1'!H76))</f>
        <v/>
      </c>
      <c r="L396" s="51" t="str">
        <f>IF('Classe CE1'!$B76="","",N('Classe CE1'!I76))</f>
        <v/>
      </c>
      <c r="M396" s="51" t="str">
        <f>IF('Classe CE1'!$B76="","",N('Classe CE1'!J76))</f>
        <v/>
      </c>
      <c r="N396" s="51" t="str">
        <f>IF('Classe CE1'!$B76="","",N('Classe CE1'!K76))</f>
        <v/>
      </c>
      <c r="O396" s="51" t="str">
        <f>IF('Classe CE1'!$B76="","",N('Classe CE1'!L76))</f>
        <v/>
      </c>
      <c r="P396" s="51" t="str">
        <f>IF('Classe CE1'!$B76="","",N('Classe CE1'!M76))</f>
        <v/>
      </c>
      <c r="Q396" s="21" t="str">
        <f>IF('Classe CE1'!$B76="","",IF('Classe CE1'!Q76="","",'Classe CE1'!Q76))</f>
        <v/>
      </c>
      <c r="R396" s="51" t="str">
        <f>IF('Classe CE1'!$B76="","",N('Classe CE1'!N76))</f>
        <v/>
      </c>
      <c r="S396" s="51" t="str">
        <f>IF('Classe CE1'!$B76="","",N('Classe CE1'!O76))</f>
        <v/>
      </c>
      <c r="T396" s="51" t="str">
        <f>IF('Classe CE1'!$B76="","",N('Classe CE1'!P76))</f>
        <v/>
      </c>
    </row>
    <row r="397">
      <c r="A397" s="16" t="str">
        <f>IF('Classe CE1'!$B77="","",IF('Classe CE1'!A77="","",'Classe CE1'!A77))</f>
        <v/>
      </c>
      <c r="B397" s="16" t="str">
        <f>IF('Classe CE1'!$B77="","",IF('Classe CE1'!B77="","",'Classe CE1'!B77))</f>
        <v/>
      </c>
      <c r="C397" s="16" t="str">
        <f>IF('Classe CE1'!$B77="","",IF('Classe CE1'!C77="","",'Classe CE1'!C77))</f>
        <v/>
      </c>
      <c r="D397" s="16" t="str">
        <f>IF($B397="","",C397&amp;" "&amp;B397&amp;" - "&amp;E397)</f>
        <v/>
      </c>
      <c r="E397" s="17" t="str">
        <f>IF($B397="","",Paramètres!$A$19)</f>
        <v/>
      </c>
      <c r="F397" s="17" t="str">
        <f>IF($B397="","",Paramètres!$B$19)</f>
        <v/>
      </c>
      <c r="G397" s="17" t="str">
        <f>IF('Classe CE1'!$B77="","",IF('Classe CE1'!D77="","",'Classe CE1'!D77))</f>
        <v/>
      </c>
      <c r="H397" s="78" t="str">
        <f>IF('Classe CE1'!$B77="","",IF('Classe CE1'!E77="","",'Classe CE1'!E77))</f>
        <v/>
      </c>
      <c r="I397" s="16" t="str">
        <f>IF('Classe CE1'!$B77="","",IF('Classe CE1'!F77="","",'Classe CE1'!F77))</f>
        <v/>
      </c>
      <c r="J397" s="16" t="str">
        <f>IF('Classe CE1'!$B77="","",IF('Classe CE1'!G77="","",'Classe CE1'!G77))</f>
        <v/>
      </c>
      <c r="K397" s="18" t="str">
        <f>IF('Classe CE1'!$B77="","",N('Classe CE1'!H77))</f>
        <v/>
      </c>
      <c r="L397" s="18" t="str">
        <f>IF('Classe CE1'!$B77="","",N('Classe CE1'!I77))</f>
        <v/>
      </c>
      <c r="M397" s="18" t="str">
        <f>IF('Classe CE1'!$B77="","",N('Classe CE1'!J77))</f>
        <v/>
      </c>
      <c r="N397" s="18" t="str">
        <f>IF('Classe CE1'!$B77="","",N('Classe CE1'!K77))</f>
        <v/>
      </c>
      <c r="O397" s="18" t="str">
        <f>IF('Classe CE1'!$B77="","",N('Classe CE1'!L77))</f>
        <v/>
      </c>
      <c r="P397" s="18" t="str">
        <f>IF('Classe CE1'!$B77="","",N('Classe CE1'!M77))</f>
        <v/>
      </c>
      <c r="Q397" s="17" t="str">
        <f>IF('Classe CE1'!$B77="","",IF('Classe CE1'!Q77="","",'Classe CE1'!Q77))</f>
        <v/>
      </c>
      <c r="R397" s="18" t="str">
        <f>IF('Classe CE1'!$B77="","",N('Classe CE1'!N77))</f>
        <v/>
      </c>
      <c r="S397" s="18" t="str">
        <f>IF('Classe CE1'!$B77="","",N('Classe CE1'!O77))</f>
        <v/>
      </c>
      <c r="T397" s="18" t="str">
        <f>IF('Classe CE1'!$B77="","",N('Classe CE1'!P77))</f>
        <v/>
      </c>
    </row>
    <row r="398">
      <c r="A398" s="20" t="str">
        <f>IF('Classe CE1'!$B78="","",IF('Classe CE1'!A78="","",'Classe CE1'!A78))</f>
        <v/>
      </c>
      <c r="B398" s="20" t="str">
        <f>IF('Classe CE1'!$B78="","",IF('Classe CE1'!B78="","",'Classe CE1'!B78))</f>
        <v/>
      </c>
      <c r="C398" s="20" t="str">
        <f>IF('Classe CE1'!$B78="","",IF('Classe CE1'!C78="","",'Classe CE1'!C78))</f>
        <v/>
      </c>
      <c r="D398" s="20" t="str">
        <f>IF($B398="","",C398&amp;" "&amp;B398&amp;" - "&amp;E398)</f>
        <v/>
      </c>
      <c r="E398" s="21" t="str">
        <f>IF($B398="","",Paramètres!$A$19)</f>
        <v/>
      </c>
      <c r="F398" s="21" t="str">
        <f>IF($B398="","",Paramètres!$B$19)</f>
        <v/>
      </c>
      <c r="G398" s="21" t="str">
        <f>IF('Classe CE1'!$B78="","",IF('Classe CE1'!D78="","",'Classe CE1'!D78))</f>
        <v/>
      </c>
      <c r="H398" s="77" t="str">
        <f>IF('Classe CE1'!$B78="","",IF('Classe CE1'!E78="","",'Classe CE1'!E78))</f>
        <v/>
      </c>
      <c r="I398" s="20" t="str">
        <f>IF('Classe CE1'!$B78="","",IF('Classe CE1'!F78="","",'Classe CE1'!F78))</f>
        <v/>
      </c>
      <c r="J398" s="20" t="str">
        <f>IF('Classe CE1'!$B78="","",IF('Classe CE1'!G78="","",'Classe CE1'!G78))</f>
        <v/>
      </c>
      <c r="K398" s="51" t="str">
        <f>IF('Classe CE1'!$B78="","",N('Classe CE1'!H78))</f>
        <v/>
      </c>
      <c r="L398" s="51" t="str">
        <f>IF('Classe CE1'!$B78="","",N('Classe CE1'!I78))</f>
        <v/>
      </c>
      <c r="M398" s="51" t="str">
        <f>IF('Classe CE1'!$B78="","",N('Classe CE1'!J78))</f>
        <v/>
      </c>
      <c r="N398" s="51" t="str">
        <f>IF('Classe CE1'!$B78="","",N('Classe CE1'!K78))</f>
        <v/>
      </c>
      <c r="O398" s="51" t="str">
        <f>IF('Classe CE1'!$B78="","",N('Classe CE1'!L78))</f>
        <v/>
      </c>
      <c r="P398" s="51" t="str">
        <f>IF('Classe CE1'!$B78="","",N('Classe CE1'!M78))</f>
        <v/>
      </c>
      <c r="Q398" s="21" t="str">
        <f>IF('Classe CE1'!$B78="","",IF('Classe CE1'!Q78="","",'Classe CE1'!Q78))</f>
        <v/>
      </c>
      <c r="R398" s="51" t="str">
        <f>IF('Classe CE1'!$B78="","",N('Classe CE1'!N78))</f>
        <v/>
      </c>
      <c r="S398" s="51" t="str">
        <f>IF('Classe CE1'!$B78="","",N('Classe CE1'!O78))</f>
        <v/>
      </c>
      <c r="T398" s="51" t="str">
        <f>IF('Classe CE1'!$B78="","",N('Classe CE1'!P78))</f>
        <v/>
      </c>
    </row>
    <row r="399">
      <c r="A399" s="16" t="str">
        <f>IF('Classe CE1'!$B79="","",IF('Classe CE1'!A79="","",'Classe CE1'!A79))</f>
        <v/>
      </c>
      <c r="B399" s="16" t="str">
        <f>IF('Classe CE1'!$B79="","",IF('Classe CE1'!B79="","",'Classe CE1'!B79))</f>
        <v/>
      </c>
      <c r="C399" s="16" t="str">
        <f>IF('Classe CE1'!$B79="","",IF('Classe CE1'!C79="","",'Classe CE1'!C79))</f>
        <v/>
      </c>
      <c r="D399" s="16" t="str">
        <f>IF($B399="","",C399&amp;" "&amp;B399&amp;" - "&amp;E399)</f>
        <v/>
      </c>
      <c r="E399" s="17" t="str">
        <f>IF($B399="","",Paramètres!$A$19)</f>
        <v/>
      </c>
      <c r="F399" s="17" t="str">
        <f>IF($B399="","",Paramètres!$B$19)</f>
        <v/>
      </c>
      <c r="G399" s="17" t="str">
        <f>IF('Classe CE1'!$B79="","",IF('Classe CE1'!D79="","",'Classe CE1'!D79))</f>
        <v/>
      </c>
      <c r="H399" s="78" t="str">
        <f>IF('Classe CE1'!$B79="","",IF('Classe CE1'!E79="","",'Classe CE1'!E79))</f>
        <v/>
      </c>
      <c r="I399" s="16" t="str">
        <f>IF('Classe CE1'!$B79="","",IF('Classe CE1'!F79="","",'Classe CE1'!F79))</f>
        <v/>
      </c>
      <c r="J399" s="16" t="str">
        <f>IF('Classe CE1'!$B79="","",IF('Classe CE1'!G79="","",'Classe CE1'!G79))</f>
        <v/>
      </c>
      <c r="K399" s="18" t="str">
        <f>IF('Classe CE1'!$B79="","",N('Classe CE1'!H79))</f>
        <v/>
      </c>
      <c r="L399" s="18" t="str">
        <f>IF('Classe CE1'!$B79="","",N('Classe CE1'!I79))</f>
        <v/>
      </c>
      <c r="M399" s="18" t="str">
        <f>IF('Classe CE1'!$B79="","",N('Classe CE1'!J79))</f>
        <v/>
      </c>
      <c r="N399" s="18" t="str">
        <f>IF('Classe CE1'!$B79="","",N('Classe CE1'!K79))</f>
        <v/>
      </c>
      <c r="O399" s="18" t="str">
        <f>IF('Classe CE1'!$B79="","",N('Classe CE1'!L79))</f>
        <v/>
      </c>
      <c r="P399" s="18" t="str">
        <f>IF('Classe CE1'!$B79="","",N('Classe CE1'!M79))</f>
        <v/>
      </c>
      <c r="Q399" s="17" t="str">
        <f>IF('Classe CE1'!$B79="","",IF('Classe CE1'!Q79="","",'Classe CE1'!Q79))</f>
        <v/>
      </c>
      <c r="R399" s="18" t="str">
        <f>IF('Classe CE1'!$B79="","",N('Classe CE1'!N79))</f>
        <v/>
      </c>
      <c r="S399" s="18" t="str">
        <f>IF('Classe CE1'!$B79="","",N('Classe CE1'!O79))</f>
        <v/>
      </c>
      <c r="T399" s="18" t="str">
        <f>IF('Classe CE1'!$B79="","",N('Classe CE1'!P79))</f>
        <v/>
      </c>
    </row>
    <row r="400">
      <c r="A400" s="20" t="str">
        <f>IF('Classe CE1'!$B80="","",IF('Classe CE1'!A80="","",'Classe CE1'!A80))</f>
        <v/>
      </c>
      <c r="B400" s="20" t="str">
        <f>IF('Classe CE1'!$B80="","",IF('Classe CE1'!B80="","",'Classe CE1'!B80))</f>
        <v/>
      </c>
      <c r="C400" s="20" t="str">
        <f>IF('Classe CE1'!$B80="","",IF('Classe CE1'!C80="","",'Classe CE1'!C80))</f>
        <v/>
      </c>
      <c r="D400" s="20" t="str">
        <f>IF($B400="","",C400&amp;" "&amp;B400&amp;" - "&amp;E400)</f>
        <v/>
      </c>
      <c r="E400" s="21" t="str">
        <f>IF($B400="","",Paramètres!$A$19)</f>
        <v/>
      </c>
      <c r="F400" s="21" t="str">
        <f>IF($B400="","",Paramètres!$B$19)</f>
        <v/>
      </c>
      <c r="G400" s="21" t="str">
        <f>IF('Classe CE1'!$B80="","",IF('Classe CE1'!D80="","",'Classe CE1'!D80))</f>
        <v/>
      </c>
      <c r="H400" s="77" t="str">
        <f>IF('Classe CE1'!$B80="","",IF('Classe CE1'!E80="","",'Classe CE1'!E80))</f>
        <v/>
      </c>
      <c r="I400" s="20" t="str">
        <f>IF('Classe CE1'!$B80="","",IF('Classe CE1'!F80="","",'Classe CE1'!F80))</f>
        <v/>
      </c>
      <c r="J400" s="20" t="str">
        <f>IF('Classe CE1'!$B80="","",IF('Classe CE1'!G80="","",'Classe CE1'!G80))</f>
        <v/>
      </c>
      <c r="K400" s="51" t="str">
        <f>IF('Classe CE1'!$B80="","",N('Classe CE1'!H80))</f>
        <v/>
      </c>
      <c r="L400" s="51" t="str">
        <f>IF('Classe CE1'!$B80="","",N('Classe CE1'!I80))</f>
        <v/>
      </c>
      <c r="M400" s="51" t="str">
        <f>IF('Classe CE1'!$B80="","",N('Classe CE1'!J80))</f>
        <v/>
      </c>
      <c r="N400" s="51" t="str">
        <f>IF('Classe CE1'!$B80="","",N('Classe CE1'!K80))</f>
        <v/>
      </c>
      <c r="O400" s="51" t="str">
        <f>IF('Classe CE1'!$B80="","",N('Classe CE1'!L80))</f>
        <v/>
      </c>
      <c r="P400" s="51" t="str">
        <f>IF('Classe CE1'!$B80="","",N('Classe CE1'!M80))</f>
        <v/>
      </c>
      <c r="Q400" s="21" t="str">
        <f>IF('Classe CE1'!$B80="","",IF('Classe CE1'!Q80="","",'Classe CE1'!Q80))</f>
        <v/>
      </c>
      <c r="R400" s="51" t="str">
        <f>IF('Classe CE1'!$B80="","",N('Classe CE1'!N80))</f>
        <v/>
      </c>
      <c r="S400" s="51" t="str">
        <f>IF('Classe CE1'!$B80="","",N('Classe CE1'!O80))</f>
        <v/>
      </c>
      <c r="T400" s="51" t="str">
        <f>IF('Classe CE1'!$B80="","",N('Classe CE1'!P80))</f>
        <v/>
      </c>
    </row>
    <row r="401">
      <c r="A401" s="16" t="str">
        <f>IF('Classe CE1'!$B81="","",IF('Classe CE1'!A81="","",'Classe CE1'!A81))</f>
        <v/>
      </c>
      <c r="B401" s="16" t="str">
        <f>IF('Classe CE1'!$B81="","",IF('Classe CE1'!B81="","",'Classe CE1'!B81))</f>
        <v/>
      </c>
      <c r="C401" s="16" t="str">
        <f>IF('Classe CE1'!$B81="","",IF('Classe CE1'!C81="","",'Classe CE1'!C81))</f>
        <v/>
      </c>
      <c r="D401" s="16" t="str">
        <f>IF($B401="","",C401&amp;" "&amp;B401&amp;" - "&amp;E401)</f>
        <v/>
      </c>
      <c r="E401" s="17" t="str">
        <f>IF($B401="","",Paramètres!$A$19)</f>
        <v/>
      </c>
      <c r="F401" s="17" t="str">
        <f>IF($B401="","",Paramètres!$B$19)</f>
        <v/>
      </c>
      <c r="G401" s="17" t="str">
        <f>IF('Classe CE1'!$B81="","",IF('Classe CE1'!D81="","",'Classe CE1'!D81))</f>
        <v/>
      </c>
      <c r="H401" s="78" t="str">
        <f>IF('Classe CE1'!$B81="","",IF('Classe CE1'!E81="","",'Classe CE1'!E81))</f>
        <v/>
      </c>
      <c r="I401" s="16" t="str">
        <f>IF('Classe CE1'!$B81="","",IF('Classe CE1'!F81="","",'Classe CE1'!F81))</f>
        <v/>
      </c>
      <c r="J401" s="16" t="str">
        <f>IF('Classe CE1'!$B81="","",IF('Classe CE1'!G81="","",'Classe CE1'!G81))</f>
        <v/>
      </c>
      <c r="K401" s="18" t="str">
        <f>IF('Classe CE1'!$B81="","",N('Classe CE1'!H81))</f>
        <v/>
      </c>
      <c r="L401" s="18" t="str">
        <f>IF('Classe CE1'!$B81="","",N('Classe CE1'!I81))</f>
        <v/>
      </c>
      <c r="M401" s="18" t="str">
        <f>IF('Classe CE1'!$B81="","",N('Classe CE1'!J81))</f>
        <v/>
      </c>
      <c r="N401" s="18" t="str">
        <f>IF('Classe CE1'!$B81="","",N('Classe CE1'!K81))</f>
        <v/>
      </c>
      <c r="O401" s="18" t="str">
        <f>IF('Classe CE1'!$B81="","",N('Classe CE1'!L81))</f>
        <v/>
      </c>
      <c r="P401" s="18" t="str">
        <f>IF('Classe CE1'!$B81="","",N('Classe CE1'!M81))</f>
        <v/>
      </c>
      <c r="Q401" s="17" t="str">
        <f>IF('Classe CE1'!$B81="","",IF('Classe CE1'!Q81="","",'Classe CE1'!Q81))</f>
        <v/>
      </c>
      <c r="R401" s="18" t="str">
        <f>IF('Classe CE1'!$B81="","",N('Classe CE1'!N81))</f>
        <v/>
      </c>
      <c r="S401" s="18" t="str">
        <f>IF('Classe CE1'!$B81="","",N('Classe CE1'!O81))</f>
        <v/>
      </c>
      <c r="T401" s="18" t="str">
        <f>IF('Classe CE1'!$B81="","",N('Classe CE1'!P81))</f>
        <v/>
      </c>
    </row>
    <row r="402">
      <c r="A402" s="20" t="str">
        <f>IF('Classe CE1'!$B82="","",IF('Classe CE1'!A82="","",'Classe CE1'!A82))</f>
        <v/>
      </c>
      <c r="B402" s="20" t="str">
        <f>IF('Classe CE1'!$B82="","",IF('Classe CE1'!B82="","",'Classe CE1'!B82))</f>
        <v/>
      </c>
      <c r="C402" s="20" t="str">
        <f>IF('Classe CE1'!$B82="","",IF('Classe CE1'!C82="","",'Classe CE1'!C82))</f>
        <v/>
      </c>
      <c r="D402" s="20" t="str">
        <f>IF($B402="","",C402&amp;" "&amp;B402&amp;" - "&amp;E402)</f>
        <v/>
      </c>
      <c r="E402" s="21" t="str">
        <f>IF($B402="","",Paramètres!$A$19)</f>
        <v/>
      </c>
      <c r="F402" s="21" t="str">
        <f>IF($B402="","",Paramètres!$B$19)</f>
        <v/>
      </c>
      <c r="G402" s="21" t="str">
        <f>IF('Classe CE1'!$B82="","",IF('Classe CE1'!D82="","",'Classe CE1'!D82))</f>
        <v/>
      </c>
      <c r="H402" s="77" t="str">
        <f>IF('Classe CE1'!$B82="","",IF('Classe CE1'!E82="","",'Classe CE1'!E82))</f>
        <v/>
      </c>
      <c r="I402" s="20" t="str">
        <f>IF('Classe CE1'!$B82="","",IF('Classe CE1'!F82="","",'Classe CE1'!F82))</f>
        <v/>
      </c>
      <c r="J402" s="20" t="str">
        <f>IF('Classe CE1'!$B82="","",IF('Classe CE1'!G82="","",'Classe CE1'!G82))</f>
        <v/>
      </c>
      <c r="K402" s="51" t="str">
        <f>IF('Classe CE1'!$B82="","",N('Classe CE1'!H82))</f>
        <v/>
      </c>
      <c r="L402" s="51" t="str">
        <f>IF('Classe CE1'!$B82="","",N('Classe CE1'!I82))</f>
        <v/>
      </c>
      <c r="M402" s="51" t="str">
        <f>IF('Classe CE1'!$B82="","",N('Classe CE1'!J82))</f>
        <v/>
      </c>
      <c r="N402" s="51" t="str">
        <f>IF('Classe CE1'!$B82="","",N('Classe CE1'!K82))</f>
        <v/>
      </c>
      <c r="O402" s="51" t="str">
        <f>IF('Classe CE1'!$B82="","",N('Classe CE1'!L82))</f>
        <v/>
      </c>
      <c r="P402" s="51" t="str">
        <f>IF('Classe CE1'!$B82="","",N('Classe CE1'!M82))</f>
        <v/>
      </c>
      <c r="Q402" s="21" t="str">
        <f>IF('Classe CE1'!$B82="","",IF('Classe CE1'!Q82="","",'Classe CE1'!Q82))</f>
        <v/>
      </c>
      <c r="R402" s="51" t="str">
        <f>IF('Classe CE1'!$B82="","",N('Classe CE1'!N82))</f>
        <v/>
      </c>
      <c r="S402" s="51" t="str">
        <f>IF('Classe CE1'!$B82="","",N('Classe CE1'!O82))</f>
        <v/>
      </c>
      <c r="T402" s="51" t="str">
        <f>IF('Classe CE1'!$B82="","",N('Classe CE1'!P82))</f>
        <v/>
      </c>
    </row>
    <row r="403">
      <c r="A403" s="16" t="str">
        <f>IF('Classe CE1'!$B83="","",IF('Classe CE1'!A83="","",'Classe CE1'!A83))</f>
        <v/>
      </c>
      <c r="B403" s="16" t="str">
        <f>IF('Classe CE1'!$B83="","",IF('Classe CE1'!B83="","",'Classe CE1'!B83))</f>
        <v/>
      </c>
      <c r="C403" s="16" t="str">
        <f>IF('Classe CE1'!$B83="","",IF('Classe CE1'!C83="","",'Classe CE1'!C83))</f>
        <v/>
      </c>
      <c r="D403" s="16" t="str">
        <f>IF($B403="","",C403&amp;" "&amp;B403&amp;" - "&amp;E403)</f>
        <v/>
      </c>
      <c r="E403" s="17" t="str">
        <f>IF($B403="","",Paramètres!$A$19)</f>
        <v/>
      </c>
      <c r="F403" s="17" t="str">
        <f>IF($B403="","",Paramètres!$B$19)</f>
        <v/>
      </c>
      <c r="G403" s="17" t="str">
        <f>IF('Classe CE1'!$B83="","",IF('Classe CE1'!D83="","",'Classe CE1'!D83))</f>
        <v/>
      </c>
      <c r="H403" s="78" t="str">
        <f>IF('Classe CE1'!$B83="","",IF('Classe CE1'!E83="","",'Classe CE1'!E83))</f>
        <v/>
      </c>
      <c r="I403" s="16" t="str">
        <f>IF('Classe CE1'!$B83="","",IF('Classe CE1'!F83="","",'Classe CE1'!F83))</f>
        <v/>
      </c>
      <c r="J403" s="16" t="str">
        <f>IF('Classe CE1'!$B83="","",IF('Classe CE1'!G83="","",'Classe CE1'!G83))</f>
        <v/>
      </c>
      <c r="K403" s="18" t="str">
        <f>IF('Classe CE1'!$B83="","",N('Classe CE1'!H83))</f>
        <v/>
      </c>
      <c r="L403" s="18" t="str">
        <f>IF('Classe CE1'!$B83="","",N('Classe CE1'!I83))</f>
        <v/>
      </c>
      <c r="M403" s="18" t="str">
        <f>IF('Classe CE1'!$B83="","",N('Classe CE1'!J83))</f>
        <v/>
      </c>
      <c r="N403" s="18" t="str">
        <f>IF('Classe CE1'!$B83="","",N('Classe CE1'!K83))</f>
        <v/>
      </c>
      <c r="O403" s="18" t="str">
        <f>IF('Classe CE1'!$B83="","",N('Classe CE1'!L83))</f>
        <v/>
      </c>
      <c r="P403" s="18" t="str">
        <f>IF('Classe CE1'!$B83="","",N('Classe CE1'!M83))</f>
        <v/>
      </c>
      <c r="Q403" s="17" t="str">
        <f>IF('Classe CE1'!$B83="","",IF('Classe CE1'!Q83="","",'Classe CE1'!Q83))</f>
        <v/>
      </c>
      <c r="R403" s="18" t="str">
        <f>IF('Classe CE1'!$B83="","",N('Classe CE1'!N83))</f>
        <v/>
      </c>
      <c r="S403" s="18" t="str">
        <f>IF('Classe CE1'!$B83="","",N('Classe CE1'!O83))</f>
        <v/>
      </c>
      <c r="T403" s="18" t="str">
        <f>IF('Classe CE1'!$B83="","",N('Classe CE1'!P83))</f>
        <v/>
      </c>
    </row>
    <row r="404">
      <c r="A404" s="20" t="str">
        <f>IF('Classe CE2'!$B4="","",IF('Classe CE2'!A4="","",'Classe CE2'!A4))</f>
        <v/>
      </c>
      <c r="B404" s="20" t="str">
        <f>IF('Classe CE2'!$B4="","",IF('Classe CE2'!B4="","",'Classe CE2'!B4))</f>
        <v/>
      </c>
      <c r="C404" s="20" t="str">
        <f>IF('Classe CE2'!$B4="","",IF('Classe CE2'!C4="","",'Classe CE2'!C4))</f>
        <v/>
      </c>
      <c r="D404" s="20" t="str">
        <f>IF($B404="","",C404&amp;" "&amp;B404&amp;" - "&amp;E404)</f>
        <v/>
      </c>
      <c r="E404" s="21" t="str">
        <f>IF($B404="","",Paramètres!$A$20)</f>
        <v/>
      </c>
      <c r="F404" s="21" t="str">
        <f>IF($B404="","",Paramètres!$B$20)</f>
        <v/>
      </c>
      <c r="G404" s="21" t="str">
        <f>IF('Classe CE2'!$B4="","",IF('Classe CE2'!D4="","",'Classe CE2'!D4))</f>
        <v/>
      </c>
      <c r="H404" s="77" t="str">
        <f>IF('Classe CE2'!$B4="","",IF('Classe CE2'!E4="","",'Classe CE2'!E4))</f>
        <v/>
      </c>
      <c r="I404" s="20" t="str">
        <f>IF('Classe CE2'!$B4="","",IF('Classe CE2'!F4="","",'Classe CE2'!F4))</f>
        <v/>
      </c>
      <c r="J404" s="20" t="str">
        <f>IF('Classe CE2'!$B4="","",IF('Classe CE2'!G4="","",'Classe CE2'!G4))</f>
        <v/>
      </c>
      <c r="K404" s="51" t="str">
        <f>IF('Classe CE2'!$B4="","",N('Classe CE2'!H4))</f>
        <v/>
      </c>
      <c r="L404" s="51" t="str">
        <f>IF('Classe CE2'!$B4="","",N('Classe CE2'!I4))</f>
        <v/>
      </c>
      <c r="M404" s="51" t="str">
        <f>IF('Classe CE2'!$B4="","",N('Classe CE2'!J4))</f>
        <v/>
      </c>
      <c r="N404" s="51" t="str">
        <f>IF('Classe CE2'!$B4="","",N('Classe CE2'!K4))</f>
        <v/>
      </c>
      <c r="O404" s="51" t="str">
        <f>IF('Classe CE2'!$B4="","",N('Classe CE2'!L4))</f>
        <v/>
      </c>
      <c r="P404" s="51" t="str">
        <f>IF('Classe CE2'!$B4="","",N('Classe CE2'!M4))</f>
        <v/>
      </c>
      <c r="Q404" s="21" t="str">
        <f>IF('Classe CE2'!$B4="","",IF('Classe CE2'!Q4="","",'Classe CE2'!Q4))</f>
        <v/>
      </c>
      <c r="R404" s="51" t="str">
        <f>IF('Classe CE2'!$B4="","",N('Classe CE2'!N4))</f>
        <v/>
      </c>
      <c r="S404" s="51" t="str">
        <f>IF('Classe CE2'!$B4="","",N('Classe CE2'!O4))</f>
        <v/>
      </c>
      <c r="T404" s="51" t="str">
        <f>IF('Classe CE2'!$B4="","",N('Classe CE2'!P4))</f>
        <v/>
      </c>
    </row>
    <row r="405">
      <c r="A405" s="16" t="str">
        <f>IF('Classe CE2'!$B5="","",IF('Classe CE2'!A5="","",'Classe CE2'!A5))</f>
        <v/>
      </c>
      <c r="B405" s="16" t="str">
        <f>IF('Classe CE2'!$B5="","",IF('Classe CE2'!B5="","",'Classe CE2'!B5))</f>
        <v/>
      </c>
      <c r="C405" s="16" t="str">
        <f>IF('Classe CE2'!$B5="","",IF('Classe CE2'!C5="","",'Classe CE2'!C5))</f>
        <v/>
      </c>
      <c r="D405" s="16" t="str">
        <f>IF($B405="","",C405&amp;" "&amp;B405&amp;" - "&amp;E405)</f>
        <v/>
      </c>
      <c r="E405" s="17" t="str">
        <f>IF($B405="","",Paramètres!$A$20)</f>
        <v/>
      </c>
      <c r="F405" s="17" t="str">
        <f>IF($B405="","",Paramètres!$B$20)</f>
        <v/>
      </c>
      <c r="G405" s="17" t="str">
        <f>IF('Classe CE2'!$B5="","",IF('Classe CE2'!D5="","",'Classe CE2'!D5))</f>
        <v/>
      </c>
      <c r="H405" s="78" t="str">
        <f>IF('Classe CE2'!$B5="","",IF('Classe CE2'!E5="","",'Classe CE2'!E5))</f>
        <v/>
      </c>
      <c r="I405" s="16" t="str">
        <f>IF('Classe CE2'!$B5="","",IF('Classe CE2'!F5="","",'Classe CE2'!F5))</f>
        <v/>
      </c>
      <c r="J405" s="16" t="str">
        <f>IF('Classe CE2'!$B5="","",IF('Classe CE2'!G5="","",'Classe CE2'!G5))</f>
        <v/>
      </c>
      <c r="K405" s="18" t="str">
        <f>IF('Classe CE2'!$B5="","",N('Classe CE2'!H5))</f>
        <v/>
      </c>
      <c r="L405" s="18" t="str">
        <f>IF('Classe CE2'!$B5="","",N('Classe CE2'!I5))</f>
        <v/>
      </c>
      <c r="M405" s="18" t="str">
        <f>IF('Classe CE2'!$B5="","",N('Classe CE2'!J5))</f>
        <v/>
      </c>
      <c r="N405" s="18" t="str">
        <f>IF('Classe CE2'!$B5="","",N('Classe CE2'!K5))</f>
        <v/>
      </c>
      <c r="O405" s="18" t="str">
        <f>IF('Classe CE2'!$B5="","",N('Classe CE2'!L5))</f>
        <v/>
      </c>
      <c r="P405" s="18" t="str">
        <f>IF('Classe CE2'!$B5="","",N('Classe CE2'!M5))</f>
        <v/>
      </c>
      <c r="Q405" s="17" t="str">
        <f>IF('Classe CE2'!$B5="","",IF('Classe CE2'!Q5="","",'Classe CE2'!Q5))</f>
        <v/>
      </c>
      <c r="R405" s="18" t="str">
        <f>IF('Classe CE2'!$B5="","",N('Classe CE2'!N5))</f>
        <v/>
      </c>
      <c r="S405" s="18" t="str">
        <f>IF('Classe CE2'!$B5="","",N('Classe CE2'!O5))</f>
        <v/>
      </c>
      <c r="T405" s="18" t="str">
        <f>IF('Classe CE2'!$B5="","",N('Classe CE2'!P5))</f>
        <v/>
      </c>
    </row>
    <row r="406">
      <c r="A406" s="20" t="str">
        <f>IF('Classe CE2'!$B6="","",IF('Classe CE2'!A6="","",'Classe CE2'!A6))</f>
        <v/>
      </c>
      <c r="B406" s="20" t="str">
        <f>IF('Classe CE2'!$B6="","",IF('Classe CE2'!B6="","",'Classe CE2'!B6))</f>
        <v/>
      </c>
      <c r="C406" s="20" t="str">
        <f>IF('Classe CE2'!$B6="","",IF('Classe CE2'!C6="","",'Classe CE2'!C6))</f>
        <v/>
      </c>
      <c r="D406" s="20" t="str">
        <f>IF($B406="","",C406&amp;" "&amp;B406&amp;" - "&amp;E406)</f>
        <v/>
      </c>
      <c r="E406" s="21" t="str">
        <f>IF($B406="","",Paramètres!$A$20)</f>
        <v/>
      </c>
      <c r="F406" s="21" t="str">
        <f>IF($B406="","",Paramètres!$B$20)</f>
        <v/>
      </c>
      <c r="G406" s="21" t="str">
        <f>IF('Classe CE2'!$B6="","",IF('Classe CE2'!D6="","",'Classe CE2'!D6))</f>
        <v/>
      </c>
      <c r="H406" s="77" t="str">
        <f>IF('Classe CE2'!$B6="","",IF('Classe CE2'!E6="","",'Classe CE2'!E6))</f>
        <v/>
      </c>
      <c r="I406" s="20" t="str">
        <f>IF('Classe CE2'!$B6="","",IF('Classe CE2'!F6="","",'Classe CE2'!F6))</f>
        <v/>
      </c>
      <c r="J406" s="20" t="str">
        <f>IF('Classe CE2'!$B6="","",IF('Classe CE2'!G6="","",'Classe CE2'!G6))</f>
        <v/>
      </c>
      <c r="K406" s="51" t="str">
        <f>IF('Classe CE2'!$B6="","",N('Classe CE2'!H6))</f>
        <v/>
      </c>
      <c r="L406" s="51" t="str">
        <f>IF('Classe CE2'!$B6="","",N('Classe CE2'!I6))</f>
        <v/>
      </c>
      <c r="M406" s="51" t="str">
        <f>IF('Classe CE2'!$B6="","",N('Classe CE2'!J6))</f>
        <v/>
      </c>
      <c r="N406" s="51" t="str">
        <f>IF('Classe CE2'!$B6="","",N('Classe CE2'!K6))</f>
        <v/>
      </c>
      <c r="O406" s="51" t="str">
        <f>IF('Classe CE2'!$B6="","",N('Classe CE2'!L6))</f>
        <v/>
      </c>
      <c r="P406" s="51" t="str">
        <f>IF('Classe CE2'!$B6="","",N('Classe CE2'!M6))</f>
        <v/>
      </c>
      <c r="Q406" s="21" t="str">
        <f>IF('Classe CE2'!$B6="","",IF('Classe CE2'!Q6="","",'Classe CE2'!Q6))</f>
        <v/>
      </c>
      <c r="R406" s="51" t="str">
        <f>IF('Classe CE2'!$B6="","",N('Classe CE2'!N6))</f>
        <v/>
      </c>
      <c r="S406" s="51" t="str">
        <f>IF('Classe CE2'!$B6="","",N('Classe CE2'!O6))</f>
        <v/>
      </c>
      <c r="T406" s="51" t="str">
        <f>IF('Classe CE2'!$B6="","",N('Classe CE2'!P6))</f>
        <v/>
      </c>
    </row>
    <row r="407">
      <c r="A407" s="16" t="str">
        <f>IF('Classe CE2'!$B7="","",IF('Classe CE2'!A7="","",'Classe CE2'!A7))</f>
        <v/>
      </c>
      <c r="B407" s="16" t="str">
        <f>IF('Classe CE2'!$B7="","",IF('Classe CE2'!B7="","",'Classe CE2'!B7))</f>
        <v/>
      </c>
      <c r="C407" s="16" t="str">
        <f>IF('Classe CE2'!$B7="","",IF('Classe CE2'!C7="","",'Classe CE2'!C7))</f>
        <v/>
      </c>
      <c r="D407" s="16" t="str">
        <f>IF($B407="","",C407&amp;" "&amp;B407&amp;" - "&amp;E407)</f>
        <v/>
      </c>
      <c r="E407" s="17" t="str">
        <f>IF($B407="","",Paramètres!$A$20)</f>
        <v/>
      </c>
      <c r="F407" s="17" t="str">
        <f>IF($B407="","",Paramètres!$B$20)</f>
        <v/>
      </c>
      <c r="G407" s="17" t="str">
        <f>IF('Classe CE2'!$B7="","",IF('Classe CE2'!D7="","",'Classe CE2'!D7))</f>
        <v/>
      </c>
      <c r="H407" s="78" t="str">
        <f>IF('Classe CE2'!$B7="","",IF('Classe CE2'!E7="","",'Classe CE2'!E7))</f>
        <v/>
      </c>
      <c r="I407" s="16" t="str">
        <f>IF('Classe CE2'!$B7="","",IF('Classe CE2'!F7="","",'Classe CE2'!F7))</f>
        <v/>
      </c>
      <c r="J407" s="16" t="str">
        <f>IF('Classe CE2'!$B7="","",IF('Classe CE2'!G7="","",'Classe CE2'!G7))</f>
        <v/>
      </c>
      <c r="K407" s="18" t="str">
        <f>IF('Classe CE2'!$B7="","",N('Classe CE2'!H7))</f>
        <v/>
      </c>
      <c r="L407" s="18" t="str">
        <f>IF('Classe CE2'!$B7="","",N('Classe CE2'!I7))</f>
        <v/>
      </c>
      <c r="M407" s="18" t="str">
        <f>IF('Classe CE2'!$B7="","",N('Classe CE2'!J7))</f>
        <v/>
      </c>
      <c r="N407" s="18" t="str">
        <f>IF('Classe CE2'!$B7="","",N('Classe CE2'!K7))</f>
        <v/>
      </c>
      <c r="O407" s="18" t="str">
        <f>IF('Classe CE2'!$B7="","",N('Classe CE2'!L7))</f>
        <v/>
      </c>
      <c r="P407" s="18" t="str">
        <f>IF('Classe CE2'!$B7="","",N('Classe CE2'!M7))</f>
        <v/>
      </c>
      <c r="Q407" s="17" t="str">
        <f>IF('Classe CE2'!$B7="","",IF('Classe CE2'!Q7="","",'Classe CE2'!Q7))</f>
        <v/>
      </c>
      <c r="R407" s="18" t="str">
        <f>IF('Classe CE2'!$B7="","",N('Classe CE2'!N7))</f>
        <v/>
      </c>
      <c r="S407" s="18" t="str">
        <f>IF('Classe CE2'!$B7="","",N('Classe CE2'!O7))</f>
        <v/>
      </c>
      <c r="T407" s="18" t="str">
        <f>IF('Classe CE2'!$B7="","",N('Classe CE2'!P7))</f>
        <v/>
      </c>
    </row>
    <row r="408">
      <c r="A408" s="20" t="str">
        <f>IF('Classe CE2'!$B8="","",IF('Classe CE2'!A8="","",'Classe CE2'!A8))</f>
        <v/>
      </c>
      <c r="B408" s="20" t="str">
        <f>IF('Classe CE2'!$B8="","",IF('Classe CE2'!B8="","",'Classe CE2'!B8))</f>
        <v/>
      </c>
      <c r="C408" s="20" t="str">
        <f>IF('Classe CE2'!$B8="","",IF('Classe CE2'!C8="","",'Classe CE2'!C8))</f>
        <v/>
      </c>
      <c r="D408" s="20" t="str">
        <f>IF($B408="","",C408&amp;" "&amp;B408&amp;" - "&amp;E408)</f>
        <v/>
      </c>
      <c r="E408" s="21" t="str">
        <f>IF($B408="","",Paramètres!$A$20)</f>
        <v/>
      </c>
      <c r="F408" s="21" t="str">
        <f>IF($B408="","",Paramètres!$B$20)</f>
        <v/>
      </c>
      <c r="G408" s="21" t="str">
        <f>IF('Classe CE2'!$B8="","",IF('Classe CE2'!D8="","",'Classe CE2'!D8))</f>
        <v/>
      </c>
      <c r="H408" s="77" t="str">
        <f>IF('Classe CE2'!$B8="","",IF('Classe CE2'!E8="","",'Classe CE2'!E8))</f>
        <v/>
      </c>
      <c r="I408" s="20" t="str">
        <f>IF('Classe CE2'!$B8="","",IF('Classe CE2'!F8="","",'Classe CE2'!F8))</f>
        <v/>
      </c>
      <c r="J408" s="20" t="str">
        <f>IF('Classe CE2'!$B8="","",IF('Classe CE2'!G8="","",'Classe CE2'!G8))</f>
        <v/>
      </c>
      <c r="K408" s="51" t="str">
        <f>IF('Classe CE2'!$B8="","",N('Classe CE2'!H8))</f>
        <v/>
      </c>
      <c r="L408" s="51" t="str">
        <f>IF('Classe CE2'!$B8="","",N('Classe CE2'!I8))</f>
        <v/>
      </c>
      <c r="M408" s="51" t="str">
        <f>IF('Classe CE2'!$B8="","",N('Classe CE2'!J8))</f>
        <v/>
      </c>
      <c r="N408" s="51" t="str">
        <f>IF('Classe CE2'!$B8="","",N('Classe CE2'!K8))</f>
        <v/>
      </c>
      <c r="O408" s="51" t="str">
        <f>IF('Classe CE2'!$B8="","",N('Classe CE2'!L8))</f>
        <v/>
      </c>
      <c r="P408" s="51" t="str">
        <f>IF('Classe CE2'!$B8="","",N('Classe CE2'!M8))</f>
        <v/>
      </c>
      <c r="Q408" s="21" t="str">
        <f>IF('Classe CE2'!$B8="","",IF('Classe CE2'!Q8="","",'Classe CE2'!Q8))</f>
        <v/>
      </c>
      <c r="R408" s="51" t="str">
        <f>IF('Classe CE2'!$B8="","",N('Classe CE2'!N8))</f>
        <v/>
      </c>
      <c r="S408" s="51" t="str">
        <f>IF('Classe CE2'!$B8="","",N('Classe CE2'!O8))</f>
        <v/>
      </c>
      <c r="T408" s="51" t="str">
        <f>IF('Classe CE2'!$B8="","",N('Classe CE2'!P8))</f>
        <v/>
      </c>
    </row>
    <row r="409">
      <c r="A409" s="16" t="str">
        <f>IF('Classe CE2'!$B9="","",IF('Classe CE2'!A9="","",'Classe CE2'!A9))</f>
        <v/>
      </c>
      <c r="B409" s="16" t="str">
        <f>IF('Classe CE2'!$B9="","",IF('Classe CE2'!B9="","",'Classe CE2'!B9))</f>
        <v/>
      </c>
      <c r="C409" s="16" t="str">
        <f>IF('Classe CE2'!$B9="","",IF('Classe CE2'!C9="","",'Classe CE2'!C9))</f>
        <v/>
      </c>
      <c r="D409" s="16" t="str">
        <f>IF($B409="","",C409&amp;" "&amp;B409&amp;" - "&amp;E409)</f>
        <v/>
      </c>
      <c r="E409" s="17" t="str">
        <f>IF($B409="","",Paramètres!$A$20)</f>
        <v/>
      </c>
      <c r="F409" s="17" t="str">
        <f>IF($B409="","",Paramètres!$B$20)</f>
        <v/>
      </c>
      <c r="G409" s="17" t="str">
        <f>IF('Classe CE2'!$B9="","",IF('Classe CE2'!D9="","",'Classe CE2'!D9))</f>
        <v/>
      </c>
      <c r="H409" s="78" t="str">
        <f>IF('Classe CE2'!$B9="","",IF('Classe CE2'!E9="","",'Classe CE2'!E9))</f>
        <v/>
      </c>
      <c r="I409" s="16" t="str">
        <f>IF('Classe CE2'!$B9="","",IF('Classe CE2'!F9="","",'Classe CE2'!F9))</f>
        <v/>
      </c>
      <c r="J409" s="16" t="str">
        <f>IF('Classe CE2'!$B9="","",IF('Classe CE2'!G9="","",'Classe CE2'!G9))</f>
        <v/>
      </c>
      <c r="K409" s="18" t="str">
        <f>IF('Classe CE2'!$B9="","",N('Classe CE2'!H9))</f>
        <v/>
      </c>
      <c r="L409" s="18" t="str">
        <f>IF('Classe CE2'!$B9="","",N('Classe CE2'!I9))</f>
        <v/>
      </c>
      <c r="M409" s="18" t="str">
        <f>IF('Classe CE2'!$B9="","",N('Classe CE2'!J9))</f>
        <v/>
      </c>
      <c r="N409" s="18" t="str">
        <f>IF('Classe CE2'!$B9="","",N('Classe CE2'!K9))</f>
        <v/>
      </c>
      <c r="O409" s="18" t="str">
        <f>IF('Classe CE2'!$B9="","",N('Classe CE2'!L9))</f>
        <v/>
      </c>
      <c r="P409" s="18" t="str">
        <f>IF('Classe CE2'!$B9="","",N('Classe CE2'!M9))</f>
        <v/>
      </c>
      <c r="Q409" s="17" t="str">
        <f>IF('Classe CE2'!$B9="","",IF('Classe CE2'!Q9="","",'Classe CE2'!Q9))</f>
        <v/>
      </c>
      <c r="R409" s="18" t="str">
        <f>IF('Classe CE2'!$B9="","",N('Classe CE2'!N9))</f>
        <v/>
      </c>
      <c r="S409" s="18" t="str">
        <f>IF('Classe CE2'!$B9="","",N('Classe CE2'!O9))</f>
        <v/>
      </c>
      <c r="T409" s="18" t="str">
        <f>IF('Classe CE2'!$B9="","",N('Classe CE2'!P9))</f>
        <v/>
      </c>
    </row>
    <row r="410">
      <c r="A410" s="20" t="str">
        <f>IF('Classe CE2'!$B10="","",IF('Classe CE2'!A10="","",'Classe CE2'!A10))</f>
        <v/>
      </c>
      <c r="B410" s="20" t="str">
        <f>IF('Classe CE2'!$B10="","",IF('Classe CE2'!B10="","",'Classe CE2'!B10))</f>
        <v/>
      </c>
      <c r="C410" s="20" t="str">
        <f>IF('Classe CE2'!$B10="","",IF('Classe CE2'!C10="","",'Classe CE2'!C10))</f>
        <v/>
      </c>
      <c r="D410" s="20" t="str">
        <f>IF($B410="","",C410&amp;" "&amp;B410&amp;" - "&amp;E410)</f>
        <v/>
      </c>
      <c r="E410" s="21" t="str">
        <f>IF($B410="","",Paramètres!$A$20)</f>
        <v/>
      </c>
      <c r="F410" s="21" t="str">
        <f>IF($B410="","",Paramètres!$B$20)</f>
        <v/>
      </c>
      <c r="G410" s="21" t="str">
        <f>IF('Classe CE2'!$B10="","",IF('Classe CE2'!D10="","",'Classe CE2'!D10))</f>
        <v/>
      </c>
      <c r="H410" s="77" t="str">
        <f>IF('Classe CE2'!$B10="","",IF('Classe CE2'!E10="","",'Classe CE2'!E10))</f>
        <v/>
      </c>
      <c r="I410" s="20" t="str">
        <f>IF('Classe CE2'!$B10="","",IF('Classe CE2'!F10="","",'Classe CE2'!F10))</f>
        <v/>
      </c>
      <c r="J410" s="20" t="str">
        <f>IF('Classe CE2'!$B10="","",IF('Classe CE2'!G10="","",'Classe CE2'!G10))</f>
        <v/>
      </c>
      <c r="K410" s="51" t="str">
        <f>IF('Classe CE2'!$B10="","",N('Classe CE2'!H10))</f>
        <v/>
      </c>
      <c r="L410" s="51" t="str">
        <f>IF('Classe CE2'!$B10="","",N('Classe CE2'!I10))</f>
        <v/>
      </c>
      <c r="M410" s="51" t="str">
        <f>IF('Classe CE2'!$B10="","",N('Classe CE2'!J10))</f>
        <v/>
      </c>
      <c r="N410" s="51" t="str">
        <f>IF('Classe CE2'!$B10="","",N('Classe CE2'!K10))</f>
        <v/>
      </c>
      <c r="O410" s="51" t="str">
        <f>IF('Classe CE2'!$B10="","",N('Classe CE2'!L10))</f>
        <v/>
      </c>
      <c r="P410" s="51" t="str">
        <f>IF('Classe CE2'!$B10="","",N('Classe CE2'!M10))</f>
        <v/>
      </c>
      <c r="Q410" s="21" t="str">
        <f>IF('Classe CE2'!$B10="","",IF('Classe CE2'!Q10="","",'Classe CE2'!Q10))</f>
        <v/>
      </c>
      <c r="R410" s="51" t="str">
        <f>IF('Classe CE2'!$B10="","",N('Classe CE2'!N10))</f>
        <v/>
      </c>
      <c r="S410" s="51" t="str">
        <f>IF('Classe CE2'!$B10="","",N('Classe CE2'!O10))</f>
        <v/>
      </c>
      <c r="T410" s="51" t="str">
        <f>IF('Classe CE2'!$B10="","",N('Classe CE2'!P10))</f>
        <v/>
      </c>
    </row>
    <row r="411">
      <c r="A411" s="16" t="str">
        <f>IF('Classe CE2'!$B11="","",IF('Classe CE2'!A11="","",'Classe CE2'!A11))</f>
        <v/>
      </c>
      <c r="B411" s="16" t="str">
        <f>IF('Classe CE2'!$B11="","",IF('Classe CE2'!B11="","",'Classe CE2'!B11))</f>
        <v/>
      </c>
      <c r="C411" s="16" t="str">
        <f>IF('Classe CE2'!$B11="","",IF('Classe CE2'!C11="","",'Classe CE2'!C11))</f>
        <v/>
      </c>
      <c r="D411" s="16" t="str">
        <f>IF($B411="","",C411&amp;" "&amp;B411&amp;" - "&amp;E411)</f>
        <v/>
      </c>
      <c r="E411" s="17" t="str">
        <f>IF($B411="","",Paramètres!$A$20)</f>
        <v/>
      </c>
      <c r="F411" s="17" t="str">
        <f>IF($B411="","",Paramètres!$B$20)</f>
        <v/>
      </c>
      <c r="G411" s="17" t="str">
        <f>IF('Classe CE2'!$B11="","",IF('Classe CE2'!D11="","",'Classe CE2'!D11))</f>
        <v/>
      </c>
      <c r="H411" s="78" t="str">
        <f>IF('Classe CE2'!$B11="","",IF('Classe CE2'!E11="","",'Classe CE2'!E11))</f>
        <v/>
      </c>
      <c r="I411" s="16" t="str">
        <f>IF('Classe CE2'!$B11="","",IF('Classe CE2'!F11="","",'Classe CE2'!F11))</f>
        <v/>
      </c>
      <c r="J411" s="16" t="str">
        <f>IF('Classe CE2'!$B11="","",IF('Classe CE2'!G11="","",'Classe CE2'!G11))</f>
        <v/>
      </c>
      <c r="K411" s="18" t="str">
        <f>IF('Classe CE2'!$B11="","",N('Classe CE2'!H11))</f>
        <v/>
      </c>
      <c r="L411" s="18" t="str">
        <f>IF('Classe CE2'!$B11="","",N('Classe CE2'!I11))</f>
        <v/>
      </c>
      <c r="M411" s="18" t="str">
        <f>IF('Classe CE2'!$B11="","",N('Classe CE2'!J11))</f>
        <v/>
      </c>
      <c r="N411" s="18" t="str">
        <f>IF('Classe CE2'!$B11="","",N('Classe CE2'!K11))</f>
        <v/>
      </c>
      <c r="O411" s="18" t="str">
        <f>IF('Classe CE2'!$B11="","",N('Classe CE2'!L11))</f>
        <v/>
      </c>
      <c r="P411" s="18" t="str">
        <f>IF('Classe CE2'!$B11="","",N('Classe CE2'!M11))</f>
        <v/>
      </c>
      <c r="Q411" s="17" t="str">
        <f>IF('Classe CE2'!$B11="","",IF('Classe CE2'!Q11="","",'Classe CE2'!Q11))</f>
        <v/>
      </c>
      <c r="R411" s="18" t="str">
        <f>IF('Classe CE2'!$B11="","",N('Classe CE2'!N11))</f>
        <v/>
      </c>
      <c r="S411" s="18" t="str">
        <f>IF('Classe CE2'!$B11="","",N('Classe CE2'!O11))</f>
        <v/>
      </c>
      <c r="T411" s="18" t="str">
        <f>IF('Classe CE2'!$B11="","",N('Classe CE2'!P11))</f>
        <v/>
      </c>
    </row>
    <row r="412">
      <c r="A412" s="20" t="str">
        <f>IF('Classe CE2'!$B12="","",IF('Classe CE2'!A12="","",'Classe CE2'!A12))</f>
        <v/>
      </c>
      <c r="B412" s="20" t="str">
        <f>IF('Classe CE2'!$B12="","",IF('Classe CE2'!B12="","",'Classe CE2'!B12))</f>
        <v/>
      </c>
      <c r="C412" s="20" t="str">
        <f>IF('Classe CE2'!$B12="","",IF('Classe CE2'!C12="","",'Classe CE2'!C12))</f>
        <v/>
      </c>
      <c r="D412" s="20" t="str">
        <f>IF($B412="","",C412&amp;" "&amp;B412&amp;" - "&amp;E412)</f>
        <v/>
      </c>
      <c r="E412" s="21" t="str">
        <f>IF($B412="","",Paramètres!$A$20)</f>
        <v/>
      </c>
      <c r="F412" s="21" t="str">
        <f>IF($B412="","",Paramètres!$B$20)</f>
        <v/>
      </c>
      <c r="G412" s="21" t="str">
        <f>IF('Classe CE2'!$B12="","",IF('Classe CE2'!D12="","",'Classe CE2'!D12))</f>
        <v/>
      </c>
      <c r="H412" s="77" t="str">
        <f>IF('Classe CE2'!$B12="","",IF('Classe CE2'!E12="","",'Classe CE2'!E12))</f>
        <v/>
      </c>
      <c r="I412" s="20" t="str">
        <f>IF('Classe CE2'!$B12="","",IF('Classe CE2'!F12="","",'Classe CE2'!F12))</f>
        <v/>
      </c>
      <c r="J412" s="20" t="str">
        <f>IF('Classe CE2'!$B12="","",IF('Classe CE2'!G12="","",'Classe CE2'!G12))</f>
        <v/>
      </c>
      <c r="K412" s="51" t="str">
        <f>IF('Classe CE2'!$B12="","",N('Classe CE2'!H12))</f>
        <v/>
      </c>
      <c r="L412" s="51" t="str">
        <f>IF('Classe CE2'!$B12="","",N('Classe CE2'!I12))</f>
        <v/>
      </c>
      <c r="M412" s="51" t="str">
        <f>IF('Classe CE2'!$B12="","",N('Classe CE2'!J12))</f>
        <v/>
      </c>
      <c r="N412" s="51" t="str">
        <f>IF('Classe CE2'!$B12="","",N('Classe CE2'!K12))</f>
        <v/>
      </c>
      <c r="O412" s="51" t="str">
        <f>IF('Classe CE2'!$B12="","",N('Classe CE2'!L12))</f>
        <v/>
      </c>
      <c r="P412" s="51" t="str">
        <f>IF('Classe CE2'!$B12="","",N('Classe CE2'!M12))</f>
        <v/>
      </c>
      <c r="Q412" s="21" t="str">
        <f>IF('Classe CE2'!$B12="","",IF('Classe CE2'!Q12="","",'Classe CE2'!Q12))</f>
        <v/>
      </c>
      <c r="R412" s="51" t="str">
        <f>IF('Classe CE2'!$B12="","",N('Classe CE2'!N12))</f>
        <v/>
      </c>
      <c r="S412" s="51" t="str">
        <f>IF('Classe CE2'!$B12="","",N('Classe CE2'!O12))</f>
        <v/>
      </c>
      <c r="T412" s="51" t="str">
        <f>IF('Classe CE2'!$B12="","",N('Classe CE2'!P12))</f>
        <v/>
      </c>
    </row>
    <row r="413">
      <c r="A413" s="16" t="str">
        <f>IF('Classe CE2'!$B13="","",IF('Classe CE2'!A13="","",'Classe CE2'!A13))</f>
        <v/>
      </c>
      <c r="B413" s="16" t="str">
        <f>IF('Classe CE2'!$B13="","",IF('Classe CE2'!B13="","",'Classe CE2'!B13))</f>
        <v/>
      </c>
      <c r="C413" s="16" t="str">
        <f>IF('Classe CE2'!$B13="","",IF('Classe CE2'!C13="","",'Classe CE2'!C13))</f>
        <v/>
      </c>
      <c r="D413" s="16" t="str">
        <f>IF($B413="","",C413&amp;" "&amp;B413&amp;" - "&amp;E413)</f>
        <v/>
      </c>
      <c r="E413" s="17" t="str">
        <f>IF($B413="","",Paramètres!$A$20)</f>
        <v/>
      </c>
      <c r="F413" s="17" t="str">
        <f>IF($B413="","",Paramètres!$B$20)</f>
        <v/>
      </c>
      <c r="G413" s="17" t="str">
        <f>IF('Classe CE2'!$B13="","",IF('Classe CE2'!D13="","",'Classe CE2'!D13))</f>
        <v/>
      </c>
      <c r="H413" s="78" t="str">
        <f>IF('Classe CE2'!$B13="","",IF('Classe CE2'!E13="","",'Classe CE2'!E13))</f>
        <v/>
      </c>
      <c r="I413" s="16" t="str">
        <f>IF('Classe CE2'!$B13="","",IF('Classe CE2'!F13="","",'Classe CE2'!F13))</f>
        <v/>
      </c>
      <c r="J413" s="16" t="str">
        <f>IF('Classe CE2'!$B13="","",IF('Classe CE2'!G13="","",'Classe CE2'!G13))</f>
        <v/>
      </c>
      <c r="K413" s="18" t="str">
        <f>IF('Classe CE2'!$B13="","",N('Classe CE2'!H13))</f>
        <v/>
      </c>
      <c r="L413" s="18" t="str">
        <f>IF('Classe CE2'!$B13="","",N('Classe CE2'!I13))</f>
        <v/>
      </c>
      <c r="M413" s="18" t="str">
        <f>IF('Classe CE2'!$B13="","",N('Classe CE2'!J13))</f>
        <v/>
      </c>
      <c r="N413" s="18" t="str">
        <f>IF('Classe CE2'!$B13="","",N('Classe CE2'!K13))</f>
        <v/>
      </c>
      <c r="O413" s="18" t="str">
        <f>IF('Classe CE2'!$B13="","",N('Classe CE2'!L13))</f>
        <v/>
      </c>
      <c r="P413" s="18" t="str">
        <f>IF('Classe CE2'!$B13="","",N('Classe CE2'!M13))</f>
        <v/>
      </c>
      <c r="Q413" s="17" t="str">
        <f>IF('Classe CE2'!$B13="","",IF('Classe CE2'!Q13="","",'Classe CE2'!Q13))</f>
        <v/>
      </c>
      <c r="R413" s="18" t="str">
        <f>IF('Classe CE2'!$B13="","",N('Classe CE2'!N13))</f>
        <v/>
      </c>
      <c r="S413" s="18" t="str">
        <f>IF('Classe CE2'!$B13="","",N('Classe CE2'!O13))</f>
        <v/>
      </c>
      <c r="T413" s="18" t="str">
        <f>IF('Classe CE2'!$B13="","",N('Classe CE2'!P13))</f>
        <v/>
      </c>
    </row>
    <row r="414">
      <c r="A414" s="20" t="str">
        <f>IF('Classe CE2'!$B14="","",IF('Classe CE2'!A14="","",'Classe CE2'!A14))</f>
        <v/>
      </c>
      <c r="B414" s="20" t="str">
        <f>IF('Classe CE2'!$B14="","",IF('Classe CE2'!B14="","",'Classe CE2'!B14))</f>
        <v/>
      </c>
      <c r="C414" s="20" t="str">
        <f>IF('Classe CE2'!$B14="","",IF('Classe CE2'!C14="","",'Classe CE2'!C14))</f>
        <v/>
      </c>
      <c r="D414" s="20" t="str">
        <f>IF($B414="","",C414&amp;" "&amp;B414&amp;" - "&amp;E414)</f>
        <v/>
      </c>
      <c r="E414" s="21" t="str">
        <f>IF($B414="","",Paramètres!$A$20)</f>
        <v/>
      </c>
      <c r="F414" s="21" t="str">
        <f>IF($B414="","",Paramètres!$B$20)</f>
        <v/>
      </c>
      <c r="G414" s="21" t="str">
        <f>IF('Classe CE2'!$B14="","",IF('Classe CE2'!D14="","",'Classe CE2'!D14))</f>
        <v/>
      </c>
      <c r="H414" s="77" t="str">
        <f>IF('Classe CE2'!$B14="","",IF('Classe CE2'!E14="","",'Classe CE2'!E14))</f>
        <v/>
      </c>
      <c r="I414" s="20" t="str">
        <f>IF('Classe CE2'!$B14="","",IF('Classe CE2'!F14="","",'Classe CE2'!F14))</f>
        <v/>
      </c>
      <c r="J414" s="20" t="str">
        <f>IF('Classe CE2'!$B14="","",IF('Classe CE2'!G14="","",'Classe CE2'!G14))</f>
        <v/>
      </c>
      <c r="K414" s="51" t="str">
        <f>IF('Classe CE2'!$B14="","",N('Classe CE2'!H14))</f>
        <v/>
      </c>
      <c r="L414" s="51" t="str">
        <f>IF('Classe CE2'!$B14="","",N('Classe CE2'!I14))</f>
        <v/>
      </c>
      <c r="M414" s="51" t="str">
        <f>IF('Classe CE2'!$B14="","",N('Classe CE2'!J14))</f>
        <v/>
      </c>
      <c r="N414" s="51" t="str">
        <f>IF('Classe CE2'!$B14="","",N('Classe CE2'!K14))</f>
        <v/>
      </c>
      <c r="O414" s="51" t="str">
        <f>IF('Classe CE2'!$B14="","",N('Classe CE2'!L14))</f>
        <v/>
      </c>
      <c r="P414" s="51" t="str">
        <f>IF('Classe CE2'!$B14="","",N('Classe CE2'!M14))</f>
        <v/>
      </c>
      <c r="Q414" s="21" t="str">
        <f>IF('Classe CE2'!$B14="","",IF('Classe CE2'!Q14="","",'Classe CE2'!Q14))</f>
        <v/>
      </c>
      <c r="R414" s="51" t="str">
        <f>IF('Classe CE2'!$B14="","",N('Classe CE2'!N14))</f>
        <v/>
      </c>
      <c r="S414" s="51" t="str">
        <f>IF('Classe CE2'!$B14="","",N('Classe CE2'!O14))</f>
        <v/>
      </c>
      <c r="T414" s="51" t="str">
        <f>IF('Classe CE2'!$B14="","",N('Classe CE2'!P14))</f>
        <v/>
      </c>
    </row>
    <row r="415">
      <c r="A415" s="16" t="str">
        <f>IF('Classe CE2'!$B15="","",IF('Classe CE2'!A15="","",'Classe CE2'!A15))</f>
        <v/>
      </c>
      <c r="B415" s="16" t="str">
        <f>IF('Classe CE2'!$B15="","",IF('Classe CE2'!B15="","",'Classe CE2'!B15))</f>
        <v/>
      </c>
      <c r="C415" s="16" t="str">
        <f>IF('Classe CE2'!$B15="","",IF('Classe CE2'!C15="","",'Classe CE2'!C15))</f>
        <v/>
      </c>
      <c r="D415" s="16" t="str">
        <f>IF($B415="","",C415&amp;" "&amp;B415&amp;" - "&amp;E415)</f>
        <v/>
      </c>
      <c r="E415" s="17" t="str">
        <f>IF($B415="","",Paramètres!$A$20)</f>
        <v/>
      </c>
      <c r="F415" s="17" t="str">
        <f>IF($B415="","",Paramètres!$B$20)</f>
        <v/>
      </c>
      <c r="G415" s="17" t="str">
        <f>IF('Classe CE2'!$B15="","",IF('Classe CE2'!D15="","",'Classe CE2'!D15))</f>
        <v/>
      </c>
      <c r="H415" s="78" t="str">
        <f>IF('Classe CE2'!$B15="","",IF('Classe CE2'!E15="","",'Classe CE2'!E15))</f>
        <v/>
      </c>
      <c r="I415" s="16" t="str">
        <f>IF('Classe CE2'!$B15="","",IF('Classe CE2'!F15="","",'Classe CE2'!F15))</f>
        <v/>
      </c>
      <c r="J415" s="16" t="str">
        <f>IF('Classe CE2'!$B15="","",IF('Classe CE2'!G15="","",'Classe CE2'!G15))</f>
        <v/>
      </c>
      <c r="K415" s="18" t="str">
        <f>IF('Classe CE2'!$B15="","",N('Classe CE2'!H15))</f>
        <v/>
      </c>
      <c r="L415" s="18" t="str">
        <f>IF('Classe CE2'!$B15="","",N('Classe CE2'!I15))</f>
        <v/>
      </c>
      <c r="M415" s="18" t="str">
        <f>IF('Classe CE2'!$B15="","",N('Classe CE2'!J15))</f>
        <v/>
      </c>
      <c r="N415" s="18" t="str">
        <f>IF('Classe CE2'!$B15="","",N('Classe CE2'!K15))</f>
        <v/>
      </c>
      <c r="O415" s="18" t="str">
        <f>IF('Classe CE2'!$B15="","",N('Classe CE2'!L15))</f>
        <v/>
      </c>
      <c r="P415" s="18" t="str">
        <f>IF('Classe CE2'!$B15="","",N('Classe CE2'!M15))</f>
        <v/>
      </c>
      <c r="Q415" s="17" t="str">
        <f>IF('Classe CE2'!$B15="","",IF('Classe CE2'!Q15="","",'Classe CE2'!Q15))</f>
        <v/>
      </c>
      <c r="R415" s="18" t="str">
        <f>IF('Classe CE2'!$B15="","",N('Classe CE2'!N15))</f>
        <v/>
      </c>
      <c r="S415" s="18" t="str">
        <f>IF('Classe CE2'!$B15="","",N('Classe CE2'!O15))</f>
        <v/>
      </c>
      <c r="T415" s="18" t="str">
        <f>IF('Classe CE2'!$B15="","",N('Classe CE2'!P15))</f>
        <v/>
      </c>
    </row>
    <row r="416">
      <c r="A416" s="20" t="str">
        <f>IF('Classe CE2'!$B16="","",IF('Classe CE2'!A16="","",'Classe CE2'!A16))</f>
        <v/>
      </c>
      <c r="B416" s="20" t="str">
        <f>IF('Classe CE2'!$B16="","",IF('Classe CE2'!B16="","",'Classe CE2'!B16))</f>
        <v/>
      </c>
      <c r="C416" s="20" t="str">
        <f>IF('Classe CE2'!$B16="","",IF('Classe CE2'!C16="","",'Classe CE2'!C16))</f>
        <v/>
      </c>
      <c r="D416" s="20" t="str">
        <f>IF($B416="","",C416&amp;" "&amp;B416&amp;" - "&amp;E416)</f>
        <v/>
      </c>
      <c r="E416" s="21" t="str">
        <f>IF($B416="","",Paramètres!$A$20)</f>
        <v/>
      </c>
      <c r="F416" s="21" t="str">
        <f>IF($B416="","",Paramètres!$B$20)</f>
        <v/>
      </c>
      <c r="G416" s="21" t="str">
        <f>IF('Classe CE2'!$B16="","",IF('Classe CE2'!D16="","",'Classe CE2'!D16))</f>
        <v/>
      </c>
      <c r="H416" s="77" t="str">
        <f>IF('Classe CE2'!$B16="","",IF('Classe CE2'!E16="","",'Classe CE2'!E16))</f>
        <v/>
      </c>
      <c r="I416" s="20" t="str">
        <f>IF('Classe CE2'!$B16="","",IF('Classe CE2'!F16="","",'Classe CE2'!F16))</f>
        <v/>
      </c>
      <c r="J416" s="20" t="str">
        <f>IF('Classe CE2'!$B16="","",IF('Classe CE2'!G16="","",'Classe CE2'!G16))</f>
        <v/>
      </c>
      <c r="K416" s="51" t="str">
        <f>IF('Classe CE2'!$B16="","",N('Classe CE2'!H16))</f>
        <v/>
      </c>
      <c r="L416" s="51" t="str">
        <f>IF('Classe CE2'!$B16="","",N('Classe CE2'!I16))</f>
        <v/>
      </c>
      <c r="M416" s="51" t="str">
        <f>IF('Classe CE2'!$B16="","",N('Classe CE2'!J16))</f>
        <v/>
      </c>
      <c r="N416" s="51" t="str">
        <f>IF('Classe CE2'!$B16="","",N('Classe CE2'!K16))</f>
        <v/>
      </c>
      <c r="O416" s="51" t="str">
        <f>IF('Classe CE2'!$B16="","",N('Classe CE2'!L16))</f>
        <v/>
      </c>
      <c r="P416" s="51" t="str">
        <f>IF('Classe CE2'!$B16="","",N('Classe CE2'!M16))</f>
        <v/>
      </c>
      <c r="Q416" s="21" t="str">
        <f>IF('Classe CE2'!$B16="","",IF('Classe CE2'!Q16="","",'Classe CE2'!Q16))</f>
        <v/>
      </c>
      <c r="R416" s="51" t="str">
        <f>IF('Classe CE2'!$B16="","",N('Classe CE2'!N16))</f>
        <v/>
      </c>
      <c r="S416" s="51" t="str">
        <f>IF('Classe CE2'!$B16="","",N('Classe CE2'!O16))</f>
        <v/>
      </c>
      <c r="T416" s="51" t="str">
        <f>IF('Classe CE2'!$B16="","",N('Classe CE2'!P16))</f>
        <v/>
      </c>
    </row>
    <row r="417">
      <c r="A417" s="16" t="str">
        <f>IF('Classe CE2'!$B17="","",IF('Classe CE2'!A17="","",'Classe CE2'!A17))</f>
        <v/>
      </c>
      <c r="B417" s="16" t="str">
        <f>IF('Classe CE2'!$B17="","",IF('Classe CE2'!B17="","",'Classe CE2'!B17))</f>
        <v/>
      </c>
      <c r="C417" s="16" t="str">
        <f>IF('Classe CE2'!$B17="","",IF('Classe CE2'!C17="","",'Classe CE2'!C17))</f>
        <v/>
      </c>
      <c r="D417" s="16" t="str">
        <f>IF($B417="","",C417&amp;" "&amp;B417&amp;" - "&amp;E417)</f>
        <v/>
      </c>
      <c r="E417" s="17" t="str">
        <f>IF($B417="","",Paramètres!$A$20)</f>
        <v/>
      </c>
      <c r="F417" s="17" t="str">
        <f>IF($B417="","",Paramètres!$B$20)</f>
        <v/>
      </c>
      <c r="G417" s="17" t="str">
        <f>IF('Classe CE2'!$B17="","",IF('Classe CE2'!D17="","",'Classe CE2'!D17))</f>
        <v/>
      </c>
      <c r="H417" s="78" t="str">
        <f>IF('Classe CE2'!$B17="","",IF('Classe CE2'!E17="","",'Classe CE2'!E17))</f>
        <v/>
      </c>
      <c r="I417" s="16" t="str">
        <f>IF('Classe CE2'!$B17="","",IF('Classe CE2'!F17="","",'Classe CE2'!F17))</f>
        <v/>
      </c>
      <c r="J417" s="16" t="str">
        <f>IF('Classe CE2'!$B17="","",IF('Classe CE2'!G17="","",'Classe CE2'!G17))</f>
        <v/>
      </c>
      <c r="K417" s="18" t="str">
        <f>IF('Classe CE2'!$B17="","",N('Classe CE2'!H17))</f>
        <v/>
      </c>
      <c r="L417" s="18" t="str">
        <f>IF('Classe CE2'!$B17="","",N('Classe CE2'!I17))</f>
        <v/>
      </c>
      <c r="M417" s="18" t="str">
        <f>IF('Classe CE2'!$B17="","",N('Classe CE2'!J17))</f>
        <v/>
      </c>
      <c r="N417" s="18" t="str">
        <f>IF('Classe CE2'!$B17="","",N('Classe CE2'!K17))</f>
        <v/>
      </c>
      <c r="O417" s="18" t="str">
        <f>IF('Classe CE2'!$B17="","",N('Classe CE2'!L17))</f>
        <v/>
      </c>
      <c r="P417" s="18" t="str">
        <f>IF('Classe CE2'!$B17="","",N('Classe CE2'!M17))</f>
        <v/>
      </c>
      <c r="Q417" s="17" t="str">
        <f>IF('Classe CE2'!$B17="","",IF('Classe CE2'!Q17="","",'Classe CE2'!Q17))</f>
        <v/>
      </c>
      <c r="R417" s="18" t="str">
        <f>IF('Classe CE2'!$B17="","",N('Classe CE2'!N17))</f>
        <v/>
      </c>
      <c r="S417" s="18" t="str">
        <f>IF('Classe CE2'!$B17="","",N('Classe CE2'!O17))</f>
        <v/>
      </c>
      <c r="T417" s="18" t="str">
        <f>IF('Classe CE2'!$B17="","",N('Classe CE2'!P17))</f>
        <v/>
      </c>
    </row>
    <row r="418">
      <c r="A418" s="20" t="str">
        <f>IF('Classe CE2'!$B18="","",IF('Classe CE2'!A18="","",'Classe CE2'!A18))</f>
        <v/>
      </c>
      <c r="B418" s="20" t="str">
        <f>IF('Classe CE2'!$B18="","",IF('Classe CE2'!B18="","",'Classe CE2'!B18))</f>
        <v/>
      </c>
      <c r="C418" s="20" t="str">
        <f>IF('Classe CE2'!$B18="","",IF('Classe CE2'!C18="","",'Classe CE2'!C18))</f>
        <v/>
      </c>
      <c r="D418" s="20" t="str">
        <f>IF($B418="","",C418&amp;" "&amp;B418&amp;" - "&amp;E418)</f>
        <v/>
      </c>
      <c r="E418" s="21" t="str">
        <f>IF($B418="","",Paramètres!$A$20)</f>
        <v/>
      </c>
      <c r="F418" s="21" t="str">
        <f>IF($B418="","",Paramètres!$B$20)</f>
        <v/>
      </c>
      <c r="G418" s="21" t="str">
        <f>IF('Classe CE2'!$B18="","",IF('Classe CE2'!D18="","",'Classe CE2'!D18))</f>
        <v/>
      </c>
      <c r="H418" s="77" t="str">
        <f>IF('Classe CE2'!$B18="","",IF('Classe CE2'!E18="","",'Classe CE2'!E18))</f>
        <v/>
      </c>
      <c r="I418" s="20" t="str">
        <f>IF('Classe CE2'!$B18="","",IF('Classe CE2'!F18="","",'Classe CE2'!F18))</f>
        <v/>
      </c>
      <c r="J418" s="20" t="str">
        <f>IF('Classe CE2'!$B18="","",IF('Classe CE2'!G18="","",'Classe CE2'!G18))</f>
        <v/>
      </c>
      <c r="K418" s="51" t="str">
        <f>IF('Classe CE2'!$B18="","",N('Classe CE2'!H18))</f>
        <v/>
      </c>
      <c r="L418" s="51" t="str">
        <f>IF('Classe CE2'!$B18="","",N('Classe CE2'!I18))</f>
        <v/>
      </c>
      <c r="M418" s="51" t="str">
        <f>IF('Classe CE2'!$B18="","",N('Classe CE2'!J18))</f>
        <v/>
      </c>
      <c r="N418" s="51" t="str">
        <f>IF('Classe CE2'!$B18="","",N('Classe CE2'!K18))</f>
        <v/>
      </c>
      <c r="O418" s="51" t="str">
        <f>IF('Classe CE2'!$B18="","",N('Classe CE2'!L18))</f>
        <v/>
      </c>
      <c r="P418" s="51" t="str">
        <f>IF('Classe CE2'!$B18="","",N('Classe CE2'!M18))</f>
        <v/>
      </c>
      <c r="Q418" s="21" t="str">
        <f>IF('Classe CE2'!$B18="","",IF('Classe CE2'!Q18="","",'Classe CE2'!Q18))</f>
        <v/>
      </c>
      <c r="R418" s="51" t="str">
        <f>IF('Classe CE2'!$B18="","",N('Classe CE2'!N18))</f>
        <v/>
      </c>
      <c r="S418" s="51" t="str">
        <f>IF('Classe CE2'!$B18="","",N('Classe CE2'!O18))</f>
        <v/>
      </c>
      <c r="T418" s="51" t="str">
        <f>IF('Classe CE2'!$B18="","",N('Classe CE2'!P18))</f>
        <v/>
      </c>
    </row>
    <row r="419">
      <c r="A419" s="16" t="str">
        <f>IF('Classe CE2'!$B19="","",IF('Classe CE2'!A19="","",'Classe CE2'!A19))</f>
        <v/>
      </c>
      <c r="B419" s="16" t="str">
        <f>IF('Classe CE2'!$B19="","",IF('Classe CE2'!B19="","",'Classe CE2'!B19))</f>
        <v/>
      </c>
      <c r="C419" s="16" t="str">
        <f>IF('Classe CE2'!$B19="","",IF('Classe CE2'!C19="","",'Classe CE2'!C19))</f>
        <v/>
      </c>
      <c r="D419" s="16" t="str">
        <f>IF($B419="","",C419&amp;" "&amp;B419&amp;" - "&amp;E419)</f>
        <v/>
      </c>
      <c r="E419" s="17" t="str">
        <f>IF($B419="","",Paramètres!$A$20)</f>
        <v/>
      </c>
      <c r="F419" s="17" t="str">
        <f>IF($B419="","",Paramètres!$B$20)</f>
        <v/>
      </c>
      <c r="G419" s="17" t="str">
        <f>IF('Classe CE2'!$B19="","",IF('Classe CE2'!D19="","",'Classe CE2'!D19))</f>
        <v/>
      </c>
      <c r="H419" s="78" t="str">
        <f>IF('Classe CE2'!$B19="","",IF('Classe CE2'!E19="","",'Classe CE2'!E19))</f>
        <v/>
      </c>
      <c r="I419" s="16" t="str">
        <f>IF('Classe CE2'!$B19="","",IF('Classe CE2'!F19="","",'Classe CE2'!F19))</f>
        <v/>
      </c>
      <c r="J419" s="16" t="str">
        <f>IF('Classe CE2'!$B19="","",IF('Classe CE2'!G19="","",'Classe CE2'!G19))</f>
        <v/>
      </c>
      <c r="K419" s="18" t="str">
        <f>IF('Classe CE2'!$B19="","",N('Classe CE2'!H19))</f>
        <v/>
      </c>
      <c r="L419" s="18" t="str">
        <f>IF('Classe CE2'!$B19="","",N('Classe CE2'!I19))</f>
        <v/>
      </c>
      <c r="M419" s="18" t="str">
        <f>IF('Classe CE2'!$B19="","",N('Classe CE2'!J19))</f>
        <v/>
      </c>
      <c r="N419" s="18" t="str">
        <f>IF('Classe CE2'!$B19="","",N('Classe CE2'!K19))</f>
        <v/>
      </c>
      <c r="O419" s="18" t="str">
        <f>IF('Classe CE2'!$B19="","",N('Classe CE2'!L19))</f>
        <v/>
      </c>
      <c r="P419" s="18" t="str">
        <f>IF('Classe CE2'!$B19="","",N('Classe CE2'!M19))</f>
        <v/>
      </c>
      <c r="Q419" s="17" t="str">
        <f>IF('Classe CE2'!$B19="","",IF('Classe CE2'!Q19="","",'Classe CE2'!Q19))</f>
        <v/>
      </c>
      <c r="R419" s="18" t="str">
        <f>IF('Classe CE2'!$B19="","",N('Classe CE2'!N19))</f>
        <v/>
      </c>
      <c r="S419" s="18" t="str">
        <f>IF('Classe CE2'!$B19="","",N('Classe CE2'!O19))</f>
        <v/>
      </c>
      <c r="T419" s="18" t="str">
        <f>IF('Classe CE2'!$B19="","",N('Classe CE2'!P19))</f>
        <v/>
      </c>
    </row>
    <row r="420">
      <c r="A420" s="20" t="str">
        <f>IF('Classe CE2'!$B20="","",IF('Classe CE2'!A20="","",'Classe CE2'!A20))</f>
        <v/>
      </c>
      <c r="B420" s="20" t="str">
        <f>IF('Classe CE2'!$B20="","",IF('Classe CE2'!B20="","",'Classe CE2'!B20))</f>
        <v/>
      </c>
      <c r="C420" s="20" t="str">
        <f>IF('Classe CE2'!$B20="","",IF('Classe CE2'!C20="","",'Classe CE2'!C20))</f>
        <v/>
      </c>
      <c r="D420" s="20" t="str">
        <f>IF($B420="","",C420&amp;" "&amp;B420&amp;" - "&amp;E420)</f>
        <v/>
      </c>
      <c r="E420" s="21" t="str">
        <f>IF($B420="","",Paramètres!$A$20)</f>
        <v/>
      </c>
      <c r="F420" s="21" t="str">
        <f>IF($B420="","",Paramètres!$B$20)</f>
        <v/>
      </c>
      <c r="G420" s="21" t="str">
        <f>IF('Classe CE2'!$B20="","",IF('Classe CE2'!D20="","",'Classe CE2'!D20))</f>
        <v/>
      </c>
      <c r="H420" s="77" t="str">
        <f>IF('Classe CE2'!$B20="","",IF('Classe CE2'!E20="","",'Classe CE2'!E20))</f>
        <v/>
      </c>
      <c r="I420" s="20" t="str">
        <f>IF('Classe CE2'!$B20="","",IF('Classe CE2'!F20="","",'Classe CE2'!F20))</f>
        <v/>
      </c>
      <c r="J420" s="20" t="str">
        <f>IF('Classe CE2'!$B20="","",IF('Classe CE2'!G20="","",'Classe CE2'!G20))</f>
        <v/>
      </c>
      <c r="K420" s="51" t="str">
        <f>IF('Classe CE2'!$B20="","",N('Classe CE2'!H20))</f>
        <v/>
      </c>
      <c r="L420" s="51" t="str">
        <f>IF('Classe CE2'!$B20="","",N('Classe CE2'!I20))</f>
        <v/>
      </c>
      <c r="M420" s="51" t="str">
        <f>IF('Classe CE2'!$B20="","",N('Classe CE2'!J20))</f>
        <v/>
      </c>
      <c r="N420" s="51" t="str">
        <f>IF('Classe CE2'!$B20="","",N('Classe CE2'!K20))</f>
        <v/>
      </c>
      <c r="O420" s="51" t="str">
        <f>IF('Classe CE2'!$B20="","",N('Classe CE2'!L20))</f>
        <v/>
      </c>
      <c r="P420" s="51" t="str">
        <f>IF('Classe CE2'!$B20="","",N('Classe CE2'!M20))</f>
        <v/>
      </c>
      <c r="Q420" s="21" t="str">
        <f>IF('Classe CE2'!$B20="","",IF('Classe CE2'!Q20="","",'Classe CE2'!Q20))</f>
        <v/>
      </c>
      <c r="R420" s="51" t="str">
        <f>IF('Classe CE2'!$B20="","",N('Classe CE2'!N20))</f>
        <v/>
      </c>
      <c r="S420" s="51" t="str">
        <f>IF('Classe CE2'!$B20="","",N('Classe CE2'!O20))</f>
        <v/>
      </c>
      <c r="T420" s="51" t="str">
        <f>IF('Classe CE2'!$B20="","",N('Classe CE2'!P20))</f>
        <v/>
      </c>
    </row>
    <row r="421">
      <c r="A421" s="16" t="str">
        <f>IF('Classe CE2'!$B21="","",IF('Classe CE2'!A21="","",'Classe CE2'!A21))</f>
        <v/>
      </c>
      <c r="B421" s="16" t="str">
        <f>IF('Classe CE2'!$B21="","",IF('Classe CE2'!B21="","",'Classe CE2'!B21))</f>
        <v/>
      </c>
      <c r="C421" s="16" t="str">
        <f>IF('Classe CE2'!$B21="","",IF('Classe CE2'!C21="","",'Classe CE2'!C21))</f>
        <v/>
      </c>
      <c r="D421" s="16" t="str">
        <f>IF($B421="","",C421&amp;" "&amp;B421&amp;" - "&amp;E421)</f>
        <v/>
      </c>
      <c r="E421" s="17" t="str">
        <f>IF($B421="","",Paramètres!$A$20)</f>
        <v/>
      </c>
      <c r="F421" s="17" t="str">
        <f>IF($B421="","",Paramètres!$B$20)</f>
        <v/>
      </c>
      <c r="G421" s="17" t="str">
        <f>IF('Classe CE2'!$B21="","",IF('Classe CE2'!D21="","",'Classe CE2'!D21))</f>
        <v/>
      </c>
      <c r="H421" s="78" t="str">
        <f>IF('Classe CE2'!$B21="","",IF('Classe CE2'!E21="","",'Classe CE2'!E21))</f>
        <v/>
      </c>
      <c r="I421" s="16" t="str">
        <f>IF('Classe CE2'!$B21="","",IF('Classe CE2'!F21="","",'Classe CE2'!F21))</f>
        <v/>
      </c>
      <c r="J421" s="16" t="str">
        <f>IF('Classe CE2'!$B21="","",IF('Classe CE2'!G21="","",'Classe CE2'!G21))</f>
        <v/>
      </c>
      <c r="K421" s="18" t="str">
        <f>IF('Classe CE2'!$B21="","",N('Classe CE2'!H21))</f>
        <v/>
      </c>
      <c r="L421" s="18" t="str">
        <f>IF('Classe CE2'!$B21="","",N('Classe CE2'!I21))</f>
        <v/>
      </c>
      <c r="M421" s="18" t="str">
        <f>IF('Classe CE2'!$B21="","",N('Classe CE2'!J21))</f>
        <v/>
      </c>
      <c r="N421" s="18" t="str">
        <f>IF('Classe CE2'!$B21="","",N('Classe CE2'!K21))</f>
        <v/>
      </c>
      <c r="O421" s="18" t="str">
        <f>IF('Classe CE2'!$B21="","",N('Classe CE2'!L21))</f>
        <v/>
      </c>
      <c r="P421" s="18" t="str">
        <f>IF('Classe CE2'!$B21="","",N('Classe CE2'!M21))</f>
        <v/>
      </c>
      <c r="Q421" s="17" t="str">
        <f>IF('Classe CE2'!$B21="","",IF('Classe CE2'!Q21="","",'Classe CE2'!Q21))</f>
        <v/>
      </c>
      <c r="R421" s="18" t="str">
        <f>IF('Classe CE2'!$B21="","",N('Classe CE2'!N21))</f>
        <v/>
      </c>
      <c r="S421" s="18" t="str">
        <f>IF('Classe CE2'!$B21="","",N('Classe CE2'!O21))</f>
        <v/>
      </c>
      <c r="T421" s="18" t="str">
        <f>IF('Classe CE2'!$B21="","",N('Classe CE2'!P21))</f>
        <v/>
      </c>
    </row>
    <row r="422">
      <c r="A422" s="20" t="str">
        <f>IF('Classe CE2'!$B22="","",IF('Classe CE2'!A22="","",'Classe CE2'!A22))</f>
        <v/>
      </c>
      <c r="B422" s="20" t="str">
        <f>IF('Classe CE2'!$B22="","",IF('Classe CE2'!B22="","",'Classe CE2'!B22))</f>
        <v/>
      </c>
      <c r="C422" s="20" t="str">
        <f>IF('Classe CE2'!$B22="","",IF('Classe CE2'!C22="","",'Classe CE2'!C22))</f>
        <v/>
      </c>
      <c r="D422" s="20" t="str">
        <f>IF($B422="","",C422&amp;" "&amp;B422&amp;" - "&amp;E422)</f>
        <v/>
      </c>
      <c r="E422" s="21" t="str">
        <f>IF($B422="","",Paramètres!$A$20)</f>
        <v/>
      </c>
      <c r="F422" s="21" t="str">
        <f>IF($B422="","",Paramètres!$B$20)</f>
        <v/>
      </c>
      <c r="G422" s="21" t="str">
        <f>IF('Classe CE2'!$B22="","",IF('Classe CE2'!D22="","",'Classe CE2'!D22))</f>
        <v/>
      </c>
      <c r="H422" s="77" t="str">
        <f>IF('Classe CE2'!$B22="","",IF('Classe CE2'!E22="","",'Classe CE2'!E22))</f>
        <v/>
      </c>
      <c r="I422" s="20" t="str">
        <f>IF('Classe CE2'!$B22="","",IF('Classe CE2'!F22="","",'Classe CE2'!F22))</f>
        <v/>
      </c>
      <c r="J422" s="20" t="str">
        <f>IF('Classe CE2'!$B22="","",IF('Classe CE2'!G22="","",'Classe CE2'!G22))</f>
        <v/>
      </c>
      <c r="K422" s="51" t="str">
        <f>IF('Classe CE2'!$B22="","",N('Classe CE2'!H22))</f>
        <v/>
      </c>
      <c r="L422" s="51" t="str">
        <f>IF('Classe CE2'!$B22="","",N('Classe CE2'!I22))</f>
        <v/>
      </c>
      <c r="M422" s="51" t="str">
        <f>IF('Classe CE2'!$B22="","",N('Classe CE2'!J22))</f>
        <v/>
      </c>
      <c r="N422" s="51" t="str">
        <f>IF('Classe CE2'!$B22="","",N('Classe CE2'!K22))</f>
        <v/>
      </c>
      <c r="O422" s="51" t="str">
        <f>IF('Classe CE2'!$B22="","",N('Classe CE2'!L22))</f>
        <v/>
      </c>
      <c r="P422" s="51" t="str">
        <f>IF('Classe CE2'!$B22="","",N('Classe CE2'!M22))</f>
        <v/>
      </c>
      <c r="Q422" s="21" t="str">
        <f>IF('Classe CE2'!$B22="","",IF('Classe CE2'!Q22="","",'Classe CE2'!Q22))</f>
        <v/>
      </c>
      <c r="R422" s="51" t="str">
        <f>IF('Classe CE2'!$B22="","",N('Classe CE2'!N22))</f>
        <v/>
      </c>
      <c r="S422" s="51" t="str">
        <f>IF('Classe CE2'!$B22="","",N('Classe CE2'!O22))</f>
        <v/>
      </c>
      <c r="T422" s="51" t="str">
        <f>IF('Classe CE2'!$B22="","",N('Classe CE2'!P22))</f>
        <v/>
      </c>
    </row>
    <row r="423">
      <c r="A423" s="16" t="str">
        <f>IF('Classe CE2'!$B23="","",IF('Classe CE2'!A23="","",'Classe CE2'!A23))</f>
        <v/>
      </c>
      <c r="B423" s="16" t="str">
        <f>IF('Classe CE2'!$B23="","",IF('Classe CE2'!B23="","",'Classe CE2'!B23))</f>
        <v/>
      </c>
      <c r="C423" s="16" t="str">
        <f>IF('Classe CE2'!$B23="","",IF('Classe CE2'!C23="","",'Classe CE2'!C23))</f>
        <v/>
      </c>
      <c r="D423" s="16" t="str">
        <f>IF($B423="","",C423&amp;" "&amp;B423&amp;" - "&amp;E423)</f>
        <v/>
      </c>
      <c r="E423" s="17" t="str">
        <f>IF($B423="","",Paramètres!$A$20)</f>
        <v/>
      </c>
      <c r="F423" s="17" t="str">
        <f>IF($B423="","",Paramètres!$B$20)</f>
        <v/>
      </c>
      <c r="G423" s="17" t="str">
        <f>IF('Classe CE2'!$B23="","",IF('Classe CE2'!D23="","",'Classe CE2'!D23))</f>
        <v/>
      </c>
      <c r="H423" s="78" t="str">
        <f>IF('Classe CE2'!$B23="","",IF('Classe CE2'!E23="","",'Classe CE2'!E23))</f>
        <v/>
      </c>
      <c r="I423" s="16" t="str">
        <f>IF('Classe CE2'!$B23="","",IF('Classe CE2'!F23="","",'Classe CE2'!F23))</f>
        <v/>
      </c>
      <c r="J423" s="16" t="str">
        <f>IF('Classe CE2'!$B23="","",IF('Classe CE2'!G23="","",'Classe CE2'!G23))</f>
        <v/>
      </c>
      <c r="K423" s="18" t="str">
        <f>IF('Classe CE2'!$B23="","",N('Classe CE2'!H23))</f>
        <v/>
      </c>
      <c r="L423" s="18" t="str">
        <f>IF('Classe CE2'!$B23="","",N('Classe CE2'!I23))</f>
        <v/>
      </c>
      <c r="M423" s="18" t="str">
        <f>IF('Classe CE2'!$B23="","",N('Classe CE2'!J23))</f>
        <v/>
      </c>
      <c r="N423" s="18" t="str">
        <f>IF('Classe CE2'!$B23="","",N('Classe CE2'!K23))</f>
        <v/>
      </c>
      <c r="O423" s="18" t="str">
        <f>IF('Classe CE2'!$B23="","",N('Classe CE2'!L23))</f>
        <v/>
      </c>
      <c r="P423" s="18" t="str">
        <f>IF('Classe CE2'!$B23="","",N('Classe CE2'!M23))</f>
        <v/>
      </c>
      <c r="Q423" s="17" t="str">
        <f>IF('Classe CE2'!$B23="","",IF('Classe CE2'!Q23="","",'Classe CE2'!Q23))</f>
        <v/>
      </c>
      <c r="R423" s="18" t="str">
        <f>IF('Classe CE2'!$B23="","",N('Classe CE2'!N23))</f>
        <v/>
      </c>
      <c r="S423" s="18" t="str">
        <f>IF('Classe CE2'!$B23="","",N('Classe CE2'!O23))</f>
        <v/>
      </c>
      <c r="T423" s="18" t="str">
        <f>IF('Classe CE2'!$B23="","",N('Classe CE2'!P23))</f>
        <v/>
      </c>
    </row>
    <row r="424">
      <c r="A424" s="20" t="str">
        <f>IF('Classe CE2'!$B24="","",IF('Classe CE2'!A24="","",'Classe CE2'!A24))</f>
        <v/>
      </c>
      <c r="B424" s="20" t="str">
        <f>IF('Classe CE2'!$B24="","",IF('Classe CE2'!B24="","",'Classe CE2'!B24))</f>
        <v/>
      </c>
      <c r="C424" s="20" t="str">
        <f>IF('Classe CE2'!$B24="","",IF('Classe CE2'!C24="","",'Classe CE2'!C24))</f>
        <v/>
      </c>
      <c r="D424" s="20" t="str">
        <f>IF($B424="","",C424&amp;" "&amp;B424&amp;" - "&amp;E424)</f>
        <v/>
      </c>
      <c r="E424" s="21" t="str">
        <f>IF($B424="","",Paramètres!$A$20)</f>
        <v/>
      </c>
      <c r="F424" s="21" t="str">
        <f>IF($B424="","",Paramètres!$B$20)</f>
        <v/>
      </c>
      <c r="G424" s="21" t="str">
        <f>IF('Classe CE2'!$B24="","",IF('Classe CE2'!D24="","",'Classe CE2'!D24))</f>
        <v/>
      </c>
      <c r="H424" s="77" t="str">
        <f>IF('Classe CE2'!$B24="","",IF('Classe CE2'!E24="","",'Classe CE2'!E24))</f>
        <v/>
      </c>
      <c r="I424" s="20" t="str">
        <f>IF('Classe CE2'!$B24="","",IF('Classe CE2'!F24="","",'Classe CE2'!F24))</f>
        <v/>
      </c>
      <c r="J424" s="20" t="str">
        <f>IF('Classe CE2'!$B24="","",IF('Classe CE2'!G24="","",'Classe CE2'!G24))</f>
        <v/>
      </c>
      <c r="K424" s="51" t="str">
        <f>IF('Classe CE2'!$B24="","",N('Classe CE2'!H24))</f>
        <v/>
      </c>
      <c r="L424" s="51" t="str">
        <f>IF('Classe CE2'!$B24="","",N('Classe CE2'!I24))</f>
        <v/>
      </c>
      <c r="M424" s="51" t="str">
        <f>IF('Classe CE2'!$B24="","",N('Classe CE2'!J24))</f>
        <v/>
      </c>
      <c r="N424" s="51" t="str">
        <f>IF('Classe CE2'!$B24="","",N('Classe CE2'!K24))</f>
        <v/>
      </c>
      <c r="O424" s="51" t="str">
        <f>IF('Classe CE2'!$B24="","",N('Classe CE2'!L24))</f>
        <v/>
      </c>
      <c r="P424" s="51" t="str">
        <f>IF('Classe CE2'!$B24="","",N('Classe CE2'!M24))</f>
        <v/>
      </c>
      <c r="Q424" s="21" t="str">
        <f>IF('Classe CE2'!$B24="","",IF('Classe CE2'!Q24="","",'Classe CE2'!Q24))</f>
        <v/>
      </c>
      <c r="R424" s="51" t="str">
        <f>IF('Classe CE2'!$B24="","",N('Classe CE2'!N24))</f>
        <v/>
      </c>
      <c r="S424" s="51" t="str">
        <f>IF('Classe CE2'!$B24="","",N('Classe CE2'!O24))</f>
        <v/>
      </c>
      <c r="T424" s="51" t="str">
        <f>IF('Classe CE2'!$B24="","",N('Classe CE2'!P24))</f>
        <v/>
      </c>
    </row>
    <row r="425">
      <c r="A425" s="16" t="str">
        <f>IF('Classe CE2'!$B25="","",IF('Classe CE2'!A25="","",'Classe CE2'!A25))</f>
        <v/>
      </c>
      <c r="B425" s="16" t="str">
        <f>IF('Classe CE2'!$B25="","",IF('Classe CE2'!B25="","",'Classe CE2'!B25))</f>
        <v/>
      </c>
      <c r="C425" s="16" t="str">
        <f>IF('Classe CE2'!$B25="","",IF('Classe CE2'!C25="","",'Classe CE2'!C25))</f>
        <v/>
      </c>
      <c r="D425" s="16" t="str">
        <f>IF($B425="","",C425&amp;" "&amp;B425&amp;" - "&amp;E425)</f>
        <v/>
      </c>
      <c r="E425" s="17" t="str">
        <f>IF($B425="","",Paramètres!$A$20)</f>
        <v/>
      </c>
      <c r="F425" s="17" t="str">
        <f>IF($B425="","",Paramètres!$B$20)</f>
        <v/>
      </c>
      <c r="G425" s="17" t="str">
        <f>IF('Classe CE2'!$B25="","",IF('Classe CE2'!D25="","",'Classe CE2'!D25))</f>
        <v/>
      </c>
      <c r="H425" s="78" t="str">
        <f>IF('Classe CE2'!$B25="","",IF('Classe CE2'!E25="","",'Classe CE2'!E25))</f>
        <v/>
      </c>
      <c r="I425" s="16" t="str">
        <f>IF('Classe CE2'!$B25="","",IF('Classe CE2'!F25="","",'Classe CE2'!F25))</f>
        <v/>
      </c>
      <c r="J425" s="16" t="str">
        <f>IF('Classe CE2'!$B25="","",IF('Classe CE2'!G25="","",'Classe CE2'!G25))</f>
        <v/>
      </c>
      <c r="K425" s="18" t="str">
        <f>IF('Classe CE2'!$B25="","",N('Classe CE2'!H25))</f>
        <v/>
      </c>
      <c r="L425" s="18" t="str">
        <f>IF('Classe CE2'!$B25="","",N('Classe CE2'!I25))</f>
        <v/>
      </c>
      <c r="M425" s="18" t="str">
        <f>IF('Classe CE2'!$B25="","",N('Classe CE2'!J25))</f>
        <v/>
      </c>
      <c r="N425" s="18" t="str">
        <f>IF('Classe CE2'!$B25="","",N('Classe CE2'!K25))</f>
        <v/>
      </c>
      <c r="O425" s="18" t="str">
        <f>IF('Classe CE2'!$B25="","",N('Classe CE2'!L25))</f>
        <v/>
      </c>
      <c r="P425" s="18" t="str">
        <f>IF('Classe CE2'!$B25="","",N('Classe CE2'!M25))</f>
        <v/>
      </c>
      <c r="Q425" s="17" t="str">
        <f>IF('Classe CE2'!$B25="","",IF('Classe CE2'!Q25="","",'Classe CE2'!Q25))</f>
        <v/>
      </c>
      <c r="R425" s="18" t="str">
        <f>IF('Classe CE2'!$B25="","",N('Classe CE2'!N25))</f>
        <v/>
      </c>
      <c r="S425" s="18" t="str">
        <f>IF('Classe CE2'!$B25="","",N('Classe CE2'!O25))</f>
        <v/>
      </c>
      <c r="T425" s="18" t="str">
        <f>IF('Classe CE2'!$B25="","",N('Classe CE2'!P25))</f>
        <v/>
      </c>
    </row>
    <row r="426">
      <c r="A426" s="20" t="str">
        <f>IF('Classe CE2'!$B26="","",IF('Classe CE2'!A26="","",'Classe CE2'!A26))</f>
        <v/>
      </c>
      <c r="B426" s="20" t="str">
        <f>IF('Classe CE2'!$B26="","",IF('Classe CE2'!B26="","",'Classe CE2'!B26))</f>
        <v/>
      </c>
      <c r="C426" s="20" t="str">
        <f>IF('Classe CE2'!$B26="","",IF('Classe CE2'!C26="","",'Classe CE2'!C26))</f>
        <v/>
      </c>
      <c r="D426" s="20" t="str">
        <f>IF($B426="","",C426&amp;" "&amp;B426&amp;" - "&amp;E426)</f>
        <v/>
      </c>
      <c r="E426" s="21" t="str">
        <f>IF($B426="","",Paramètres!$A$20)</f>
        <v/>
      </c>
      <c r="F426" s="21" t="str">
        <f>IF($B426="","",Paramètres!$B$20)</f>
        <v/>
      </c>
      <c r="G426" s="21" t="str">
        <f>IF('Classe CE2'!$B26="","",IF('Classe CE2'!D26="","",'Classe CE2'!D26))</f>
        <v/>
      </c>
      <c r="H426" s="77" t="str">
        <f>IF('Classe CE2'!$B26="","",IF('Classe CE2'!E26="","",'Classe CE2'!E26))</f>
        <v/>
      </c>
      <c r="I426" s="20" t="str">
        <f>IF('Classe CE2'!$B26="","",IF('Classe CE2'!F26="","",'Classe CE2'!F26))</f>
        <v/>
      </c>
      <c r="J426" s="20" t="str">
        <f>IF('Classe CE2'!$B26="","",IF('Classe CE2'!G26="","",'Classe CE2'!G26))</f>
        <v/>
      </c>
      <c r="K426" s="51" t="str">
        <f>IF('Classe CE2'!$B26="","",N('Classe CE2'!H26))</f>
        <v/>
      </c>
      <c r="L426" s="51" t="str">
        <f>IF('Classe CE2'!$B26="","",N('Classe CE2'!I26))</f>
        <v/>
      </c>
      <c r="M426" s="51" t="str">
        <f>IF('Classe CE2'!$B26="","",N('Classe CE2'!J26))</f>
        <v/>
      </c>
      <c r="N426" s="51" t="str">
        <f>IF('Classe CE2'!$B26="","",N('Classe CE2'!K26))</f>
        <v/>
      </c>
      <c r="O426" s="51" t="str">
        <f>IF('Classe CE2'!$B26="","",N('Classe CE2'!L26))</f>
        <v/>
      </c>
      <c r="P426" s="51" t="str">
        <f>IF('Classe CE2'!$B26="","",N('Classe CE2'!M26))</f>
        <v/>
      </c>
      <c r="Q426" s="21" t="str">
        <f>IF('Classe CE2'!$B26="","",IF('Classe CE2'!Q26="","",'Classe CE2'!Q26))</f>
        <v/>
      </c>
      <c r="R426" s="51" t="str">
        <f>IF('Classe CE2'!$B26="","",N('Classe CE2'!N26))</f>
        <v/>
      </c>
      <c r="S426" s="51" t="str">
        <f>IF('Classe CE2'!$B26="","",N('Classe CE2'!O26))</f>
        <v/>
      </c>
      <c r="T426" s="51" t="str">
        <f>IF('Classe CE2'!$B26="","",N('Classe CE2'!P26))</f>
        <v/>
      </c>
    </row>
    <row r="427">
      <c r="A427" s="16" t="str">
        <f>IF('Classe CE2'!$B27="","",IF('Classe CE2'!A27="","",'Classe CE2'!A27))</f>
        <v/>
      </c>
      <c r="B427" s="16" t="str">
        <f>IF('Classe CE2'!$B27="","",IF('Classe CE2'!B27="","",'Classe CE2'!B27))</f>
        <v/>
      </c>
      <c r="C427" s="16" t="str">
        <f>IF('Classe CE2'!$B27="","",IF('Classe CE2'!C27="","",'Classe CE2'!C27))</f>
        <v/>
      </c>
      <c r="D427" s="16" t="str">
        <f>IF($B427="","",C427&amp;" "&amp;B427&amp;" - "&amp;E427)</f>
        <v/>
      </c>
      <c r="E427" s="17" t="str">
        <f>IF($B427="","",Paramètres!$A$20)</f>
        <v/>
      </c>
      <c r="F427" s="17" t="str">
        <f>IF($B427="","",Paramètres!$B$20)</f>
        <v/>
      </c>
      <c r="G427" s="17" t="str">
        <f>IF('Classe CE2'!$B27="","",IF('Classe CE2'!D27="","",'Classe CE2'!D27))</f>
        <v/>
      </c>
      <c r="H427" s="78" t="str">
        <f>IF('Classe CE2'!$B27="","",IF('Classe CE2'!E27="","",'Classe CE2'!E27))</f>
        <v/>
      </c>
      <c r="I427" s="16" t="str">
        <f>IF('Classe CE2'!$B27="","",IF('Classe CE2'!F27="","",'Classe CE2'!F27))</f>
        <v/>
      </c>
      <c r="J427" s="16" t="str">
        <f>IF('Classe CE2'!$B27="","",IF('Classe CE2'!G27="","",'Classe CE2'!G27))</f>
        <v/>
      </c>
      <c r="K427" s="18" t="str">
        <f>IF('Classe CE2'!$B27="","",N('Classe CE2'!H27))</f>
        <v/>
      </c>
      <c r="L427" s="18" t="str">
        <f>IF('Classe CE2'!$B27="","",N('Classe CE2'!I27))</f>
        <v/>
      </c>
      <c r="M427" s="18" t="str">
        <f>IF('Classe CE2'!$B27="","",N('Classe CE2'!J27))</f>
        <v/>
      </c>
      <c r="N427" s="18" t="str">
        <f>IF('Classe CE2'!$B27="","",N('Classe CE2'!K27))</f>
        <v/>
      </c>
      <c r="O427" s="18" t="str">
        <f>IF('Classe CE2'!$B27="","",N('Classe CE2'!L27))</f>
        <v/>
      </c>
      <c r="P427" s="18" t="str">
        <f>IF('Classe CE2'!$B27="","",N('Classe CE2'!M27))</f>
        <v/>
      </c>
      <c r="Q427" s="17" t="str">
        <f>IF('Classe CE2'!$B27="","",IF('Classe CE2'!Q27="","",'Classe CE2'!Q27))</f>
        <v/>
      </c>
      <c r="R427" s="18" t="str">
        <f>IF('Classe CE2'!$B27="","",N('Classe CE2'!N27))</f>
        <v/>
      </c>
      <c r="S427" s="18" t="str">
        <f>IF('Classe CE2'!$B27="","",N('Classe CE2'!O27))</f>
        <v/>
      </c>
      <c r="T427" s="18" t="str">
        <f>IF('Classe CE2'!$B27="","",N('Classe CE2'!P27))</f>
        <v/>
      </c>
    </row>
    <row r="428">
      <c r="A428" s="20" t="str">
        <f>IF('Classe CE2'!$B28="","",IF('Classe CE2'!A28="","",'Classe CE2'!A28))</f>
        <v/>
      </c>
      <c r="B428" s="20" t="str">
        <f>IF('Classe CE2'!$B28="","",IF('Classe CE2'!B28="","",'Classe CE2'!B28))</f>
        <v/>
      </c>
      <c r="C428" s="20" t="str">
        <f>IF('Classe CE2'!$B28="","",IF('Classe CE2'!C28="","",'Classe CE2'!C28))</f>
        <v/>
      </c>
      <c r="D428" s="20" t="str">
        <f>IF($B428="","",C428&amp;" "&amp;B428&amp;" - "&amp;E428)</f>
        <v/>
      </c>
      <c r="E428" s="21" t="str">
        <f>IF($B428="","",Paramètres!$A$20)</f>
        <v/>
      </c>
      <c r="F428" s="21" t="str">
        <f>IF($B428="","",Paramètres!$B$20)</f>
        <v/>
      </c>
      <c r="G428" s="21" t="str">
        <f>IF('Classe CE2'!$B28="","",IF('Classe CE2'!D28="","",'Classe CE2'!D28))</f>
        <v/>
      </c>
      <c r="H428" s="77" t="str">
        <f>IF('Classe CE2'!$B28="","",IF('Classe CE2'!E28="","",'Classe CE2'!E28))</f>
        <v/>
      </c>
      <c r="I428" s="20" t="str">
        <f>IF('Classe CE2'!$B28="","",IF('Classe CE2'!F28="","",'Classe CE2'!F28))</f>
        <v/>
      </c>
      <c r="J428" s="20" t="str">
        <f>IF('Classe CE2'!$B28="","",IF('Classe CE2'!G28="","",'Classe CE2'!G28))</f>
        <v/>
      </c>
      <c r="K428" s="51" t="str">
        <f>IF('Classe CE2'!$B28="","",N('Classe CE2'!H28))</f>
        <v/>
      </c>
      <c r="L428" s="51" t="str">
        <f>IF('Classe CE2'!$B28="","",N('Classe CE2'!I28))</f>
        <v/>
      </c>
      <c r="M428" s="51" t="str">
        <f>IF('Classe CE2'!$B28="","",N('Classe CE2'!J28))</f>
        <v/>
      </c>
      <c r="N428" s="51" t="str">
        <f>IF('Classe CE2'!$B28="","",N('Classe CE2'!K28))</f>
        <v/>
      </c>
      <c r="O428" s="51" t="str">
        <f>IF('Classe CE2'!$B28="","",N('Classe CE2'!L28))</f>
        <v/>
      </c>
      <c r="P428" s="51" t="str">
        <f>IF('Classe CE2'!$B28="","",N('Classe CE2'!M28))</f>
        <v/>
      </c>
      <c r="Q428" s="21" t="str">
        <f>IF('Classe CE2'!$B28="","",IF('Classe CE2'!Q28="","",'Classe CE2'!Q28))</f>
        <v/>
      </c>
      <c r="R428" s="51" t="str">
        <f>IF('Classe CE2'!$B28="","",N('Classe CE2'!N28))</f>
        <v/>
      </c>
      <c r="S428" s="51" t="str">
        <f>IF('Classe CE2'!$B28="","",N('Classe CE2'!O28))</f>
        <v/>
      </c>
      <c r="T428" s="51" t="str">
        <f>IF('Classe CE2'!$B28="","",N('Classe CE2'!P28))</f>
        <v/>
      </c>
    </row>
    <row r="429">
      <c r="A429" s="16" t="str">
        <f>IF('Classe CE2'!$B29="","",IF('Classe CE2'!A29="","",'Classe CE2'!A29))</f>
        <v/>
      </c>
      <c r="B429" s="16" t="str">
        <f>IF('Classe CE2'!$B29="","",IF('Classe CE2'!B29="","",'Classe CE2'!B29))</f>
        <v/>
      </c>
      <c r="C429" s="16" t="str">
        <f>IF('Classe CE2'!$B29="","",IF('Classe CE2'!C29="","",'Classe CE2'!C29))</f>
        <v/>
      </c>
      <c r="D429" s="16" t="str">
        <f>IF($B429="","",C429&amp;" "&amp;B429&amp;" - "&amp;E429)</f>
        <v/>
      </c>
      <c r="E429" s="17" t="str">
        <f>IF($B429="","",Paramètres!$A$20)</f>
        <v/>
      </c>
      <c r="F429" s="17" t="str">
        <f>IF($B429="","",Paramètres!$B$20)</f>
        <v/>
      </c>
      <c r="G429" s="17" t="str">
        <f>IF('Classe CE2'!$B29="","",IF('Classe CE2'!D29="","",'Classe CE2'!D29))</f>
        <v/>
      </c>
      <c r="H429" s="78" t="str">
        <f>IF('Classe CE2'!$B29="","",IF('Classe CE2'!E29="","",'Classe CE2'!E29))</f>
        <v/>
      </c>
      <c r="I429" s="16" t="str">
        <f>IF('Classe CE2'!$B29="","",IF('Classe CE2'!F29="","",'Classe CE2'!F29))</f>
        <v/>
      </c>
      <c r="J429" s="16" t="str">
        <f>IF('Classe CE2'!$B29="","",IF('Classe CE2'!G29="","",'Classe CE2'!G29))</f>
        <v/>
      </c>
      <c r="K429" s="18" t="str">
        <f>IF('Classe CE2'!$B29="","",N('Classe CE2'!H29))</f>
        <v/>
      </c>
      <c r="L429" s="18" t="str">
        <f>IF('Classe CE2'!$B29="","",N('Classe CE2'!I29))</f>
        <v/>
      </c>
      <c r="M429" s="18" t="str">
        <f>IF('Classe CE2'!$B29="","",N('Classe CE2'!J29))</f>
        <v/>
      </c>
      <c r="N429" s="18" t="str">
        <f>IF('Classe CE2'!$B29="","",N('Classe CE2'!K29))</f>
        <v/>
      </c>
      <c r="O429" s="18" t="str">
        <f>IF('Classe CE2'!$B29="","",N('Classe CE2'!L29))</f>
        <v/>
      </c>
      <c r="P429" s="18" t="str">
        <f>IF('Classe CE2'!$B29="","",N('Classe CE2'!M29))</f>
        <v/>
      </c>
      <c r="Q429" s="17" t="str">
        <f>IF('Classe CE2'!$B29="","",IF('Classe CE2'!Q29="","",'Classe CE2'!Q29))</f>
        <v/>
      </c>
      <c r="R429" s="18" t="str">
        <f>IF('Classe CE2'!$B29="","",N('Classe CE2'!N29))</f>
        <v/>
      </c>
      <c r="S429" s="18" t="str">
        <f>IF('Classe CE2'!$B29="","",N('Classe CE2'!O29))</f>
        <v/>
      </c>
      <c r="T429" s="18" t="str">
        <f>IF('Classe CE2'!$B29="","",N('Classe CE2'!P29))</f>
        <v/>
      </c>
    </row>
    <row r="430">
      <c r="A430" s="20" t="str">
        <f>IF('Classe CE2'!$B30="","",IF('Classe CE2'!A30="","",'Classe CE2'!A30))</f>
        <v/>
      </c>
      <c r="B430" s="20" t="str">
        <f>IF('Classe CE2'!$B30="","",IF('Classe CE2'!B30="","",'Classe CE2'!B30))</f>
        <v/>
      </c>
      <c r="C430" s="20" t="str">
        <f>IF('Classe CE2'!$B30="","",IF('Classe CE2'!C30="","",'Classe CE2'!C30))</f>
        <v/>
      </c>
      <c r="D430" s="20" t="str">
        <f>IF($B430="","",C430&amp;" "&amp;B430&amp;" - "&amp;E430)</f>
        <v/>
      </c>
      <c r="E430" s="21" t="str">
        <f>IF($B430="","",Paramètres!$A$20)</f>
        <v/>
      </c>
      <c r="F430" s="21" t="str">
        <f>IF($B430="","",Paramètres!$B$20)</f>
        <v/>
      </c>
      <c r="G430" s="21" t="str">
        <f>IF('Classe CE2'!$B30="","",IF('Classe CE2'!D30="","",'Classe CE2'!D30))</f>
        <v/>
      </c>
      <c r="H430" s="77" t="str">
        <f>IF('Classe CE2'!$B30="","",IF('Classe CE2'!E30="","",'Classe CE2'!E30))</f>
        <v/>
      </c>
      <c r="I430" s="20" t="str">
        <f>IF('Classe CE2'!$B30="","",IF('Classe CE2'!F30="","",'Classe CE2'!F30))</f>
        <v/>
      </c>
      <c r="J430" s="20" t="str">
        <f>IF('Classe CE2'!$B30="","",IF('Classe CE2'!G30="","",'Classe CE2'!G30))</f>
        <v/>
      </c>
      <c r="K430" s="51" t="str">
        <f>IF('Classe CE2'!$B30="","",N('Classe CE2'!H30))</f>
        <v/>
      </c>
      <c r="L430" s="51" t="str">
        <f>IF('Classe CE2'!$B30="","",N('Classe CE2'!I30))</f>
        <v/>
      </c>
      <c r="M430" s="51" t="str">
        <f>IF('Classe CE2'!$B30="","",N('Classe CE2'!J30))</f>
        <v/>
      </c>
      <c r="N430" s="51" t="str">
        <f>IF('Classe CE2'!$B30="","",N('Classe CE2'!K30))</f>
        <v/>
      </c>
      <c r="O430" s="51" t="str">
        <f>IF('Classe CE2'!$B30="","",N('Classe CE2'!L30))</f>
        <v/>
      </c>
      <c r="P430" s="51" t="str">
        <f>IF('Classe CE2'!$B30="","",N('Classe CE2'!M30))</f>
        <v/>
      </c>
      <c r="Q430" s="21" t="str">
        <f>IF('Classe CE2'!$B30="","",IF('Classe CE2'!Q30="","",'Classe CE2'!Q30))</f>
        <v/>
      </c>
      <c r="R430" s="51" t="str">
        <f>IF('Classe CE2'!$B30="","",N('Classe CE2'!N30))</f>
        <v/>
      </c>
      <c r="S430" s="51" t="str">
        <f>IF('Classe CE2'!$B30="","",N('Classe CE2'!O30))</f>
        <v/>
      </c>
      <c r="T430" s="51" t="str">
        <f>IF('Classe CE2'!$B30="","",N('Classe CE2'!P30))</f>
        <v/>
      </c>
    </row>
    <row r="431">
      <c r="A431" s="16" t="str">
        <f>IF('Classe CE2'!$B31="","",IF('Classe CE2'!A31="","",'Classe CE2'!A31))</f>
        <v/>
      </c>
      <c r="B431" s="16" t="str">
        <f>IF('Classe CE2'!$B31="","",IF('Classe CE2'!B31="","",'Classe CE2'!B31))</f>
        <v/>
      </c>
      <c r="C431" s="16" t="str">
        <f>IF('Classe CE2'!$B31="","",IF('Classe CE2'!C31="","",'Classe CE2'!C31))</f>
        <v/>
      </c>
      <c r="D431" s="16" t="str">
        <f>IF($B431="","",C431&amp;" "&amp;B431&amp;" - "&amp;E431)</f>
        <v/>
      </c>
      <c r="E431" s="17" t="str">
        <f>IF($B431="","",Paramètres!$A$20)</f>
        <v/>
      </c>
      <c r="F431" s="17" t="str">
        <f>IF($B431="","",Paramètres!$B$20)</f>
        <v/>
      </c>
      <c r="G431" s="17" t="str">
        <f>IF('Classe CE2'!$B31="","",IF('Classe CE2'!D31="","",'Classe CE2'!D31))</f>
        <v/>
      </c>
      <c r="H431" s="78" t="str">
        <f>IF('Classe CE2'!$B31="","",IF('Classe CE2'!E31="","",'Classe CE2'!E31))</f>
        <v/>
      </c>
      <c r="I431" s="16" t="str">
        <f>IF('Classe CE2'!$B31="","",IF('Classe CE2'!F31="","",'Classe CE2'!F31))</f>
        <v/>
      </c>
      <c r="J431" s="16" t="str">
        <f>IF('Classe CE2'!$B31="","",IF('Classe CE2'!G31="","",'Classe CE2'!G31))</f>
        <v/>
      </c>
      <c r="K431" s="18" t="str">
        <f>IF('Classe CE2'!$B31="","",N('Classe CE2'!H31))</f>
        <v/>
      </c>
      <c r="L431" s="18" t="str">
        <f>IF('Classe CE2'!$B31="","",N('Classe CE2'!I31))</f>
        <v/>
      </c>
      <c r="M431" s="18" t="str">
        <f>IF('Classe CE2'!$B31="","",N('Classe CE2'!J31))</f>
        <v/>
      </c>
      <c r="N431" s="18" t="str">
        <f>IF('Classe CE2'!$B31="","",N('Classe CE2'!K31))</f>
        <v/>
      </c>
      <c r="O431" s="18" t="str">
        <f>IF('Classe CE2'!$B31="","",N('Classe CE2'!L31))</f>
        <v/>
      </c>
      <c r="P431" s="18" t="str">
        <f>IF('Classe CE2'!$B31="","",N('Classe CE2'!M31))</f>
        <v/>
      </c>
      <c r="Q431" s="17" t="str">
        <f>IF('Classe CE2'!$B31="","",IF('Classe CE2'!Q31="","",'Classe CE2'!Q31))</f>
        <v/>
      </c>
      <c r="R431" s="18" t="str">
        <f>IF('Classe CE2'!$B31="","",N('Classe CE2'!N31))</f>
        <v/>
      </c>
      <c r="S431" s="18" t="str">
        <f>IF('Classe CE2'!$B31="","",N('Classe CE2'!O31))</f>
        <v/>
      </c>
      <c r="T431" s="18" t="str">
        <f>IF('Classe CE2'!$B31="","",N('Classe CE2'!P31))</f>
        <v/>
      </c>
    </row>
    <row r="432">
      <c r="A432" s="20" t="str">
        <f>IF('Classe CE2'!$B32="","",IF('Classe CE2'!A32="","",'Classe CE2'!A32))</f>
        <v/>
      </c>
      <c r="B432" s="20" t="str">
        <f>IF('Classe CE2'!$B32="","",IF('Classe CE2'!B32="","",'Classe CE2'!B32))</f>
        <v/>
      </c>
      <c r="C432" s="20" t="str">
        <f>IF('Classe CE2'!$B32="","",IF('Classe CE2'!C32="","",'Classe CE2'!C32))</f>
        <v/>
      </c>
      <c r="D432" s="20" t="str">
        <f>IF($B432="","",C432&amp;" "&amp;B432&amp;" - "&amp;E432)</f>
        <v/>
      </c>
      <c r="E432" s="21" t="str">
        <f>IF($B432="","",Paramètres!$A$20)</f>
        <v/>
      </c>
      <c r="F432" s="21" t="str">
        <f>IF($B432="","",Paramètres!$B$20)</f>
        <v/>
      </c>
      <c r="G432" s="21" t="str">
        <f>IF('Classe CE2'!$B32="","",IF('Classe CE2'!D32="","",'Classe CE2'!D32))</f>
        <v/>
      </c>
      <c r="H432" s="77" t="str">
        <f>IF('Classe CE2'!$B32="","",IF('Classe CE2'!E32="","",'Classe CE2'!E32))</f>
        <v/>
      </c>
      <c r="I432" s="20" t="str">
        <f>IF('Classe CE2'!$B32="","",IF('Classe CE2'!F32="","",'Classe CE2'!F32))</f>
        <v/>
      </c>
      <c r="J432" s="20" t="str">
        <f>IF('Classe CE2'!$B32="","",IF('Classe CE2'!G32="","",'Classe CE2'!G32))</f>
        <v/>
      </c>
      <c r="K432" s="51" t="str">
        <f>IF('Classe CE2'!$B32="","",N('Classe CE2'!H32))</f>
        <v/>
      </c>
      <c r="L432" s="51" t="str">
        <f>IF('Classe CE2'!$B32="","",N('Classe CE2'!I32))</f>
        <v/>
      </c>
      <c r="M432" s="51" t="str">
        <f>IF('Classe CE2'!$B32="","",N('Classe CE2'!J32))</f>
        <v/>
      </c>
      <c r="N432" s="51" t="str">
        <f>IF('Classe CE2'!$B32="","",N('Classe CE2'!K32))</f>
        <v/>
      </c>
      <c r="O432" s="51" t="str">
        <f>IF('Classe CE2'!$B32="","",N('Classe CE2'!L32))</f>
        <v/>
      </c>
      <c r="P432" s="51" t="str">
        <f>IF('Classe CE2'!$B32="","",N('Classe CE2'!M32))</f>
        <v/>
      </c>
      <c r="Q432" s="21" t="str">
        <f>IF('Classe CE2'!$B32="","",IF('Classe CE2'!Q32="","",'Classe CE2'!Q32))</f>
        <v/>
      </c>
      <c r="R432" s="51" t="str">
        <f>IF('Classe CE2'!$B32="","",N('Classe CE2'!N32))</f>
        <v/>
      </c>
      <c r="S432" s="51" t="str">
        <f>IF('Classe CE2'!$B32="","",N('Classe CE2'!O32))</f>
        <v/>
      </c>
      <c r="T432" s="51" t="str">
        <f>IF('Classe CE2'!$B32="","",N('Classe CE2'!P32))</f>
        <v/>
      </c>
    </row>
    <row r="433">
      <c r="A433" s="16" t="str">
        <f>IF('Classe CE2'!$B33="","",IF('Classe CE2'!A33="","",'Classe CE2'!A33))</f>
        <v/>
      </c>
      <c r="B433" s="16" t="str">
        <f>IF('Classe CE2'!$B33="","",IF('Classe CE2'!B33="","",'Classe CE2'!B33))</f>
        <v/>
      </c>
      <c r="C433" s="16" t="str">
        <f>IF('Classe CE2'!$B33="","",IF('Classe CE2'!C33="","",'Classe CE2'!C33))</f>
        <v/>
      </c>
      <c r="D433" s="16" t="str">
        <f>IF($B433="","",C433&amp;" "&amp;B433&amp;" - "&amp;E433)</f>
        <v/>
      </c>
      <c r="E433" s="17" t="str">
        <f>IF($B433="","",Paramètres!$A$20)</f>
        <v/>
      </c>
      <c r="F433" s="17" t="str">
        <f>IF($B433="","",Paramètres!$B$20)</f>
        <v/>
      </c>
      <c r="G433" s="17" t="str">
        <f>IF('Classe CE2'!$B33="","",IF('Classe CE2'!D33="","",'Classe CE2'!D33))</f>
        <v/>
      </c>
      <c r="H433" s="78" t="str">
        <f>IF('Classe CE2'!$B33="","",IF('Classe CE2'!E33="","",'Classe CE2'!E33))</f>
        <v/>
      </c>
      <c r="I433" s="16" t="str">
        <f>IF('Classe CE2'!$B33="","",IF('Classe CE2'!F33="","",'Classe CE2'!F33))</f>
        <v/>
      </c>
      <c r="J433" s="16" t="str">
        <f>IF('Classe CE2'!$B33="","",IF('Classe CE2'!G33="","",'Classe CE2'!G33))</f>
        <v/>
      </c>
      <c r="K433" s="18" t="str">
        <f>IF('Classe CE2'!$B33="","",N('Classe CE2'!H33))</f>
        <v/>
      </c>
      <c r="L433" s="18" t="str">
        <f>IF('Classe CE2'!$B33="","",N('Classe CE2'!I33))</f>
        <v/>
      </c>
      <c r="M433" s="18" t="str">
        <f>IF('Classe CE2'!$B33="","",N('Classe CE2'!J33))</f>
        <v/>
      </c>
      <c r="N433" s="18" t="str">
        <f>IF('Classe CE2'!$B33="","",N('Classe CE2'!K33))</f>
        <v/>
      </c>
      <c r="O433" s="18" t="str">
        <f>IF('Classe CE2'!$B33="","",N('Classe CE2'!L33))</f>
        <v/>
      </c>
      <c r="P433" s="18" t="str">
        <f>IF('Classe CE2'!$B33="","",N('Classe CE2'!M33))</f>
        <v/>
      </c>
      <c r="Q433" s="17" t="str">
        <f>IF('Classe CE2'!$B33="","",IF('Classe CE2'!Q33="","",'Classe CE2'!Q33))</f>
        <v/>
      </c>
      <c r="R433" s="18" t="str">
        <f>IF('Classe CE2'!$B33="","",N('Classe CE2'!N33))</f>
        <v/>
      </c>
      <c r="S433" s="18" t="str">
        <f>IF('Classe CE2'!$B33="","",N('Classe CE2'!O33))</f>
        <v/>
      </c>
      <c r="T433" s="18" t="str">
        <f>IF('Classe CE2'!$B33="","",N('Classe CE2'!P33))</f>
        <v/>
      </c>
    </row>
    <row r="434">
      <c r="A434" s="20" t="str">
        <f>IF('Classe CE2'!$B34="","",IF('Classe CE2'!A34="","",'Classe CE2'!A34))</f>
        <v/>
      </c>
      <c r="B434" s="20" t="str">
        <f>IF('Classe CE2'!$B34="","",IF('Classe CE2'!B34="","",'Classe CE2'!B34))</f>
        <v/>
      </c>
      <c r="C434" s="20" t="str">
        <f>IF('Classe CE2'!$B34="","",IF('Classe CE2'!C34="","",'Classe CE2'!C34))</f>
        <v/>
      </c>
      <c r="D434" s="20" t="str">
        <f>IF($B434="","",C434&amp;" "&amp;B434&amp;" - "&amp;E434)</f>
        <v/>
      </c>
      <c r="E434" s="21" t="str">
        <f>IF($B434="","",Paramètres!$A$20)</f>
        <v/>
      </c>
      <c r="F434" s="21" t="str">
        <f>IF($B434="","",Paramètres!$B$20)</f>
        <v/>
      </c>
      <c r="G434" s="21" t="str">
        <f>IF('Classe CE2'!$B34="","",IF('Classe CE2'!D34="","",'Classe CE2'!D34))</f>
        <v/>
      </c>
      <c r="H434" s="77" t="str">
        <f>IF('Classe CE2'!$B34="","",IF('Classe CE2'!E34="","",'Classe CE2'!E34))</f>
        <v/>
      </c>
      <c r="I434" s="20" t="str">
        <f>IF('Classe CE2'!$B34="","",IF('Classe CE2'!F34="","",'Classe CE2'!F34))</f>
        <v/>
      </c>
      <c r="J434" s="20" t="str">
        <f>IF('Classe CE2'!$B34="","",IF('Classe CE2'!G34="","",'Classe CE2'!G34))</f>
        <v/>
      </c>
      <c r="K434" s="51" t="str">
        <f>IF('Classe CE2'!$B34="","",N('Classe CE2'!H34))</f>
        <v/>
      </c>
      <c r="L434" s="51" t="str">
        <f>IF('Classe CE2'!$B34="","",N('Classe CE2'!I34))</f>
        <v/>
      </c>
      <c r="M434" s="51" t="str">
        <f>IF('Classe CE2'!$B34="","",N('Classe CE2'!J34))</f>
        <v/>
      </c>
      <c r="N434" s="51" t="str">
        <f>IF('Classe CE2'!$B34="","",N('Classe CE2'!K34))</f>
        <v/>
      </c>
      <c r="O434" s="51" t="str">
        <f>IF('Classe CE2'!$B34="","",N('Classe CE2'!L34))</f>
        <v/>
      </c>
      <c r="P434" s="51" t="str">
        <f>IF('Classe CE2'!$B34="","",N('Classe CE2'!M34))</f>
        <v/>
      </c>
      <c r="Q434" s="21" t="str">
        <f>IF('Classe CE2'!$B34="","",IF('Classe CE2'!Q34="","",'Classe CE2'!Q34))</f>
        <v/>
      </c>
      <c r="R434" s="51" t="str">
        <f>IF('Classe CE2'!$B34="","",N('Classe CE2'!N34))</f>
        <v/>
      </c>
      <c r="S434" s="51" t="str">
        <f>IF('Classe CE2'!$B34="","",N('Classe CE2'!O34))</f>
        <v/>
      </c>
      <c r="T434" s="51" t="str">
        <f>IF('Classe CE2'!$B34="","",N('Classe CE2'!P34))</f>
        <v/>
      </c>
    </row>
    <row r="435">
      <c r="A435" s="16" t="str">
        <f>IF('Classe CE2'!$B35="","",IF('Classe CE2'!A35="","",'Classe CE2'!A35))</f>
        <v/>
      </c>
      <c r="B435" s="16" t="str">
        <f>IF('Classe CE2'!$B35="","",IF('Classe CE2'!B35="","",'Classe CE2'!B35))</f>
        <v/>
      </c>
      <c r="C435" s="16" t="str">
        <f>IF('Classe CE2'!$B35="","",IF('Classe CE2'!C35="","",'Classe CE2'!C35))</f>
        <v/>
      </c>
      <c r="D435" s="16" t="str">
        <f>IF($B435="","",C435&amp;" "&amp;B435&amp;" - "&amp;E435)</f>
        <v/>
      </c>
      <c r="E435" s="17" t="str">
        <f>IF($B435="","",Paramètres!$A$20)</f>
        <v/>
      </c>
      <c r="F435" s="17" t="str">
        <f>IF($B435="","",Paramètres!$B$20)</f>
        <v/>
      </c>
      <c r="G435" s="17" t="str">
        <f>IF('Classe CE2'!$B35="","",IF('Classe CE2'!D35="","",'Classe CE2'!D35))</f>
        <v/>
      </c>
      <c r="H435" s="78" t="str">
        <f>IF('Classe CE2'!$B35="","",IF('Classe CE2'!E35="","",'Classe CE2'!E35))</f>
        <v/>
      </c>
      <c r="I435" s="16" t="str">
        <f>IF('Classe CE2'!$B35="","",IF('Classe CE2'!F35="","",'Classe CE2'!F35))</f>
        <v/>
      </c>
      <c r="J435" s="16" t="str">
        <f>IF('Classe CE2'!$B35="","",IF('Classe CE2'!G35="","",'Classe CE2'!G35))</f>
        <v/>
      </c>
      <c r="K435" s="18" t="str">
        <f>IF('Classe CE2'!$B35="","",N('Classe CE2'!H35))</f>
        <v/>
      </c>
      <c r="L435" s="18" t="str">
        <f>IF('Classe CE2'!$B35="","",N('Classe CE2'!I35))</f>
        <v/>
      </c>
      <c r="M435" s="18" t="str">
        <f>IF('Classe CE2'!$B35="","",N('Classe CE2'!J35))</f>
        <v/>
      </c>
      <c r="N435" s="18" t="str">
        <f>IF('Classe CE2'!$B35="","",N('Classe CE2'!K35))</f>
        <v/>
      </c>
      <c r="O435" s="18" t="str">
        <f>IF('Classe CE2'!$B35="","",N('Classe CE2'!L35))</f>
        <v/>
      </c>
      <c r="P435" s="18" t="str">
        <f>IF('Classe CE2'!$B35="","",N('Classe CE2'!M35))</f>
        <v/>
      </c>
      <c r="Q435" s="17" t="str">
        <f>IF('Classe CE2'!$B35="","",IF('Classe CE2'!Q35="","",'Classe CE2'!Q35))</f>
        <v/>
      </c>
      <c r="R435" s="18" t="str">
        <f>IF('Classe CE2'!$B35="","",N('Classe CE2'!N35))</f>
        <v/>
      </c>
      <c r="S435" s="18" t="str">
        <f>IF('Classe CE2'!$B35="","",N('Classe CE2'!O35))</f>
        <v/>
      </c>
      <c r="T435" s="18" t="str">
        <f>IF('Classe CE2'!$B35="","",N('Classe CE2'!P35))</f>
        <v/>
      </c>
    </row>
    <row r="436">
      <c r="A436" s="20" t="str">
        <f>IF('Classe CE2'!$B36="","",IF('Classe CE2'!A36="","",'Classe CE2'!A36))</f>
        <v/>
      </c>
      <c r="B436" s="20" t="str">
        <f>IF('Classe CE2'!$B36="","",IF('Classe CE2'!B36="","",'Classe CE2'!B36))</f>
        <v/>
      </c>
      <c r="C436" s="20" t="str">
        <f>IF('Classe CE2'!$B36="","",IF('Classe CE2'!C36="","",'Classe CE2'!C36))</f>
        <v/>
      </c>
      <c r="D436" s="20" t="str">
        <f>IF($B436="","",C436&amp;" "&amp;B436&amp;" - "&amp;E436)</f>
        <v/>
      </c>
      <c r="E436" s="21" t="str">
        <f>IF($B436="","",Paramètres!$A$20)</f>
        <v/>
      </c>
      <c r="F436" s="21" t="str">
        <f>IF($B436="","",Paramètres!$B$20)</f>
        <v/>
      </c>
      <c r="G436" s="21" t="str">
        <f>IF('Classe CE2'!$B36="","",IF('Classe CE2'!D36="","",'Classe CE2'!D36))</f>
        <v/>
      </c>
      <c r="H436" s="77" t="str">
        <f>IF('Classe CE2'!$B36="","",IF('Classe CE2'!E36="","",'Classe CE2'!E36))</f>
        <v/>
      </c>
      <c r="I436" s="20" t="str">
        <f>IF('Classe CE2'!$B36="","",IF('Classe CE2'!F36="","",'Classe CE2'!F36))</f>
        <v/>
      </c>
      <c r="J436" s="20" t="str">
        <f>IF('Classe CE2'!$B36="","",IF('Classe CE2'!G36="","",'Classe CE2'!G36))</f>
        <v/>
      </c>
      <c r="K436" s="51" t="str">
        <f>IF('Classe CE2'!$B36="","",N('Classe CE2'!H36))</f>
        <v/>
      </c>
      <c r="L436" s="51" t="str">
        <f>IF('Classe CE2'!$B36="","",N('Classe CE2'!I36))</f>
        <v/>
      </c>
      <c r="M436" s="51" t="str">
        <f>IF('Classe CE2'!$B36="","",N('Classe CE2'!J36))</f>
        <v/>
      </c>
      <c r="N436" s="51" t="str">
        <f>IF('Classe CE2'!$B36="","",N('Classe CE2'!K36))</f>
        <v/>
      </c>
      <c r="O436" s="51" t="str">
        <f>IF('Classe CE2'!$B36="","",N('Classe CE2'!L36))</f>
        <v/>
      </c>
      <c r="P436" s="51" t="str">
        <f>IF('Classe CE2'!$B36="","",N('Classe CE2'!M36))</f>
        <v/>
      </c>
      <c r="Q436" s="21" t="str">
        <f>IF('Classe CE2'!$B36="","",IF('Classe CE2'!Q36="","",'Classe CE2'!Q36))</f>
        <v/>
      </c>
      <c r="R436" s="51" t="str">
        <f>IF('Classe CE2'!$B36="","",N('Classe CE2'!N36))</f>
        <v/>
      </c>
      <c r="S436" s="51" t="str">
        <f>IF('Classe CE2'!$B36="","",N('Classe CE2'!O36))</f>
        <v/>
      </c>
      <c r="T436" s="51" t="str">
        <f>IF('Classe CE2'!$B36="","",N('Classe CE2'!P36))</f>
        <v/>
      </c>
    </row>
    <row r="437">
      <c r="A437" s="16" t="str">
        <f>IF('Classe CE2'!$B37="","",IF('Classe CE2'!A37="","",'Classe CE2'!A37))</f>
        <v/>
      </c>
      <c r="B437" s="16" t="str">
        <f>IF('Classe CE2'!$B37="","",IF('Classe CE2'!B37="","",'Classe CE2'!B37))</f>
        <v/>
      </c>
      <c r="C437" s="16" t="str">
        <f>IF('Classe CE2'!$B37="","",IF('Classe CE2'!C37="","",'Classe CE2'!C37))</f>
        <v/>
      </c>
      <c r="D437" s="16" t="str">
        <f>IF($B437="","",C437&amp;" "&amp;B437&amp;" - "&amp;E437)</f>
        <v/>
      </c>
      <c r="E437" s="17" t="str">
        <f>IF($B437="","",Paramètres!$A$20)</f>
        <v/>
      </c>
      <c r="F437" s="17" t="str">
        <f>IF($B437="","",Paramètres!$B$20)</f>
        <v/>
      </c>
      <c r="G437" s="17" t="str">
        <f>IF('Classe CE2'!$B37="","",IF('Classe CE2'!D37="","",'Classe CE2'!D37))</f>
        <v/>
      </c>
      <c r="H437" s="78" t="str">
        <f>IF('Classe CE2'!$B37="","",IF('Classe CE2'!E37="","",'Classe CE2'!E37))</f>
        <v/>
      </c>
      <c r="I437" s="16" t="str">
        <f>IF('Classe CE2'!$B37="","",IF('Classe CE2'!F37="","",'Classe CE2'!F37))</f>
        <v/>
      </c>
      <c r="J437" s="16" t="str">
        <f>IF('Classe CE2'!$B37="","",IF('Classe CE2'!G37="","",'Classe CE2'!G37))</f>
        <v/>
      </c>
      <c r="K437" s="18" t="str">
        <f>IF('Classe CE2'!$B37="","",N('Classe CE2'!H37))</f>
        <v/>
      </c>
      <c r="L437" s="18" t="str">
        <f>IF('Classe CE2'!$B37="","",N('Classe CE2'!I37))</f>
        <v/>
      </c>
      <c r="M437" s="18" t="str">
        <f>IF('Classe CE2'!$B37="","",N('Classe CE2'!J37))</f>
        <v/>
      </c>
      <c r="N437" s="18" t="str">
        <f>IF('Classe CE2'!$B37="","",N('Classe CE2'!K37))</f>
        <v/>
      </c>
      <c r="O437" s="18" t="str">
        <f>IF('Classe CE2'!$B37="","",N('Classe CE2'!L37))</f>
        <v/>
      </c>
      <c r="P437" s="18" t="str">
        <f>IF('Classe CE2'!$B37="","",N('Classe CE2'!M37))</f>
        <v/>
      </c>
      <c r="Q437" s="17" t="str">
        <f>IF('Classe CE2'!$B37="","",IF('Classe CE2'!Q37="","",'Classe CE2'!Q37))</f>
        <v/>
      </c>
      <c r="R437" s="18" t="str">
        <f>IF('Classe CE2'!$B37="","",N('Classe CE2'!N37))</f>
        <v/>
      </c>
      <c r="S437" s="18" t="str">
        <f>IF('Classe CE2'!$B37="","",N('Classe CE2'!O37))</f>
        <v/>
      </c>
      <c r="T437" s="18" t="str">
        <f>IF('Classe CE2'!$B37="","",N('Classe CE2'!P37))</f>
        <v/>
      </c>
    </row>
    <row r="438">
      <c r="A438" s="20" t="str">
        <f>IF('Classe CE2'!$B38="","",IF('Classe CE2'!A38="","",'Classe CE2'!A38))</f>
        <v/>
      </c>
      <c r="B438" s="20" t="str">
        <f>IF('Classe CE2'!$B38="","",IF('Classe CE2'!B38="","",'Classe CE2'!B38))</f>
        <v/>
      </c>
      <c r="C438" s="20" t="str">
        <f>IF('Classe CE2'!$B38="","",IF('Classe CE2'!C38="","",'Classe CE2'!C38))</f>
        <v/>
      </c>
      <c r="D438" s="20" t="str">
        <f>IF($B438="","",C438&amp;" "&amp;B438&amp;" - "&amp;E438)</f>
        <v/>
      </c>
      <c r="E438" s="21" t="str">
        <f>IF($B438="","",Paramètres!$A$20)</f>
        <v/>
      </c>
      <c r="F438" s="21" t="str">
        <f>IF($B438="","",Paramètres!$B$20)</f>
        <v/>
      </c>
      <c r="G438" s="21" t="str">
        <f>IF('Classe CE2'!$B38="","",IF('Classe CE2'!D38="","",'Classe CE2'!D38))</f>
        <v/>
      </c>
      <c r="H438" s="77" t="str">
        <f>IF('Classe CE2'!$B38="","",IF('Classe CE2'!E38="","",'Classe CE2'!E38))</f>
        <v/>
      </c>
      <c r="I438" s="20" t="str">
        <f>IF('Classe CE2'!$B38="","",IF('Classe CE2'!F38="","",'Classe CE2'!F38))</f>
        <v/>
      </c>
      <c r="J438" s="20" t="str">
        <f>IF('Classe CE2'!$B38="","",IF('Classe CE2'!G38="","",'Classe CE2'!G38))</f>
        <v/>
      </c>
      <c r="K438" s="51" t="str">
        <f>IF('Classe CE2'!$B38="","",N('Classe CE2'!H38))</f>
        <v/>
      </c>
      <c r="L438" s="51" t="str">
        <f>IF('Classe CE2'!$B38="","",N('Classe CE2'!I38))</f>
        <v/>
      </c>
      <c r="M438" s="51" t="str">
        <f>IF('Classe CE2'!$B38="","",N('Classe CE2'!J38))</f>
        <v/>
      </c>
      <c r="N438" s="51" t="str">
        <f>IF('Classe CE2'!$B38="","",N('Classe CE2'!K38))</f>
        <v/>
      </c>
      <c r="O438" s="51" t="str">
        <f>IF('Classe CE2'!$B38="","",N('Classe CE2'!L38))</f>
        <v/>
      </c>
      <c r="P438" s="51" t="str">
        <f>IF('Classe CE2'!$B38="","",N('Classe CE2'!M38))</f>
        <v/>
      </c>
      <c r="Q438" s="21" t="str">
        <f>IF('Classe CE2'!$B38="","",IF('Classe CE2'!Q38="","",'Classe CE2'!Q38))</f>
        <v/>
      </c>
      <c r="R438" s="51" t="str">
        <f>IF('Classe CE2'!$B38="","",N('Classe CE2'!N38))</f>
        <v/>
      </c>
      <c r="S438" s="51" t="str">
        <f>IF('Classe CE2'!$B38="","",N('Classe CE2'!O38))</f>
        <v/>
      </c>
      <c r="T438" s="51" t="str">
        <f>IF('Classe CE2'!$B38="","",N('Classe CE2'!P38))</f>
        <v/>
      </c>
    </row>
    <row r="439">
      <c r="A439" s="16" t="str">
        <f>IF('Classe CE2'!$B39="","",IF('Classe CE2'!A39="","",'Classe CE2'!A39))</f>
        <v/>
      </c>
      <c r="B439" s="16" t="str">
        <f>IF('Classe CE2'!$B39="","",IF('Classe CE2'!B39="","",'Classe CE2'!B39))</f>
        <v/>
      </c>
      <c r="C439" s="16" t="str">
        <f>IF('Classe CE2'!$B39="","",IF('Classe CE2'!C39="","",'Classe CE2'!C39))</f>
        <v/>
      </c>
      <c r="D439" s="16" t="str">
        <f>IF($B439="","",C439&amp;" "&amp;B439&amp;" - "&amp;E439)</f>
        <v/>
      </c>
      <c r="E439" s="17" t="str">
        <f>IF($B439="","",Paramètres!$A$20)</f>
        <v/>
      </c>
      <c r="F439" s="17" t="str">
        <f>IF($B439="","",Paramètres!$B$20)</f>
        <v/>
      </c>
      <c r="G439" s="17" t="str">
        <f>IF('Classe CE2'!$B39="","",IF('Classe CE2'!D39="","",'Classe CE2'!D39))</f>
        <v/>
      </c>
      <c r="H439" s="78" t="str">
        <f>IF('Classe CE2'!$B39="","",IF('Classe CE2'!E39="","",'Classe CE2'!E39))</f>
        <v/>
      </c>
      <c r="I439" s="16" t="str">
        <f>IF('Classe CE2'!$B39="","",IF('Classe CE2'!F39="","",'Classe CE2'!F39))</f>
        <v/>
      </c>
      <c r="J439" s="16" t="str">
        <f>IF('Classe CE2'!$B39="","",IF('Classe CE2'!G39="","",'Classe CE2'!G39))</f>
        <v/>
      </c>
      <c r="K439" s="18" t="str">
        <f>IF('Classe CE2'!$B39="","",N('Classe CE2'!H39))</f>
        <v/>
      </c>
      <c r="L439" s="18" t="str">
        <f>IF('Classe CE2'!$B39="","",N('Classe CE2'!I39))</f>
        <v/>
      </c>
      <c r="M439" s="18" t="str">
        <f>IF('Classe CE2'!$B39="","",N('Classe CE2'!J39))</f>
        <v/>
      </c>
      <c r="N439" s="18" t="str">
        <f>IF('Classe CE2'!$B39="","",N('Classe CE2'!K39))</f>
        <v/>
      </c>
      <c r="O439" s="18" t="str">
        <f>IF('Classe CE2'!$B39="","",N('Classe CE2'!L39))</f>
        <v/>
      </c>
      <c r="P439" s="18" t="str">
        <f>IF('Classe CE2'!$B39="","",N('Classe CE2'!M39))</f>
        <v/>
      </c>
      <c r="Q439" s="17" t="str">
        <f>IF('Classe CE2'!$B39="","",IF('Classe CE2'!Q39="","",'Classe CE2'!Q39))</f>
        <v/>
      </c>
      <c r="R439" s="18" t="str">
        <f>IF('Classe CE2'!$B39="","",N('Classe CE2'!N39))</f>
        <v/>
      </c>
      <c r="S439" s="18" t="str">
        <f>IF('Classe CE2'!$B39="","",N('Classe CE2'!O39))</f>
        <v/>
      </c>
      <c r="T439" s="18" t="str">
        <f>IF('Classe CE2'!$B39="","",N('Classe CE2'!P39))</f>
        <v/>
      </c>
    </row>
    <row r="440">
      <c r="A440" s="20" t="str">
        <f>IF('Classe CE2'!$B40="","",IF('Classe CE2'!A40="","",'Classe CE2'!A40))</f>
        <v/>
      </c>
      <c r="B440" s="20" t="str">
        <f>IF('Classe CE2'!$B40="","",IF('Classe CE2'!B40="","",'Classe CE2'!B40))</f>
        <v/>
      </c>
      <c r="C440" s="20" t="str">
        <f>IF('Classe CE2'!$B40="","",IF('Classe CE2'!C40="","",'Classe CE2'!C40))</f>
        <v/>
      </c>
      <c r="D440" s="20" t="str">
        <f>IF($B440="","",C440&amp;" "&amp;B440&amp;" - "&amp;E440)</f>
        <v/>
      </c>
      <c r="E440" s="21" t="str">
        <f>IF($B440="","",Paramètres!$A$20)</f>
        <v/>
      </c>
      <c r="F440" s="21" t="str">
        <f>IF($B440="","",Paramètres!$B$20)</f>
        <v/>
      </c>
      <c r="G440" s="21" t="str">
        <f>IF('Classe CE2'!$B40="","",IF('Classe CE2'!D40="","",'Classe CE2'!D40))</f>
        <v/>
      </c>
      <c r="H440" s="77" t="str">
        <f>IF('Classe CE2'!$B40="","",IF('Classe CE2'!E40="","",'Classe CE2'!E40))</f>
        <v/>
      </c>
      <c r="I440" s="20" t="str">
        <f>IF('Classe CE2'!$B40="","",IF('Classe CE2'!F40="","",'Classe CE2'!F40))</f>
        <v/>
      </c>
      <c r="J440" s="20" t="str">
        <f>IF('Classe CE2'!$B40="","",IF('Classe CE2'!G40="","",'Classe CE2'!G40))</f>
        <v/>
      </c>
      <c r="K440" s="51" t="str">
        <f>IF('Classe CE2'!$B40="","",N('Classe CE2'!H40))</f>
        <v/>
      </c>
      <c r="L440" s="51" t="str">
        <f>IF('Classe CE2'!$B40="","",N('Classe CE2'!I40))</f>
        <v/>
      </c>
      <c r="M440" s="51" t="str">
        <f>IF('Classe CE2'!$B40="","",N('Classe CE2'!J40))</f>
        <v/>
      </c>
      <c r="N440" s="51" t="str">
        <f>IF('Classe CE2'!$B40="","",N('Classe CE2'!K40))</f>
        <v/>
      </c>
      <c r="O440" s="51" t="str">
        <f>IF('Classe CE2'!$B40="","",N('Classe CE2'!L40))</f>
        <v/>
      </c>
      <c r="P440" s="51" t="str">
        <f>IF('Classe CE2'!$B40="","",N('Classe CE2'!M40))</f>
        <v/>
      </c>
      <c r="Q440" s="21" t="str">
        <f>IF('Classe CE2'!$B40="","",IF('Classe CE2'!Q40="","",'Classe CE2'!Q40))</f>
        <v/>
      </c>
      <c r="R440" s="51" t="str">
        <f>IF('Classe CE2'!$B40="","",N('Classe CE2'!N40))</f>
        <v/>
      </c>
      <c r="S440" s="51" t="str">
        <f>IF('Classe CE2'!$B40="","",N('Classe CE2'!O40))</f>
        <v/>
      </c>
      <c r="T440" s="51" t="str">
        <f>IF('Classe CE2'!$B40="","",N('Classe CE2'!P40))</f>
        <v/>
      </c>
    </row>
    <row r="441">
      <c r="A441" s="16" t="str">
        <f>IF('Classe CE2'!$B41="","",IF('Classe CE2'!A41="","",'Classe CE2'!A41))</f>
        <v/>
      </c>
      <c r="B441" s="16" t="str">
        <f>IF('Classe CE2'!$B41="","",IF('Classe CE2'!B41="","",'Classe CE2'!B41))</f>
        <v/>
      </c>
      <c r="C441" s="16" t="str">
        <f>IF('Classe CE2'!$B41="","",IF('Classe CE2'!C41="","",'Classe CE2'!C41))</f>
        <v/>
      </c>
      <c r="D441" s="16" t="str">
        <f>IF($B441="","",C441&amp;" "&amp;B441&amp;" - "&amp;E441)</f>
        <v/>
      </c>
      <c r="E441" s="17" t="str">
        <f>IF($B441="","",Paramètres!$A$20)</f>
        <v/>
      </c>
      <c r="F441" s="17" t="str">
        <f>IF($B441="","",Paramètres!$B$20)</f>
        <v/>
      </c>
      <c r="G441" s="17" t="str">
        <f>IF('Classe CE2'!$B41="","",IF('Classe CE2'!D41="","",'Classe CE2'!D41))</f>
        <v/>
      </c>
      <c r="H441" s="78" t="str">
        <f>IF('Classe CE2'!$B41="","",IF('Classe CE2'!E41="","",'Classe CE2'!E41))</f>
        <v/>
      </c>
      <c r="I441" s="16" t="str">
        <f>IF('Classe CE2'!$B41="","",IF('Classe CE2'!F41="","",'Classe CE2'!F41))</f>
        <v/>
      </c>
      <c r="J441" s="16" t="str">
        <f>IF('Classe CE2'!$B41="","",IF('Classe CE2'!G41="","",'Classe CE2'!G41))</f>
        <v/>
      </c>
      <c r="K441" s="18" t="str">
        <f>IF('Classe CE2'!$B41="","",N('Classe CE2'!H41))</f>
        <v/>
      </c>
      <c r="L441" s="18" t="str">
        <f>IF('Classe CE2'!$B41="","",N('Classe CE2'!I41))</f>
        <v/>
      </c>
      <c r="M441" s="18" t="str">
        <f>IF('Classe CE2'!$B41="","",N('Classe CE2'!J41))</f>
        <v/>
      </c>
      <c r="N441" s="18" t="str">
        <f>IF('Classe CE2'!$B41="","",N('Classe CE2'!K41))</f>
        <v/>
      </c>
      <c r="O441" s="18" t="str">
        <f>IF('Classe CE2'!$B41="","",N('Classe CE2'!L41))</f>
        <v/>
      </c>
      <c r="P441" s="18" t="str">
        <f>IF('Classe CE2'!$B41="","",N('Classe CE2'!M41))</f>
        <v/>
      </c>
      <c r="Q441" s="17" t="str">
        <f>IF('Classe CE2'!$B41="","",IF('Classe CE2'!Q41="","",'Classe CE2'!Q41))</f>
        <v/>
      </c>
      <c r="R441" s="18" t="str">
        <f>IF('Classe CE2'!$B41="","",N('Classe CE2'!N41))</f>
        <v/>
      </c>
      <c r="S441" s="18" t="str">
        <f>IF('Classe CE2'!$B41="","",N('Classe CE2'!O41))</f>
        <v/>
      </c>
      <c r="T441" s="18" t="str">
        <f>IF('Classe CE2'!$B41="","",N('Classe CE2'!P41))</f>
        <v/>
      </c>
    </row>
    <row r="442">
      <c r="A442" s="20" t="str">
        <f>IF('Classe CE2'!$B42="","",IF('Classe CE2'!A42="","",'Classe CE2'!A42))</f>
        <v/>
      </c>
      <c r="B442" s="20" t="str">
        <f>IF('Classe CE2'!$B42="","",IF('Classe CE2'!B42="","",'Classe CE2'!B42))</f>
        <v/>
      </c>
      <c r="C442" s="20" t="str">
        <f>IF('Classe CE2'!$B42="","",IF('Classe CE2'!C42="","",'Classe CE2'!C42))</f>
        <v/>
      </c>
      <c r="D442" s="20" t="str">
        <f>IF($B442="","",C442&amp;" "&amp;B442&amp;" - "&amp;E442)</f>
        <v/>
      </c>
      <c r="E442" s="21" t="str">
        <f>IF($B442="","",Paramètres!$A$20)</f>
        <v/>
      </c>
      <c r="F442" s="21" t="str">
        <f>IF($B442="","",Paramètres!$B$20)</f>
        <v/>
      </c>
      <c r="G442" s="21" t="str">
        <f>IF('Classe CE2'!$B42="","",IF('Classe CE2'!D42="","",'Classe CE2'!D42))</f>
        <v/>
      </c>
      <c r="H442" s="77" t="str">
        <f>IF('Classe CE2'!$B42="","",IF('Classe CE2'!E42="","",'Classe CE2'!E42))</f>
        <v/>
      </c>
      <c r="I442" s="20" t="str">
        <f>IF('Classe CE2'!$B42="","",IF('Classe CE2'!F42="","",'Classe CE2'!F42))</f>
        <v/>
      </c>
      <c r="J442" s="20" t="str">
        <f>IF('Classe CE2'!$B42="","",IF('Classe CE2'!G42="","",'Classe CE2'!G42))</f>
        <v/>
      </c>
      <c r="K442" s="51" t="str">
        <f>IF('Classe CE2'!$B42="","",N('Classe CE2'!H42))</f>
        <v/>
      </c>
      <c r="L442" s="51" t="str">
        <f>IF('Classe CE2'!$B42="","",N('Classe CE2'!I42))</f>
        <v/>
      </c>
      <c r="M442" s="51" t="str">
        <f>IF('Classe CE2'!$B42="","",N('Classe CE2'!J42))</f>
        <v/>
      </c>
      <c r="N442" s="51" t="str">
        <f>IF('Classe CE2'!$B42="","",N('Classe CE2'!K42))</f>
        <v/>
      </c>
      <c r="O442" s="51" t="str">
        <f>IF('Classe CE2'!$B42="","",N('Classe CE2'!L42))</f>
        <v/>
      </c>
      <c r="P442" s="51" t="str">
        <f>IF('Classe CE2'!$B42="","",N('Classe CE2'!M42))</f>
        <v/>
      </c>
      <c r="Q442" s="21" t="str">
        <f>IF('Classe CE2'!$B42="","",IF('Classe CE2'!Q42="","",'Classe CE2'!Q42))</f>
        <v/>
      </c>
      <c r="R442" s="51" t="str">
        <f>IF('Classe CE2'!$B42="","",N('Classe CE2'!N42))</f>
        <v/>
      </c>
      <c r="S442" s="51" t="str">
        <f>IF('Classe CE2'!$B42="","",N('Classe CE2'!O42))</f>
        <v/>
      </c>
      <c r="T442" s="51" t="str">
        <f>IF('Classe CE2'!$B42="","",N('Classe CE2'!P42))</f>
        <v/>
      </c>
    </row>
    <row r="443">
      <c r="A443" s="16" t="str">
        <f>IF('Classe CE2'!$B43="","",IF('Classe CE2'!A43="","",'Classe CE2'!A43))</f>
        <v/>
      </c>
      <c r="B443" s="16" t="str">
        <f>IF('Classe CE2'!$B43="","",IF('Classe CE2'!B43="","",'Classe CE2'!B43))</f>
        <v/>
      </c>
      <c r="C443" s="16" t="str">
        <f>IF('Classe CE2'!$B43="","",IF('Classe CE2'!C43="","",'Classe CE2'!C43))</f>
        <v/>
      </c>
      <c r="D443" s="16" t="str">
        <f>IF($B443="","",C443&amp;" "&amp;B443&amp;" - "&amp;E443)</f>
        <v/>
      </c>
      <c r="E443" s="17" t="str">
        <f>IF($B443="","",Paramètres!$A$20)</f>
        <v/>
      </c>
      <c r="F443" s="17" t="str">
        <f>IF($B443="","",Paramètres!$B$20)</f>
        <v/>
      </c>
      <c r="G443" s="17" t="str">
        <f>IF('Classe CE2'!$B43="","",IF('Classe CE2'!D43="","",'Classe CE2'!D43))</f>
        <v/>
      </c>
      <c r="H443" s="78" t="str">
        <f>IF('Classe CE2'!$B43="","",IF('Classe CE2'!E43="","",'Classe CE2'!E43))</f>
        <v/>
      </c>
      <c r="I443" s="16" t="str">
        <f>IF('Classe CE2'!$B43="","",IF('Classe CE2'!F43="","",'Classe CE2'!F43))</f>
        <v/>
      </c>
      <c r="J443" s="16" t="str">
        <f>IF('Classe CE2'!$B43="","",IF('Classe CE2'!G43="","",'Classe CE2'!G43))</f>
        <v/>
      </c>
      <c r="K443" s="18" t="str">
        <f>IF('Classe CE2'!$B43="","",N('Classe CE2'!H43))</f>
        <v/>
      </c>
      <c r="L443" s="18" t="str">
        <f>IF('Classe CE2'!$B43="","",N('Classe CE2'!I43))</f>
        <v/>
      </c>
      <c r="M443" s="18" t="str">
        <f>IF('Classe CE2'!$B43="","",N('Classe CE2'!J43))</f>
        <v/>
      </c>
      <c r="N443" s="18" t="str">
        <f>IF('Classe CE2'!$B43="","",N('Classe CE2'!K43))</f>
        <v/>
      </c>
      <c r="O443" s="18" t="str">
        <f>IF('Classe CE2'!$B43="","",N('Classe CE2'!L43))</f>
        <v/>
      </c>
      <c r="P443" s="18" t="str">
        <f>IF('Classe CE2'!$B43="","",N('Classe CE2'!M43))</f>
        <v/>
      </c>
      <c r="Q443" s="17" t="str">
        <f>IF('Classe CE2'!$B43="","",IF('Classe CE2'!Q43="","",'Classe CE2'!Q43))</f>
        <v/>
      </c>
      <c r="R443" s="18" t="str">
        <f>IF('Classe CE2'!$B43="","",N('Classe CE2'!N43))</f>
        <v/>
      </c>
      <c r="S443" s="18" t="str">
        <f>IF('Classe CE2'!$B43="","",N('Classe CE2'!O43))</f>
        <v/>
      </c>
      <c r="T443" s="18" t="str">
        <f>IF('Classe CE2'!$B43="","",N('Classe CE2'!P43))</f>
        <v/>
      </c>
    </row>
    <row r="444">
      <c r="A444" s="20" t="str">
        <f>IF('Classe CE2'!$B44="","",IF('Classe CE2'!A44="","",'Classe CE2'!A44))</f>
        <v/>
      </c>
      <c r="B444" s="20" t="str">
        <f>IF('Classe CE2'!$B44="","",IF('Classe CE2'!B44="","",'Classe CE2'!B44))</f>
        <v/>
      </c>
      <c r="C444" s="20" t="str">
        <f>IF('Classe CE2'!$B44="","",IF('Classe CE2'!C44="","",'Classe CE2'!C44))</f>
        <v/>
      </c>
      <c r="D444" s="20" t="str">
        <f>IF($B444="","",C444&amp;" "&amp;B444&amp;" - "&amp;E444)</f>
        <v/>
      </c>
      <c r="E444" s="21" t="str">
        <f>IF($B444="","",Paramètres!$A$20)</f>
        <v/>
      </c>
      <c r="F444" s="21" t="str">
        <f>IF($B444="","",Paramètres!$B$20)</f>
        <v/>
      </c>
      <c r="G444" s="21" t="str">
        <f>IF('Classe CE2'!$B44="","",IF('Classe CE2'!D44="","",'Classe CE2'!D44))</f>
        <v/>
      </c>
      <c r="H444" s="77" t="str">
        <f>IF('Classe CE2'!$B44="","",IF('Classe CE2'!E44="","",'Classe CE2'!E44))</f>
        <v/>
      </c>
      <c r="I444" s="20" t="str">
        <f>IF('Classe CE2'!$B44="","",IF('Classe CE2'!F44="","",'Classe CE2'!F44))</f>
        <v/>
      </c>
      <c r="J444" s="20" t="str">
        <f>IF('Classe CE2'!$B44="","",IF('Classe CE2'!G44="","",'Classe CE2'!G44))</f>
        <v/>
      </c>
      <c r="K444" s="51" t="str">
        <f>IF('Classe CE2'!$B44="","",N('Classe CE2'!H44))</f>
        <v/>
      </c>
      <c r="L444" s="51" t="str">
        <f>IF('Classe CE2'!$B44="","",N('Classe CE2'!I44))</f>
        <v/>
      </c>
      <c r="M444" s="51" t="str">
        <f>IF('Classe CE2'!$B44="","",N('Classe CE2'!J44))</f>
        <v/>
      </c>
      <c r="N444" s="51" t="str">
        <f>IF('Classe CE2'!$B44="","",N('Classe CE2'!K44))</f>
        <v/>
      </c>
      <c r="O444" s="51" t="str">
        <f>IF('Classe CE2'!$B44="","",N('Classe CE2'!L44))</f>
        <v/>
      </c>
      <c r="P444" s="51" t="str">
        <f>IF('Classe CE2'!$B44="","",N('Classe CE2'!M44))</f>
        <v/>
      </c>
      <c r="Q444" s="21" t="str">
        <f>IF('Classe CE2'!$B44="","",IF('Classe CE2'!Q44="","",'Classe CE2'!Q44))</f>
        <v/>
      </c>
      <c r="R444" s="51" t="str">
        <f>IF('Classe CE2'!$B44="","",N('Classe CE2'!N44))</f>
        <v/>
      </c>
      <c r="S444" s="51" t="str">
        <f>IF('Classe CE2'!$B44="","",N('Classe CE2'!O44))</f>
        <v/>
      </c>
      <c r="T444" s="51" t="str">
        <f>IF('Classe CE2'!$B44="","",N('Classe CE2'!P44))</f>
        <v/>
      </c>
    </row>
    <row r="445">
      <c r="A445" s="16" t="str">
        <f>IF('Classe CE2'!$B45="","",IF('Classe CE2'!A45="","",'Classe CE2'!A45))</f>
        <v/>
      </c>
      <c r="B445" s="16" t="str">
        <f>IF('Classe CE2'!$B45="","",IF('Classe CE2'!B45="","",'Classe CE2'!B45))</f>
        <v/>
      </c>
      <c r="C445" s="16" t="str">
        <f>IF('Classe CE2'!$B45="","",IF('Classe CE2'!C45="","",'Classe CE2'!C45))</f>
        <v/>
      </c>
      <c r="D445" s="16" t="str">
        <f>IF($B445="","",C445&amp;" "&amp;B445&amp;" - "&amp;E445)</f>
        <v/>
      </c>
      <c r="E445" s="17" t="str">
        <f>IF($B445="","",Paramètres!$A$20)</f>
        <v/>
      </c>
      <c r="F445" s="17" t="str">
        <f>IF($B445="","",Paramètres!$B$20)</f>
        <v/>
      </c>
      <c r="G445" s="17" t="str">
        <f>IF('Classe CE2'!$B45="","",IF('Classe CE2'!D45="","",'Classe CE2'!D45))</f>
        <v/>
      </c>
      <c r="H445" s="78" t="str">
        <f>IF('Classe CE2'!$B45="","",IF('Classe CE2'!E45="","",'Classe CE2'!E45))</f>
        <v/>
      </c>
      <c r="I445" s="16" t="str">
        <f>IF('Classe CE2'!$B45="","",IF('Classe CE2'!F45="","",'Classe CE2'!F45))</f>
        <v/>
      </c>
      <c r="J445" s="16" t="str">
        <f>IF('Classe CE2'!$B45="","",IF('Classe CE2'!G45="","",'Classe CE2'!G45))</f>
        <v/>
      </c>
      <c r="K445" s="18" t="str">
        <f>IF('Classe CE2'!$B45="","",N('Classe CE2'!H45))</f>
        <v/>
      </c>
      <c r="L445" s="18" t="str">
        <f>IF('Classe CE2'!$B45="","",N('Classe CE2'!I45))</f>
        <v/>
      </c>
      <c r="M445" s="18" t="str">
        <f>IF('Classe CE2'!$B45="","",N('Classe CE2'!J45))</f>
        <v/>
      </c>
      <c r="N445" s="18" t="str">
        <f>IF('Classe CE2'!$B45="","",N('Classe CE2'!K45))</f>
        <v/>
      </c>
      <c r="O445" s="18" t="str">
        <f>IF('Classe CE2'!$B45="","",N('Classe CE2'!L45))</f>
        <v/>
      </c>
      <c r="P445" s="18" t="str">
        <f>IF('Classe CE2'!$B45="","",N('Classe CE2'!M45))</f>
        <v/>
      </c>
      <c r="Q445" s="17" t="str">
        <f>IF('Classe CE2'!$B45="","",IF('Classe CE2'!Q45="","",'Classe CE2'!Q45))</f>
        <v/>
      </c>
      <c r="R445" s="18" t="str">
        <f>IF('Classe CE2'!$B45="","",N('Classe CE2'!N45))</f>
        <v/>
      </c>
      <c r="S445" s="18" t="str">
        <f>IF('Classe CE2'!$B45="","",N('Classe CE2'!O45))</f>
        <v/>
      </c>
      <c r="T445" s="18" t="str">
        <f>IF('Classe CE2'!$B45="","",N('Classe CE2'!P45))</f>
        <v/>
      </c>
    </row>
    <row r="446">
      <c r="A446" s="20" t="str">
        <f>IF('Classe CE2'!$B46="","",IF('Classe CE2'!A46="","",'Classe CE2'!A46))</f>
        <v/>
      </c>
      <c r="B446" s="20" t="str">
        <f>IF('Classe CE2'!$B46="","",IF('Classe CE2'!B46="","",'Classe CE2'!B46))</f>
        <v/>
      </c>
      <c r="C446" s="20" t="str">
        <f>IF('Classe CE2'!$B46="","",IF('Classe CE2'!C46="","",'Classe CE2'!C46))</f>
        <v/>
      </c>
      <c r="D446" s="20" t="str">
        <f>IF($B446="","",C446&amp;" "&amp;B446&amp;" - "&amp;E446)</f>
        <v/>
      </c>
      <c r="E446" s="21" t="str">
        <f>IF($B446="","",Paramètres!$A$20)</f>
        <v/>
      </c>
      <c r="F446" s="21" t="str">
        <f>IF($B446="","",Paramètres!$B$20)</f>
        <v/>
      </c>
      <c r="G446" s="21" t="str">
        <f>IF('Classe CE2'!$B46="","",IF('Classe CE2'!D46="","",'Classe CE2'!D46))</f>
        <v/>
      </c>
      <c r="H446" s="77" t="str">
        <f>IF('Classe CE2'!$B46="","",IF('Classe CE2'!E46="","",'Classe CE2'!E46))</f>
        <v/>
      </c>
      <c r="I446" s="20" t="str">
        <f>IF('Classe CE2'!$B46="","",IF('Classe CE2'!F46="","",'Classe CE2'!F46))</f>
        <v/>
      </c>
      <c r="J446" s="20" t="str">
        <f>IF('Classe CE2'!$B46="","",IF('Classe CE2'!G46="","",'Classe CE2'!G46))</f>
        <v/>
      </c>
      <c r="K446" s="51" t="str">
        <f>IF('Classe CE2'!$B46="","",N('Classe CE2'!H46))</f>
        <v/>
      </c>
      <c r="L446" s="51" t="str">
        <f>IF('Classe CE2'!$B46="","",N('Classe CE2'!I46))</f>
        <v/>
      </c>
      <c r="M446" s="51" t="str">
        <f>IF('Classe CE2'!$B46="","",N('Classe CE2'!J46))</f>
        <v/>
      </c>
      <c r="N446" s="51" t="str">
        <f>IF('Classe CE2'!$B46="","",N('Classe CE2'!K46))</f>
        <v/>
      </c>
      <c r="O446" s="51" t="str">
        <f>IF('Classe CE2'!$B46="","",N('Classe CE2'!L46))</f>
        <v/>
      </c>
      <c r="P446" s="51" t="str">
        <f>IF('Classe CE2'!$B46="","",N('Classe CE2'!M46))</f>
        <v/>
      </c>
      <c r="Q446" s="21" t="str">
        <f>IF('Classe CE2'!$B46="","",IF('Classe CE2'!Q46="","",'Classe CE2'!Q46))</f>
        <v/>
      </c>
      <c r="R446" s="51" t="str">
        <f>IF('Classe CE2'!$B46="","",N('Classe CE2'!N46))</f>
        <v/>
      </c>
      <c r="S446" s="51" t="str">
        <f>IF('Classe CE2'!$B46="","",N('Classe CE2'!O46))</f>
        <v/>
      </c>
      <c r="T446" s="51" t="str">
        <f>IF('Classe CE2'!$B46="","",N('Classe CE2'!P46))</f>
        <v/>
      </c>
    </row>
    <row r="447">
      <c r="A447" s="16" t="str">
        <f>IF('Classe CE2'!$B47="","",IF('Classe CE2'!A47="","",'Classe CE2'!A47))</f>
        <v/>
      </c>
      <c r="B447" s="16" t="str">
        <f>IF('Classe CE2'!$B47="","",IF('Classe CE2'!B47="","",'Classe CE2'!B47))</f>
        <v/>
      </c>
      <c r="C447" s="16" t="str">
        <f>IF('Classe CE2'!$B47="","",IF('Classe CE2'!C47="","",'Classe CE2'!C47))</f>
        <v/>
      </c>
      <c r="D447" s="16" t="str">
        <f>IF($B447="","",C447&amp;" "&amp;B447&amp;" - "&amp;E447)</f>
        <v/>
      </c>
      <c r="E447" s="17" t="str">
        <f>IF($B447="","",Paramètres!$A$20)</f>
        <v/>
      </c>
      <c r="F447" s="17" t="str">
        <f>IF($B447="","",Paramètres!$B$20)</f>
        <v/>
      </c>
      <c r="G447" s="17" t="str">
        <f>IF('Classe CE2'!$B47="","",IF('Classe CE2'!D47="","",'Classe CE2'!D47))</f>
        <v/>
      </c>
      <c r="H447" s="78" t="str">
        <f>IF('Classe CE2'!$B47="","",IF('Classe CE2'!E47="","",'Classe CE2'!E47))</f>
        <v/>
      </c>
      <c r="I447" s="16" t="str">
        <f>IF('Classe CE2'!$B47="","",IF('Classe CE2'!F47="","",'Classe CE2'!F47))</f>
        <v/>
      </c>
      <c r="J447" s="16" t="str">
        <f>IF('Classe CE2'!$B47="","",IF('Classe CE2'!G47="","",'Classe CE2'!G47))</f>
        <v/>
      </c>
      <c r="K447" s="18" t="str">
        <f>IF('Classe CE2'!$B47="","",N('Classe CE2'!H47))</f>
        <v/>
      </c>
      <c r="L447" s="18" t="str">
        <f>IF('Classe CE2'!$B47="","",N('Classe CE2'!I47))</f>
        <v/>
      </c>
      <c r="M447" s="18" t="str">
        <f>IF('Classe CE2'!$B47="","",N('Classe CE2'!J47))</f>
        <v/>
      </c>
      <c r="N447" s="18" t="str">
        <f>IF('Classe CE2'!$B47="","",N('Classe CE2'!K47))</f>
        <v/>
      </c>
      <c r="O447" s="18" t="str">
        <f>IF('Classe CE2'!$B47="","",N('Classe CE2'!L47))</f>
        <v/>
      </c>
      <c r="P447" s="18" t="str">
        <f>IF('Classe CE2'!$B47="","",N('Classe CE2'!M47))</f>
        <v/>
      </c>
      <c r="Q447" s="17" t="str">
        <f>IF('Classe CE2'!$B47="","",IF('Classe CE2'!Q47="","",'Classe CE2'!Q47))</f>
        <v/>
      </c>
      <c r="R447" s="18" t="str">
        <f>IF('Classe CE2'!$B47="","",N('Classe CE2'!N47))</f>
        <v/>
      </c>
      <c r="S447" s="18" t="str">
        <f>IF('Classe CE2'!$B47="","",N('Classe CE2'!O47))</f>
        <v/>
      </c>
      <c r="T447" s="18" t="str">
        <f>IF('Classe CE2'!$B47="","",N('Classe CE2'!P47))</f>
        <v/>
      </c>
    </row>
    <row r="448">
      <c r="A448" s="20" t="str">
        <f>IF('Classe CE2'!$B48="","",IF('Classe CE2'!A48="","",'Classe CE2'!A48))</f>
        <v/>
      </c>
      <c r="B448" s="20" t="str">
        <f>IF('Classe CE2'!$B48="","",IF('Classe CE2'!B48="","",'Classe CE2'!B48))</f>
        <v/>
      </c>
      <c r="C448" s="20" t="str">
        <f>IF('Classe CE2'!$B48="","",IF('Classe CE2'!C48="","",'Classe CE2'!C48))</f>
        <v/>
      </c>
      <c r="D448" s="20" t="str">
        <f>IF($B448="","",C448&amp;" "&amp;B448&amp;" - "&amp;E448)</f>
        <v/>
      </c>
      <c r="E448" s="21" t="str">
        <f>IF($B448="","",Paramètres!$A$20)</f>
        <v/>
      </c>
      <c r="F448" s="21" t="str">
        <f>IF($B448="","",Paramètres!$B$20)</f>
        <v/>
      </c>
      <c r="G448" s="21" t="str">
        <f>IF('Classe CE2'!$B48="","",IF('Classe CE2'!D48="","",'Classe CE2'!D48))</f>
        <v/>
      </c>
      <c r="H448" s="77" t="str">
        <f>IF('Classe CE2'!$B48="","",IF('Classe CE2'!E48="","",'Classe CE2'!E48))</f>
        <v/>
      </c>
      <c r="I448" s="20" t="str">
        <f>IF('Classe CE2'!$B48="","",IF('Classe CE2'!F48="","",'Classe CE2'!F48))</f>
        <v/>
      </c>
      <c r="J448" s="20" t="str">
        <f>IF('Classe CE2'!$B48="","",IF('Classe CE2'!G48="","",'Classe CE2'!G48))</f>
        <v/>
      </c>
      <c r="K448" s="51" t="str">
        <f>IF('Classe CE2'!$B48="","",N('Classe CE2'!H48))</f>
        <v/>
      </c>
      <c r="L448" s="51" t="str">
        <f>IF('Classe CE2'!$B48="","",N('Classe CE2'!I48))</f>
        <v/>
      </c>
      <c r="M448" s="51" t="str">
        <f>IF('Classe CE2'!$B48="","",N('Classe CE2'!J48))</f>
        <v/>
      </c>
      <c r="N448" s="51" t="str">
        <f>IF('Classe CE2'!$B48="","",N('Classe CE2'!K48))</f>
        <v/>
      </c>
      <c r="O448" s="51" t="str">
        <f>IF('Classe CE2'!$B48="","",N('Classe CE2'!L48))</f>
        <v/>
      </c>
      <c r="P448" s="51" t="str">
        <f>IF('Classe CE2'!$B48="","",N('Classe CE2'!M48))</f>
        <v/>
      </c>
      <c r="Q448" s="21" t="str">
        <f>IF('Classe CE2'!$B48="","",IF('Classe CE2'!Q48="","",'Classe CE2'!Q48))</f>
        <v/>
      </c>
      <c r="R448" s="51" t="str">
        <f>IF('Classe CE2'!$B48="","",N('Classe CE2'!N48))</f>
        <v/>
      </c>
      <c r="S448" s="51" t="str">
        <f>IF('Classe CE2'!$B48="","",N('Classe CE2'!O48))</f>
        <v/>
      </c>
      <c r="T448" s="51" t="str">
        <f>IF('Classe CE2'!$B48="","",N('Classe CE2'!P48))</f>
        <v/>
      </c>
    </row>
    <row r="449">
      <c r="A449" s="16" t="str">
        <f>IF('Classe CE2'!$B49="","",IF('Classe CE2'!A49="","",'Classe CE2'!A49))</f>
        <v/>
      </c>
      <c r="B449" s="16" t="str">
        <f>IF('Classe CE2'!$B49="","",IF('Classe CE2'!B49="","",'Classe CE2'!B49))</f>
        <v/>
      </c>
      <c r="C449" s="16" t="str">
        <f>IF('Classe CE2'!$B49="","",IF('Classe CE2'!C49="","",'Classe CE2'!C49))</f>
        <v/>
      </c>
      <c r="D449" s="16" t="str">
        <f>IF($B449="","",C449&amp;" "&amp;B449&amp;" - "&amp;E449)</f>
        <v/>
      </c>
      <c r="E449" s="17" t="str">
        <f>IF($B449="","",Paramètres!$A$20)</f>
        <v/>
      </c>
      <c r="F449" s="17" t="str">
        <f>IF($B449="","",Paramètres!$B$20)</f>
        <v/>
      </c>
      <c r="G449" s="17" t="str">
        <f>IF('Classe CE2'!$B49="","",IF('Classe CE2'!D49="","",'Classe CE2'!D49))</f>
        <v/>
      </c>
      <c r="H449" s="78" t="str">
        <f>IF('Classe CE2'!$B49="","",IF('Classe CE2'!E49="","",'Classe CE2'!E49))</f>
        <v/>
      </c>
      <c r="I449" s="16" t="str">
        <f>IF('Classe CE2'!$B49="","",IF('Classe CE2'!F49="","",'Classe CE2'!F49))</f>
        <v/>
      </c>
      <c r="J449" s="16" t="str">
        <f>IF('Classe CE2'!$B49="","",IF('Classe CE2'!G49="","",'Classe CE2'!G49))</f>
        <v/>
      </c>
      <c r="K449" s="18" t="str">
        <f>IF('Classe CE2'!$B49="","",N('Classe CE2'!H49))</f>
        <v/>
      </c>
      <c r="L449" s="18" t="str">
        <f>IF('Classe CE2'!$B49="","",N('Classe CE2'!I49))</f>
        <v/>
      </c>
      <c r="M449" s="18" t="str">
        <f>IF('Classe CE2'!$B49="","",N('Classe CE2'!J49))</f>
        <v/>
      </c>
      <c r="N449" s="18" t="str">
        <f>IF('Classe CE2'!$B49="","",N('Classe CE2'!K49))</f>
        <v/>
      </c>
      <c r="O449" s="18" t="str">
        <f>IF('Classe CE2'!$B49="","",N('Classe CE2'!L49))</f>
        <v/>
      </c>
      <c r="P449" s="18" t="str">
        <f>IF('Classe CE2'!$B49="","",N('Classe CE2'!M49))</f>
        <v/>
      </c>
      <c r="Q449" s="17" t="str">
        <f>IF('Classe CE2'!$B49="","",IF('Classe CE2'!Q49="","",'Classe CE2'!Q49))</f>
        <v/>
      </c>
      <c r="R449" s="18" t="str">
        <f>IF('Classe CE2'!$B49="","",N('Classe CE2'!N49))</f>
        <v/>
      </c>
      <c r="S449" s="18" t="str">
        <f>IF('Classe CE2'!$B49="","",N('Classe CE2'!O49))</f>
        <v/>
      </c>
      <c r="T449" s="18" t="str">
        <f>IF('Classe CE2'!$B49="","",N('Classe CE2'!P49))</f>
        <v/>
      </c>
    </row>
    <row r="450">
      <c r="A450" s="20" t="str">
        <f>IF('Classe CE2'!$B50="","",IF('Classe CE2'!A50="","",'Classe CE2'!A50))</f>
        <v/>
      </c>
      <c r="B450" s="20" t="str">
        <f>IF('Classe CE2'!$B50="","",IF('Classe CE2'!B50="","",'Classe CE2'!B50))</f>
        <v/>
      </c>
      <c r="C450" s="20" t="str">
        <f>IF('Classe CE2'!$B50="","",IF('Classe CE2'!C50="","",'Classe CE2'!C50))</f>
        <v/>
      </c>
      <c r="D450" s="20" t="str">
        <f>IF($B450="","",C450&amp;" "&amp;B450&amp;" - "&amp;E450)</f>
        <v/>
      </c>
      <c r="E450" s="21" t="str">
        <f>IF($B450="","",Paramètres!$A$20)</f>
        <v/>
      </c>
      <c r="F450" s="21" t="str">
        <f>IF($B450="","",Paramètres!$B$20)</f>
        <v/>
      </c>
      <c r="G450" s="21" t="str">
        <f>IF('Classe CE2'!$B50="","",IF('Classe CE2'!D50="","",'Classe CE2'!D50))</f>
        <v/>
      </c>
      <c r="H450" s="77" t="str">
        <f>IF('Classe CE2'!$B50="","",IF('Classe CE2'!E50="","",'Classe CE2'!E50))</f>
        <v/>
      </c>
      <c r="I450" s="20" t="str">
        <f>IF('Classe CE2'!$B50="","",IF('Classe CE2'!F50="","",'Classe CE2'!F50))</f>
        <v/>
      </c>
      <c r="J450" s="20" t="str">
        <f>IF('Classe CE2'!$B50="","",IF('Classe CE2'!G50="","",'Classe CE2'!G50))</f>
        <v/>
      </c>
      <c r="K450" s="51" t="str">
        <f>IF('Classe CE2'!$B50="","",N('Classe CE2'!H50))</f>
        <v/>
      </c>
      <c r="L450" s="51" t="str">
        <f>IF('Classe CE2'!$B50="","",N('Classe CE2'!I50))</f>
        <v/>
      </c>
      <c r="M450" s="51" t="str">
        <f>IF('Classe CE2'!$B50="","",N('Classe CE2'!J50))</f>
        <v/>
      </c>
      <c r="N450" s="51" t="str">
        <f>IF('Classe CE2'!$B50="","",N('Classe CE2'!K50))</f>
        <v/>
      </c>
      <c r="O450" s="51" t="str">
        <f>IF('Classe CE2'!$B50="","",N('Classe CE2'!L50))</f>
        <v/>
      </c>
      <c r="P450" s="51" t="str">
        <f>IF('Classe CE2'!$B50="","",N('Classe CE2'!M50))</f>
        <v/>
      </c>
      <c r="Q450" s="21" t="str">
        <f>IF('Classe CE2'!$B50="","",IF('Classe CE2'!Q50="","",'Classe CE2'!Q50))</f>
        <v/>
      </c>
      <c r="R450" s="51" t="str">
        <f>IF('Classe CE2'!$B50="","",N('Classe CE2'!N50))</f>
        <v/>
      </c>
      <c r="S450" s="51" t="str">
        <f>IF('Classe CE2'!$B50="","",N('Classe CE2'!O50))</f>
        <v/>
      </c>
      <c r="T450" s="51" t="str">
        <f>IF('Classe CE2'!$B50="","",N('Classe CE2'!P50))</f>
        <v/>
      </c>
    </row>
    <row r="451">
      <c r="A451" s="16" t="str">
        <f>IF('Classe CE2'!$B51="","",IF('Classe CE2'!A51="","",'Classe CE2'!A51))</f>
        <v/>
      </c>
      <c r="B451" s="16" t="str">
        <f>IF('Classe CE2'!$B51="","",IF('Classe CE2'!B51="","",'Classe CE2'!B51))</f>
        <v/>
      </c>
      <c r="C451" s="16" t="str">
        <f>IF('Classe CE2'!$B51="","",IF('Classe CE2'!C51="","",'Classe CE2'!C51))</f>
        <v/>
      </c>
      <c r="D451" s="16" t="str">
        <f>IF($B451="","",C451&amp;" "&amp;B451&amp;" - "&amp;E451)</f>
        <v/>
      </c>
      <c r="E451" s="17" t="str">
        <f>IF($B451="","",Paramètres!$A$20)</f>
        <v/>
      </c>
      <c r="F451" s="17" t="str">
        <f>IF($B451="","",Paramètres!$B$20)</f>
        <v/>
      </c>
      <c r="G451" s="17" t="str">
        <f>IF('Classe CE2'!$B51="","",IF('Classe CE2'!D51="","",'Classe CE2'!D51))</f>
        <v/>
      </c>
      <c r="H451" s="78" t="str">
        <f>IF('Classe CE2'!$B51="","",IF('Classe CE2'!E51="","",'Classe CE2'!E51))</f>
        <v/>
      </c>
      <c r="I451" s="16" t="str">
        <f>IF('Classe CE2'!$B51="","",IF('Classe CE2'!F51="","",'Classe CE2'!F51))</f>
        <v/>
      </c>
      <c r="J451" s="16" t="str">
        <f>IF('Classe CE2'!$B51="","",IF('Classe CE2'!G51="","",'Classe CE2'!G51))</f>
        <v/>
      </c>
      <c r="K451" s="18" t="str">
        <f>IF('Classe CE2'!$B51="","",N('Classe CE2'!H51))</f>
        <v/>
      </c>
      <c r="L451" s="18" t="str">
        <f>IF('Classe CE2'!$B51="","",N('Classe CE2'!I51))</f>
        <v/>
      </c>
      <c r="M451" s="18" t="str">
        <f>IF('Classe CE2'!$B51="","",N('Classe CE2'!J51))</f>
        <v/>
      </c>
      <c r="N451" s="18" t="str">
        <f>IF('Classe CE2'!$B51="","",N('Classe CE2'!K51))</f>
        <v/>
      </c>
      <c r="O451" s="18" t="str">
        <f>IF('Classe CE2'!$B51="","",N('Classe CE2'!L51))</f>
        <v/>
      </c>
      <c r="P451" s="18" t="str">
        <f>IF('Classe CE2'!$B51="","",N('Classe CE2'!M51))</f>
        <v/>
      </c>
      <c r="Q451" s="17" t="str">
        <f>IF('Classe CE2'!$B51="","",IF('Classe CE2'!Q51="","",'Classe CE2'!Q51))</f>
        <v/>
      </c>
      <c r="R451" s="18" t="str">
        <f>IF('Classe CE2'!$B51="","",N('Classe CE2'!N51))</f>
        <v/>
      </c>
      <c r="S451" s="18" t="str">
        <f>IF('Classe CE2'!$B51="","",N('Classe CE2'!O51))</f>
        <v/>
      </c>
      <c r="T451" s="18" t="str">
        <f>IF('Classe CE2'!$B51="","",N('Classe CE2'!P51))</f>
        <v/>
      </c>
    </row>
    <row r="452">
      <c r="A452" s="20" t="str">
        <f>IF('Classe CE2'!$B52="","",IF('Classe CE2'!A52="","",'Classe CE2'!A52))</f>
        <v/>
      </c>
      <c r="B452" s="20" t="str">
        <f>IF('Classe CE2'!$B52="","",IF('Classe CE2'!B52="","",'Classe CE2'!B52))</f>
        <v/>
      </c>
      <c r="C452" s="20" t="str">
        <f>IF('Classe CE2'!$B52="","",IF('Classe CE2'!C52="","",'Classe CE2'!C52))</f>
        <v/>
      </c>
      <c r="D452" s="20" t="str">
        <f>IF($B452="","",C452&amp;" "&amp;B452&amp;" - "&amp;E452)</f>
        <v/>
      </c>
      <c r="E452" s="21" t="str">
        <f>IF($B452="","",Paramètres!$A$20)</f>
        <v/>
      </c>
      <c r="F452" s="21" t="str">
        <f>IF($B452="","",Paramètres!$B$20)</f>
        <v/>
      </c>
      <c r="G452" s="21" t="str">
        <f>IF('Classe CE2'!$B52="","",IF('Classe CE2'!D52="","",'Classe CE2'!D52))</f>
        <v/>
      </c>
      <c r="H452" s="77" t="str">
        <f>IF('Classe CE2'!$B52="","",IF('Classe CE2'!E52="","",'Classe CE2'!E52))</f>
        <v/>
      </c>
      <c r="I452" s="20" t="str">
        <f>IF('Classe CE2'!$B52="","",IF('Classe CE2'!F52="","",'Classe CE2'!F52))</f>
        <v/>
      </c>
      <c r="J452" s="20" t="str">
        <f>IF('Classe CE2'!$B52="","",IF('Classe CE2'!G52="","",'Classe CE2'!G52))</f>
        <v/>
      </c>
      <c r="K452" s="51" t="str">
        <f>IF('Classe CE2'!$B52="","",N('Classe CE2'!H52))</f>
        <v/>
      </c>
      <c r="L452" s="51" t="str">
        <f>IF('Classe CE2'!$B52="","",N('Classe CE2'!I52))</f>
        <v/>
      </c>
      <c r="M452" s="51" t="str">
        <f>IF('Classe CE2'!$B52="","",N('Classe CE2'!J52))</f>
        <v/>
      </c>
      <c r="N452" s="51" t="str">
        <f>IF('Classe CE2'!$B52="","",N('Classe CE2'!K52))</f>
        <v/>
      </c>
      <c r="O452" s="51" t="str">
        <f>IF('Classe CE2'!$B52="","",N('Classe CE2'!L52))</f>
        <v/>
      </c>
      <c r="P452" s="51" t="str">
        <f>IF('Classe CE2'!$B52="","",N('Classe CE2'!M52))</f>
        <v/>
      </c>
      <c r="Q452" s="21" t="str">
        <f>IF('Classe CE2'!$B52="","",IF('Classe CE2'!Q52="","",'Classe CE2'!Q52))</f>
        <v/>
      </c>
      <c r="R452" s="51" t="str">
        <f>IF('Classe CE2'!$B52="","",N('Classe CE2'!N52))</f>
        <v/>
      </c>
      <c r="S452" s="51" t="str">
        <f>IF('Classe CE2'!$B52="","",N('Classe CE2'!O52))</f>
        <v/>
      </c>
      <c r="T452" s="51" t="str">
        <f>IF('Classe CE2'!$B52="","",N('Classe CE2'!P52))</f>
        <v/>
      </c>
    </row>
    <row r="453">
      <c r="A453" s="16" t="str">
        <f>IF('Classe CE2'!$B53="","",IF('Classe CE2'!A53="","",'Classe CE2'!A53))</f>
        <v/>
      </c>
      <c r="B453" s="16" t="str">
        <f>IF('Classe CE2'!$B53="","",IF('Classe CE2'!B53="","",'Classe CE2'!B53))</f>
        <v/>
      </c>
      <c r="C453" s="16" t="str">
        <f>IF('Classe CE2'!$B53="","",IF('Classe CE2'!C53="","",'Classe CE2'!C53))</f>
        <v/>
      </c>
      <c r="D453" s="16" t="str">
        <f>IF($B453="","",C453&amp;" "&amp;B453&amp;" - "&amp;E453)</f>
        <v/>
      </c>
      <c r="E453" s="17" t="str">
        <f>IF($B453="","",Paramètres!$A$20)</f>
        <v/>
      </c>
      <c r="F453" s="17" t="str">
        <f>IF($B453="","",Paramètres!$B$20)</f>
        <v/>
      </c>
      <c r="G453" s="17" t="str">
        <f>IF('Classe CE2'!$B53="","",IF('Classe CE2'!D53="","",'Classe CE2'!D53))</f>
        <v/>
      </c>
      <c r="H453" s="78" t="str">
        <f>IF('Classe CE2'!$B53="","",IF('Classe CE2'!E53="","",'Classe CE2'!E53))</f>
        <v/>
      </c>
      <c r="I453" s="16" t="str">
        <f>IF('Classe CE2'!$B53="","",IF('Classe CE2'!F53="","",'Classe CE2'!F53))</f>
        <v/>
      </c>
      <c r="J453" s="16" t="str">
        <f>IF('Classe CE2'!$B53="","",IF('Classe CE2'!G53="","",'Classe CE2'!G53))</f>
        <v/>
      </c>
      <c r="K453" s="18" t="str">
        <f>IF('Classe CE2'!$B53="","",N('Classe CE2'!H53))</f>
        <v/>
      </c>
      <c r="L453" s="18" t="str">
        <f>IF('Classe CE2'!$B53="","",N('Classe CE2'!I53))</f>
        <v/>
      </c>
      <c r="M453" s="18" t="str">
        <f>IF('Classe CE2'!$B53="","",N('Classe CE2'!J53))</f>
        <v/>
      </c>
      <c r="N453" s="18" t="str">
        <f>IF('Classe CE2'!$B53="","",N('Classe CE2'!K53))</f>
        <v/>
      </c>
      <c r="O453" s="18" t="str">
        <f>IF('Classe CE2'!$B53="","",N('Classe CE2'!L53))</f>
        <v/>
      </c>
      <c r="P453" s="18" t="str">
        <f>IF('Classe CE2'!$B53="","",N('Classe CE2'!M53))</f>
        <v/>
      </c>
      <c r="Q453" s="17" t="str">
        <f>IF('Classe CE2'!$B53="","",IF('Classe CE2'!Q53="","",'Classe CE2'!Q53))</f>
        <v/>
      </c>
      <c r="R453" s="18" t="str">
        <f>IF('Classe CE2'!$B53="","",N('Classe CE2'!N53))</f>
        <v/>
      </c>
      <c r="S453" s="18" t="str">
        <f>IF('Classe CE2'!$B53="","",N('Classe CE2'!O53))</f>
        <v/>
      </c>
      <c r="T453" s="18" t="str">
        <f>IF('Classe CE2'!$B53="","",N('Classe CE2'!P53))</f>
        <v/>
      </c>
    </row>
    <row r="454">
      <c r="A454" s="20" t="str">
        <f>IF('Classe CE2'!$B54="","",IF('Classe CE2'!A54="","",'Classe CE2'!A54))</f>
        <v/>
      </c>
      <c r="B454" s="20" t="str">
        <f>IF('Classe CE2'!$B54="","",IF('Classe CE2'!B54="","",'Classe CE2'!B54))</f>
        <v/>
      </c>
      <c r="C454" s="20" t="str">
        <f>IF('Classe CE2'!$B54="","",IF('Classe CE2'!C54="","",'Classe CE2'!C54))</f>
        <v/>
      </c>
      <c r="D454" s="20" t="str">
        <f>IF($B454="","",C454&amp;" "&amp;B454&amp;" - "&amp;E454)</f>
        <v/>
      </c>
      <c r="E454" s="21" t="str">
        <f>IF($B454="","",Paramètres!$A$20)</f>
        <v/>
      </c>
      <c r="F454" s="21" t="str">
        <f>IF($B454="","",Paramètres!$B$20)</f>
        <v/>
      </c>
      <c r="G454" s="21" t="str">
        <f>IF('Classe CE2'!$B54="","",IF('Classe CE2'!D54="","",'Classe CE2'!D54))</f>
        <v/>
      </c>
      <c r="H454" s="77" t="str">
        <f>IF('Classe CE2'!$B54="","",IF('Classe CE2'!E54="","",'Classe CE2'!E54))</f>
        <v/>
      </c>
      <c r="I454" s="20" t="str">
        <f>IF('Classe CE2'!$B54="","",IF('Classe CE2'!F54="","",'Classe CE2'!F54))</f>
        <v/>
      </c>
      <c r="J454" s="20" t="str">
        <f>IF('Classe CE2'!$B54="","",IF('Classe CE2'!G54="","",'Classe CE2'!G54))</f>
        <v/>
      </c>
      <c r="K454" s="51" t="str">
        <f>IF('Classe CE2'!$B54="","",N('Classe CE2'!H54))</f>
        <v/>
      </c>
      <c r="L454" s="51" t="str">
        <f>IF('Classe CE2'!$B54="","",N('Classe CE2'!I54))</f>
        <v/>
      </c>
      <c r="M454" s="51" t="str">
        <f>IF('Classe CE2'!$B54="","",N('Classe CE2'!J54))</f>
        <v/>
      </c>
      <c r="N454" s="51" t="str">
        <f>IF('Classe CE2'!$B54="","",N('Classe CE2'!K54))</f>
        <v/>
      </c>
      <c r="O454" s="51" t="str">
        <f>IF('Classe CE2'!$B54="","",N('Classe CE2'!L54))</f>
        <v/>
      </c>
      <c r="P454" s="51" t="str">
        <f>IF('Classe CE2'!$B54="","",N('Classe CE2'!M54))</f>
        <v/>
      </c>
      <c r="Q454" s="21" t="str">
        <f>IF('Classe CE2'!$B54="","",IF('Classe CE2'!Q54="","",'Classe CE2'!Q54))</f>
        <v/>
      </c>
      <c r="R454" s="51" t="str">
        <f>IF('Classe CE2'!$B54="","",N('Classe CE2'!N54))</f>
        <v/>
      </c>
      <c r="S454" s="51" t="str">
        <f>IF('Classe CE2'!$B54="","",N('Classe CE2'!O54))</f>
        <v/>
      </c>
      <c r="T454" s="51" t="str">
        <f>IF('Classe CE2'!$B54="","",N('Classe CE2'!P54))</f>
        <v/>
      </c>
    </row>
    <row r="455">
      <c r="A455" s="16" t="str">
        <f>IF('Classe CE2'!$B55="","",IF('Classe CE2'!A55="","",'Classe CE2'!A55))</f>
        <v/>
      </c>
      <c r="B455" s="16" t="str">
        <f>IF('Classe CE2'!$B55="","",IF('Classe CE2'!B55="","",'Classe CE2'!B55))</f>
        <v/>
      </c>
      <c r="C455" s="16" t="str">
        <f>IF('Classe CE2'!$B55="","",IF('Classe CE2'!C55="","",'Classe CE2'!C55))</f>
        <v/>
      </c>
      <c r="D455" s="16" t="str">
        <f>IF($B455="","",C455&amp;" "&amp;B455&amp;" - "&amp;E455)</f>
        <v/>
      </c>
      <c r="E455" s="17" t="str">
        <f>IF($B455="","",Paramètres!$A$20)</f>
        <v/>
      </c>
      <c r="F455" s="17" t="str">
        <f>IF($B455="","",Paramètres!$B$20)</f>
        <v/>
      </c>
      <c r="G455" s="17" t="str">
        <f>IF('Classe CE2'!$B55="","",IF('Classe CE2'!D55="","",'Classe CE2'!D55))</f>
        <v/>
      </c>
      <c r="H455" s="78" t="str">
        <f>IF('Classe CE2'!$B55="","",IF('Classe CE2'!E55="","",'Classe CE2'!E55))</f>
        <v/>
      </c>
      <c r="I455" s="16" t="str">
        <f>IF('Classe CE2'!$B55="","",IF('Classe CE2'!F55="","",'Classe CE2'!F55))</f>
        <v/>
      </c>
      <c r="J455" s="16" t="str">
        <f>IF('Classe CE2'!$B55="","",IF('Classe CE2'!G55="","",'Classe CE2'!G55))</f>
        <v/>
      </c>
      <c r="K455" s="18" t="str">
        <f>IF('Classe CE2'!$B55="","",N('Classe CE2'!H55))</f>
        <v/>
      </c>
      <c r="L455" s="18" t="str">
        <f>IF('Classe CE2'!$B55="","",N('Classe CE2'!I55))</f>
        <v/>
      </c>
      <c r="M455" s="18" t="str">
        <f>IF('Classe CE2'!$B55="","",N('Classe CE2'!J55))</f>
        <v/>
      </c>
      <c r="N455" s="18" t="str">
        <f>IF('Classe CE2'!$B55="","",N('Classe CE2'!K55))</f>
        <v/>
      </c>
      <c r="O455" s="18" t="str">
        <f>IF('Classe CE2'!$B55="","",N('Classe CE2'!L55))</f>
        <v/>
      </c>
      <c r="P455" s="18" t="str">
        <f>IF('Classe CE2'!$B55="","",N('Classe CE2'!M55))</f>
        <v/>
      </c>
      <c r="Q455" s="17" t="str">
        <f>IF('Classe CE2'!$B55="","",IF('Classe CE2'!Q55="","",'Classe CE2'!Q55))</f>
        <v/>
      </c>
      <c r="R455" s="18" t="str">
        <f>IF('Classe CE2'!$B55="","",N('Classe CE2'!N55))</f>
        <v/>
      </c>
      <c r="S455" s="18" t="str">
        <f>IF('Classe CE2'!$B55="","",N('Classe CE2'!O55))</f>
        <v/>
      </c>
      <c r="T455" s="18" t="str">
        <f>IF('Classe CE2'!$B55="","",N('Classe CE2'!P55))</f>
        <v/>
      </c>
    </row>
    <row r="456">
      <c r="A456" s="20" t="str">
        <f>IF('Classe CE2'!$B56="","",IF('Classe CE2'!A56="","",'Classe CE2'!A56))</f>
        <v/>
      </c>
      <c r="B456" s="20" t="str">
        <f>IF('Classe CE2'!$B56="","",IF('Classe CE2'!B56="","",'Classe CE2'!B56))</f>
        <v/>
      </c>
      <c r="C456" s="20" t="str">
        <f>IF('Classe CE2'!$B56="","",IF('Classe CE2'!C56="","",'Classe CE2'!C56))</f>
        <v/>
      </c>
      <c r="D456" s="20" t="str">
        <f>IF($B456="","",C456&amp;" "&amp;B456&amp;" - "&amp;E456)</f>
        <v/>
      </c>
      <c r="E456" s="21" t="str">
        <f>IF($B456="","",Paramètres!$A$20)</f>
        <v/>
      </c>
      <c r="F456" s="21" t="str">
        <f>IF($B456="","",Paramètres!$B$20)</f>
        <v/>
      </c>
      <c r="G456" s="21" t="str">
        <f>IF('Classe CE2'!$B56="","",IF('Classe CE2'!D56="","",'Classe CE2'!D56))</f>
        <v/>
      </c>
      <c r="H456" s="77" t="str">
        <f>IF('Classe CE2'!$B56="","",IF('Classe CE2'!E56="","",'Classe CE2'!E56))</f>
        <v/>
      </c>
      <c r="I456" s="20" t="str">
        <f>IF('Classe CE2'!$B56="","",IF('Classe CE2'!F56="","",'Classe CE2'!F56))</f>
        <v/>
      </c>
      <c r="J456" s="20" t="str">
        <f>IF('Classe CE2'!$B56="","",IF('Classe CE2'!G56="","",'Classe CE2'!G56))</f>
        <v/>
      </c>
      <c r="K456" s="51" t="str">
        <f>IF('Classe CE2'!$B56="","",N('Classe CE2'!H56))</f>
        <v/>
      </c>
      <c r="L456" s="51" t="str">
        <f>IF('Classe CE2'!$B56="","",N('Classe CE2'!I56))</f>
        <v/>
      </c>
      <c r="M456" s="51" t="str">
        <f>IF('Classe CE2'!$B56="","",N('Classe CE2'!J56))</f>
        <v/>
      </c>
      <c r="N456" s="51" t="str">
        <f>IF('Classe CE2'!$B56="","",N('Classe CE2'!K56))</f>
        <v/>
      </c>
      <c r="O456" s="51" t="str">
        <f>IF('Classe CE2'!$B56="","",N('Classe CE2'!L56))</f>
        <v/>
      </c>
      <c r="P456" s="51" t="str">
        <f>IF('Classe CE2'!$B56="","",N('Classe CE2'!M56))</f>
        <v/>
      </c>
      <c r="Q456" s="21" t="str">
        <f>IF('Classe CE2'!$B56="","",IF('Classe CE2'!Q56="","",'Classe CE2'!Q56))</f>
        <v/>
      </c>
      <c r="R456" s="51" t="str">
        <f>IF('Classe CE2'!$B56="","",N('Classe CE2'!N56))</f>
        <v/>
      </c>
      <c r="S456" s="51" t="str">
        <f>IF('Classe CE2'!$B56="","",N('Classe CE2'!O56))</f>
        <v/>
      </c>
      <c r="T456" s="51" t="str">
        <f>IF('Classe CE2'!$B56="","",N('Classe CE2'!P56))</f>
        <v/>
      </c>
    </row>
    <row r="457">
      <c r="A457" s="16" t="str">
        <f>IF('Classe CE2'!$B57="","",IF('Classe CE2'!A57="","",'Classe CE2'!A57))</f>
        <v/>
      </c>
      <c r="B457" s="16" t="str">
        <f>IF('Classe CE2'!$B57="","",IF('Classe CE2'!B57="","",'Classe CE2'!B57))</f>
        <v/>
      </c>
      <c r="C457" s="16" t="str">
        <f>IF('Classe CE2'!$B57="","",IF('Classe CE2'!C57="","",'Classe CE2'!C57))</f>
        <v/>
      </c>
      <c r="D457" s="16" t="str">
        <f>IF($B457="","",C457&amp;" "&amp;B457&amp;" - "&amp;E457)</f>
        <v/>
      </c>
      <c r="E457" s="17" t="str">
        <f>IF($B457="","",Paramètres!$A$20)</f>
        <v/>
      </c>
      <c r="F457" s="17" t="str">
        <f>IF($B457="","",Paramètres!$B$20)</f>
        <v/>
      </c>
      <c r="G457" s="17" t="str">
        <f>IF('Classe CE2'!$B57="","",IF('Classe CE2'!D57="","",'Classe CE2'!D57))</f>
        <v/>
      </c>
      <c r="H457" s="78" t="str">
        <f>IF('Classe CE2'!$B57="","",IF('Classe CE2'!E57="","",'Classe CE2'!E57))</f>
        <v/>
      </c>
      <c r="I457" s="16" t="str">
        <f>IF('Classe CE2'!$B57="","",IF('Classe CE2'!F57="","",'Classe CE2'!F57))</f>
        <v/>
      </c>
      <c r="J457" s="16" t="str">
        <f>IF('Classe CE2'!$B57="","",IF('Classe CE2'!G57="","",'Classe CE2'!G57))</f>
        <v/>
      </c>
      <c r="K457" s="18" t="str">
        <f>IF('Classe CE2'!$B57="","",N('Classe CE2'!H57))</f>
        <v/>
      </c>
      <c r="L457" s="18" t="str">
        <f>IF('Classe CE2'!$B57="","",N('Classe CE2'!I57))</f>
        <v/>
      </c>
      <c r="M457" s="18" t="str">
        <f>IF('Classe CE2'!$B57="","",N('Classe CE2'!J57))</f>
        <v/>
      </c>
      <c r="N457" s="18" t="str">
        <f>IF('Classe CE2'!$B57="","",N('Classe CE2'!K57))</f>
        <v/>
      </c>
      <c r="O457" s="18" t="str">
        <f>IF('Classe CE2'!$B57="","",N('Classe CE2'!L57))</f>
        <v/>
      </c>
      <c r="P457" s="18" t="str">
        <f>IF('Classe CE2'!$B57="","",N('Classe CE2'!M57))</f>
        <v/>
      </c>
      <c r="Q457" s="17" t="str">
        <f>IF('Classe CE2'!$B57="","",IF('Classe CE2'!Q57="","",'Classe CE2'!Q57))</f>
        <v/>
      </c>
      <c r="R457" s="18" t="str">
        <f>IF('Classe CE2'!$B57="","",N('Classe CE2'!N57))</f>
        <v/>
      </c>
      <c r="S457" s="18" t="str">
        <f>IF('Classe CE2'!$B57="","",N('Classe CE2'!O57))</f>
        <v/>
      </c>
      <c r="T457" s="18" t="str">
        <f>IF('Classe CE2'!$B57="","",N('Classe CE2'!P57))</f>
        <v/>
      </c>
    </row>
    <row r="458">
      <c r="A458" s="20" t="str">
        <f>IF('Classe CE2'!$B58="","",IF('Classe CE2'!A58="","",'Classe CE2'!A58))</f>
        <v/>
      </c>
      <c r="B458" s="20" t="str">
        <f>IF('Classe CE2'!$B58="","",IF('Classe CE2'!B58="","",'Classe CE2'!B58))</f>
        <v/>
      </c>
      <c r="C458" s="20" t="str">
        <f>IF('Classe CE2'!$B58="","",IF('Classe CE2'!C58="","",'Classe CE2'!C58))</f>
        <v/>
      </c>
      <c r="D458" s="20" t="str">
        <f>IF($B458="","",C458&amp;" "&amp;B458&amp;" - "&amp;E458)</f>
        <v/>
      </c>
      <c r="E458" s="21" t="str">
        <f>IF($B458="","",Paramètres!$A$20)</f>
        <v/>
      </c>
      <c r="F458" s="21" t="str">
        <f>IF($B458="","",Paramètres!$B$20)</f>
        <v/>
      </c>
      <c r="G458" s="21" t="str">
        <f>IF('Classe CE2'!$B58="","",IF('Classe CE2'!D58="","",'Classe CE2'!D58))</f>
        <v/>
      </c>
      <c r="H458" s="77" t="str">
        <f>IF('Classe CE2'!$B58="","",IF('Classe CE2'!E58="","",'Classe CE2'!E58))</f>
        <v/>
      </c>
      <c r="I458" s="20" t="str">
        <f>IF('Classe CE2'!$B58="","",IF('Classe CE2'!F58="","",'Classe CE2'!F58))</f>
        <v/>
      </c>
      <c r="J458" s="20" t="str">
        <f>IF('Classe CE2'!$B58="","",IF('Classe CE2'!G58="","",'Classe CE2'!G58))</f>
        <v/>
      </c>
      <c r="K458" s="51" t="str">
        <f>IF('Classe CE2'!$B58="","",N('Classe CE2'!H58))</f>
        <v/>
      </c>
      <c r="L458" s="51" t="str">
        <f>IF('Classe CE2'!$B58="","",N('Classe CE2'!I58))</f>
        <v/>
      </c>
      <c r="M458" s="51" t="str">
        <f>IF('Classe CE2'!$B58="","",N('Classe CE2'!J58))</f>
        <v/>
      </c>
      <c r="N458" s="51" t="str">
        <f>IF('Classe CE2'!$B58="","",N('Classe CE2'!K58))</f>
        <v/>
      </c>
      <c r="O458" s="51" t="str">
        <f>IF('Classe CE2'!$B58="","",N('Classe CE2'!L58))</f>
        <v/>
      </c>
      <c r="P458" s="51" t="str">
        <f>IF('Classe CE2'!$B58="","",N('Classe CE2'!M58))</f>
        <v/>
      </c>
      <c r="Q458" s="21" t="str">
        <f>IF('Classe CE2'!$B58="","",IF('Classe CE2'!Q58="","",'Classe CE2'!Q58))</f>
        <v/>
      </c>
      <c r="R458" s="51" t="str">
        <f>IF('Classe CE2'!$B58="","",N('Classe CE2'!N58))</f>
        <v/>
      </c>
      <c r="S458" s="51" t="str">
        <f>IF('Classe CE2'!$B58="","",N('Classe CE2'!O58))</f>
        <v/>
      </c>
      <c r="T458" s="51" t="str">
        <f>IF('Classe CE2'!$B58="","",N('Classe CE2'!P58))</f>
        <v/>
      </c>
    </row>
    <row r="459">
      <c r="A459" s="16" t="str">
        <f>IF('Classe CE2'!$B59="","",IF('Classe CE2'!A59="","",'Classe CE2'!A59))</f>
        <v/>
      </c>
      <c r="B459" s="16" t="str">
        <f>IF('Classe CE2'!$B59="","",IF('Classe CE2'!B59="","",'Classe CE2'!B59))</f>
        <v/>
      </c>
      <c r="C459" s="16" t="str">
        <f>IF('Classe CE2'!$B59="","",IF('Classe CE2'!C59="","",'Classe CE2'!C59))</f>
        <v/>
      </c>
      <c r="D459" s="16" t="str">
        <f>IF($B459="","",C459&amp;" "&amp;B459&amp;" - "&amp;E459)</f>
        <v/>
      </c>
      <c r="E459" s="17" t="str">
        <f>IF($B459="","",Paramètres!$A$20)</f>
        <v/>
      </c>
      <c r="F459" s="17" t="str">
        <f>IF($B459="","",Paramètres!$B$20)</f>
        <v/>
      </c>
      <c r="G459" s="17" t="str">
        <f>IF('Classe CE2'!$B59="","",IF('Classe CE2'!D59="","",'Classe CE2'!D59))</f>
        <v/>
      </c>
      <c r="H459" s="78" t="str">
        <f>IF('Classe CE2'!$B59="","",IF('Classe CE2'!E59="","",'Classe CE2'!E59))</f>
        <v/>
      </c>
      <c r="I459" s="16" t="str">
        <f>IF('Classe CE2'!$B59="","",IF('Classe CE2'!F59="","",'Classe CE2'!F59))</f>
        <v/>
      </c>
      <c r="J459" s="16" t="str">
        <f>IF('Classe CE2'!$B59="","",IF('Classe CE2'!G59="","",'Classe CE2'!G59))</f>
        <v/>
      </c>
      <c r="K459" s="18" t="str">
        <f>IF('Classe CE2'!$B59="","",N('Classe CE2'!H59))</f>
        <v/>
      </c>
      <c r="L459" s="18" t="str">
        <f>IF('Classe CE2'!$B59="","",N('Classe CE2'!I59))</f>
        <v/>
      </c>
      <c r="M459" s="18" t="str">
        <f>IF('Classe CE2'!$B59="","",N('Classe CE2'!J59))</f>
        <v/>
      </c>
      <c r="N459" s="18" t="str">
        <f>IF('Classe CE2'!$B59="","",N('Classe CE2'!K59))</f>
        <v/>
      </c>
      <c r="O459" s="18" t="str">
        <f>IF('Classe CE2'!$B59="","",N('Classe CE2'!L59))</f>
        <v/>
      </c>
      <c r="P459" s="18" t="str">
        <f>IF('Classe CE2'!$B59="","",N('Classe CE2'!M59))</f>
        <v/>
      </c>
      <c r="Q459" s="17" t="str">
        <f>IF('Classe CE2'!$B59="","",IF('Classe CE2'!Q59="","",'Classe CE2'!Q59))</f>
        <v/>
      </c>
      <c r="R459" s="18" t="str">
        <f>IF('Classe CE2'!$B59="","",N('Classe CE2'!N59))</f>
        <v/>
      </c>
      <c r="S459" s="18" t="str">
        <f>IF('Classe CE2'!$B59="","",N('Classe CE2'!O59))</f>
        <v/>
      </c>
      <c r="T459" s="18" t="str">
        <f>IF('Classe CE2'!$B59="","",N('Classe CE2'!P59))</f>
        <v/>
      </c>
    </row>
    <row r="460">
      <c r="A460" s="20" t="str">
        <f>IF('Classe CE2'!$B60="","",IF('Classe CE2'!A60="","",'Classe CE2'!A60))</f>
        <v/>
      </c>
      <c r="B460" s="20" t="str">
        <f>IF('Classe CE2'!$B60="","",IF('Classe CE2'!B60="","",'Classe CE2'!B60))</f>
        <v/>
      </c>
      <c r="C460" s="20" t="str">
        <f>IF('Classe CE2'!$B60="","",IF('Classe CE2'!C60="","",'Classe CE2'!C60))</f>
        <v/>
      </c>
      <c r="D460" s="20" t="str">
        <f>IF($B460="","",C460&amp;" "&amp;B460&amp;" - "&amp;E460)</f>
        <v/>
      </c>
      <c r="E460" s="21" t="str">
        <f>IF($B460="","",Paramètres!$A$20)</f>
        <v/>
      </c>
      <c r="F460" s="21" t="str">
        <f>IF($B460="","",Paramètres!$B$20)</f>
        <v/>
      </c>
      <c r="G460" s="21" t="str">
        <f>IF('Classe CE2'!$B60="","",IF('Classe CE2'!D60="","",'Classe CE2'!D60))</f>
        <v/>
      </c>
      <c r="H460" s="77" t="str">
        <f>IF('Classe CE2'!$B60="","",IF('Classe CE2'!E60="","",'Classe CE2'!E60))</f>
        <v/>
      </c>
      <c r="I460" s="20" t="str">
        <f>IF('Classe CE2'!$B60="","",IF('Classe CE2'!F60="","",'Classe CE2'!F60))</f>
        <v/>
      </c>
      <c r="J460" s="20" t="str">
        <f>IF('Classe CE2'!$B60="","",IF('Classe CE2'!G60="","",'Classe CE2'!G60))</f>
        <v/>
      </c>
      <c r="K460" s="51" t="str">
        <f>IF('Classe CE2'!$B60="","",N('Classe CE2'!H60))</f>
        <v/>
      </c>
      <c r="L460" s="51" t="str">
        <f>IF('Classe CE2'!$B60="","",N('Classe CE2'!I60))</f>
        <v/>
      </c>
      <c r="M460" s="51" t="str">
        <f>IF('Classe CE2'!$B60="","",N('Classe CE2'!J60))</f>
        <v/>
      </c>
      <c r="N460" s="51" t="str">
        <f>IF('Classe CE2'!$B60="","",N('Classe CE2'!K60))</f>
        <v/>
      </c>
      <c r="O460" s="51" t="str">
        <f>IF('Classe CE2'!$B60="","",N('Classe CE2'!L60))</f>
        <v/>
      </c>
      <c r="P460" s="51" t="str">
        <f>IF('Classe CE2'!$B60="","",N('Classe CE2'!M60))</f>
        <v/>
      </c>
      <c r="Q460" s="21" t="str">
        <f>IF('Classe CE2'!$B60="","",IF('Classe CE2'!Q60="","",'Classe CE2'!Q60))</f>
        <v/>
      </c>
      <c r="R460" s="51" t="str">
        <f>IF('Classe CE2'!$B60="","",N('Classe CE2'!N60))</f>
        <v/>
      </c>
      <c r="S460" s="51" t="str">
        <f>IF('Classe CE2'!$B60="","",N('Classe CE2'!O60))</f>
        <v/>
      </c>
      <c r="T460" s="51" t="str">
        <f>IF('Classe CE2'!$B60="","",N('Classe CE2'!P60))</f>
        <v/>
      </c>
    </row>
    <row r="461">
      <c r="A461" s="16" t="str">
        <f>IF('Classe CE2'!$B61="","",IF('Classe CE2'!A61="","",'Classe CE2'!A61))</f>
        <v/>
      </c>
      <c r="B461" s="16" t="str">
        <f>IF('Classe CE2'!$B61="","",IF('Classe CE2'!B61="","",'Classe CE2'!B61))</f>
        <v/>
      </c>
      <c r="C461" s="16" t="str">
        <f>IF('Classe CE2'!$B61="","",IF('Classe CE2'!C61="","",'Classe CE2'!C61))</f>
        <v/>
      </c>
      <c r="D461" s="16" t="str">
        <f>IF($B461="","",C461&amp;" "&amp;B461&amp;" - "&amp;E461)</f>
        <v/>
      </c>
      <c r="E461" s="17" t="str">
        <f>IF($B461="","",Paramètres!$A$20)</f>
        <v/>
      </c>
      <c r="F461" s="17" t="str">
        <f>IF($B461="","",Paramètres!$B$20)</f>
        <v/>
      </c>
      <c r="G461" s="17" t="str">
        <f>IF('Classe CE2'!$B61="","",IF('Classe CE2'!D61="","",'Classe CE2'!D61))</f>
        <v/>
      </c>
      <c r="H461" s="78" t="str">
        <f>IF('Classe CE2'!$B61="","",IF('Classe CE2'!E61="","",'Classe CE2'!E61))</f>
        <v/>
      </c>
      <c r="I461" s="16" t="str">
        <f>IF('Classe CE2'!$B61="","",IF('Classe CE2'!F61="","",'Classe CE2'!F61))</f>
        <v/>
      </c>
      <c r="J461" s="16" t="str">
        <f>IF('Classe CE2'!$B61="","",IF('Classe CE2'!G61="","",'Classe CE2'!G61))</f>
        <v/>
      </c>
      <c r="K461" s="18" t="str">
        <f>IF('Classe CE2'!$B61="","",N('Classe CE2'!H61))</f>
        <v/>
      </c>
      <c r="L461" s="18" t="str">
        <f>IF('Classe CE2'!$B61="","",N('Classe CE2'!I61))</f>
        <v/>
      </c>
      <c r="M461" s="18" t="str">
        <f>IF('Classe CE2'!$B61="","",N('Classe CE2'!J61))</f>
        <v/>
      </c>
      <c r="N461" s="18" t="str">
        <f>IF('Classe CE2'!$B61="","",N('Classe CE2'!K61))</f>
        <v/>
      </c>
      <c r="O461" s="18" t="str">
        <f>IF('Classe CE2'!$B61="","",N('Classe CE2'!L61))</f>
        <v/>
      </c>
      <c r="P461" s="18" t="str">
        <f>IF('Classe CE2'!$B61="","",N('Classe CE2'!M61))</f>
        <v/>
      </c>
      <c r="Q461" s="17" t="str">
        <f>IF('Classe CE2'!$B61="","",IF('Classe CE2'!Q61="","",'Classe CE2'!Q61))</f>
        <v/>
      </c>
      <c r="R461" s="18" t="str">
        <f>IF('Classe CE2'!$B61="","",N('Classe CE2'!N61))</f>
        <v/>
      </c>
      <c r="S461" s="18" t="str">
        <f>IF('Classe CE2'!$B61="","",N('Classe CE2'!O61))</f>
        <v/>
      </c>
      <c r="T461" s="18" t="str">
        <f>IF('Classe CE2'!$B61="","",N('Classe CE2'!P61))</f>
        <v/>
      </c>
    </row>
    <row r="462">
      <c r="A462" s="20" t="str">
        <f>IF('Classe CE2'!$B62="","",IF('Classe CE2'!A62="","",'Classe CE2'!A62))</f>
        <v/>
      </c>
      <c r="B462" s="20" t="str">
        <f>IF('Classe CE2'!$B62="","",IF('Classe CE2'!B62="","",'Classe CE2'!B62))</f>
        <v/>
      </c>
      <c r="C462" s="20" t="str">
        <f>IF('Classe CE2'!$B62="","",IF('Classe CE2'!C62="","",'Classe CE2'!C62))</f>
        <v/>
      </c>
      <c r="D462" s="20" t="str">
        <f>IF($B462="","",C462&amp;" "&amp;B462&amp;" - "&amp;E462)</f>
        <v/>
      </c>
      <c r="E462" s="21" t="str">
        <f>IF($B462="","",Paramètres!$A$20)</f>
        <v/>
      </c>
      <c r="F462" s="21" t="str">
        <f>IF($B462="","",Paramètres!$B$20)</f>
        <v/>
      </c>
      <c r="G462" s="21" t="str">
        <f>IF('Classe CE2'!$B62="","",IF('Classe CE2'!D62="","",'Classe CE2'!D62))</f>
        <v/>
      </c>
      <c r="H462" s="77" t="str">
        <f>IF('Classe CE2'!$B62="","",IF('Classe CE2'!E62="","",'Classe CE2'!E62))</f>
        <v/>
      </c>
      <c r="I462" s="20" t="str">
        <f>IF('Classe CE2'!$B62="","",IF('Classe CE2'!F62="","",'Classe CE2'!F62))</f>
        <v/>
      </c>
      <c r="J462" s="20" t="str">
        <f>IF('Classe CE2'!$B62="","",IF('Classe CE2'!G62="","",'Classe CE2'!G62))</f>
        <v/>
      </c>
      <c r="K462" s="51" t="str">
        <f>IF('Classe CE2'!$B62="","",N('Classe CE2'!H62))</f>
        <v/>
      </c>
      <c r="L462" s="51" t="str">
        <f>IF('Classe CE2'!$B62="","",N('Classe CE2'!I62))</f>
        <v/>
      </c>
      <c r="M462" s="51" t="str">
        <f>IF('Classe CE2'!$B62="","",N('Classe CE2'!J62))</f>
        <v/>
      </c>
      <c r="N462" s="51" t="str">
        <f>IF('Classe CE2'!$B62="","",N('Classe CE2'!K62))</f>
        <v/>
      </c>
      <c r="O462" s="51" t="str">
        <f>IF('Classe CE2'!$B62="","",N('Classe CE2'!L62))</f>
        <v/>
      </c>
      <c r="P462" s="51" t="str">
        <f>IF('Classe CE2'!$B62="","",N('Classe CE2'!M62))</f>
        <v/>
      </c>
      <c r="Q462" s="21" t="str">
        <f>IF('Classe CE2'!$B62="","",IF('Classe CE2'!Q62="","",'Classe CE2'!Q62))</f>
        <v/>
      </c>
      <c r="R462" s="51" t="str">
        <f>IF('Classe CE2'!$B62="","",N('Classe CE2'!N62))</f>
        <v/>
      </c>
      <c r="S462" s="51" t="str">
        <f>IF('Classe CE2'!$B62="","",N('Classe CE2'!O62))</f>
        <v/>
      </c>
      <c r="T462" s="51" t="str">
        <f>IF('Classe CE2'!$B62="","",N('Classe CE2'!P62))</f>
        <v/>
      </c>
    </row>
    <row r="463">
      <c r="A463" s="16" t="str">
        <f>IF('Classe CE2'!$B63="","",IF('Classe CE2'!A63="","",'Classe CE2'!A63))</f>
        <v/>
      </c>
      <c r="B463" s="16" t="str">
        <f>IF('Classe CE2'!$B63="","",IF('Classe CE2'!B63="","",'Classe CE2'!B63))</f>
        <v/>
      </c>
      <c r="C463" s="16" t="str">
        <f>IF('Classe CE2'!$B63="","",IF('Classe CE2'!C63="","",'Classe CE2'!C63))</f>
        <v/>
      </c>
      <c r="D463" s="16" t="str">
        <f>IF($B463="","",C463&amp;" "&amp;B463&amp;" - "&amp;E463)</f>
        <v/>
      </c>
      <c r="E463" s="17" t="str">
        <f>IF($B463="","",Paramètres!$A$20)</f>
        <v/>
      </c>
      <c r="F463" s="17" t="str">
        <f>IF($B463="","",Paramètres!$B$20)</f>
        <v/>
      </c>
      <c r="G463" s="17" t="str">
        <f>IF('Classe CE2'!$B63="","",IF('Classe CE2'!D63="","",'Classe CE2'!D63))</f>
        <v/>
      </c>
      <c r="H463" s="78" t="str">
        <f>IF('Classe CE2'!$B63="","",IF('Classe CE2'!E63="","",'Classe CE2'!E63))</f>
        <v/>
      </c>
      <c r="I463" s="16" t="str">
        <f>IF('Classe CE2'!$B63="","",IF('Classe CE2'!F63="","",'Classe CE2'!F63))</f>
        <v/>
      </c>
      <c r="J463" s="16" t="str">
        <f>IF('Classe CE2'!$B63="","",IF('Classe CE2'!G63="","",'Classe CE2'!G63))</f>
        <v/>
      </c>
      <c r="K463" s="18" t="str">
        <f>IF('Classe CE2'!$B63="","",N('Classe CE2'!H63))</f>
        <v/>
      </c>
      <c r="L463" s="18" t="str">
        <f>IF('Classe CE2'!$B63="","",N('Classe CE2'!I63))</f>
        <v/>
      </c>
      <c r="M463" s="18" t="str">
        <f>IF('Classe CE2'!$B63="","",N('Classe CE2'!J63))</f>
        <v/>
      </c>
      <c r="N463" s="18" t="str">
        <f>IF('Classe CE2'!$B63="","",N('Classe CE2'!K63))</f>
        <v/>
      </c>
      <c r="O463" s="18" t="str">
        <f>IF('Classe CE2'!$B63="","",N('Classe CE2'!L63))</f>
        <v/>
      </c>
      <c r="P463" s="18" t="str">
        <f>IF('Classe CE2'!$B63="","",N('Classe CE2'!M63))</f>
        <v/>
      </c>
      <c r="Q463" s="17" t="str">
        <f>IF('Classe CE2'!$B63="","",IF('Classe CE2'!Q63="","",'Classe CE2'!Q63))</f>
        <v/>
      </c>
      <c r="R463" s="18" t="str">
        <f>IF('Classe CE2'!$B63="","",N('Classe CE2'!N63))</f>
        <v/>
      </c>
      <c r="S463" s="18" t="str">
        <f>IF('Classe CE2'!$B63="","",N('Classe CE2'!O63))</f>
        <v/>
      </c>
      <c r="T463" s="18" t="str">
        <f>IF('Classe CE2'!$B63="","",N('Classe CE2'!P63))</f>
        <v/>
      </c>
    </row>
    <row r="464">
      <c r="A464" s="20" t="str">
        <f>IF('Classe CE2'!$B64="","",IF('Classe CE2'!A64="","",'Classe CE2'!A64))</f>
        <v/>
      </c>
      <c r="B464" s="20" t="str">
        <f>IF('Classe CE2'!$B64="","",IF('Classe CE2'!B64="","",'Classe CE2'!B64))</f>
        <v/>
      </c>
      <c r="C464" s="20" t="str">
        <f>IF('Classe CE2'!$B64="","",IF('Classe CE2'!C64="","",'Classe CE2'!C64))</f>
        <v/>
      </c>
      <c r="D464" s="20" t="str">
        <f>IF($B464="","",C464&amp;" "&amp;B464&amp;" - "&amp;E464)</f>
        <v/>
      </c>
      <c r="E464" s="21" t="str">
        <f>IF($B464="","",Paramètres!$A$20)</f>
        <v/>
      </c>
      <c r="F464" s="21" t="str">
        <f>IF($B464="","",Paramètres!$B$20)</f>
        <v/>
      </c>
      <c r="G464" s="21" t="str">
        <f>IF('Classe CE2'!$B64="","",IF('Classe CE2'!D64="","",'Classe CE2'!D64))</f>
        <v/>
      </c>
      <c r="H464" s="77" t="str">
        <f>IF('Classe CE2'!$B64="","",IF('Classe CE2'!E64="","",'Classe CE2'!E64))</f>
        <v/>
      </c>
      <c r="I464" s="20" t="str">
        <f>IF('Classe CE2'!$B64="","",IF('Classe CE2'!F64="","",'Classe CE2'!F64))</f>
        <v/>
      </c>
      <c r="J464" s="20" t="str">
        <f>IF('Classe CE2'!$B64="","",IF('Classe CE2'!G64="","",'Classe CE2'!G64))</f>
        <v/>
      </c>
      <c r="K464" s="51" t="str">
        <f>IF('Classe CE2'!$B64="","",N('Classe CE2'!H64))</f>
        <v/>
      </c>
      <c r="L464" s="51" t="str">
        <f>IF('Classe CE2'!$B64="","",N('Classe CE2'!I64))</f>
        <v/>
      </c>
      <c r="M464" s="51" t="str">
        <f>IF('Classe CE2'!$B64="","",N('Classe CE2'!J64))</f>
        <v/>
      </c>
      <c r="N464" s="51" t="str">
        <f>IF('Classe CE2'!$B64="","",N('Classe CE2'!K64))</f>
        <v/>
      </c>
      <c r="O464" s="51" t="str">
        <f>IF('Classe CE2'!$B64="","",N('Classe CE2'!L64))</f>
        <v/>
      </c>
      <c r="P464" s="51" t="str">
        <f>IF('Classe CE2'!$B64="","",N('Classe CE2'!M64))</f>
        <v/>
      </c>
      <c r="Q464" s="21" t="str">
        <f>IF('Classe CE2'!$B64="","",IF('Classe CE2'!Q64="","",'Classe CE2'!Q64))</f>
        <v/>
      </c>
      <c r="R464" s="51" t="str">
        <f>IF('Classe CE2'!$B64="","",N('Classe CE2'!N64))</f>
        <v/>
      </c>
      <c r="S464" s="51" t="str">
        <f>IF('Classe CE2'!$B64="","",N('Classe CE2'!O64))</f>
        <v/>
      </c>
      <c r="T464" s="51" t="str">
        <f>IF('Classe CE2'!$B64="","",N('Classe CE2'!P64))</f>
        <v/>
      </c>
    </row>
    <row r="465">
      <c r="A465" s="16" t="str">
        <f>IF('Classe CE2'!$B65="","",IF('Classe CE2'!A65="","",'Classe CE2'!A65))</f>
        <v/>
      </c>
      <c r="B465" s="16" t="str">
        <f>IF('Classe CE2'!$B65="","",IF('Classe CE2'!B65="","",'Classe CE2'!B65))</f>
        <v/>
      </c>
      <c r="C465" s="16" t="str">
        <f>IF('Classe CE2'!$B65="","",IF('Classe CE2'!C65="","",'Classe CE2'!C65))</f>
        <v/>
      </c>
      <c r="D465" s="16" t="str">
        <f>IF($B465="","",C465&amp;" "&amp;B465&amp;" - "&amp;E465)</f>
        <v/>
      </c>
      <c r="E465" s="17" t="str">
        <f>IF($B465="","",Paramètres!$A$20)</f>
        <v/>
      </c>
      <c r="F465" s="17" t="str">
        <f>IF($B465="","",Paramètres!$B$20)</f>
        <v/>
      </c>
      <c r="G465" s="17" t="str">
        <f>IF('Classe CE2'!$B65="","",IF('Classe CE2'!D65="","",'Classe CE2'!D65))</f>
        <v/>
      </c>
      <c r="H465" s="78" t="str">
        <f>IF('Classe CE2'!$B65="","",IF('Classe CE2'!E65="","",'Classe CE2'!E65))</f>
        <v/>
      </c>
      <c r="I465" s="16" t="str">
        <f>IF('Classe CE2'!$B65="","",IF('Classe CE2'!F65="","",'Classe CE2'!F65))</f>
        <v/>
      </c>
      <c r="J465" s="16" t="str">
        <f>IF('Classe CE2'!$B65="","",IF('Classe CE2'!G65="","",'Classe CE2'!G65))</f>
        <v/>
      </c>
      <c r="K465" s="18" t="str">
        <f>IF('Classe CE2'!$B65="","",N('Classe CE2'!H65))</f>
        <v/>
      </c>
      <c r="L465" s="18" t="str">
        <f>IF('Classe CE2'!$B65="","",N('Classe CE2'!I65))</f>
        <v/>
      </c>
      <c r="M465" s="18" t="str">
        <f>IF('Classe CE2'!$B65="","",N('Classe CE2'!J65))</f>
        <v/>
      </c>
      <c r="N465" s="18" t="str">
        <f>IF('Classe CE2'!$B65="","",N('Classe CE2'!K65))</f>
        <v/>
      </c>
      <c r="O465" s="18" t="str">
        <f>IF('Classe CE2'!$B65="","",N('Classe CE2'!L65))</f>
        <v/>
      </c>
      <c r="P465" s="18" t="str">
        <f>IF('Classe CE2'!$B65="","",N('Classe CE2'!M65))</f>
        <v/>
      </c>
      <c r="Q465" s="17" t="str">
        <f>IF('Classe CE2'!$B65="","",IF('Classe CE2'!Q65="","",'Classe CE2'!Q65))</f>
        <v/>
      </c>
      <c r="R465" s="18" t="str">
        <f>IF('Classe CE2'!$B65="","",N('Classe CE2'!N65))</f>
        <v/>
      </c>
      <c r="S465" s="18" t="str">
        <f>IF('Classe CE2'!$B65="","",N('Classe CE2'!O65))</f>
        <v/>
      </c>
      <c r="T465" s="18" t="str">
        <f>IF('Classe CE2'!$B65="","",N('Classe CE2'!P65))</f>
        <v/>
      </c>
    </row>
    <row r="466">
      <c r="A466" s="20" t="str">
        <f>IF('Classe CE2'!$B66="","",IF('Classe CE2'!A66="","",'Classe CE2'!A66))</f>
        <v/>
      </c>
      <c r="B466" s="20" t="str">
        <f>IF('Classe CE2'!$B66="","",IF('Classe CE2'!B66="","",'Classe CE2'!B66))</f>
        <v/>
      </c>
      <c r="C466" s="20" t="str">
        <f>IF('Classe CE2'!$B66="","",IF('Classe CE2'!C66="","",'Classe CE2'!C66))</f>
        <v/>
      </c>
      <c r="D466" s="20" t="str">
        <f>IF($B466="","",C466&amp;" "&amp;B466&amp;" - "&amp;E466)</f>
        <v/>
      </c>
      <c r="E466" s="21" t="str">
        <f>IF($B466="","",Paramètres!$A$20)</f>
        <v/>
      </c>
      <c r="F466" s="21" t="str">
        <f>IF($B466="","",Paramètres!$B$20)</f>
        <v/>
      </c>
      <c r="G466" s="21" t="str">
        <f>IF('Classe CE2'!$B66="","",IF('Classe CE2'!D66="","",'Classe CE2'!D66))</f>
        <v/>
      </c>
      <c r="H466" s="77" t="str">
        <f>IF('Classe CE2'!$B66="","",IF('Classe CE2'!E66="","",'Classe CE2'!E66))</f>
        <v/>
      </c>
      <c r="I466" s="20" t="str">
        <f>IF('Classe CE2'!$B66="","",IF('Classe CE2'!F66="","",'Classe CE2'!F66))</f>
        <v/>
      </c>
      <c r="J466" s="20" t="str">
        <f>IF('Classe CE2'!$B66="","",IF('Classe CE2'!G66="","",'Classe CE2'!G66))</f>
        <v/>
      </c>
      <c r="K466" s="51" t="str">
        <f>IF('Classe CE2'!$B66="","",N('Classe CE2'!H66))</f>
        <v/>
      </c>
      <c r="L466" s="51" t="str">
        <f>IF('Classe CE2'!$B66="","",N('Classe CE2'!I66))</f>
        <v/>
      </c>
      <c r="M466" s="51" t="str">
        <f>IF('Classe CE2'!$B66="","",N('Classe CE2'!J66))</f>
        <v/>
      </c>
      <c r="N466" s="51" t="str">
        <f>IF('Classe CE2'!$B66="","",N('Classe CE2'!K66))</f>
        <v/>
      </c>
      <c r="O466" s="51" t="str">
        <f>IF('Classe CE2'!$B66="","",N('Classe CE2'!L66))</f>
        <v/>
      </c>
      <c r="P466" s="51" t="str">
        <f>IF('Classe CE2'!$B66="","",N('Classe CE2'!M66))</f>
        <v/>
      </c>
      <c r="Q466" s="21" t="str">
        <f>IF('Classe CE2'!$B66="","",IF('Classe CE2'!Q66="","",'Classe CE2'!Q66))</f>
        <v/>
      </c>
      <c r="R466" s="51" t="str">
        <f>IF('Classe CE2'!$B66="","",N('Classe CE2'!N66))</f>
        <v/>
      </c>
      <c r="S466" s="51" t="str">
        <f>IF('Classe CE2'!$B66="","",N('Classe CE2'!O66))</f>
        <v/>
      </c>
      <c r="T466" s="51" t="str">
        <f>IF('Classe CE2'!$B66="","",N('Classe CE2'!P66))</f>
        <v/>
      </c>
    </row>
    <row r="467">
      <c r="A467" s="16" t="str">
        <f>IF('Classe CE2'!$B67="","",IF('Classe CE2'!A67="","",'Classe CE2'!A67))</f>
        <v/>
      </c>
      <c r="B467" s="16" t="str">
        <f>IF('Classe CE2'!$B67="","",IF('Classe CE2'!B67="","",'Classe CE2'!B67))</f>
        <v/>
      </c>
      <c r="C467" s="16" t="str">
        <f>IF('Classe CE2'!$B67="","",IF('Classe CE2'!C67="","",'Classe CE2'!C67))</f>
        <v/>
      </c>
      <c r="D467" s="16" t="str">
        <f>IF($B467="","",C467&amp;" "&amp;B467&amp;" - "&amp;E467)</f>
        <v/>
      </c>
      <c r="E467" s="17" t="str">
        <f>IF($B467="","",Paramètres!$A$20)</f>
        <v/>
      </c>
      <c r="F467" s="17" t="str">
        <f>IF($B467="","",Paramètres!$B$20)</f>
        <v/>
      </c>
      <c r="G467" s="17" t="str">
        <f>IF('Classe CE2'!$B67="","",IF('Classe CE2'!D67="","",'Classe CE2'!D67))</f>
        <v/>
      </c>
      <c r="H467" s="78" t="str">
        <f>IF('Classe CE2'!$B67="","",IF('Classe CE2'!E67="","",'Classe CE2'!E67))</f>
        <v/>
      </c>
      <c r="I467" s="16" t="str">
        <f>IF('Classe CE2'!$B67="","",IF('Classe CE2'!F67="","",'Classe CE2'!F67))</f>
        <v/>
      </c>
      <c r="J467" s="16" t="str">
        <f>IF('Classe CE2'!$B67="","",IF('Classe CE2'!G67="","",'Classe CE2'!G67))</f>
        <v/>
      </c>
      <c r="K467" s="18" t="str">
        <f>IF('Classe CE2'!$B67="","",N('Classe CE2'!H67))</f>
        <v/>
      </c>
      <c r="L467" s="18" t="str">
        <f>IF('Classe CE2'!$B67="","",N('Classe CE2'!I67))</f>
        <v/>
      </c>
      <c r="M467" s="18" t="str">
        <f>IF('Classe CE2'!$B67="","",N('Classe CE2'!J67))</f>
        <v/>
      </c>
      <c r="N467" s="18" t="str">
        <f>IF('Classe CE2'!$B67="","",N('Classe CE2'!K67))</f>
        <v/>
      </c>
      <c r="O467" s="18" t="str">
        <f>IF('Classe CE2'!$B67="","",N('Classe CE2'!L67))</f>
        <v/>
      </c>
      <c r="P467" s="18" t="str">
        <f>IF('Classe CE2'!$B67="","",N('Classe CE2'!M67))</f>
        <v/>
      </c>
      <c r="Q467" s="17" t="str">
        <f>IF('Classe CE2'!$B67="","",IF('Classe CE2'!Q67="","",'Classe CE2'!Q67))</f>
        <v/>
      </c>
      <c r="R467" s="18" t="str">
        <f>IF('Classe CE2'!$B67="","",N('Classe CE2'!N67))</f>
        <v/>
      </c>
      <c r="S467" s="18" t="str">
        <f>IF('Classe CE2'!$B67="","",N('Classe CE2'!O67))</f>
        <v/>
      </c>
      <c r="T467" s="18" t="str">
        <f>IF('Classe CE2'!$B67="","",N('Classe CE2'!P67))</f>
        <v/>
      </c>
    </row>
    <row r="468">
      <c r="A468" s="20" t="str">
        <f>IF('Classe CE2'!$B68="","",IF('Classe CE2'!A68="","",'Classe CE2'!A68))</f>
        <v/>
      </c>
      <c r="B468" s="20" t="str">
        <f>IF('Classe CE2'!$B68="","",IF('Classe CE2'!B68="","",'Classe CE2'!B68))</f>
        <v/>
      </c>
      <c r="C468" s="20" t="str">
        <f>IF('Classe CE2'!$B68="","",IF('Classe CE2'!C68="","",'Classe CE2'!C68))</f>
        <v/>
      </c>
      <c r="D468" s="20" t="str">
        <f>IF($B468="","",C468&amp;" "&amp;B468&amp;" - "&amp;E468)</f>
        <v/>
      </c>
      <c r="E468" s="21" t="str">
        <f>IF($B468="","",Paramètres!$A$20)</f>
        <v/>
      </c>
      <c r="F468" s="21" t="str">
        <f>IF($B468="","",Paramètres!$B$20)</f>
        <v/>
      </c>
      <c r="G468" s="21" t="str">
        <f>IF('Classe CE2'!$B68="","",IF('Classe CE2'!D68="","",'Classe CE2'!D68))</f>
        <v/>
      </c>
      <c r="H468" s="77" t="str">
        <f>IF('Classe CE2'!$B68="","",IF('Classe CE2'!E68="","",'Classe CE2'!E68))</f>
        <v/>
      </c>
      <c r="I468" s="20" t="str">
        <f>IF('Classe CE2'!$B68="","",IF('Classe CE2'!F68="","",'Classe CE2'!F68))</f>
        <v/>
      </c>
      <c r="J468" s="20" t="str">
        <f>IF('Classe CE2'!$B68="","",IF('Classe CE2'!G68="","",'Classe CE2'!G68))</f>
        <v/>
      </c>
      <c r="K468" s="51" t="str">
        <f>IF('Classe CE2'!$B68="","",N('Classe CE2'!H68))</f>
        <v/>
      </c>
      <c r="L468" s="51" t="str">
        <f>IF('Classe CE2'!$B68="","",N('Classe CE2'!I68))</f>
        <v/>
      </c>
      <c r="M468" s="51" t="str">
        <f>IF('Classe CE2'!$B68="","",N('Classe CE2'!J68))</f>
        <v/>
      </c>
      <c r="N468" s="51" t="str">
        <f>IF('Classe CE2'!$B68="","",N('Classe CE2'!K68))</f>
        <v/>
      </c>
      <c r="O468" s="51" t="str">
        <f>IF('Classe CE2'!$B68="","",N('Classe CE2'!L68))</f>
        <v/>
      </c>
      <c r="P468" s="51" t="str">
        <f>IF('Classe CE2'!$B68="","",N('Classe CE2'!M68))</f>
        <v/>
      </c>
      <c r="Q468" s="21" t="str">
        <f>IF('Classe CE2'!$B68="","",IF('Classe CE2'!Q68="","",'Classe CE2'!Q68))</f>
        <v/>
      </c>
      <c r="R468" s="51" t="str">
        <f>IF('Classe CE2'!$B68="","",N('Classe CE2'!N68))</f>
        <v/>
      </c>
      <c r="S468" s="51" t="str">
        <f>IF('Classe CE2'!$B68="","",N('Classe CE2'!O68))</f>
        <v/>
      </c>
      <c r="T468" s="51" t="str">
        <f>IF('Classe CE2'!$B68="","",N('Classe CE2'!P68))</f>
        <v/>
      </c>
    </row>
    <row r="469">
      <c r="A469" s="16" t="str">
        <f>IF('Classe CE2'!$B69="","",IF('Classe CE2'!A69="","",'Classe CE2'!A69))</f>
        <v/>
      </c>
      <c r="B469" s="16" t="str">
        <f>IF('Classe CE2'!$B69="","",IF('Classe CE2'!B69="","",'Classe CE2'!B69))</f>
        <v/>
      </c>
      <c r="C469" s="16" t="str">
        <f>IF('Classe CE2'!$B69="","",IF('Classe CE2'!C69="","",'Classe CE2'!C69))</f>
        <v/>
      </c>
      <c r="D469" s="16" t="str">
        <f>IF($B469="","",C469&amp;" "&amp;B469&amp;" - "&amp;E469)</f>
        <v/>
      </c>
      <c r="E469" s="17" t="str">
        <f>IF($B469="","",Paramètres!$A$20)</f>
        <v/>
      </c>
      <c r="F469" s="17" t="str">
        <f>IF($B469="","",Paramètres!$B$20)</f>
        <v/>
      </c>
      <c r="G469" s="17" t="str">
        <f>IF('Classe CE2'!$B69="","",IF('Classe CE2'!D69="","",'Classe CE2'!D69))</f>
        <v/>
      </c>
      <c r="H469" s="78" t="str">
        <f>IF('Classe CE2'!$B69="","",IF('Classe CE2'!E69="","",'Classe CE2'!E69))</f>
        <v/>
      </c>
      <c r="I469" s="16" t="str">
        <f>IF('Classe CE2'!$B69="","",IF('Classe CE2'!F69="","",'Classe CE2'!F69))</f>
        <v/>
      </c>
      <c r="J469" s="16" t="str">
        <f>IF('Classe CE2'!$B69="","",IF('Classe CE2'!G69="","",'Classe CE2'!G69))</f>
        <v/>
      </c>
      <c r="K469" s="18" t="str">
        <f>IF('Classe CE2'!$B69="","",N('Classe CE2'!H69))</f>
        <v/>
      </c>
      <c r="L469" s="18" t="str">
        <f>IF('Classe CE2'!$B69="","",N('Classe CE2'!I69))</f>
        <v/>
      </c>
      <c r="M469" s="18" t="str">
        <f>IF('Classe CE2'!$B69="","",N('Classe CE2'!J69))</f>
        <v/>
      </c>
      <c r="N469" s="18" t="str">
        <f>IF('Classe CE2'!$B69="","",N('Classe CE2'!K69))</f>
        <v/>
      </c>
      <c r="O469" s="18" t="str">
        <f>IF('Classe CE2'!$B69="","",N('Classe CE2'!L69))</f>
        <v/>
      </c>
      <c r="P469" s="18" t="str">
        <f>IF('Classe CE2'!$B69="","",N('Classe CE2'!M69))</f>
        <v/>
      </c>
      <c r="Q469" s="17" t="str">
        <f>IF('Classe CE2'!$B69="","",IF('Classe CE2'!Q69="","",'Classe CE2'!Q69))</f>
        <v/>
      </c>
      <c r="R469" s="18" t="str">
        <f>IF('Classe CE2'!$B69="","",N('Classe CE2'!N69))</f>
        <v/>
      </c>
      <c r="S469" s="18" t="str">
        <f>IF('Classe CE2'!$B69="","",N('Classe CE2'!O69))</f>
        <v/>
      </c>
      <c r="T469" s="18" t="str">
        <f>IF('Classe CE2'!$B69="","",N('Classe CE2'!P69))</f>
        <v/>
      </c>
    </row>
    <row r="470">
      <c r="A470" s="20" t="str">
        <f>IF('Classe CE2'!$B70="","",IF('Classe CE2'!A70="","",'Classe CE2'!A70))</f>
        <v/>
      </c>
      <c r="B470" s="20" t="str">
        <f>IF('Classe CE2'!$B70="","",IF('Classe CE2'!B70="","",'Classe CE2'!B70))</f>
        <v/>
      </c>
      <c r="C470" s="20" t="str">
        <f>IF('Classe CE2'!$B70="","",IF('Classe CE2'!C70="","",'Classe CE2'!C70))</f>
        <v/>
      </c>
      <c r="D470" s="20" t="str">
        <f>IF($B470="","",C470&amp;" "&amp;B470&amp;" - "&amp;E470)</f>
        <v/>
      </c>
      <c r="E470" s="21" t="str">
        <f>IF($B470="","",Paramètres!$A$20)</f>
        <v/>
      </c>
      <c r="F470" s="21" t="str">
        <f>IF($B470="","",Paramètres!$B$20)</f>
        <v/>
      </c>
      <c r="G470" s="21" t="str">
        <f>IF('Classe CE2'!$B70="","",IF('Classe CE2'!D70="","",'Classe CE2'!D70))</f>
        <v/>
      </c>
      <c r="H470" s="77" t="str">
        <f>IF('Classe CE2'!$B70="","",IF('Classe CE2'!E70="","",'Classe CE2'!E70))</f>
        <v/>
      </c>
      <c r="I470" s="20" t="str">
        <f>IF('Classe CE2'!$B70="","",IF('Classe CE2'!F70="","",'Classe CE2'!F70))</f>
        <v/>
      </c>
      <c r="J470" s="20" t="str">
        <f>IF('Classe CE2'!$B70="","",IF('Classe CE2'!G70="","",'Classe CE2'!G70))</f>
        <v/>
      </c>
      <c r="K470" s="51" t="str">
        <f>IF('Classe CE2'!$B70="","",N('Classe CE2'!H70))</f>
        <v/>
      </c>
      <c r="L470" s="51" t="str">
        <f>IF('Classe CE2'!$B70="","",N('Classe CE2'!I70))</f>
        <v/>
      </c>
      <c r="M470" s="51" t="str">
        <f>IF('Classe CE2'!$B70="","",N('Classe CE2'!J70))</f>
        <v/>
      </c>
      <c r="N470" s="51" t="str">
        <f>IF('Classe CE2'!$B70="","",N('Classe CE2'!K70))</f>
        <v/>
      </c>
      <c r="O470" s="51" t="str">
        <f>IF('Classe CE2'!$B70="","",N('Classe CE2'!L70))</f>
        <v/>
      </c>
      <c r="P470" s="51" t="str">
        <f>IF('Classe CE2'!$B70="","",N('Classe CE2'!M70))</f>
        <v/>
      </c>
      <c r="Q470" s="21" t="str">
        <f>IF('Classe CE2'!$B70="","",IF('Classe CE2'!Q70="","",'Classe CE2'!Q70))</f>
        <v/>
      </c>
      <c r="R470" s="51" t="str">
        <f>IF('Classe CE2'!$B70="","",N('Classe CE2'!N70))</f>
        <v/>
      </c>
      <c r="S470" s="51" t="str">
        <f>IF('Classe CE2'!$B70="","",N('Classe CE2'!O70))</f>
        <v/>
      </c>
      <c r="T470" s="51" t="str">
        <f>IF('Classe CE2'!$B70="","",N('Classe CE2'!P70))</f>
        <v/>
      </c>
    </row>
    <row r="471">
      <c r="A471" s="16" t="str">
        <f>IF('Classe CE2'!$B71="","",IF('Classe CE2'!A71="","",'Classe CE2'!A71))</f>
        <v/>
      </c>
      <c r="B471" s="16" t="str">
        <f>IF('Classe CE2'!$B71="","",IF('Classe CE2'!B71="","",'Classe CE2'!B71))</f>
        <v/>
      </c>
      <c r="C471" s="16" t="str">
        <f>IF('Classe CE2'!$B71="","",IF('Classe CE2'!C71="","",'Classe CE2'!C71))</f>
        <v/>
      </c>
      <c r="D471" s="16" t="str">
        <f>IF($B471="","",C471&amp;" "&amp;B471&amp;" - "&amp;E471)</f>
        <v/>
      </c>
      <c r="E471" s="17" t="str">
        <f>IF($B471="","",Paramètres!$A$20)</f>
        <v/>
      </c>
      <c r="F471" s="17" t="str">
        <f>IF($B471="","",Paramètres!$B$20)</f>
        <v/>
      </c>
      <c r="G471" s="17" t="str">
        <f>IF('Classe CE2'!$B71="","",IF('Classe CE2'!D71="","",'Classe CE2'!D71))</f>
        <v/>
      </c>
      <c r="H471" s="78" t="str">
        <f>IF('Classe CE2'!$B71="","",IF('Classe CE2'!E71="","",'Classe CE2'!E71))</f>
        <v/>
      </c>
      <c r="I471" s="16" t="str">
        <f>IF('Classe CE2'!$B71="","",IF('Classe CE2'!F71="","",'Classe CE2'!F71))</f>
        <v/>
      </c>
      <c r="J471" s="16" t="str">
        <f>IF('Classe CE2'!$B71="","",IF('Classe CE2'!G71="","",'Classe CE2'!G71))</f>
        <v/>
      </c>
      <c r="K471" s="18" t="str">
        <f>IF('Classe CE2'!$B71="","",N('Classe CE2'!H71))</f>
        <v/>
      </c>
      <c r="L471" s="18" t="str">
        <f>IF('Classe CE2'!$B71="","",N('Classe CE2'!I71))</f>
        <v/>
      </c>
      <c r="M471" s="18" t="str">
        <f>IF('Classe CE2'!$B71="","",N('Classe CE2'!J71))</f>
        <v/>
      </c>
      <c r="N471" s="18" t="str">
        <f>IF('Classe CE2'!$B71="","",N('Classe CE2'!K71))</f>
        <v/>
      </c>
      <c r="O471" s="18" t="str">
        <f>IF('Classe CE2'!$B71="","",N('Classe CE2'!L71))</f>
        <v/>
      </c>
      <c r="P471" s="18" t="str">
        <f>IF('Classe CE2'!$B71="","",N('Classe CE2'!M71))</f>
        <v/>
      </c>
      <c r="Q471" s="17" t="str">
        <f>IF('Classe CE2'!$B71="","",IF('Classe CE2'!Q71="","",'Classe CE2'!Q71))</f>
        <v/>
      </c>
      <c r="R471" s="18" t="str">
        <f>IF('Classe CE2'!$B71="","",N('Classe CE2'!N71))</f>
        <v/>
      </c>
      <c r="S471" s="18" t="str">
        <f>IF('Classe CE2'!$B71="","",N('Classe CE2'!O71))</f>
        <v/>
      </c>
      <c r="T471" s="18" t="str">
        <f>IF('Classe CE2'!$B71="","",N('Classe CE2'!P71))</f>
        <v/>
      </c>
    </row>
    <row r="472">
      <c r="A472" s="20" t="str">
        <f>IF('Classe CE2'!$B72="","",IF('Classe CE2'!A72="","",'Classe CE2'!A72))</f>
        <v/>
      </c>
      <c r="B472" s="20" t="str">
        <f>IF('Classe CE2'!$B72="","",IF('Classe CE2'!B72="","",'Classe CE2'!B72))</f>
        <v/>
      </c>
      <c r="C472" s="20" t="str">
        <f>IF('Classe CE2'!$B72="","",IF('Classe CE2'!C72="","",'Classe CE2'!C72))</f>
        <v/>
      </c>
      <c r="D472" s="20" t="str">
        <f>IF($B472="","",C472&amp;" "&amp;B472&amp;" - "&amp;E472)</f>
        <v/>
      </c>
      <c r="E472" s="21" t="str">
        <f>IF($B472="","",Paramètres!$A$20)</f>
        <v/>
      </c>
      <c r="F472" s="21" t="str">
        <f>IF($B472="","",Paramètres!$B$20)</f>
        <v/>
      </c>
      <c r="G472" s="21" t="str">
        <f>IF('Classe CE2'!$B72="","",IF('Classe CE2'!D72="","",'Classe CE2'!D72))</f>
        <v/>
      </c>
      <c r="H472" s="77" t="str">
        <f>IF('Classe CE2'!$B72="","",IF('Classe CE2'!E72="","",'Classe CE2'!E72))</f>
        <v/>
      </c>
      <c r="I472" s="20" t="str">
        <f>IF('Classe CE2'!$B72="","",IF('Classe CE2'!F72="","",'Classe CE2'!F72))</f>
        <v/>
      </c>
      <c r="J472" s="20" t="str">
        <f>IF('Classe CE2'!$B72="","",IF('Classe CE2'!G72="","",'Classe CE2'!G72))</f>
        <v/>
      </c>
      <c r="K472" s="51" t="str">
        <f>IF('Classe CE2'!$B72="","",N('Classe CE2'!H72))</f>
        <v/>
      </c>
      <c r="L472" s="51" t="str">
        <f>IF('Classe CE2'!$B72="","",N('Classe CE2'!I72))</f>
        <v/>
      </c>
      <c r="M472" s="51" t="str">
        <f>IF('Classe CE2'!$B72="","",N('Classe CE2'!J72))</f>
        <v/>
      </c>
      <c r="N472" s="51" t="str">
        <f>IF('Classe CE2'!$B72="","",N('Classe CE2'!K72))</f>
        <v/>
      </c>
      <c r="O472" s="51" t="str">
        <f>IF('Classe CE2'!$B72="","",N('Classe CE2'!L72))</f>
        <v/>
      </c>
      <c r="P472" s="51" t="str">
        <f>IF('Classe CE2'!$B72="","",N('Classe CE2'!M72))</f>
        <v/>
      </c>
      <c r="Q472" s="21" t="str">
        <f>IF('Classe CE2'!$B72="","",IF('Classe CE2'!Q72="","",'Classe CE2'!Q72))</f>
        <v/>
      </c>
      <c r="R472" s="51" t="str">
        <f>IF('Classe CE2'!$B72="","",N('Classe CE2'!N72))</f>
        <v/>
      </c>
      <c r="S472" s="51" t="str">
        <f>IF('Classe CE2'!$B72="","",N('Classe CE2'!O72))</f>
        <v/>
      </c>
      <c r="T472" s="51" t="str">
        <f>IF('Classe CE2'!$B72="","",N('Classe CE2'!P72))</f>
        <v/>
      </c>
    </row>
    <row r="473">
      <c r="A473" s="16" t="str">
        <f>IF('Classe CE2'!$B73="","",IF('Classe CE2'!A73="","",'Classe CE2'!A73))</f>
        <v/>
      </c>
      <c r="B473" s="16" t="str">
        <f>IF('Classe CE2'!$B73="","",IF('Classe CE2'!B73="","",'Classe CE2'!B73))</f>
        <v/>
      </c>
      <c r="C473" s="16" t="str">
        <f>IF('Classe CE2'!$B73="","",IF('Classe CE2'!C73="","",'Classe CE2'!C73))</f>
        <v/>
      </c>
      <c r="D473" s="16" t="str">
        <f>IF($B473="","",C473&amp;" "&amp;B473&amp;" - "&amp;E473)</f>
        <v/>
      </c>
      <c r="E473" s="17" t="str">
        <f>IF($B473="","",Paramètres!$A$20)</f>
        <v/>
      </c>
      <c r="F473" s="17" t="str">
        <f>IF($B473="","",Paramètres!$B$20)</f>
        <v/>
      </c>
      <c r="G473" s="17" t="str">
        <f>IF('Classe CE2'!$B73="","",IF('Classe CE2'!D73="","",'Classe CE2'!D73))</f>
        <v/>
      </c>
      <c r="H473" s="78" t="str">
        <f>IF('Classe CE2'!$B73="","",IF('Classe CE2'!E73="","",'Classe CE2'!E73))</f>
        <v/>
      </c>
      <c r="I473" s="16" t="str">
        <f>IF('Classe CE2'!$B73="","",IF('Classe CE2'!F73="","",'Classe CE2'!F73))</f>
        <v/>
      </c>
      <c r="J473" s="16" t="str">
        <f>IF('Classe CE2'!$B73="","",IF('Classe CE2'!G73="","",'Classe CE2'!G73))</f>
        <v/>
      </c>
      <c r="K473" s="18" t="str">
        <f>IF('Classe CE2'!$B73="","",N('Classe CE2'!H73))</f>
        <v/>
      </c>
      <c r="L473" s="18" t="str">
        <f>IF('Classe CE2'!$B73="","",N('Classe CE2'!I73))</f>
        <v/>
      </c>
      <c r="M473" s="18" t="str">
        <f>IF('Classe CE2'!$B73="","",N('Classe CE2'!J73))</f>
        <v/>
      </c>
      <c r="N473" s="18" t="str">
        <f>IF('Classe CE2'!$B73="","",N('Classe CE2'!K73))</f>
        <v/>
      </c>
      <c r="O473" s="18" t="str">
        <f>IF('Classe CE2'!$B73="","",N('Classe CE2'!L73))</f>
        <v/>
      </c>
      <c r="P473" s="18" t="str">
        <f>IF('Classe CE2'!$B73="","",N('Classe CE2'!M73))</f>
        <v/>
      </c>
      <c r="Q473" s="17" t="str">
        <f>IF('Classe CE2'!$B73="","",IF('Classe CE2'!Q73="","",'Classe CE2'!Q73))</f>
        <v/>
      </c>
      <c r="R473" s="18" t="str">
        <f>IF('Classe CE2'!$B73="","",N('Classe CE2'!N73))</f>
        <v/>
      </c>
      <c r="S473" s="18" t="str">
        <f>IF('Classe CE2'!$B73="","",N('Classe CE2'!O73))</f>
        <v/>
      </c>
      <c r="T473" s="18" t="str">
        <f>IF('Classe CE2'!$B73="","",N('Classe CE2'!P73))</f>
        <v/>
      </c>
    </row>
    <row r="474">
      <c r="A474" s="20" t="str">
        <f>IF('Classe CE2'!$B74="","",IF('Classe CE2'!A74="","",'Classe CE2'!A74))</f>
        <v/>
      </c>
      <c r="B474" s="20" t="str">
        <f>IF('Classe CE2'!$B74="","",IF('Classe CE2'!B74="","",'Classe CE2'!B74))</f>
        <v/>
      </c>
      <c r="C474" s="20" t="str">
        <f>IF('Classe CE2'!$B74="","",IF('Classe CE2'!C74="","",'Classe CE2'!C74))</f>
        <v/>
      </c>
      <c r="D474" s="20" t="str">
        <f>IF($B474="","",C474&amp;" "&amp;B474&amp;" - "&amp;E474)</f>
        <v/>
      </c>
      <c r="E474" s="21" t="str">
        <f>IF($B474="","",Paramètres!$A$20)</f>
        <v/>
      </c>
      <c r="F474" s="21" t="str">
        <f>IF($B474="","",Paramètres!$B$20)</f>
        <v/>
      </c>
      <c r="G474" s="21" t="str">
        <f>IF('Classe CE2'!$B74="","",IF('Classe CE2'!D74="","",'Classe CE2'!D74))</f>
        <v/>
      </c>
      <c r="H474" s="77" t="str">
        <f>IF('Classe CE2'!$B74="","",IF('Classe CE2'!E74="","",'Classe CE2'!E74))</f>
        <v/>
      </c>
      <c r="I474" s="20" t="str">
        <f>IF('Classe CE2'!$B74="","",IF('Classe CE2'!F74="","",'Classe CE2'!F74))</f>
        <v/>
      </c>
      <c r="J474" s="20" t="str">
        <f>IF('Classe CE2'!$B74="","",IF('Classe CE2'!G74="","",'Classe CE2'!G74))</f>
        <v/>
      </c>
      <c r="K474" s="51" t="str">
        <f>IF('Classe CE2'!$B74="","",N('Classe CE2'!H74))</f>
        <v/>
      </c>
      <c r="L474" s="51" t="str">
        <f>IF('Classe CE2'!$B74="","",N('Classe CE2'!I74))</f>
        <v/>
      </c>
      <c r="M474" s="51" t="str">
        <f>IF('Classe CE2'!$B74="","",N('Classe CE2'!J74))</f>
        <v/>
      </c>
      <c r="N474" s="51" t="str">
        <f>IF('Classe CE2'!$B74="","",N('Classe CE2'!K74))</f>
        <v/>
      </c>
      <c r="O474" s="51" t="str">
        <f>IF('Classe CE2'!$B74="","",N('Classe CE2'!L74))</f>
        <v/>
      </c>
      <c r="P474" s="51" t="str">
        <f>IF('Classe CE2'!$B74="","",N('Classe CE2'!M74))</f>
        <v/>
      </c>
      <c r="Q474" s="21" t="str">
        <f>IF('Classe CE2'!$B74="","",IF('Classe CE2'!Q74="","",'Classe CE2'!Q74))</f>
        <v/>
      </c>
      <c r="R474" s="51" t="str">
        <f>IF('Classe CE2'!$B74="","",N('Classe CE2'!N74))</f>
        <v/>
      </c>
      <c r="S474" s="51" t="str">
        <f>IF('Classe CE2'!$B74="","",N('Classe CE2'!O74))</f>
        <v/>
      </c>
      <c r="T474" s="51" t="str">
        <f>IF('Classe CE2'!$B74="","",N('Classe CE2'!P74))</f>
        <v/>
      </c>
    </row>
    <row r="475">
      <c r="A475" s="16" t="str">
        <f>IF('Classe CE2'!$B75="","",IF('Classe CE2'!A75="","",'Classe CE2'!A75))</f>
        <v/>
      </c>
      <c r="B475" s="16" t="str">
        <f>IF('Classe CE2'!$B75="","",IF('Classe CE2'!B75="","",'Classe CE2'!B75))</f>
        <v/>
      </c>
      <c r="C475" s="16" t="str">
        <f>IF('Classe CE2'!$B75="","",IF('Classe CE2'!C75="","",'Classe CE2'!C75))</f>
        <v/>
      </c>
      <c r="D475" s="16" t="str">
        <f>IF($B475="","",C475&amp;" "&amp;B475&amp;" - "&amp;E475)</f>
        <v/>
      </c>
      <c r="E475" s="17" t="str">
        <f>IF($B475="","",Paramètres!$A$20)</f>
        <v/>
      </c>
      <c r="F475" s="17" t="str">
        <f>IF($B475="","",Paramètres!$B$20)</f>
        <v/>
      </c>
      <c r="G475" s="17" t="str">
        <f>IF('Classe CE2'!$B75="","",IF('Classe CE2'!D75="","",'Classe CE2'!D75))</f>
        <v/>
      </c>
      <c r="H475" s="78" t="str">
        <f>IF('Classe CE2'!$B75="","",IF('Classe CE2'!E75="","",'Classe CE2'!E75))</f>
        <v/>
      </c>
      <c r="I475" s="16" t="str">
        <f>IF('Classe CE2'!$B75="","",IF('Classe CE2'!F75="","",'Classe CE2'!F75))</f>
        <v/>
      </c>
      <c r="J475" s="16" t="str">
        <f>IF('Classe CE2'!$B75="","",IF('Classe CE2'!G75="","",'Classe CE2'!G75))</f>
        <v/>
      </c>
      <c r="K475" s="18" t="str">
        <f>IF('Classe CE2'!$B75="","",N('Classe CE2'!H75))</f>
        <v/>
      </c>
      <c r="L475" s="18" t="str">
        <f>IF('Classe CE2'!$B75="","",N('Classe CE2'!I75))</f>
        <v/>
      </c>
      <c r="M475" s="18" t="str">
        <f>IF('Classe CE2'!$B75="","",N('Classe CE2'!J75))</f>
        <v/>
      </c>
      <c r="N475" s="18" t="str">
        <f>IF('Classe CE2'!$B75="","",N('Classe CE2'!K75))</f>
        <v/>
      </c>
      <c r="O475" s="18" t="str">
        <f>IF('Classe CE2'!$B75="","",N('Classe CE2'!L75))</f>
        <v/>
      </c>
      <c r="P475" s="18" t="str">
        <f>IF('Classe CE2'!$B75="","",N('Classe CE2'!M75))</f>
        <v/>
      </c>
      <c r="Q475" s="17" t="str">
        <f>IF('Classe CE2'!$B75="","",IF('Classe CE2'!Q75="","",'Classe CE2'!Q75))</f>
        <v/>
      </c>
      <c r="R475" s="18" t="str">
        <f>IF('Classe CE2'!$B75="","",N('Classe CE2'!N75))</f>
        <v/>
      </c>
      <c r="S475" s="18" t="str">
        <f>IF('Classe CE2'!$B75="","",N('Classe CE2'!O75))</f>
        <v/>
      </c>
      <c r="T475" s="18" t="str">
        <f>IF('Classe CE2'!$B75="","",N('Classe CE2'!P75))</f>
        <v/>
      </c>
    </row>
    <row r="476">
      <c r="A476" s="20" t="str">
        <f>IF('Classe CE2'!$B76="","",IF('Classe CE2'!A76="","",'Classe CE2'!A76))</f>
        <v/>
      </c>
      <c r="B476" s="20" t="str">
        <f>IF('Classe CE2'!$B76="","",IF('Classe CE2'!B76="","",'Classe CE2'!B76))</f>
        <v/>
      </c>
      <c r="C476" s="20" t="str">
        <f>IF('Classe CE2'!$B76="","",IF('Classe CE2'!C76="","",'Classe CE2'!C76))</f>
        <v/>
      </c>
      <c r="D476" s="20" t="str">
        <f>IF($B476="","",C476&amp;" "&amp;B476&amp;" - "&amp;E476)</f>
        <v/>
      </c>
      <c r="E476" s="21" t="str">
        <f>IF($B476="","",Paramètres!$A$20)</f>
        <v/>
      </c>
      <c r="F476" s="21" t="str">
        <f>IF($B476="","",Paramètres!$B$20)</f>
        <v/>
      </c>
      <c r="G476" s="21" t="str">
        <f>IF('Classe CE2'!$B76="","",IF('Classe CE2'!D76="","",'Classe CE2'!D76))</f>
        <v/>
      </c>
      <c r="H476" s="77" t="str">
        <f>IF('Classe CE2'!$B76="","",IF('Classe CE2'!E76="","",'Classe CE2'!E76))</f>
        <v/>
      </c>
      <c r="I476" s="20" t="str">
        <f>IF('Classe CE2'!$B76="","",IF('Classe CE2'!F76="","",'Classe CE2'!F76))</f>
        <v/>
      </c>
      <c r="J476" s="20" t="str">
        <f>IF('Classe CE2'!$B76="","",IF('Classe CE2'!G76="","",'Classe CE2'!G76))</f>
        <v/>
      </c>
      <c r="K476" s="51" t="str">
        <f>IF('Classe CE2'!$B76="","",N('Classe CE2'!H76))</f>
        <v/>
      </c>
      <c r="L476" s="51" t="str">
        <f>IF('Classe CE2'!$B76="","",N('Classe CE2'!I76))</f>
        <v/>
      </c>
      <c r="M476" s="51" t="str">
        <f>IF('Classe CE2'!$B76="","",N('Classe CE2'!J76))</f>
        <v/>
      </c>
      <c r="N476" s="51" t="str">
        <f>IF('Classe CE2'!$B76="","",N('Classe CE2'!K76))</f>
        <v/>
      </c>
      <c r="O476" s="51" t="str">
        <f>IF('Classe CE2'!$B76="","",N('Classe CE2'!L76))</f>
        <v/>
      </c>
      <c r="P476" s="51" t="str">
        <f>IF('Classe CE2'!$B76="","",N('Classe CE2'!M76))</f>
        <v/>
      </c>
      <c r="Q476" s="21" t="str">
        <f>IF('Classe CE2'!$B76="","",IF('Classe CE2'!Q76="","",'Classe CE2'!Q76))</f>
        <v/>
      </c>
      <c r="R476" s="51" t="str">
        <f>IF('Classe CE2'!$B76="","",N('Classe CE2'!N76))</f>
        <v/>
      </c>
      <c r="S476" s="51" t="str">
        <f>IF('Classe CE2'!$B76="","",N('Classe CE2'!O76))</f>
        <v/>
      </c>
      <c r="T476" s="51" t="str">
        <f>IF('Classe CE2'!$B76="","",N('Classe CE2'!P76))</f>
        <v/>
      </c>
    </row>
    <row r="477">
      <c r="A477" s="16" t="str">
        <f>IF('Classe CE2'!$B77="","",IF('Classe CE2'!A77="","",'Classe CE2'!A77))</f>
        <v/>
      </c>
      <c r="B477" s="16" t="str">
        <f>IF('Classe CE2'!$B77="","",IF('Classe CE2'!B77="","",'Classe CE2'!B77))</f>
        <v/>
      </c>
      <c r="C477" s="16" t="str">
        <f>IF('Classe CE2'!$B77="","",IF('Classe CE2'!C77="","",'Classe CE2'!C77))</f>
        <v/>
      </c>
      <c r="D477" s="16" t="str">
        <f>IF($B477="","",C477&amp;" "&amp;B477&amp;" - "&amp;E477)</f>
        <v/>
      </c>
      <c r="E477" s="17" t="str">
        <f>IF($B477="","",Paramètres!$A$20)</f>
        <v/>
      </c>
      <c r="F477" s="17" t="str">
        <f>IF($B477="","",Paramètres!$B$20)</f>
        <v/>
      </c>
      <c r="G477" s="17" t="str">
        <f>IF('Classe CE2'!$B77="","",IF('Classe CE2'!D77="","",'Classe CE2'!D77))</f>
        <v/>
      </c>
      <c r="H477" s="78" t="str">
        <f>IF('Classe CE2'!$B77="","",IF('Classe CE2'!E77="","",'Classe CE2'!E77))</f>
        <v/>
      </c>
      <c r="I477" s="16" t="str">
        <f>IF('Classe CE2'!$B77="","",IF('Classe CE2'!F77="","",'Classe CE2'!F77))</f>
        <v/>
      </c>
      <c r="J477" s="16" t="str">
        <f>IF('Classe CE2'!$B77="","",IF('Classe CE2'!G77="","",'Classe CE2'!G77))</f>
        <v/>
      </c>
      <c r="K477" s="18" t="str">
        <f>IF('Classe CE2'!$B77="","",N('Classe CE2'!H77))</f>
        <v/>
      </c>
      <c r="L477" s="18" t="str">
        <f>IF('Classe CE2'!$B77="","",N('Classe CE2'!I77))</f>
        <v/>
      </c>
      <c r="M477" s="18" t="str">
        <f>IF('Classe CE2'!$B77="","",N('Classe CE2'!J77))</f>
        <v/>
      </c>
      <c r="N477" s="18" t="str">
        <f>IF('Classe CE2'!$B77="","",N('Classe CE2'!K77))</f>
        <v/>
      </c>
      <c r="O477" s="18" t="str">
        <f>IF('Classe CE2'!$B77="","",N('Classe CE2'!L77))</f>
        <v/>
      </c>
      <c r="P477" s="18" t="str">
        <f>IF('Classe CE2'!$B77="","",N('Classe CE2'!M77))</f>
        <v/>
      </c>
      <c r="Q477" s="17" t="str">
        <f>IF('Classe CE2'!$B77="","",IF('Classe CE2'!Q77="","",'Classe CE2'!Q77))</f>
        <v/>
      </c>
      <c r="R477" s="18" t="str">
        <f>IF('Classe CE2'!$B77="","",N('Classe CE2'!N77))</f>
        <v/>
      </c>
      <c r="S477" s="18" t="str">
        <f>IF('Classe CE2'!$B77="","",N('Classe CE2'!O77))</f>
        <v/>
      </c>
      <c r="T477" s="18" t="str">
        <f>IF('Classe CE2'!$B77="","",N('Classe CE2'!P77))</f>
        <v/>
      </c>
    </row>
    <row r="478">
      <c r="A478" s="20" t="str">
        <f>IF('Classe CE2'!$B78="","",IF('Classe CE2'!A78="","",'Classe CE2'!A78))</f>
        <v/>
      </c>
      <c r="B478" s="20" t="str">
        <f>IF('Classe CE2'!$B78="","",IF('Classe CE2'!B78="","",'Classe CE2'!B78))</f>
        <v/>
      </c>
      <c r="C478" s="20" t="str">
        <f>IF('Classe CE2'!$B78="","",IF('Classe CE2'!C78="","",'Classe CE2'!C78))</f>
        <v/>
      </c>
      <c r="D478" s="20" t="str">
        <f>IF($B478="","",C478&amp;" "&amp;B478&amp;" - "&amp;E478)</f>
        <v/>
      </c>
      <c r="E478" s="21" t="str">
        <f>IF($B478="","",Paramètres!$A$20)</f>
        <v/>
      </c>
      <c r="F478" s="21" t="str">
        <f>IF($B478="","",Paramètres!$B$20)</f>
        <v/>
      </c>
      <c r="G478" s="21" t="str">
        <f>IF('Classe CE2'!$B78="","",IF('Classe CE2'!D78="","",'Classe CE2'!D78))</f>
        <v/>
      </c>
      <c r="H478" s="77" t="str">
        <f>IF('Classe CE2'!$B78="","",IF('Classe CE2'!E78="","",'Classe CE2'!E78))</f>
        <v/>
      </c>
      <c r="I478" s="20" t="str">
        <f>IF('Classe CE2'!$B78="","",IF('Classe CE2'!F78="","",'Classe CE2'!F78))</f>
        <v/>
      </c>
      <c r="J478" s="20" t="str">
        <f>IF('Classe CE2'!$B78="","",IF('Classe CE2'!G78="","",'Classe CE2'!G78))</f>
        <v/>
      </c>
      <c r="K478" s="51" t="str">
        <f>IF('Classe CE2'!$B78="","",N('Classe CE2'!H78))</f>
        <v/>
      </c>
      <c r="L478" s="51" t="str">
        <f>IF('Classe CE2'!$B78="","",N('Classe CE2'!I78))</f>
        <v/>
      </c>
      <c r="M478" s="51" t="str">
        <f>IF('Classe CE2'!$B78="","",N('Classe CE2'!J78))</f>
        <v/>
      </c>
      <c r="N478" s="51" t="str">
        <f>IF('Classe CE2'!$B78="","",N('Classe CE2'!K78))</f>
        <v/>
      </c>
      <c r="O478" s="51" t="str">
        <f>IF('Classe CE2'!$B78="","",N('Classe CE2'!L78))</f>
        <v/>
      </c>
      <c r="P478" s="51" t="str">
        <f>IF('Classe CE2'!$B78="","",N('Classe CE2'!M78))</f>
        <v/>
      </c>
      <c r="Q478" s="21" t="str">
        <f>IF('Classe CE2'!$B78="","",IF('Classe CE2'!Q78="","",'Classe CE2'!Q78))</f>
        <v/>
      </c>
      <c r="R478" s="51" t="str">
        <f>IF('Classe CE2'!$B78="","",N('Classe CE2'!N78))</f>
        <v/>
      </c>
      <c r="S478" s="51" t="str">
        <f>IF('Classe CE2'!$B78="","",N('Classe CE2'!O78))</f>
        <v/>
      </c>
      <c r="T478" s="51" t="str">
        <f>IF('Classe CE2'!$B78="","",N('Classe CE2'!P78))</f>
        <v/>
      </c>
    </row>
    <row r="479">
      <c r="A479" s="16" t="str">
        <f>IF('Classe CE2'!$B79="","",IF('Classe CE2'!A79="","",'Classe CE2'!A79))</f>
        <v/>
      </c>
      <c r="B479" s="16" t="str">
        <f>IF('Classe CE2'!$B79="","",IF('Classe CE2'!B79="","",'Classe CE2'!B79))</f>
        <v/>
      </c>
      <c r="C479" s="16" t="str">
        <f>IF('Classe CE2'!$B79="","",IF('Classe CE2'!C79="","",'Classe CE2'!C79))</f>
        <v/>
      </c>
      <c r="D479" s="16" t="str">
        <f>IF($B479="","",C479&amp;" "&amp;B479&amp;" - "&amp;E479)</f>
        <v/>
      </c>
      <c r="E479" s="17" t="str">
        <f>IF($B479="","",Paramètres!$A$20)</f>
        <v/>
      </c>
      <c r="F479" s="17" t="str">
        <f>IF($B479="","",Paramètres!$B$20)</f>
        <v/>
      </c>
      <c r="G479" s="17" t="str">
        <f>IF('Classe CE2'!$B79="","",IF('Classe CE2'!D79="","",'Classe CE2'!D79))</f>
        <v/>
      </c>
      <c r="H479" s="78" t="str">
        <f>IF('Classe CE2'!$B79="","",IF('Classe CE2'!E79="","",'Classe CE2'!E79))</f>
        <v/>
      </c>
      <c r="I479" s="16" t="str">
        <f>IF('Classe CE2'!$B79="","",IF('Classe CE2'!F79="","",'Classe CE2'!F79))</f>
        <v/>
      </c>
      <c r="J479" s="16" t="str">
        <f>IF('Classe CE2'!$B79="","",IF('Classe CE2'!G79="","",'Classe CE2'!G79))</f>
        <v/>
      </c>
      <c r="K479" s="18" t="str">
        <f>IF('Classe CE2'!$B79="","",N('Classe CE2'!H79))</f>
        <v/>
      </c>
      <c r="L479" s="18" t="str">
        <f>IF('Classe CE2'!$B79="","",N('Classe CE2'!I79))</f>
        <v/>
      </c>
      <c r="M479" s="18" t="str">
        <f>IF('Classe CE2'!$B79="","",N('Classe CE2'!J79))</f>
        <v/>
      </c>
      <c r="N479" s="18" t="str">
        <f>IF('Classe CE2'!$B79="","",N('Classe CE2'!K79))</f>
        <v/>
      </c>
      <c r="O479" s="18" t="str">
        <f>IF('Classe CE2'!$B79="","",N('Classe CE2'!L79))</f>
        <v/>
      </c>
      <c r="P479" s="18" t="str">
        <f>IF('Classe CE2'!$B79="","",N('Classe CE2'!M79))</f>
        <v/>
      </c>
      <c r="Q479" s="17" t="str">
        <f>IF('Classe CE2'!$B79="","",IF('Classe CE2'!Q79="","",'Classe CE2'!Q79))</f>
        <v/>
      </c>
      <c r="R479" s="18" t="str">
        <f>IF('Classe CE2'!$B79="","",N('Classe CE2'!N79))</f>
        <v/>
      </c>
      <c r="S479" s="18" t="str">
        <f>IF('Classe CE2'!$B79="","",N('Classe CE2'!O79))</f>
        <v/>
      </c>
      <c r="T479" s="18" t="str">
        <f>IF('Classe CE2'!$B79="","",N('Classe CE2'!P79))</f>
        <v/>
      </c>
    </row>
    <row r="480">
      <c r="A480" s="20" t="str">
        <f>IF('Classe CE2'!$B80="","",IF('Classe CE2'!A80="","",'Classe CE2'!A80))</f>
        <v/>
      </c>
      <c r="B480" s="20" t="str">
        <f>IF('Classe CE2'!$B80="","",IF('Classe CE2'!B80="","",'Classe CE2'!B80))</f>
        <v/>
      </c>
      <c r="C480" s="20" t="str">
        <f>IF('Classe CE2'!$B80="","",IF('Classe CE2'!C80="","",'Classe CE2'!C80))</f>
        <v/>
      </c>
      <c r="D480" s="20" t="str">
        <f>IF($B480="","",C480&amp;" "&amp;B480&amp;" - "&amp;E480)</f>
        <v/>
      </c>
      <c r="E480" s="21" t="str">
        <f>IF($B480="","",Paramètres!$A$20)</f>
        <v/>
      </c>
      <c r="F480" s="21" t="str">
        <f>IF($B480="","",Paramètres!$B$20)</f>
        <v/>
      </c>
      <c r="G480" s="21" t="str">
        <f>IF('Classe CE2'!$B80="","",IF('Classe CE2'!D80="","",'Classe CE2'!D80))</f>
        <v/>
      </c>
      <c r="H480" s="77" t="str">
        <f>IF('Classe CE2'!$B80="","",IF('Classe CE2'!E80="","",'Classe CE2'!E80))</f>
        <v/>
      </c>
      <c r="I480" s="20" t="str">
        <f>IF('Classe CE2'!$B80="","",IF('Classe CE2'!F80="","",'Classe CE2'!F80))</f>
        <v/>
      </c>
      <c r="J480" s="20" t="str">
        <f>IF('Classe CE2'!$B80="","",IF('Classe CE2'!G80="","",'Classe CE2'!G80))</f>
        <v/>
      </c>
      <c r="K480" s="51" t="str">
        <f>IF('Classe CE2'!$B80="","",N('Classe CE2'!H80))</f>
        <v/>
      </c>
      <c r="L480" s="51" t="str">
        <f>IF('Classe CE2'!$B80="","",N('Classe CE2'!I80))</f>
        <v/>
      </c>
      <c r="M480" s="51" t="str">
        <f>IF('Classe CE2'!$B80="","",N('Classe CE2'!J80))</f>
        <v/>
      </c>
      <c r="N480" s="51" t="str">
        <f>IF('Classe CE2'!$B80="","",N('Classe CE2'!K80))</f>
        <v/>
      </c>
      <c r="O480" s="51" t="str">
        <f>IF('Classe CE2'!$B80="","",N('Classe CE2'!L80))</f>
        <v/>
      </c>
      <c r="P480" s="51" t="str">
        <f>IF('Classe CE2'!$B80="","",N('Classe CE2'!M80))</f>
        <v/>
      </c>
      <c r="Q480" s="21" t="str">
        <f>IF('Classe CE2'!$B80="","",IF('Classe CE2'!Q80="","",'Classe CE2'!Q80))</f>
        <v/>
      </c>
      <c r="R480" s="51" t="str">
        <f>IF('Classe CE2'!$B80="","",N('Classe CE2'!N80))</f>
        <v/>
      </c>
      <c r="S480" s="51" t="str">
        <f>IF('Classe CE2'!$B80="","",N('Classe CE2'!O80))</f>
        <v/>
      </c>
      <c r="T480" s="51" t="str">
        <f>IF('Classe CE2'!$B80="","",N('Classe CE2'!P80))</f>
        <v/>
      </c>
    </row>
    <row r="481">
      <c r="A481" s="16" t="str">
        <f>IF('Classe CE2'!$B81="","",IF('Classe CE2'!A81="","",'Classe CE2'!A81))</f>
        <v/>
      </c>
      <c r="B481" s="16" t="str">
        <f>IF('Classe CE2'!$B81="","",IF('Classe CE2'!B81="","",'Classe CE2'!B81))</f>
        <v/>
      </c>
      <c r="C481" s="16" t="str">
        <f>IF('Classe CE2'!$B81="","",IF('Classe CE2'!C81="","",'Classe CE2'!C81))</f>
        <v/>
      </c>
      <c r="D481" s="16" t="str">
        <f>IF($B481="","",C481&amp;" "&amp;B481&amp;" - "&amp;E481)</f>
        <v/>
      </c>
      <c r="E481" s="17" t="str">
        <f>IF($B481="","",Paramètres!$A$20)</f>
        <v/>
      </c>
      <c r="F481" s="17" t="str">
        <f>IF($B481="","",Paramètres!$B$20)</f>
        <v/>
      </c>
      <c r="G481" s="17" t="str">
        <f>IF('Classe CE2'!$B81="","",IF('Classe CE2'!D81="","",'Classe CE2'!D81))</f>
        <v/>
      </c>
      <c r="H481" s="78" t="str">
        <f>IF('Classe CE2'!$B81="","",IF('Classe CE2'!E81="","",'Classe CE2'!E81))</f>
        <v/>
      </c>
      <c r="I481" s="16" t="str">
        <f>IF('Classe CE2'!$B81="","",IF('Classe CE2'!F81="","",'Classe CE2'!F81))</f>
        <v/>
      </c>
      <c r="J481" s="16" t="str">
        <f>IF('Classe CE2'!$B81="","",IF('Classe CE2'!G81="","",'Classe CE2'!G81))</f>
        <v/>
      </c>
      <c r="K481" s="18" t="str">
        <f>IF('Classe CE2'!$B81="","",N('Classe CE2'!H81))</f>
        <v/>
      </c>
      <c r="L481" s="18" t="str">
        <f>IF('Classe CE2'!$B81="","",N('Classe CE2'!I81))</f>
        <v/>
      </c>
      <c r="M481" s="18" t="str">
        <f>IF('Classe CE2'!$B81="","",N('Classe CE2'!J81))</f>
        <v/>
      </c>
      <c r="N481" s="18" t="str">
        <f>IF('Classe CE2'!$B81="","",N('Classe CE2'!K81))</f>
        <v/>
      </c>
      <c r="O481" s="18" t="str">
        <f>IF('Classe CE2'!$B81="","",N('Classe CE2'!L81))</f>
        <v/>
      </c>
      <c r="P481" s="18" t="str">
        <f>IF('Classe CE2'!$B81="","",N('Classe CE2'!M81))</f>
        <v/>
      </c>
      <c r="Q481" s="17" t="str">
        <f>IF('Classe CE2'!$B81="","",IF('Classe CE2'!Q81="","",'Classe CE2'!Q81))</f>
        <v/>
      </c>
      <c r="R481" s="18" t="str">
        <f>IF('Classe CE2'!$B81="","",N('Classe CE2'!N81))</f>
        <v/>
      </c>
      <c r="S481" s="18" t="str">
        <f>IF('Classe CE2'!$B81="","",N('Classe CE2'!O81))</f>
        <v/>
      </c>
      <c r="T481" s="18" t="str">
        <f>IF('Classe CE2'!$B81="","",N('Classe CE2'!P81))</f>
        <v/>
      </c>
    </row>
    <row r="482">
      <c r="A482" s="20" t="str">
        <f>IF('Classe CE2'!$B82="","",IF('Classe CE2'!A82="","",'Classe CE2'!A82))</f>
        <v/>
      </c>
      <c r="B482" s="20" t="str">
        <f>IF('Classe CE2'!$B82="","",IF('Classe CE2'!B82="","",'Classe CE2'!B82))</f>
        <v/>
      </c>
      <c r="C482" s="20" t="str">
        <f>IF('Classe CE2'!$B82="","",IF('Classe CE2'!C82="","",'Classe CE2'!C82))</f>
        <v/>
      </c>
      <c r="D482" s="20" t="str">
        <f>IF($B482="","",C482&amp;" "&amp;B482&amp;" - "&amp;E482)</f>
        <v/>
      </c>
      <c r="E482" s="21" t="str">
        <f>IF($B482="","",Paramètres!$A$20)</f>
        <v/>
      </c>
      <c r="F482" s="21" t="str">
        <f>IF($B482="","",Paramètres!$B$20)</f>
        <v/>
      </c>
      <c r="G482" s="21" t="str">
        <f>IF('Classe CE2'!$B82="","",IF('Classe CE2'!D82="","",'Classe CE2'!D82))</f>
        <v/>
      </c>
      <c r="H482" s="77" t="str">
        <f>IF('Classe CE2'!$B82="","",IF('Classe CE2'!E82="","",'Classe CE2'!E82))</f>
        <v/>
      </c>
      <c r="I482" s="20" t="str">
        <f>IF('Classe CE2'!$B82="","",IF('Classe CE2'!F82="","",'Classe CE2'!F82))</f>
        <v/>
      </c>
      <c r="J482" s="20" t="str">
        <f>IF('Classe CE2'!$B82="","",IF('Classe CE2'!G82="","",'Classe CE2'!G82))</f>
        <v/>
      </c>
      <c r="K482" s="51" t="str">
        <f>IF('Classe CE2'!$B82="","",N('Classe CE2'!H82))</f>
        <v/>
      </c>
      <c r="L482" s="51" t="str">
        <f>IF('Classe CE2'!$B82="","",N('Classe CE2'!I82))</f>
        <v/>
      </c>
      <c r="M482" s="51" t="str">
        <f>IF('Classe CE2'!$B82="","",N('Classe CE2'!J82))</f>
        <v/>
      </c>
      <c r="N482" s="51" t="str">
        <f>IF('Classe CE2'!$B82="","",N('Classe CE2'!K82))</f>
        <v/>
      </c>
      <c r="O482" s="51" t="str">
        <f>IF('Classe CE2'!$B82="","",N('Classe CE2'!L82))</f>
        <v/>
      </c>
      <c r="P482" s="51" t="str">
        <f>IF('Classe CE2'!$B82="","",N('Classe CE2'!M82))</f>
        <v/>
      </c>
      <c r="Q482" s="21" t="str">
        <f>IF('Classe CE2'!$B82="","",IF('Classe CE2'!Q82="","",'Classe CE2'!Q82))</f>
        <v/>
      </c>
      <c r="R482" s="51" t="str">
        <f>IF('Classe CE2'!$B82="","",N('Classe CE2'!N82))</f>
        <v/>
      </c>
      <c r="S482" s="51" t="str">
        <f>IF('Classe CE2'!$B82="","",N('Classe CE2'!O82))</f>
        <v/>
      </c>
      <c r="T482" s="51" t="str">
        <f>IF('Classe CE2'!$B82="","",N('Classe CE2'!P82))</f>
        <v/>
      </c>
    </row>
    <row r="483">
      <c r="A483" s="16" t="str">
        <f>IF('Classe CE2'!$B83="","",IF('Classe CE2'!A83="","",'Classe CE2'!A83))</f>
        <v/>
      </c>
      <c r="B483" s="16" t="str">
        <f>IF('Classe CE2'!$B83="","",IF('Classe CE2'!B83="","",'Classe CE2'!B83))</f>
        <v/>
      </c>
      <c r="C483" s="16" t="str">
        <f>IF('Classe CE2'!$B83="","",IF('Classe CE2'!C83="","",'Classe CE2'!C83))</f>
        <v/>
      </c>
      <c r="D483" s="16" t="str">
        <f>IF($B483="","",C483&amp;" "&amp;B483&amp;" - "&amp;E483)</f>
        <v/>
      </c>
      <c r="E483" s="17" t="str">
        <f>IF($B483="","",Paramètres!$A$20)</f>
        <v/>
      </c>
      <c r="F483" s="17" t="str">
        <f>IF($B483="","",Paramètres!$B$20)</f>
        <v/>
      </c>
      <c r="G483" s="17" t="str">
        <f>IF('Classe CE2'!$B83="","",IF('Classe CE2'!D83="","",'Classe CE2'!D83))</f>
        <v/>
      </c>
      <c r="H483" s="78" t="str">
        <f>IF('Classe CE2'!$B83="","",IF('Classe CE2'!E83="","",'Classe CE2'!E83))</f>
        <v/>
      </c>
      <c r="I483" s="16" t="str">
        <f>IF('Classe CE2'!$B83="","",IF('Classe CE2'!F83="","",'Classe CE2'!F83))</f>
        <v/>
      </c>
      <c r="J483" s="16" t="str">
        <f>IF('Classe CE2'!$B83="","",IF('Classe CE2'!G83="","",'Classe CE2'!G83))</f>
        <v/>
      </c>
      <c r="K483" s="18" t="str">
        <f>IF('Classe CE2'!$B83="","",N('Classe CE2'!H83))</f>
        <v/>
      </c>
      <c r="L483" s="18" t="str">
        <f>IF('Classe CE2'!$B83="","",N('Classe CE2'!I83))</f>
        <v/>
      </c>
      <c r="M483" s="18" t="str">
        <f>IF('Classe CE2'!$B83="","",N('Classe CE2'!J83))</f>
        <v/>
      </c>
      <c r="N483" s="18" t="str">
        <f>IF('Classe CE2'!$B83="","",N('Classe CE2'!K83))</f>
        <v/>
      </c>
      <c r="O483" s="18" t="str">
        <f>IF('Classe CE2'!$B83="","",N('Classe CE2'!L83))</f>
        <v/>
      </c>
      <c r="P483" s="18" t="str">
        <f>IF('Classe CE2'!$B83="","",N('Classe CE2'!M83))</f>
        <v/>
      </c>
      <c r="Q483" s="17" t="str">
        <f>IF('Classe CE2'!$B83="","",IF('Classe CE2'!Q83="","",'Classe CE2'!Q83))</f>
        <v/>
      </c>
      <c r="R483" s="18" t="str">
        <f>IF('Classe CE2'!$B83="","",N('Classe CE2'!N83))</f>
        <v/>
      </c>
      <c r="S483" s="18" t="str">
        <f>IF('Classe CE2'!$B83="","",N('Classe CE2'!O83))</f>
        <v/>
      </c>
      <c r="T483" s="18" t="str">
        <f>IF('Classe CE2'!$B83="","",N('Classe CE2'!P83))</f>
        <v/>
      </c>
    </row>
    <row r="484">
      <c r="A484" s="20" t="str">
        <f>IF('Classe CM1'!$B4="","",IF('Classe CM1'!A4="","",'Classe CM1'!A4))</f>
        <v/>
      </c>
      <c r="B484" s="20" t="str">
        <f>IF('Classe CM1'!$B4="","",IF('Classe CM1'!B4="","",'Classe CM1'!B4))</f>
        <v/>
      </c>
      <c r="C484" s="20" t="str">
        <f>IF('Classe CM1'!$B4="","",IF('Classe CM1'!C4="","",'Classe CM1'!C4))</f>
        <v/>
      </c>
      <c r="D484" s="20" t="str">
        <f>IF($B484="","",C484&amp;" "&amp;B484&amp;" - "&amp;E484)</f>
        <v/>
      </c>
      <c r="E484" s="21" t="str">
        <f>IF($B484="","",Paramètres!$A$21)</f>
        <v/>
      </c>
      <c r="F484" s="21" t="str">
        <f>IF($B484="","",Paramètres!$B$21)</f>
        <v/>
      </c>
      <c r="G484" s="21" t="str">
        <f>IF('Classe CM1'!$B4="","",IF('Classe CM1'!D4="","",'Classe CM1'!D4))</f>
        <v/>
      </c>
      <c r="H484" s="77" t="str">
        <f>IF('Classe CM1'!$B4="","",IF('Classe CM1'!E4="","",'Classe CM1'!E4))</f>
        <v/>
      </c>
      <c r="I484" s="20" t="str">
        <f>IF('Classe CM1'!$B4="","",IF('Classe CM1'!F4="","",'Classe CM1'!F4))</f>
        <v/>
      </c>
      <c r="J484" s="20" t="str">
        <f>IF('Classe CM1'!$B4="","",IF('Classe CM1'!G4="","",'Classe CM1'!G4))</f>
        <v/>
      </c>
      <c r="K484" s="51" t="str">
        <f>IF('Classe CM1'!$B4="","",N('Classe CM1'!H4))</f>
        <v/>
      </c>
      <c r="L484" s="51" t="str">
        <f>IF('Classe CM1'!$B4="","",N('Classe CM1'!I4))</f>
        <v/>
      </c>
      <c r="M484" s="51" t="str">
        <f>IF('Classe CM1'!$B4="","",N('Classe CM1'!J4))</f>
        <v/>
      </c>
      <c r="N484" s="51" t="str">
        <f>IF('Classe CM1'!$B4="","",N('Classe CM1'!K4))</f>
        <v/>
      </c>
      <c r="O484" s="51" t="str">
        <f>IF('Classe CM1'!$B4="","",N('Classe CM1'!L4))</f>
        <v/>
      </c>
      <c r="P484" s="51" t="str">
        <f>IF('Classe CM1'!$B4="","",N('Classe CM1'!M4))</f>
        <v/>
      </c>
      <c r="Q484" s="21" t="str">
        <f>IF('Classe CM1'!$B4="","",IF('Classe CM1'!Q4="","",'Classe CM1'!Q4))</f>
        <v/>
      </c>
      <c r="R484" s="51" t="str">
        <f>IF('Classe CM1'!$B4="","",N('Classe CM1'!N4))</f>
        <v/>
      </c>
      <c r="S484" s="51" t="str">
        <f>IF('Classe CM1'!$B4="","",N('Classe CM1'!O4))</f>
        <v/>
      </c>
      <c r="T484" s="51" t="str">
        <f>IF('Classe CM1'!$B4="","",N('Classe CM1'!P4))</f>
        <v/>
      </c>
    </row>
    <row r="485">
      <c r="A485" s="16" t="str">
        <f>IF('Classe CM1'!$B5="","",IF('Classe CM1'!A5="","",'Classe CM1'!A5))</f>
        <v/>
      </c>
      <c r="B485" s="16" t="str">
        <f>IF('Classe CM1'!$B5="","",IF('Classe CM1'!B5="","",'Classe CM1'!B5))</f>
        <v/>
      </c>
      <c r="C485" s="16" t="str">
        <f>IF('Classe CM1'!$B5="","",IF('Classe CM1'!C5="","",'Classe CM1'!C5))</f>
        <v/>
      </c>
      <c r="D485" s="16" t="str">
        <f>IF($B485="","",C485&amp;" "&amp;B485&amp;" - "&amp;E485)</f>
        <v/>
      </c>
      <c r="E485" s="17" t="str">
        <f>IF($B485="","",Paramètres!$A$21)</f>
        <v/>
      </c>
      <c r="F485" s="17" t="str">
        <f>IF($B485="","",Paramètres!$B$21)</f>
        <v/>
      </c>
      <c r="G485" s="17" t="str">
        <f>IF('Classe CM1'!$B5="","",IF('Classe CM1'!D5="","",'Classe CM1'!D5))</f>
        <v/>
      </c>
      <c r="H485" s="78" t="str">
        <f>IF('Classe CM1'!$B5="","",IF('Classe CM1'!E5="","",'Classe CM1'!E5))</f>
        <v/>
      </c>
      <c r="I485" s="16" t="str">
        <f>IF('Classe CM1'!$B5="","",IF('Classe CM1'!F5="","",'Classe CM1'!F5))</f>
        <v/>
      </c>
      <c r="J485" s="16" t="str">
        <f>IF('Classe CM1'!$B5="","",IF('Classe CM1'!G5="","",'Classe CM1'!G5))</f>
        <v/>
      </c>
      <c r="K485" s="18" t="str">
        <f>IF('Classe CM1'!$B5="","",N('Classe CM1'!H5))</f>
        <v/>
      </c>
      <c r="L485" s="18" t="str">
        <f>IF('Classe CM1'!$B5="","",N('Classe CM1'!I5))</f>
        <v/>
      </c>
      <c r="M485" s="18" t="str">
        <f>IF('Classe CM1'!$B5="","",N('Classe CM1'!J5))</f>
        <v/>
      </c>
      <c r="N485" s="18" t="str">
        <f>IF('Classe CM1'!$B5="","",N('Classe CM1'!K5))</f>
        <v/>
      </c>
      <c r="O485" s="18" t="str">
        <f>IF('Classe CM1'!$B5="","",N('Classe CM1'!L5))</f>
        <v/>
      </c>
      <c r="P485" s="18" t="str">
        <f>IF('Classe CM1'!$B5="","",N('Classe CM1'!M5))</f>
        <v/>
      </c>
      <c r="Q485" s="17" t="str">
        <f>IF('Classe CM1'!$B5="","",IF('Classe CM1'!Q5="","",'Classe CM1'!Q5))</f>
        <v/>
      </c>
      <c r="R485" s="18" t="str">
        <f>IF('Classe CM1'!$B5="","",N('Classe CM1'!N5))</f>
        <v/>
      </c>
      <c r="S485" s="18" t="str">
        <f>IF('Classe CM1'!$B5="","",N('Classe CM1'!O5))</f>
        <v/>
      </c>
      <c r="T485" s="18" t="str">
        <f>IF('Classe CM1'!$B5="","",N('Classe CM1'!P5))</f>
        <v/>
      </c>
    </row>
    <row r="486">
      <c r="A486" s="20" t="str">
        <f>IF('Classe CM1'!$B6="","",IF('Classe CM1'!A6="","",'Classe CM1'!A6))</f>
        <v/>
      </c>
      <c r="B486" s="20" t="str">
        <f>IF('Classe CM1'!$B6="","",IF('Classe CM1'!B6="","",'Classe CM1'!B6))</f>
        <v/>
      </c>
      <c r="C486" s="20" t="str">
        <f>IF('Classe CM1'!$B6="","",IF('Classe CM1'!C6="","",'Classe CM1'!C6))</f>
        <v/>
      </c>
      <c r="D486" s="20" t="str">
        <f>IF($B486="","",C486&amp;" "&amp;B486&amp;" - "&amp;E486)</f>
        <v/>
      </c>
      <c r="E486" s="21" t="str">
        <f>IF($B486="","",Paramètres!$A$21)</f>
        <v/>
      </c>
      <c r="F486" s="21" t="str">
        <f>IF($B486="","",Paramètres!$B$21)</f>
        <v/>
      </c>
      <c r="G486" s="21" t="str">
        <f>IF('Classe CM1'!$B6="","",IF('Classe CM1'!D6="","",'Classe CM1'!D6))</f>
        <v/>
      </c>
      <c r="H486" s="77" t="str">
        <f>IF('Classe CM1'!$B6="","",IF('Classe CM1'!E6="","",'Classe CM1'!E6))</f>
        <v/>
      </c>
      <c r="I486" s="20" t="str">
        <f>IF('Classe CM1'!$B6="","",IF('Classe CM1'!F6="","",'Classe CM1'!F6))</f>
        <v/>
      </c>
      <c r="J486" s="20" t="str">
        <f>IF('Classe CM1'!$B6="","",IF('Classe CM1'!G6="","",'Classe CM1'!G6))</f>
        <v/>
      </c>
      <c r="K486" s="51" t="str">
        <f>IF('Classe CM1'!$B6="","",N('Classe CM1'!H6))</f>
        <v/>
      </c>
      <c r="L486" s="51" t="str">
        <f>IF('Classe CM1'!$B6="","",N('Classe CM1'!I6))</f>
        <v/>
      </c>
      <c r="M486" s="51" t="str">
        <f>IF('Classe CM1'!$B6="","",N('Classe CM1'!J6))</f>
        <v/>
      </c>
      <c r="N486" s="51" t="str">
        <f>IF('Classe CM1'!$B6="","",N('Classe CM1'!K6))</f>
        <v/>
      </c>
      <c r="O486" s="51" t="str">
        <f>IF('Classe CM1'!$B6="","",N('Classe CM1'!L6))</f>
        <v/>
      </c>
      <c r="P486" s="51" t="str">
        <f>IF('Classe CM1'!$B6="","",N('Classe CM1'!M6))</f>
        <v/>
      </c>
      <c r="Q486" s="21" t="str">
        <f>IF('Classe CM1'!$B6="","",IF('Classe CM1'!Q6="","",'Classe CM1'!Q6))</f>
        <v/>
      </c>
      <c r="R486" s="51" t="str">
        <f>IF('Classe CM1'!$B6="","",N('Classe CM1'!N6))</f>
        <v/>
      </c>
      <c r="S486" s="51" t="str">
        <f>IF('Classe CM1'!$B6="","",N('Classe CM1'!O6))</f>
        <v/>
      </c>
      <c r="T486" s="51" t="str">
        <f>IF('Classe CM1'!$B6="","",N('Classe CM1'!P6))</f>
        <v/>
      </c>
    </row>
    <row r="487">
      <c r="A487" s="16" t="str">
        <f>IF('Classe CM1'!$B7="","",IF('Classe CM1'!A7="","",'Classe CM1'!A7))</f>
        <v/>
      </c>
      <c r="B487" s="16" t="str">
        <f>IF('Classe CM1'!$B7="","",IF('Classe CM1'!B7="","",'Classe CM1'!B7))</f>
        <v/>
      </c>
      <c r="C487" s="16" t="str">
        <f>IF('Classe CM1'!$B7="","",IF('Classe CM1'!C7="","",'Classe CM1'!C7))</f>
        <v/>
      </c>
      <c r="D487" s="16" t="str">
        <f>IF($B487="","",C487&amp;" "&amp;B487&amp;" - "&amp;E487)</f>
        <v/>
      </c>
      <c r="E487" s="17" t="str">
        <f>IF($B487="","",Paramètres!$A$21)</f>
        <v/>
      </c>
      <c r="F487" s="17" t="str">
        <f>IF($B487="","",Paramètres!$B$21)</f>
        <v/>
      </c>
      <c r="G487" s="17" t="str">
        <f>IF('Classe CM1'!$B7="","",IF('Classe CM1'!D7="","",'Classe CM1'!D7))</f>
        <v/>
      </c>
      <c r="H487" s="78" t="str">
        <f>IF('Classe CM1'!$B7="","",IF('Classe CM1'!E7="","",'Classe CM1'!E7))</f>
        <v/>
      </c>
      <c r="I487" s="16" t="str">
        <f>IF('Classe CM1'!$B7="","",IF('Classe CM1'!F7="","",'Classe CM1'!F7))</f>
        <v/>
      </c>
      <c r="J487" s="16" t="str">
        <f>IF('Classe CM1'!$B7="","",IF('Classe CM1'!G7="","",'Classe CM1'!G7))</f>
        <v/>
      </c>
      <c r="K487" s="18" t="str">
        <f>IF('Classe CM1'!$B7="","",N('Classe CM1'!H7))</f>
        <v/>
      </c>
      <c r="L487" s="18" t="str">
        <f>IF('Classe CM1'!$B7="","",N('Classe CM1'!I7))</f>
        <v/>
      </c>
      <c r="M487" s="18" t="str">
        <f>IF('Classe CM1'!$B7="","",N('Classe CM1'!J7))</f>
        <v/>
      </c>
      <c r="N487" s="18" t="str">
        <f>IF('Classe CM1'!$B7="","",N('Classe CM1'!K7))</f>
        <v/>
      </c>
      <c r="O487" s="18" t="str">
        <f>IF('Classe CM1'!$B7="","",N('Classe CM1'!L7))</f>
        <v/>
      </c>
      <c r="P487" s="18" t="str">
        <f>IF('Classe CM1'!$B7="","",N('Classe CM1'!M7))</f>
        <v/>
      </c>
      <c r="Q487" s="17" t="str">
        <f>IF('Classe CM1'!$B7="","",IF('Classe CM1'!Q7="","",'Classe CM1'!Q7))</f>
        <v/>
      </c>
      <c r="R487" s="18" t="str">
        <f>IF('Classe CM1'!$B7="","",N('Classe CM1'!N7))</f>
        <v/>
      </c>
      <c r="S487" s="18" t="str">
        <f>IF('Classe CM1'!$B7="","",N('Classe CM1'!O7))</f>
        <v/>
      </c>
      <c r="T487" s="18" t="str">
        <f>IF('Classe CM1'!$B7="","",N('Classe CM1'!P7))</f>
        <v/>
      </c>
    </row>
    <row r="488">
      <c r="A488" s="20" t="str">
        <f>IF('Classe CM1'!$B8="","",IF('Classe CM1'!A8="","",'Classe CM1'!A8))</f>
        <v/>
      </c>
      <c r="B488" s="20" t="str">
        <f>IF('Classe CM1'!$B8="","",IF('Classe CM1'!B8="","",'Classe CM1'!B8))</f>
        <v/>
      </c>
      <c r="C488" s="20" t="str">
        <f>IF('Classe CM1'!$B8="","",IF('Classe CM1'!C8="","",'Classe CM1'!C8))</f>
        <v/>
      </c>
      <c r="D488" s="20" t="str">
        <f>IF($B488="","",C488&amp;" "&amp;B488&amp;" - "&amp;E488)</f>
        <v/>
      </c>
      <c r="E488" s="21" t="str">
        <f>IF($B488="","",Paramètres!$A$21)</f>
        <v/>
      </c>
      <c r="F488" s="21" t="str">
        <f>IF($B488="","",Paramètres!$B$21)</f>
        <v/>
      </c>
      <c r="G488" s="21" t="str">
        <f>IF('Classe CM1'!$B8="","",IF('Classe CM1'!D8="","",'Classe CM1'!D8))</f>
        <v/>
      </c>
      <c r="H488" s="77" t="str">
        <f>IF('Classe CM1'!$B8="","",IF('Classe CM1'!E8="","",'Classe CM1'!E8))</f>
        <v/>
      </c>
      <c r="I488" s="20" t="str">
        <f>IF('Classe CM1'!$B8="","",IF('Classe CM1'!F8="","",'Classe CM1'!F8))</f>
        <v/>
      </c>
      <c r="J488" s="20" t="str">
        <f>IF('Classe CM1'!$B8="","",IF('Classe CM1'!G8="","",'Classe CM1'!G8))</f>
        <v/>
      </c>
      <c r="K488" s="51" t="str">
        <f>IF('Classe CM1'!$B8="","",N('Classe CM1'!H8))</f>
        <v/>
      </c>
      <c r="L488" s="51" t="str">
        <f>IF('Classe CM1'!$B8="","",N('Classe CM1'!I8))</f>
        <v/>
      </c>
      <c r="M488" s="51" t="str">
        <f>IF('Classe CM1'!$B8="","",N('Classe CM1'!J8))</f>
        <v/>
      </c>
      <c r="N488" s="51" t="str">
        <f>IF('Classe CM1'!$B8="","",N('Classe CM1'!K8))</f>
        <v/>
      </c>
      <c r="O488" s="51" t="str">
        <f>IF('Classe CM1'!$B8="","",N('Classe CM1'!L8))</f>
        <v/>
      </c>
      <c r="P488" s="51" t="str">
        <f>IF('Classe CM1'!$B8="","",N('Classe CM1'!M8))</f>
        <v/>
      </c>
      <c r="Q488" s="21" t="str">
        <f>IF('Classe CM1'!$B8="","",IF('Classe CM1'!Q8="","",'Classe CM1'!Q8))</f>
        <v/>
      </c>
      <c r="R488" s="51" t="str">
        <f>IF('Classe CM1'!$B8="","",N('Classe CM1'!N8))</f>
        <v/>
      </c>
      <c r="S488" s="51" t="str">
        <f>IF('Classe CM1'!$B8="","",N('Classe CM1'!O8))</f>
        <v/>
      </c>
      <c r="T488" s="51" t="str">
        <f>IF('Classe CM1'!$B8="","",N('Classe CM1'!P8))</f>
        <v/>
      </c>
    </row>
    <row r="489">
      <c r="A489" s="16" t="str">
        <f>IF('Classe CM1'!$B9="","",IF('Classe CM1'!A9="","",'Classe CM1'!A9))</f>
        <v/>
      </c>
      <c r="B489" s="16" t="str">
        <f>IF('Classe CM1'!$B9="","",IF('Classe CM1'!B9="","",'Classe CM1'!B9))</f>
        <v/>
      </c>
      <c r="C489" s="16" t="str">
        <f>IF('Classe CM1'!$B9="","",IF('Classe CM1'!C9="","",'Classe CM1'!C9))</f>
        <v/>
      </c>
      <c r="D489" s="16" t="str">
        <f>IF($B489="","",C489&amp;" "&amp;B489&amp;" - "&amp;E489)</f>
        <v/>
      </c>
      <c r="E489" s="17" t="str">
        <f>IF($B489="","",Paramètres!$A$21)</f>
        <v/>
      </c>
      <c r="F489" s="17" t="str">
        <f>IF($B489="","",Paramètres!$B$21)</f>
        <v/>
      </c>
      <c r="G489" s="17" t="str">
        <f>IF('Classe CM1'!$B9="","",IF('Classe CM1'!D9="","",'Classe CM1'!D9))</f>
        <v/>
      </c>
      <c r="H489" s="78" t="str">
        <f>IF('Classe CM1'!$B9="","",IF('Classe CM1'!E9="","",'Classe CM1'!E9))</f>
        <v/>
      </c>
      <c r="I489" s="16" t="str">
        <f>IF('Classe CM1'!$B9="","",IF('Classe CM1'!F9="","",'Classe CM1'!F9))</f>
        <v/>
      </c>
      <c r="J489" s="16" t="str">
        <f>IF('Classe CM1'!$B9="","",IF('Classe CM1'!G9="","",'Classe CM1'!G9))</f>
        <v/>
      </c>
      <c r="K489" s="18" t="str">
        <f>IF('Classe CM1'!$B9="","",N('Classe CM1'!H9))</f>
        <v/>
      </c>
      <c r="L489" s="18" t="str">
        <f>IF('Classe CM1'!$B9="","",N('Classe CM1'!I9))</f>
        <v/>
      </c>
      <c r="M489" s="18" t="str">
        <f>IF('Classe CM1'!$B9="","",N('Classe CM1'!J9))</f>
        <v/>
      </c>
      <c r="N489" s="18" t="str">
        <f>IF('Classe CM1'!$B9="","",N('Classe CM1'!K9))</f>
        <v/>
      </c>
      <c r="O489" s="18" t="str">
        <f>IF('Classe CM1'!$B9="","",N('Classe CM1'!L9))</f>
        <v/>
      </c>
      <c r="P489" s="18" t="str">
        <f>IF('Classe CM1'!$B9="","",N('Classe CM1'!M9))</f>
        <v/>
      </c>
      <c r="Q489" s="17" t="str">
        <f>IF('Classe CM1'!$B9="","",IF('Classe CM1'!Q9="","",'Classe CM1'!Q9))</f>
        <v/>
      </c>
      <c r="R489" s="18" t="str">
        <f>IF('Classe CM1'!$B9="","",N('Classe CM1'!N9))</f>
        <v/>
      </c>
      <c r="S489" s="18" t="str">
        <f>IF('Classe CM1'!$B9="","",N('Classe CM1'!O9))</f>
        <v/>
      </c>
      <c r="T489" s="18" t="str">
        <f>IF('Classe CM1'!$B9="","",N('Classe CM1'!P9))</f>
        <v/>
      </c>
    </row>
    <row r="490">
      <c r="A490" s="20" t="str">
        <f>IF('Classe CM1'!$B10="","",IF('Classe CM1'!A10="","",'Classe CM1'!A10))</f>
        <v/>
      </c>
      <c r="B490" s="20" t="str">
        <f>IF('Classe CM1'!$B10="","",IF('Classe CM1'!B10="","",'Classe CM1'!B10))</f>
        <v/>
      </c>
      <c r="C490" s="20" t="str">
        <f>IF('Classe CM1'!$B10="","",IF('Classe CM1'!C10="","",'Classe CM1'!C10))</f>
        <v/>
      </c>
      <c r="D490" s="20" t="str">
        <f>IF($B490="","",C490&amp;" "&amp;B490&amp;" - "&amp;E490)</f>
        <v/>
      </c>
      <c r="E490" s="21" t="str">
        <f>IF($B490="","",Paramètres!$A$21)</f>
        <v/>
      </c>
      <c r="F490" s="21" t="str">
        <f>IF($B490="","",Paramètres!$B$21)</f>
        <v/>
      </c>
      <c r="G490" s="21" t="str">
        <f>IF('Classe CM1'!$B10="","",IF('Classe CM1'!D10="","",'Classe CM1'!D10))</f>
        <v/>
      </c>
      <c r="H490" s="77" t="str">
        <f>IF('Classe CM1'!$B10="","",IF('Classe CM1'!E10="","",'Classe CM1'!E10))</f>
        <v/>
      </c>
      <c r="I490" s="20" t="str">
        <f>IF('Classe CM1'!$B10="","",IF('Classe CM1'!F10="","",'Classe CM1'!F10))</f>
        <v/>
      </c>
      <c r="J490" s="20" t="str">
        <f>IF('Classe CM1'!$B10="","",IF('Classe CM1'!G10="","",'Classe CM1'!G10))</f>
        <v/>
      </c>
      <c r="K490" s="51" t="str">
        <f>IF('Classe CM1'!$B10="","",N('Classe CM1'!H10))</f>
        <v/>
      </c>
      <c r="L490" s="51" t="str">
        <f>IF('Classe CM1'!$B10="","",N('Classe CM1'!I10))</f>
        <v/>
      </c>
      <c r="M490" s="51" t="str">
        <f>IF('Classe CM1'!$B10="","",N('Classe CM1'!J10))</f>
        <v/>
      </c>
      <c r="N490" s="51" t="str">
        <f>IF('Classe CM1'!$B10="","",N('Classe CM1'!K10))</f>
        <v/>
      </c>
      <c r="O490" s="51" t="str">
        <f>IF('Classe CM1'!$B10="","",N('Classe CM1'!L10))</f>
        <v/>
      </c>
      <c r="P490" s="51" t="str">
        <f>IF('Classe CM1'!$B10="","",N('Classe CM1'!M10))</f>
        <v/>
      </c>
      <c r="Q490" s="21" t="str">
        <f>IF('Classe CM1'!$B10="","",IF('Classe CM1'!Q10="","",'Classe CM1'!Q10))</f>
        <v/>
      </c>
      <c r="R490" s="51" t="str">
        <f>IF('Classe CM1'!$B10="","",N('Classe CM1'!N10))</f>
        <v/>
      </c>
      <c r="S490" s="51" t="str">
        <f>IF('Classe CM1'!$B10="","",N('Classe CM1'!O10))</f>
        <v/>
      </c>
      <c r="T490" s="51" t="str">
        <f>IF('Classe CM1'!$B10="","",N('Classe CM1'!P10))</f>
        <v/>
      </c>
    </row>
    <row r="491">
      <c r="A491" s="16" t="str">
        <f>IF('Classe CM1'!$B11="","",IF('Classe CM1'!A11="","",'Classe CM1'!A11))</f>
        <v/>
      </c>
      <c r="B491" s="16" t="str">
        <f>IF('Classe CM1'!$B11="","",IF('Classe CM1'!B11="","",'Classe CM1'!B11))</f>
        <v/>
      </c>
      <c r="C491" s="16" t="str">
        <f>IF('Classe CM1'!$B11="","",IF('Classe CM1'!C11="","",'Classe CM1'!C11))</f>
        <v/>
      </c>
      <c r="D491" s="16" t="str">
        <f>IF($B491="","",C491&amp;" "&amp;B491&amp;" - "&amp;E491)</f>
        <v/>
      </c>
      <c r="E491" s="17" t="str">
        <f>IF($B491="","",Paramètres!$A$21)</f>
        <v/>
      </c>
      <c r="F491" s="17" t="str">
        <f>IF($B491="","",Paramètres!$B$21)</f>
        <v/>
      </c>
      <c r="G491" s="17" t="str">
        <f>IF('Classe CM1'!$B11="","",IF('Classe CM1'!D11="","",'Classe CM1'!D11))</f>
        <v/>
      </c>
      <c r="H491" s="78" t="str">
        <f>IF('Classe CM1'!$B11="","",IF('Classe CM1'!E11="","",'Classe CM1'!E11))</f>
        <v/>
      </c>
      <c r="I491" s="16" t="str">
        <f>IF('Classe CM1'!$B11="","",IF('Classe CM1'!F11="","",'Classe CM1'!F11))</f>
        <v/>
      </c>
      <c r="J491" s="16" t="str">
        <f>IF('Classe CM1'!$B11="","",IF('Classe CM1'!G11="","",'Classe CM1'!G11))</f>
        <v/>
      </c>
      <c r="K491" s="18" t="str">
        <f>IF('Classe CM1'!$B11="","",N('Classe CM1'!H11))</f>
        <v/>
      </c>
      <c r="L491" s="18" t="str">
        <f>IF('Classe CM1'!$B11="","",N('Classe CM1'!I11))</f>
        <v/>
      </c>
      <c r="M491" s="18" t="str">
        <f>IF('Classe CM1'!$B11="","",N('Classe CM1'!J11))</f>
        <v/>
      </c>
      <c r="N491" s="18" t="str">
        <f>IF('Classe CM1'!$B11="","",N('Classe CM1'!K11))</f>
        <v/>
      </c>
      <c r="O491" s="18" t="str">
        <f>IF('Classe CM1'!$B11="","",N('Classe CM1'!L11))</f>
        <v/>
      </c>
      <c r="P491" s="18" t="str">
        <f>IF('Classe CM1'!$B11="","",N('Classe CM1'!M11))</f>
        <v/>
      </c>
      <c r="Q491" s="17" t="str">
        <f>IF('Classe CM1'!$B11="","",IF('Classe CM1'!Q11="","",'Classe CM1'!Q11))</f>
        <v/>
      </c>
      <c r="R491" s="18" t="str">
        <f>IF('Classe CM1'!$B11="","",N('Classe CM1'!N11))</f>
        <v/>
      </c>
      <c r="S491" s="18" t="str">
        <f>IF('Classe CM1'!$B11="","",N('Classe CM1'!O11))</f>
        <v/>
      </c>
      <c r="T491" s="18" t="str">
        <f>IF('Classe CM1'!$B11="","",N('Classe CM1'!P11))</f>
        <v/>
      </c>
    </row>
    <row r="492">
      <c r="A492" s="20" t="str">
        <f>IF('Classe CM1'!$B12="","",IF('Classe CM1'!A12="","",'Classe CM1'!A12))</f>
        <v/>
      </c>
      <c r="B492" s="20" t="str">
        <f>IF('Classe CM1'!$B12="","",IF('Classe CM1'!B12="","",'Classe CM1'!B12))</f>
        <v/>
      </c>
      <c r="C492" s="20" t="str">
        <f>IF('Classe CM1'!$B12="","",IF('Classe CM1'!C12="","",'Classe CM1'!C12))</f>
        <v/>
      </c>
      <c r="D492" s="20" t="str">
        <f>IF($B492="","",C492&amp;" "&amp;B492&amp;" - "&amp;E492)</f>
        <v/>
      </c>
      <c r="E492" s="21" t="str">
        <f>IF($B492="","",Paramètres!$A$21)</f>
        <v/>
      </c>
      <c r="F492" s="21" t="str">
        <f>IF($B492="","",Paramètres!$B$21)</f>
        <v/>
      </c>
      <c r="G492" s="21" t="str">
        <f>IF('Classe CM1'!$B12="","",IF('Classe CM1'!D12="","",'Classe CM1'!D12))</f>
        <v/>
      </c>
      <c r="H492" s="77" t="str">
        <f>IF('Classe CM1'!$B12="","",IF('Classe CM1'!E12="","",'Classe CM1'!E12))</f>
        <v/>
      </c>
      <c r="I492" s="20" t="str">
        <f>IF('Classe CM1'!$B12="","",IF('Classe CM1'!F12="","",'Classe CM1'!F12))</f>
        <v/>
      </c>
      <c r="J492" s="20" t="str">
        <f>IF('Classe CM1'!$B12="","",IF('Classe CM1'!G12="","",'Classe CM1'!G12))</f>
        <v/>
      </c>
      <c r="K492" s="51" t="str">
        <f>IF('Classe CM1'!$B12="","",N('Classe CM1'!H12))</f>
        <v/>
      </c>
      <c r="L492" s="51" t="str">
        <f>IF('Classe CM1'!$B12="","",N('Classe CM1'!I12))</f>
        <v/>
      </c>
      <c r="M492" s="51" t="str">
        <f>IF('Classe CM1'!$B12="","",N('Classe CM1'!J12))</f>
        <v/>
      </c>
      <c r="N492" s="51" t="str">
        <f>IF('Classe CM1'!$B12="","",N('Classe CM1'!K12))</f>
        <v/>
      </c>
      <c r="O492" s="51" t="str">
        <f>IF('Classe CM1'!$B12="","",N('Classe CM1'!L12))</f>
        <v/>
      </c>
      <c r="P492" s="51" t="str">
        <f>IF('Classe CM1'!$B12="","",N('Classe CM1'!M12))</f>
        <v/>
      </c>
      <c r="Q492" s="21" t="str">
        <f>IF('Classe CM1'!$B12="","",IF('Classe CM1'!Q12="","",'Classe CM1'!Q12))</f>
        <v/>
      </c>
      <c r="R492" s="51" t="str">
        <f>IF('Classe CM1'!$B12="","",N('Classe CM1'!N12))</f>
        <v/>
      </c>
      <c r="S492" s="51" t="str">
        <f>IF('Classe CM1'!$B12="","",N('Classe CM1'!O12))</f>
        <v/>
      </c>
      <c r="T492" s="51" t="str">
        <f>IF('Classe CM1'!$B12="","",N('Classe CM1'!P12))</f>
        <v/>
      </c>
    </row>
    <row r="493">
      <c r="A493" s="16" t="str">
        <f>IF('Classe CM1'!$B13="","",IF('Classe CM1'!A13="","",'Classe CM1'!A13))</f>
        <v/>
      </c>
      <c r="B493" s="16" t="str">
        <f>IF('Classe CM1'!$B13="","",IF('Classe CM1'!B13="","",'Classe CM1'!B13))</f>
        <v/>
      </c>
      <c r="C493" s="16" t="str">
        <f>IF('Classe CM1'!$B13="","",IF('Classe CM1'!C13="","",'Classe CM1'!C13))</f>
        <v/>
      </c>
      <c r="D493" s="16" t="str">
        <f>IF($B493="","",C493&amp;" "&amp;B493&amp;" - "&amp;E493)</f>
        <v/>
      </c>
      <c r="E493" s="17" t="str">
        <f>IF($B493="","",Paramètres!$A$21)</f>
        <v/>
      </c>
      <c r="F493" s="17" t="str">
        <f>IF($B493="","",Paramètres!$B$21)</f>
        <v/>
      </c>
      <c r="G493" s="17" t="str">
        <f>IF('Classe CM1'!$B13="","",IF('Classe CM1'!D13="","",'Classe CM1'!D13))</f>
        <v/>
      </c>
      <c r="H493" s="78" t="str">
        <f>IF('Classe CM1'!$B13="","",IF('Classe CM1'!E13="","",'Classe CM1'!E13))</f>
        <v/>
      </c>
      <c r="I493" s="16" t="str">
        <f>IF('Classe CM1'!$B13="","",IF('Classe CM1'!F13="","",'Classe CM1'!F13))</f>
        <v/>
      </c>
      <c r="J493" s="16" t="str">
        <f>IF('Classe CM1'!$B13="","",IF('Classe CM1'!G13="","",'Classe CM1'!G13))</f>
        <v/>
      </c>
      <c r="K493" s="18" t="str">
        <f>IF('Classe CM1'!$B13="","",N('Classe CM1'!H13))</f>
        <v/>
      </c>
      <c r="L493" s="18" t="str">
        <f>IF('Classe CM1'!$B13="","",N('Classe CM1'!I13))</f>
        <v/>
      </c>
      <c r="M493" s="18" t="str">
        <f>IF('Classe CM1'!$B13="","",N('Classe CM1'!J13))</f>
        <v/>
      </c>
      <c r="N493" s="18" t="str">
        <f>IF('Classe CM1'!$B13="","",N('Classe CM1'!K13))</f>
        <v/>
      </c>
      <c r="O493" s="18" t="str">
        <f>IF('Classe CM1'!$B13="","",N('Classe CM1'!L13))</f>
        <v/>
      </c>
      <c r="P493" s="18" t="str">
        <f>IF('Classe CM1'!$B13="","",N('Classe CM1'!M13))</f>
        <v/>
      </c>
      <c r="Q493" s="17" t="str">
        <f>IF('Classe CM1'!$B13="","",IF('Classe CM1'!Q13="","",'Classe CM1'!Q13))</f>
        <v/>
      </c>
      <c r="R493" s="18" t="str">
        <f>IF('Classe CM1'!$B13="","",N('Classe CM1'!N13))</f>
        <v/>
      </c>
      <c r="S493" s="18" t="str">
        <f>IF('Classe CM1'!$B13="","",N('Classe CM1'!O13))</f>
        <v/>
      </c>
      <c r="T493" s="18" t="str">
        <f>IF('Classe CM1'!$B13="","",N('Classe CM1'!P13))</f>
        <v/>
      </c>
    </row>
    <row r="494">
      <c r="A494" s="20" t="str">
        <f>IF('Classe CM1'!$B14="","",IF('Classe CM1'!A14="","",'Classe CM1'!A14))</f>
        <v/>
      </c>
      <c r="B494" s="20" t="str">
        <f>IF('Classe CM1'!$B14="","",IF('Classe CM1'!B14="","",'Classe CM1'!B14))</f>
        <v/>
      </c>
      <c r="C494" s="20" t="str">
        <f>IF('Classe CM1'!$B14="","",IF('Classe CM1'!C14="","",'Classe CM1'!C14))</f>
        <v/>
      </c>
      <c r="D494" s="20" t="str">
        <f>IF($B494="","",C494&amp;" "&amp;B494&amp;" - "&amp;E494)</f>
        <v/>
      </c>
      <c r="E494" s="21" t="str">
        <f>IF($B494="","",Paramètres!$A$21)</f>
        <v/>
      </c>
      <c r="F494" s="21" t="str">
        <f>IF($B494="","",Paramètres!$B$21)</f>
        <v/>
      </c>
      <c r="G494" s="21" t="str">
        <f>IF('Classe CM1'!$B14="","",IF('Classe CM1'!D14="","",'Classe CM1'!D14))</f>
        <v/>
      </c>
      <c r="H494" s="77" t="str">
        <f>IF('Classe CM1'!$B14="","",IF('Classe CM1'!E14="","",'Classe CM1'!E14))</f>
        <v/>
      </c>
      <c r="I494" s="20" t="str">
        <f>IF('Classe CM1'!$B14="","",IF('Classe CM1'!F14="","",'Classe CM1'!F14))</f>
        <v/>
      </c>
      <c r="J494" s="20" t="str">
        <f>IF('Classe CM1'!$B14="","",IF('Classe CM1'!G14="","",'Classe CM1'!G14))</f>
        <v/>
      </c>
      <c r="K494" s="51" t="str">
        <f>IF('Classe CM1'!$B14="","",N('Classe CM1'!H14))</f>
        <v/>
      </c>
      <c r="L494" s="51" t="str">
        <f>IF('Classe CM1'!$B14="","",N('Classe CM1'!I14))</f>
        <v/>
      </c>
      <c r="M494" s="51" t="str">
        <f>IF('Classe CM1'!$B14="","",N('Classe CM1'!J14))</f>
        <v/>
      </c>
      <c r="N494" s="51" t="str">
        <f>IF('Classe CM1'!$B14="","",N('Classe CM1'!K14))</f>
        <v/>
      </c>
      <c r="O494" s="51" t="str">
        <f>IF('Classe CM1'!$B14="","",N('Classe CM1'!L14))</f>
        <v/>
      </c>
      <c r="P494" s="51" t="str">
        <f>IF('Classe CM1'!$B14="","",N('Classe CM1'!M14))</f>
        <v/>
      </c>
      <c r="Q494" s="21" t="str">
        <f>IF('Classe CM1'!$B14="","",IF('Classe CM1'!Q14="","",'Classe CM1'!Q14))</f>
        <v/>
      </c>
      <c r="R494" s="51" t="str">
        <f>IF('Classe CM1'!$B14="","",N('Classe CM1'!N14))</f>
        <v/>
      </c>
      <c r="S494" s="51" t="str">
        <f>IF('Classe CM1'!$B14="","",N('Classe CM1'!O14))</f>
        <v/>
      </c>
      <c r="T494" s="51" t="str">
        <f>IF('Classe CM1'!$B14="","",N('Classe CM1'!P14))</f>
        <v/>
      </c>
    </row>
    <row r="495">
      <c r="A495" s="16" t="str">
        <f>IF('Classe CM1'!$B15="","",IF('Classe CM1'!A15="","",'Classe CM1'!A15))</f>
        <v/>
      </c>
      <c r="B495" s="16" t="str">
        <f>IF('Classe CM1'!$B15="","",IF('Classe CM1'!B15="","",'Classe CM1'!B15))</f>
        <v/>
      </c>
      <c r="C495" s="16" t="str">
        <f>IF('Classe CM1'!$B15="","",IF('Classe CM1'!C15="","",'Classe CM1'!C15))</f>
        <v/>
      </c>
      <c r="D495" s="16" t="str">
        <f>IF($B495="","",C495&amp;" "&amp;B495&amp;" - "&amp;E495)</f>
        <v/>
      </c>
      <c r="E495" s="17" t="str">
        <f>IF($B495="","",Paramètres!$A$21)</f>
        <v/>
      </c>
      <c r="F495" s="17" t="str">
        <f>IF($B495="","",Paramètres!$B$21)</f>
        <v/>
      </c>
      <c r="G495" s="17" t="str">
        <f>IF('Classe CM1'!$B15="","",IF('Classe CM1'!D15="","",'Classe CM1'!D15))</f>
        <v/>
      </c>
      <c r="H495" s="78" t="str">
        <f>IF('Classe CM1'!$B15="","",IF('Classe CM1'!E15="","",'Classe CM1'!E15))</f>
        <v/>
      </c>
      <c r="I495" s="16" t="str">
        <f>IF('Classe CM1'!$B15="","",IF('Classe CM1'!F15="","",'Classe CM1'!F15))</f>
        <v/>
      </c>
      <c r="J495" s="16" t="str">
        <f>IF('Classe CM1'!$B15="","",IF('Classe CM1'!G15="","",'Classe CM1'!G15))</f>
        <v/>
      </c>
      <c r="K495" s="18" t="str">
        <f>IF('Classe CM1'!$B15="","",N('Classe CM1'!H15))</f>
        <v/>
      </c>
      <c r="L495" s="18" t="str">
        <f>IF('Classe CM1'!$B15="","",N('Classe CM1'!I15))</f>
        <v/>
      </c>
      <c r="M495" s="18" t="str">
        <f>IF('Classe CM1'!$B15="","",N('Classe CM1'!J15))</f>
        <v/>
      </c>
      <c r="N495" s="18" t="str">
        <f>IF('Classe CM1'!$B15="","",N('Classe CM1'!K15))</f>
        <v/>
      </c>
      <c r="O495" s="18" t="str">
        <f>IF('Classe CM1'!$B15="","",N('Classe CM1'!L15))</f>
        <v/>
      </c>
      <c r="P495" s="18" t="str">
        <f>IF('Classe CM1'!$B15="","",N('Classe CM1'!M15))</f>
        <v/>
      </c>
      <c r="Q495" s="17" t="str">
        <f>IF('Classe CM1'!$B15="","",IF('Classe CM1'!Q15="","",'Classe CM1'!Q15))</f>
        <v/>
      </c>
      <c r="R495" s="18" t="str">
        <f>IF('Classe CM1'!$B15="","",N('Classe CM1'!N15))</f>
        <v/>
      </c>
      <c r="S495" s="18" t="str">
        <f>IF('Classe CM1'!$B15="","",N('Classe CM1'!O15))</f>
        <v/>
      </c>
      <c r="T495" s="18" t="str">
        <f>IF('Classe CM1'!$B15="","",N('Classe CM1'!P15))</f>
        <v/>
      </c>
    </row>
    <row r="496">
      <c r="A496" s="20" t="str">
        <f>IF('Classe CM1'!$B16="","",IF('Classe CM1'!A16="","",'Classe CM1'!A16))</f>
        <v/>
      </c>
      <c r="B496" s="20" t="str">
        <f>IF('Classe CM1'!$B16="","",IF('Classe CM1'!B16="","",'Classe CM1'!B16))</f>
        <v/>
      </c>
      <c r="C496" s="20" t="str">
        <f>IF('Classe CM1'!$B16="","",IF('Classe CM1'!C16="","",'Classe CM1'!C16))</f>
        <v/>
      </c>
      <c r="D496" s="20" t="str">
        <f>IF($B496="","",C496&amp;" "&amp;B496&amp;" - "&amp;E496)</f>
        <v/>
      </c>
      <c r="E496" s="21" t="str">
        <f>IF($B496="","",Paramètres!$A$21)</f>
        <v/>
      </c>
      <c r="F496" s="21" t="str">
        <f>IF($B496="","",Paramètres!$B$21)</f>
        <v/>
      </c>
      <c r="G496" s="21" t="str">
        <f>IF('Classe CM1'!$B16="","",IF('Classe CM1'!D16="","",'Classe CM1'!D16))</f>
        <v/>
      </c>
      <c r="H496" s="77" t="str">
        <f>IF('Classe CM1'!$B16="","",IF('Classe CM1'!E16="","",'Classe CM1'!E16))</f>
        <v/>
      </c>
      <c r="I496" s="20" t="str">
        <f>IF('Classe CM1'!$B16="","",IF('Classe CM1'!F16="","",'Classe CM1'!F16))</f>
        <v/>
      </c>
      <c r="J496" s="20" t="str">
        <f>IF('Classe CM1'!$B16="","",IF('Classe CM1'!G16="","",'Classe CM1'!G16))</f>
        <v/>
      </c>
      <c r="K496" s="51" t="str">
        <f>IF('Classe CM1'!$B16="","",N('Classe CM1'!H16))</f>
        <v/>
      </c>
      <c r="L496" s="51" t="str">
        <f>IF('Classe CM1'!$B16="","",N('Classe CM1'!I16))</f>
        <v/>
      </c>
      <c r="M496" s="51" t="str">
        <f>IF('Classe CM1'!$B16="","",N('Classe CM1'!J16))</f>
        <v/>
      </c>
      <c r="N496" s="51" t="str">
        <f>IF('Classe CM1'!$B16="","",N('Classe CM1'!K16))</f>
        <v/>
      </c>
      <c r="O496" s="51" t="str">
        <f>IF('Classe CM1'!$B16="","",N('Classe CM1'!L16))</f>
        <v/>
      </c>
      <c r="P496" s="51" t="str">
        <f>IF('Classe CM1'!$B16="","",N('Classe CM1'!M16))</f>
        <v/>
      </c>
      <c r="Q496" s="21" t="str">
        <f>IF('Classe CM1'!$B16="","",IF('Classe CM1'!Q16="","",'Classe CM1'!Q16))</f>
        <v/>
      </c>
      <c r="R496" s="51" t="str">
        <f>IF('Classe CM1'!$B16="","",N('Classe CM1'!N16))</f>
        <v/>
      </c>
      <c r="S496" s="51" t="str">
        <f>IF('Classe CM1'!$B16="","",N('Classe CM1'!O16))</f>
        <v/>
      </c>
      <c r="T496" s="51" t="str">
        <f>IF('Classe CM1'!$B16="","",N('Classe CM1'!P16))</f>
        <v/>
      </c>
    </row>
    <row r="497">
      <c r="A497" s="16" t="str">
        <f>IF('Classe CM1'!$B17="","",IF('Classe CM1'!A17="","",'Classe CM1'!A17))</f>
        <v/>
      </c>
      <c r="B497" s="16" t="str">
        <f>IF('Classe CM1'!$B17="","",IF('Classe CM1'!B17="","",'Classe CM1'!B17))</f>
        <v/>
      </c>
      <c r="C497" s="16" t="str">
        <f>IF('Classe CM1'!$B17="","",IF('Classe CM1'!C17="","",'Classe CM1'!C17))</f>
        <v/>
      </c>
      <c r="D497" s="16" t="str">
        <f>IF($B497="","",C497&amp;" "&amp;B497&amp;" - "&amp;E497)</f>
        <v/>
      </c>
      <c r="E497" s="17" t="str">
        <f>IF($B497="","",Paramètres!$A$21)</f>
        <v/>
      </c>
      <c r="F497" s="17" t="str">
        <f>IF($B497="","",Paramètres!$B$21)</f>
        <v/>
      </c>
      <c r="G497" s="17" t="str">
        <f>IF('Classe CM1'!$B17="","",IF('Classe CM1'!D17="","",'Classe CM1'!D17))</f>
        <v/>
      </c>
      <c r="H497" s="78" t="str">
        <f>IF('Classe CM1'!$B17="","",IF('Classe CM1'!E17="","",'Classe CM1'!E17))</f>
        <v/>
      </c>
      <c r="I497" s="16" t="str">
        <f>IF('Classe CM1'!$B17="","",IF('Classe CM1'!F17="","",'Classe CM1'!F17))</f>
        <v/>
      </c>
      <c r="J497" s="16" t="str">
        <f>IF('Classe CM1'!$B17="","",IF('Classe CM1'!G17="","",'Classe CM1'!G17))</f>
        <v/>
      </c>
      <c r="K497" s="18" t="str">
        <f>IF('Classe CM1'!$B17="","",N('Classe CM1'!H17))</f>
        <v/>
      </c>
      <c r="L497" s="18" t="str">
        <f>IF('Classe CM1'!$B17="","",N('Classe CM1'!I17))</f>
        <v/>
      </c>
      <c r="M497" s="18" t="str">
        <f>IF('Classe CM1'!$B17="","",N('Classe CM1'!J17))</f>
        <v/>
      </c>
      <c r="N497" s="18" t="str">
        <f>IF('Classe CM1'!$B17="","",N('Classe CM1'!K17))</f>
        <v/>
      </c>
      <c r="O497" s="18" t="str">
        <f>IF('Classe CM1'!$B17="","",N('Classe CM1'!L17))</f>
        <v/>
      </c>
      <c r="P497" s="18" t="str">
        <f>IF('Classe CM1'!$B17="","",N('Classe CM1'!M17))</f>
        <v/>
      </c>
      <c r="Q497" s="17" t="str">
        <f>IF('Classe CM1'!$B17="","",IF('Classe CM1'!Q17="","",'Classe CM1'!Q17))</f>
        <v/>
      </c>
      <c r="R497" s="18" t="str">
        <f>IF('Classe CM1'!$B17="","",N('Classe CM1'!N17))</f>
        <v/>
      </c>
      <c r="S497" s="18" t="str">
        <f>IF('Classe CM1'!$B17="","",N('Classe CM1'!O17))</f>
        <v/>
      </c>
      <c r="T497" s="18" t="str">
        <f>IF('Classe CM1'!$B17="","",N('Classe CM1'!P17))</f>
        <v/>
      </c>
    </row>
    <row r="498">
      <c r="A498" s="20" t="str">
        <f>IF('Classe CM1'!$B18="","",IF('Classe CM1'!A18="","",'Classe CM1'!A18))</f>
        <v/>
      </c>
      <c r="B498" s="20" t="str">
        <f>IF('Classe CM1'!$B18="","",IF('Classe CM1'!B18="","",'Classe CM1'!B18))</f>
        <v/>
      </c>
      <c r="C498" s="20" t="str">
        <f>IF('Classe CM1'!$B18="","",IF('Classe CM1'!C18="","",'Classe CM1'!C18))</f>
        <v/>
      </c>
      <c r="D498" s="20" t="str">
        <f>IF($B498="","",C498&amp;" "&amp;B498&amp;" - "&amp;E498)</f>
        <v/>
      </c>
      <c r="E498" s="21" t="str">
        <f>IF($B498="","",Paramètres!$A$21)</f>
        <v/>
      </c>
      <c r="F498" s="21" t="str">
        <f>IF($B498="","",Paramètres!$B$21)</f>
        <v/>
      </c>
      <c r="G498" s="21" t="str">
        <f>IF('Classe CM1'!$B18="","",IF('Classe CM1'!D18="","",'Classe CM1'!D18))</f>
        <v/>
      </c>
      <c r="H498" s="77" t="str">
        <f>IF('Classe CM1'!$B18="","",IF('Classe CM1'!E18="","",'Classe CM1'!E18))</f>
        <v/>
      </c>
      <c r="I498" s="20" t="str">
        <f>IF('Classe CM1'!$B18="","",IF('Classe CM1'!F18="","",'Classe CM1'!F18))</f>
        <v/>
      </c>
      <c r="J498" s="20" t="str">
        <f>IF('Classe CM1'!$B18="","",IF('Classe CM1'!G18="","",'Classe CM1'!G18))</f>
        <v/>
      </c>
      <c r="K498" s="51" t="str">
        <f>IF('Classe CM1'!$B18="","",N('Classe CM1'!H18))</f>
        <v/>
      </c>
      <c r="L498" s="51" t="str">
        <f>IF('Classe CM1'!$B18="","",N('Classe CM1'!I18))</f>
        <v/>
      </c>
      <c r="M498" s="51" t="str">
        <f>IF('Classe CM1'!$B18="","",N('Classe CM1'!J18))</f>
        <v/>
      </c>
      <c r="N498" s="51" t="str">
        <f>IF('Classe CM1'!$B18="","",N('Classe CM1'!K18))</f>
        <v/>
      </c>
      <c r="O498" s="51" t="str">
        <f>IF('Classe CM1'!$B18="","",N('Classe CM1'!L18))</f>
        <v/>
      </c>
      <c r="P498" s="51" t="str">
        <f>IF('Classe CM1'!$B18="","",N('Classe CM1'!M18))</f>
        <v/>
      </c>
      <c r="Q498" s="21" t="str">
        <f>IF('Classe CM1'!$B18="","",IF('Classe CM1'!Q18="","",'Classe CM1'!Q18))</f>
        <v/>
      </c>
      <c r="R498" s="51" t="str">
        <f>IF('Classe CM1'!$B18="","",N('Classe CM1'!N18))</f>
        <v/>
      </c>
      <c r="S498" s="51" t="str">
        <f>IF('Classe CM1'!$B18="","",N('Classe CM1'!O18))</f>
        <v/>
      </c>
      <c r="T498" s="51" t="str">
        <f>IF('Classe CM1'!$B18="","",N('Classe CM1'!P18))</f>
        <v/>
      </c>
    </row>
    <row r="499">
      <c r="A499" s="16" t="str">
        <f>IF('Classe CM1'!$B19="","",IF('Classe CM1'!A19="","",'Classe CM1'!A19))</f>
        <v/>
      </c>
      <c r="B499" s="16" t="str">
        <f>IF('Classe CM1'!$B19="","",IF('Classe CM1'!B19="","",'Classe CM1'!B19))</f>
        <v/>
      </c>
      <c r="C499" s="16" t="str">
        <f>IF('Classe CM1'!$B19="","",IF('Classe CM1'!C19="","",'Classe CM1'!C19))</f>
        <v/>
      </c>
      <c r="D499" s="16" t="str">
        <f>IF($B499="","",C499&amp;" "&amp;B499&amp;" - "&amp;E499)</f>
        <v/>
      </c>
      <c r="E499" s="17" t="str">
        <f>IF($B499="","",Paramètres!$A$21)</f>
        <v/>
      </c>
      <c r="F499" s="17" t="str">
        <f>IF($B499="","",Paramètres!$B$21)</f>
        <v/>
      </c>
      <c r="G499" s="17" t="str">
        <f>IF('Classe CM1'!$B19="","",IF('Classe CM1'!D19="","",'Classe CM1'!D19))</f>
        <v/>
      </c>
      <c r="H499" s="78" t="str">
        <f>IF('Classe CM1'!$B19="","",IF('Classe CM1'!E19="","",'Classe CM1'!E19))</f>
        <v/>
      </c>
      <c r="I499" s="16" t="str">
        <f>IF('Classe CM1'!$B19="","",IF('Classe CM1'!F19="","",'Classe CM1'!F19))</f>
        <v/>
      </c>
      <c r="J499" s="16" t="str">
        <f>IF('Classe CM1'!$B19="","",IF('Classe CM1'!G19="","",'Classe CM1'!G19))</f>
        <v/>
      </c>
      <c r="K499" s="18" t="str">
        <f>IF('Classe CM1'!$B19="","",N('Classe CM1'!H19))</f>
        <v/>
      </c>
      <c r="L499" s="18" t="str">
        <f>IF('Classe CM1'!$B19="","",N('Classe CM1'!I19))</f>
        <v/>
      </c>
      <c r="M499" s="18" t="str">
        <f>IF('Classe CM1'!$B19="","",N('Classe CM1'!J19))</f>
        <v/>
      </c>
      <c r="N499" s="18" t="str">
        <f>IF('Classe CM1'!$B19="","",N('Classe CM1'!K19))</f>
        <v/>
      </c>
      <c r="O499" s="18" t="str">
        <f>IF('Classe CM1'!$B19="","",N('Classe CM1'!L19))</f>
        <v/>
      </c>
      <c r="P499" s="18" t="str">
        <f>IF('Classe CM1'!$B19="","",N('Classe CM1'!M19))</f>
        <v/>
      </c>
      <c r="Q499" s="17" t="str">
        <f>IF('Classe CM1'!$B19="","",IF('Classe CM1'!Q19="","",'Classe CM1'!Q19))</f>
        <v/>
      </c>
      <c r="R499" s="18" t="str">
        <f>IF('Classe CM1'!$B19="","",N('Classe CM1'!N19))</f>
        <v/>
      </c>
      <c r="S499" s="18" t="str">
        <f>IF('Classe CM1'!$B19="","",N('Classe CM1'!O19))</f>
        <v/>
      </c>
      <c r="T499" s="18" t="str">
        <f>IF('Classe CM1'!$B19="","",N('Classe CM1'!P19))</f>
        <v/>
      </c>
    </row>
    <row r="500">
      <c r="A500" s="20" t="str">
        <f>IF('Classe CM1'!$B20="","",IF('Classe CM1'!A20="","",'Classe CM1'!A20))</f>
        <v/>
      </c>
      <c r="B500" s="20" t="str">
        <f>IF('Classe CM1'!$B20="","",IF('Classe CM1'!B20="","",'Classe CM1'!B20))</f>
        <v/>
      </c>
      <c r="C500" s="20" t="str">
        <f>IF('Classe CM1'!$B20="","",IF('Classe CM1'!C20="","",'Classe CM1'!C20))</f>
        <v/>
      </c>
      <c r="D500" s="20" t="str">
        <f>IF($B500="","",C500&amp;" "&amp;B500&amp;" - "&amp;E500)</f>
        <v/>
      </c>
      <c r="E500" s="21" t="str">
        <f>IF($B500="","",Paramètres!$A$21)</f>
        <v/>
      </c>
      <c r="F500" s="21" t="str">
        <f>IF($B500="","",Paramètres!$B$21)</f>
        <v/>
      </c>
      <c r="G500" s="21" t="str">
        <f>IF('Classe CM1'!$B20="","",IF('Classe CM1'!D20="","",'Classe CM1'!D20))</f>
        <v/>
      </c>
      <c r="H500" s="77" t="str">
        <f>IF('Classe CM1'!$B20="","",IF('Classe CM1'!E20="","",'Classe CM1'!E20))</f>
        <v/>
      </c>
      <c r="I500" s="20" t="str">
        <f>IF('Classe CM1'!$B20="","",IF('Classe CM1'!F20="","",'Classe CM1'!F20))</f>
        <v/>
      </c>
      <c r="J500" s="20" t="str">
        <f>IF('Classe CM1'!$B20="","",IF('Classe CM1'!G20="","",'Classe CM1'!G20))</f>
        <v/>
      </c>
      <c r="K500" s="51" t="str">
        <f>IF('Classe CM1'!$B20="","",N('Classe CM1'!H20))</f>
        <v/>
      </c>
      <c r="L500" s="51" t="str">
        <f>IF('Classe CM1'!$B20="","",N('Classe CM1'!I20))</f>
        <v/>
      </c>
      <c r="M500" s="51" t="str">
        <f>IF('Classe CM1'!$B20="","",N('Classe CM1'!J20))</f>
        <v/>
      </c>
      <c r="N500" s="51" t="str">
        <f>IF('Classe CM1'!$B20="","",N('Classe CM1'!K20))</f>
        <v/>
      </c>
      <c r="O500" s="51" t="str">
        <f>IF('Classe CM1'!$B20="","",N('Classe CM1'!L20))</f>
        <v/>
      </c>
      <c r="P500" s="51" t="str">
        <f>IF('Classe CM1'!$B20="","",N('Classe CM1'!M20))</f>
        <v/>
      </c>
      <c r="Q500" s="21" t="str">
        <f>IF('Classe CM1'!$B20="","",IF('Classe CM1'!Q20="","",'Classe CM1'!Q20))</f>
        <v/>
      </c>
      <c r="R500" s="51" t="str">
        <f>IF('Classe CM1'!$B20="","",N('Classe CM1'!N20))</f>
        <v/>
      </c>
      <c r="S500" s="51" t="str">
        <f>IF('Classe CM1'!$B20="","",N('Classe CM1'!O20))</f>
        <v/>
      </c>
      <c r="T500" s="51" t="str">
        <f>IF('Classe CM1'!$B20="","",N('Classe CM1'!P20))</f>
        <v/>
      </c>
    </row>
    <row r="501">
      <c r="A501" s="16" t="str">
        <f>IF('Classe CM1'!$B21="","",IF('Classe CM1'!A21="","",'Classe CM1'!A21))</f>
        <v/>
      </c>
      <c r="B501" s="16" t="str">
        <f>IF('Classe CM1'!$B21="","",IF('Classe CM1'!B21="","",'Classe CM1'!B21))</f>
        <v/>
      </c>
      <c r="C501" s="16" t="str">
        <f>IF('Classe CM1'!$B21="","",IF('Classe CM1'!C21="","",'Classe CM1'!C21))</f>
        <v/>
      </c>
      <c r="D501" s="16" t="str">
        <f>IF($B501="","",C501&amp;" "&amp;B501&amp;" - "&amp;E501)</f>
        <v/>
      </c>
      <c r="E501" s="17" t="str">
        <f>IF($B501="","",Paramètres!$A$21)</f>
        <v/>
      </c>
      <c r="F501" s="17" t="str">
        <f>IF($B501="","",Paramètres!$B$21)</f>
        <v/>
      </c>
      <c r="G501" s="17" t="str">
        <f>IF('Classe CM1'!$B21="","",IF('Classe CM1'!D21="","",'Classe CM1'!D21))</f>
        <v/>
      </c>
      <c r="H501" s="78" t="str">
        <f>IF('Classe CM1'!$B21="","",IF('Classe CM1'!E21="","",'Classe CM1'!E21))</f>
        <v/>
      </c>
      <c r="I501" s="16" t="str">
        <f>IF('Classe CM1'!$B21="","",IF('Classe CM1'!F21="","",'Classe CM1'!F21))</f>
        <v/>
      </c>
      <c r="J501" s="16" t="str">
        <f>IF('Classe CM1'!$B21="","",IF('Classe CM1'!G21="","",'Classe CM1'!G21))</f>
        <v/>
      </c>
      <c r="K501" s="18" t="str">
        <f>IF('Classe CM1'!$B21="","",N('Classe CM1'!H21))</f>
        <v/>
      </c>
      <c r="L501" s="18" t="str">
        <f>IF('Classe CM1'!$B21="","",N('Classe CM1'!I21))</f>
        <v/>
      </c>
      <c r="M501" s="18" t="str">
        <f>IF('Classe CM1'!$B21="","",N('Classe CM1'!J21))</f>
        <v/>
      </c>
      <c r="N501" s="18" t="str">
        <f>IF('Classe CM1'!$B21="","",N('Classe CM1'!K21))</f>
        <v/>
      </c>
      <c r="O501" s="18" t="str">
        <f>IF('Classe CM1'!$B21="","",N('Classe CM1'!L21))</f>
        <v/>
      </c>
      <c r="P501" s="18" t="str">
        <f>IF('Classe CM1'!$B21="","",N('Classe CM1'!M21))</f>
        <v/>
      </c>
      <c r="Q501" s="17" t="str">
        <f>IF('Classe CM1'!$B21="","",IF('Classe CM1'!Q21="","",'Classe CM1'!Q21))</f>
        <v/>
      </c>
      <c r="R501" s="18" t="str">
        <f>IF('Classe CM1'!$B21="","",N('Classe CM1'!N21))</f>
        <v/>
      </c>
      <c r="S501" s="18" t="str">
        <f>IF('Classe CM1'!$B21="","",N('Classe CM1'!O21))</f>
        <v/>
      </c>
      <c r="T501" s="18" t="str">
        <f>IF('Classe CM1'!$B21="","",N('Classe CM1'!P21))</f>
        <v/>
      </c>
    </row>
    <row r="502">
      <c r="A502" s="20" t="str">
        <f>IF('Classe CM1'!$B22="","",IF('Classe CM1'!A22="","",'Classe CM1'!A22))</f>
        <v/>
      </c>
      <c r="B502" s="20" t="str">
        <f>IF('Classe CM1'!$B22="","",IF('Classe CM1'!B22="","",'Classe CM1'!B22))</f>
        <v/>
      </c>
      <c r="C502" s="20" t="str">
        <f>IF('Classe CM1'!$B22="","",IF('Classe CM1'!C22="","",'Classe CM1'!C22))</f>
        <v/>
      </c>
      <c r="D502" s="20" t="str">
        <f>IF($B502="","",C502&amp;" "&amp;B502&amp;" - "&amp;E502)</f>
        <v/>
      </c>
      <c r="E502" s="21" t="str">
        <f>IF($B502="","",Paramètres!$A$21)</f>
        <v/>
      </c>
      <c r="F502" s="21" t="str">
        <f>IF($B502="","",Paramètres!$B$21)</f>
        <v/>
      </c>
      <c r="G502" s="21" t="str">
        <f>IF('Classe CM1'!$B22="","",IF('Classe CM1'!D22="","",'Classe CM1'!D22))</f>
        <v/>
      </c>
      <c r="H502" s="77" t="str">
        <f>IF('Classe CM1'!$B22="","",IF('Classe CM1'!E22="","",'Classe CM1'!E22))</f>
        <v/>
      </c>
      <c r="I502" s="20" t="str">
        <f>IF('Classe CM1'!$B22="","",IF('Classe CM1'!F22="","",'Classe CM1'!F22))</f>
        <v/>
      </c>
      <c r="J502" s="20" t="str">
        <f>IF('Classe CM1'!$B22="","",IF('Classe CM1'!G22="","",'Classe CM1'!G22))</f>
        <v/>
      </c>
      <c r="K502" s="51" t="str">
        <f>IF('Classe CM1'!$B22="","",N('Classe CM1'!H22))</f>
        <v/>
      </c>
      <c r="L502" s="51" t="str">
        <f>IF('Classe CM1'!$B22="","",N('Classe CM1'!I22))</f>
        <v/>
      </c>
      <c r="M502" s="51" t="str">
        <f>IF('Classe CM1'!$B22="","",N('Classe CM1'!J22))</f>
        <v/>
      </c>
      <c r="N502" s="51" t="str">
        <f>IF('Classe CM1'!$B22="","",N('Classe CM1'!K22))</f>
        <v/>
      </c>
      <c r="O502" s="51" t="str">
        <f>IF('Classe CM1'!$B22="","",N('Classe CM1'!L22))</f>
        <v/>
      </c>
      <c r="P502" s="51" t="str">
        <f>IF('Classe CM1'!$B22="","",N('Classe CM1'!M22))</f>
        <v/>
      </c>
      <c r="Q502" s="21" t="str">
        <f>IF('Classe CM1'!$B22="","",IF('Classe CM1'!Q22="","",'Classe CM1'!Q22))</f>
        <v/>
      </c>
      <c r="R502" s="51" t="str">
        <f>IF('Classe CM1'!$B22="","",N('Classe CM1'!N22))</f>
        <v/>
      </c>
      <c r="S502" s="51" t="str">
        <f>IF('Classe CM1'!$B22="","",N('Classe CM1'!O22))</f>
        <v/>
      </c>
      <c r="T502" s="51" t="str">
        <f>IF('Classe CM1'!$B22="","",N('Classe CM1'!P22))</f>
        <v/>
      </c>
    </row>
    <row r="503">
      <c r="A503" s="16" t="str">
        <f>IF('Classe CM1'!$B23="","",IF('Classe CM1'!A23="","",'Classe CM1'!A23))</f>
        <v/>
      </c>
      <c r="B503" s="16" t="str">
        <f>IF('Classe CM1'!$B23="","",IF('Classe CM1'!B23="","",'Classe CM1'!B23))</f>
        <v/>
      </c>
      <c r="C503" s="16" t="str">
        <f>IF('Classe CM1'!$B23="","",IF('Classe CM1'!C23="","",'Classe CM1'!C23))</f>
        <v/>
      </c>
      <c r="D503" s="16" t="str">
        <f>IF($B503="","",C503&amp;" "&amp;B503&amp;" - "&amp;E503)</f>
        <v/>
      </c>
      <c r="E503" s="17" t="str">
        <f>IF($B503="","",Paramètres!$A$21)</f>
        <v/>
      </c>
      <c r="F503" s="17" t="str">
        <f>IF($B503="","",Paramètres!$B$21)</f>
        <v/>
      </c>
      <c r="G503" s="17" t="str">
        <f>IF('Classe CM1'!$B23="","",IF('Classe CM1'!D23="","",'Classe CM1'!D23))</f>
        <v/>
      </c>
      <c r="H503" s="78" t="str">
        <f>IF('Classe CM1'!$B23="","",IF('Classe CM1'!E23="","",'Classe CM1'!E23))</f>
        <v/>
      </c>
      <c r="I503" s="16" t="str">
        <f>IF('Classe CM1'!$B23="","",IF('Classe CM1'!F23="","",'Classe CM1'!F23))</f>
        <v/>
      </c>
      <c r="J503" s="16" t="str">
        <f>IF('Classe CM1'!$B23="","",IF('Classe CM1'!G23="","",'Classe CM1'!G23))</f>
        <v/>
      </c>
      <c r="K503" s="18" t="str">
        <f>IF('Classe CM1'!$B23="","",N('Classe CM1'!H23))</f>
        <v/>
      </c>
      <c r="L503" s="18" t="str">
        <f>IF('Classe CM1'!$B23="","",N('Classe CM1'!I23))</f>
        <v/>
      </c>
      <c r="M503" s="18" t="str">
        <f>IF('Classe CM1'!$B23="","",N('Classe CM1'!J23))</f>
        <v/>
      </c>
      <c r="N503" s="18" t="str">
        <f>IF('Classe CM1'!$B23="","",N('Classe CM1'!K23))</f>
        <v/>
      </c>
      <c r="O503" s="18" t="str">
        <f>IF('Classe CM1'!$B23="","",N('Classe CM1'!L23))</f>
        <v/>
      </c>
      <c r="P503" s="18" t="str">
        <f>IF('Classe CM1'!$B23="","",N('Classe CM1'!M23))</f>
        <v/>
      </c>
      <c r="Q503" s="17" t="str">
        <f>IF('Classe CM1'!$B23="","",IF('Classe CM1'!Q23="","",'Classe CM1'!Q23))</f>
        <v/>
      </c>
      <c r="R503" s="18" t="str">
        <f>IF('Classe CM1'!$B23="","",N('Classe CM1'!N23))</f>
        <v/>
      </c>
      <c r="S503" s="18" t="str">
        <f>IF('Classe CM1'!$B23="","",N('Classe CM1'!O23))</f>
        <v/>
      </c>
      <c r="T503" s="18" t="str">
        <f>IF('Classe CM1'!$B23="","",N('Classe CM1'!P23))</f>
        <v/>
      </c>
    </row>
    <row r="504">
      <c r="A504" s="20" t="str">
        <f>IF('Classe CM1'!$B24="","",IF('Classe CM1'!A24="","",'Classe CM1'!A24))</f>
        <v/>
      </c>
      <c r="B504" s="20" t="str">
        <f>IF('Classe CM1'!$B24="","",IF('Classe CM1'!B24="","",'Classe CM1'!B24))</f>
        <v/>
      </c>
      <c r="C504" s="20" t="str">
        <f>IF('Classe CM1'!$B24="","",IF('Classe CM1'!C24="","",'Classe CM1'!C24))</f>
        <v/>
      </c>
      <c r="D504" s="20" t="str">
        <f>IF($B504="","",C504&amp;" "&amp;B504&amp;" - "&amp;E504)</f>
        <v/>
      </c>
      <c r="E504" s="21" t="str">
        <f>IF($B504="","",Paramètres!$A$21)</f>
        <v/>
      </c>
      <c r="F504" s="21" t="str">
        <f>IF($B504="","",Paramètres!$B$21)</f>
        <v/>
      </c>
      <c r="G504" s="21" t="str">
        <f>IF('Classe CM1'!$B24="","",IF('Classe CM1'!D24="","",'Classe CM1'!D24))</f>
        <v/>
      </c>
      <c r="H504" s="77" t="str">
        <f>IF('Classe CM1'!$B24="","",IF('Classe CM1'!E24="","",'Classe CM1'!E24))</f>
        <v/>
      </c>
      <c r="I504" s="20" t="str">
        <f>IF('Classe CM1'!$B24="","",IF('Classe CM1'!F24="","",'Classe CM1'!F24))</f>
        <v/>
      </c>
      <c r="J504" s="20" t="str">
        <f>IF('Classe CM1'!$B24="","",IF('Classe CM1'!G24="","",'Classe CM1'!G24))</f>
        <v/>
      </c>
      <c r="K504" s="51" t="str">
        <f>IF('Classe CM1'!$B24="","",N('Classe CM1'!H24))</f>
        <v/>
      </c>
      <c r="L504" s="51" t="str">
        <f>IF('Classe CM1'!$B24="","",N('Classe CM1'!I24))</f>
        <v/>
      </c>
      <c r="M504" s="51" t="str">
        <f>IF('Classe CM1'!$B24="","",N('Classe CM1'!J24))</f>
        <v/>
      </c>
      <c r="N504" s="51" t="str">
        <f>IF('Classe CM1'!$B24="","",N('Classe CM1'!K24))</f>
        <v/>
      </c>
      <c r="O504" s="51" t="str">
        <f>IF('Classe CM1'!$B24="","",N('Classe CM1'!L24))</f>
        <v/>
      </c>
      <c r="P504" s="51" t="str">
        <f>IF('Classe CM1'!$B24="","",N('Classe CM1'!M24))</f>
        <v/>
      </c>
      <c r="Q504" s="21" t="str">
        <f>IF('Classe CM1'!$B24="","",IF('Classe CM1'!Q24="","",'Classe CM1'!Q24))</f>
        <v/>
      </c>
      <c r="R504" s="51" t="str">
        <f>IF('Classe CM1'!$B24="","",N('Classe CM1'!N24))</f>
        <v/>
      </c>
      <c r="S504" s="51" t="str">
        <f>IF('Classe CM1'!$B24="","",N('Classe CM1'!O24))</f>
        <v/>
      </c>
      <c r="T504" s="51" t="str">
        <f>IF('Classe CM1'!$B24="","",N('Classe CM1'!P24))</f>
        <v/>
      </c>
    </row>
    <row r="505">
      <c r="A505" s="16" t="str">
        <f>IF('Classe CM1'!$B25="","",IF('Classe CM1'!A25="","",'Classe CM1'!A25))</f>
        <v/>
      </c>
      <c r="B505" s="16" t="str">
        <f>IF('Classe CM1'!$B25="","",IF('Classe CM1'!B25="","",'Classe CM1'!B25))</f>
        <v/>
      </c>
      <c r="C505" s="16" t="str">
        <f>IF('Classe CM1'!$B25="","",IF('Classe CM1'!C25="","",'Classe CM1'!C25))</f>
        <v/>
      </c>
      <c r="D505" s="16" t="str">
        <f>IF($B505="","",C505&amp;" "&amp;B505&amp;" - "&amp;E505)</f>
        <v/>
      </c>
      <c r="E505" s="17" t="str">
        <f>IF($B505="","",Paramètres!$A$21)</f>
        <v/>
      </c>
      <c r="F505" s="17" t="str">
        <f>IF($B505="","",Paramètres!$B$21)</f>
        <v/>
      </c>
      <c r="G505" s="17" t="str">
        <f>IF('Classe CM1'!$B25="","",IF('Classe CM1'!D25="","",'Classe CM1'!D25))</f>
        <v/>
      </c>
      <c r="H505" s="78" t="str">
        <f>IF('Classe CM1'!$B25="","",IF('Classe CM1'!E25="","",'Classe CM1'!E25))</f>
        <v/>
      </c>
      <c r="I505" s="16" t="str">
        <f>IF('Classe CM1'!$B25="","",IF('Classe CM1'!F25="","",'Classe CM1'!F25))</f>
        <v/>
      </c>
      <c r="J505" s="16" t="str">
        <f>IF('Classe CM1'!$B25="","",IF('Classe CM1'!G25="","",'Classe CM1'!G25))</f>
        <v/>
      </c>
      <c r="K505" s="18" t="str">
        <f>IF('Classe CM1'!$B25="","",N('Classe CM1'!H25))</f>
        <v/>
      </c>
      <c r="L505" s="18" t="str">
        <f>IF('Classe CM1'!$B25="","",N('Classe CM1'!I25))</f>
        <v/>
      </c>
      <c r="M505" s="18" t="str">
        <f>IF('Classe CM1'!$B25="","",N('Classe CM1'!J25))</f>
        <v/>
      </c>
      <c r="N505" s="18" t="str">
        <f>IF('Classe CM1'!$B25="","",N('Classe CM1'!K25))</f>
        <v/>
      </c>
      <c r="O505" s="18" t="str">
        <f>IF('Classe CM1'!$B25="","",N('Classe CM1'!L25))</f>
        <v/>
      </c>
      <c r="P505" s="18" t="str">
        <f>IF('Classe CM1'!$B25="","",N('Classe CM1'!M25))</f>
        <v/>
      </c>
      <c r="Q505" s="17" t="str">
        <f>IF('Classe CM1'!$B25="","",IF('Classe CM1'!Q25="","",'Classe CM1'!Q25))</f>
        <v/>
      </c>
      <c r="R505" s="18" t="str">
        <f>IF('Classe CM1'!$B25="","",N('Classe CM1'!N25))</f>
        <v/>
      </c>
      <c r="S505" s="18" t="str">
        <f>IF('Classe CM1'!$B25="","",N('Classe CM1'!O25))</f>
        <v/>
      </c>
      <c r="T505" s="18" t="str">
        <f>IF('Classe CM1'!$B25="","",N('Classe CM1'!P25))</f>
        <v/>
      </c>
    </row>
    <row r="506">
      <c r="A506" s="20" t="str">
        <f>IF('Classe CM1'!$B26="","",IF('Classe CM1'!A26="","",'Classe CM1'!A26))</f>
        <v/>
      </c>
      <c r="B506" s="20" t="str">
        <f>IF('Classe CM1'!$B26="","",IF('Classe CM1'!B26="","",'Classe CM1'!B26))</f>
        <v/>
      </c>
      <c r="C506" s="20" t="str">
        <f>IF('Classe CM1'!$B26="","",IF('Classe CM1'!C26="","",'Classe CM1'!C26))</f>
        <v/>
      </c>
      <c r="D506" s="20" t="str">
        <f>IF($B506="","",C506&amp;" "&amp;B506&amp;" - "&amp;E506)</f>
        <v/>
      </c>
      <c r="E506" s="21" t="str">
        <f>IF($B506="","",Paramètres!$A$21)</f>
        <v/>
      </c>
      <c r="F506" s="21" t="str">
        <f>IF($B506="","",Paramètres!$B$21)</f>
        <v/>
      </c>
      <c r="G506" s="21" t="str">
        <f>IF('Classe CM1'!$B26="","",IF('Classe CM1'!D26="","",'Classe CM1'!D26))</f>
        <v/>
      </c>
      <c r="H506" s="77" t="str">
        <f>IF('Classe CM1'!$B26="","",IF('Classe CM1'!E26="","",'Classe CM1'!E26))</f>
        <v/>
      </c>
      <c r="I506" s="20" t="str">
        <f>IF('Classe CM1'!$B26="","",IF('Classe CM1'!F26="","",'Classe CM1'!F26))</f>
        <v/>
      </c>
      <c r="J506" s="20" t="str">
        <f>IF('Classe CM1'!$B26="","",IF('Classe CM1'!G26="","",'Classe CM1'!G26))</f>
        <v/>
      </c>
      <c r="K506" s="51" t="str">
        <f>IF('Classe CM1'!$B26="","",N('Classe CM1'!H26))</f>
        <v/>
      </c>
      <c r="L506" s="51" t="str">
        <f>IF('Classe CM1'!$B26="","",N('Classe CM1'!I26))</f>
        <v/>
      </c>
      <c r="M506" s="51" t="str">
        <f>IF('Classe CM1'!$B26="","",N('Classe CM1'!J26))</f>
        <v/>
      </c>
      <c r="N506" s="51" t="str">
        <f>IF('Classe CM1'!$B26="","",N('Classe CM1'!K26))</f>
        <v/>
      </c>
      <c r="O506" s="51" t="str">
        <f>IF('Classe CM1'!$B26="","",N('Classe CM1'!L26))</f>
        <v/>
      </c>
      <c r="P506" s="51" t="str">
        <f>IF('Classe CM1'!$B26="","",N('Classe CM1'!M26))</f>
        <v/>
      </c>
      <c r="Q506" s="21" t="str">
        <f>IF('Classe CM1'!$B26="","",IF('Classe CM1'!Q26="","",'Classe CM1'!Q26))</f>
        <v/>
      </c>
      <c r="R506" s="51" t="str">
        <f>IF('Classe CM1'!$B26="","",N('Classe CM1'!N26))</f>
        <v/>
      </c>
      <c r="S506" s="51" t="str">
        <f>IF('Classe CM1'!$B26="","",N('Classe CM1'!O26))</f>
        <v/>
      </c>
      <c r="T506" s="51" t="str">
        <f>IF('Classe CM1'!$B26="","",N('Classe CM1'!P26))</f>
        <v/>
      </c>
    </row>
    <row r="507">
      <c r="A507" s="16" t="str">
        <f>IF('Classe CM1'!$B27="","",IF('Classe CM1'!A27="","",'Classe CM1'!A27))</f>
        <v/>
      </c>
      <c r="B507" s="16" t="str">
        <f>IF('Classe CM1'!$B27="","",IF('Classe CM1'!B27="","",'Classe CM1'!B27))</f>
        <v/>
      </c>
      <c r="C507" s="16" t="str">
        <f>IF('Classe CM1'!$B27="","",IF('Classe CM1'!C27="","",'Classe CM1'!C27))</f>
        <v/>
      </c>
      <c r="D507" s="16" t="str">
        <f>IF($B507="","",C507&amp;" "&amp;B507&amp;" - "&amp;E507)</f>
        <v/>
      </c>
      <c r="E507" s="17" t="str">
        <f>IF($B507="","",Paramètres!$A$21)</f>
        <v/>
      </c>
      <c r="F507" s="17" t="str">
        <f>IF($B507="","",Paramètres!$B$21)</f>
        <v/>
      </c>
      <c r="G507" s="17" t="str">
        <f>IF('Classe CM1'!$B27="","",IF('Classe CM1'!D27="","",'Classe CM1'!D27))</f>
        <v/>
      </c>
      <c r="H507" s="78" t="str">
        <f>IF('Classe CM1'!$B27="","",IF('Classe CM1'!E27="","",'Classe CM1'!E27))</f>
        <v/>
      </c>
      <c r="I507" s="16" t="str">
        <f>IF('Classe CM1'!$B27="","",IF('Classe CM1'!F27="","",'Classe CM1'!F27))</f>
        <v/>
      </c>
      <c r="J507" s="16" t="str">
        <f>IF('Classe CM1'!$B27="","",IF('Classe CM1'!G27="","",'Classe CM1'!G27))</f>
        <v/>
      </c>
      <c r="K507" s="18" t="str">
        <f>IF('Classe CM1'!$B27="","",N('Classe CM1'!H27))</f>
        <v/>
      </c>
      <c r="L507" s="18" t="str">
        <f>IF('Classe CM1'!$B27="","",N('Classe CM1'!I27))</f>
        <v/>
      </c>
      <c r="M507" s="18" t="str">
        <f>IF('Classe CM1'!$B27="","",N('Classe CM1'!J27))</f>
        <v/>
      </c>
      <c r="N507" s="18" t="str">
        <f>IF('Classe CM1'!$B27="","",N('Classe CM1'!K27))</f>
        <v/>
      </c>
      <c r="O507" s="18" t="str">
        <f>IF('Classe CM1'!$B27="","",N('Classe CM1'!L27))</f>
        <v/>
      </c>
      <c r="P507" s="18" t="str">
        <f>IF('Classe CM1'!$B27="","",N('Classe CM1'!M27))</f>
        <v/>
      </c>
      <c r="Q507" s="17" t="str">
        <f>IF('Classe CM1'!$B27="","",IF('Classe CM1'!Q27="","",'Classe CM1'!Q27))</f>
        <v/>
      </c>
      <c r="R507" s="18" t="str">
        <f>IF('Classe CM1'!$B27="","",N('Classe CM1'!N27))</f>
        <v/>
      </c>
      <c r="S507" s="18" t="str">
        <f>IF('Classe CM1'!$B27="","",N('Classe CM1'!O27))</f>
        <v/>
      </c>
      <c r="T507" s="18" t="str">
        <f>IF('Classe CM1'!$B27="","",N('Classe CM1'!P27))</f>
        <v/>
      </c>
    </row>
    <row r="508">
      <c r="A508" s="20" t="str">
        <f>IF('Classe CM1'!$B28="","",IF('Classe CM1'!A28="","",'Classe CM1'!A28))</f>
        <v/>
      </c>
      <c r="B508" s="20" t="str">
        <f>IF('Classe CM1'!$B28="","",IF('Classe CM1'!B28="","",'Classe CM1'!B28))</f>
        <v/>
      </c>
      <c r="C508" s="20" t="str">
        <f>IF('Classe CM1'!$B28="","",IF('Classe CM1'!C28="","",'Classe CM1'!C28))</f>
        <v/>
      </c>
      <c r="D508" s="20" t="str">
        <f>IF($B508="","",C508&amp;" "&amp;B508&amp;" - "&amp;E508)</f>
        <v/>
      </c>
      <c r="E508" s="21" t="str">
        <f>IF($B508="","",Paramètres!$A$21)</f>
        <v/>
      </c>
      <c r="F508" s="21" t="str">
        <f>IF($B508="","",Paramètres!$B$21)</f>
        <v/>
      </c>
      <c r="G508" s="21" t="str">
        <f>IF('Classe CM1'!$B28="","",IF('Classe CM1'!D28="","",'Classe CM1'!D28))</f>
        <v/>
      </c>
      <c r="H508" s="77" t="str">
        <f>IF('Classe CM1'!$B28="","",IF('Classe CM1'!E28="","",'Classe CM1'!E28))</f>
        <v/>
      </c>
      <c r="I508" s="20" t="str">
        <f>IF('Classe CM1'!$B28="","",IF('Classe CM1'!F28="","",'Classe CM1'!F28))</f>
        <v/>
      </c>
      <c r="J508" s="20" t="str">
        <f>IF('Classe CM1'!$B28="","",IF('Classe CM1'!G28="","",'Classe CM1'!G28))</f>
        <v/>
      </c>
      <c r="K508" s="51" t="str">
        <f>IF('Classe CM1'!$B28="","",N('Classe CM1'!H28))</f>
        <v/>
      </c>
      <c r="L508" s="51" t="str">
        <f>IF('Classe CM1'!$B28="","",N('Classe CM1'!I28))</f>
        <v/>
      </c>
      <c r="M508" s="51" t="str">
        <f>IF('Classe CM1'!$B28="","",N('Classe CM1'!J28))</f>
        <v/>
      </c>
      <c r="N508" s="51" t="str">
        <f>IF('Classe CM1'!$B28="","",N('Classe CM1'!K28))</f>
        <v/>
      </c>
      <c r="O508" s="51" t="str">
        <f>IF('Classe CM1'!$B28="","",N('Classe CM1'!L28))</f>
        <v/>
      </c>
      <c r="P508" s="51" t="str">
        <f>IF('Classe CM1'!$B28="","",N('Classe CM1'!M28))</f>
        <v/>
      </c>
      <c r="Q508" s="21" t="str">
        <f>IF('Classe CM1'!$B28="","",IF('Classe CM1'!Q28="","",'Classe CM1'!Q28))</f>
        <v/>
      </c>
      <c r="R508" s="51" t="str">
        <f>IF('Classe CM1'!$B28="","",N('Classe CM1'!N28))</f>
        <v/>
      </c>
      <c r="S508" s="51" t="str">
        <f>IF('Classe CM1'!$B28="","",N('Classe CM1'!O28))</f>
        <v/>
      </c>
      <c r="T508" s="51" t="str">
        <f>IF('Classe CM1'!$B28="","",N('Classe CM1'!P28))</f>
        <v/>
      </c>
    </row>
    <row r="509">
      <c r="A509" s="16" t="str">
        <f>IF('Classe CM1'!$B29="","",IF('Classe CM1'!A29="","",'Classe CM1'!A29))</f>
        <v/>
      </c>
      <c r="B509" s="16" t="str">
        <f>IF('Classe CM1'!$B29="","",IF('Classe CM1'!B29="","",'Classe CM1'!B29))</f>
        <v/>
      </c>
      <c r="C509" s="16" t="str">
        <f>IF('Classe CM1'!$B29="","",IF('Classe CM1'!C29="","",'Classe CM1'!C29))</f>
        <v/>
      </c>
      <c r="D509" s="16" t="str">
        <f>IF($B509="","",C509&amp;" "&amp;B509&amp;" - "&amp;E509)</f>
        <v/>
      </c>
      <c r="E509" s="17" t="str">
        <f>IF($B509="","",Paramètres!$A$21)</f>
        <v/>
      </c>
      <c r="F509" s="17" t="str">
        <f>IF($B509="","",Paramètres!$B$21)</f>
        <v/>
      </c>
      <c r="G509" s="17" t="str">
        <f>IF('Classe CM1'!$B29="","",IF('Classe CM1'!D29="","",'Classe CM1'!D29))</f>
        <v/>
      </c>
      <c r="H509" s="78" t="str">
        <f>IF('Classe CM1'!$B29="","",IF('Classe CM1'!E29="","",'Classe CM1'!E29))</f>
        <v/>
      </c>
      <c r="I509" s="16" t="str">
        <f>IF('Classe CM1'!$B29="","",IF('Classe CM1'!F29="","",'Classe CM1'!F29))</f>
        <v/>
      </c>
      <c r="J509" s="16" t="str">
        <f>IF('Classe CM1'!$B29="","",IF('Classe CM1'!G29="","",'Classe CM1'!G29))</f>
        <v/>
      </c>
      <c r="K509" s="18" t="str">
        <f>IF('Classe CM1'!$B29="","",N('Classe CM1'!H29))</f>
        <v/>
      </c>
      <c r="L509" s="18" t="str">
        <f>IF('Classe CM1'!$B29="","",N('Classe CM1'!I29))</f>
        <v/>
      </c>
      <c r="M509" s="18" t="str">
        <f>IF('Classe CM1'!$B29="","",N('Classe CM1'!J29))</f>
        <v/>
      </c>
      <c r="N509" s="18" t="str">
        <f>IF('Classe CM1'!$B29="","",N('Classe CM1'!K29))</f>
        <v/>
      </c>
      <c r="O509" s="18" t="str">
        <f>IF('Classe CM1'!$B29="","",N('Classe CM1'!L29))</f>
        <v/>
      </c>
      <c r="P509" s="18" t="str">
        <f>IF('Classe CM1'!$B29="","",N('Classe CM1'!M29))</f>
        <v/>
      </c>
      <c r="Q509" s="17" t="str">
        <f>IF('Classe CM1'!$B29="","",IF('Classe CM1'!Q29="","",'Classe CM1'!Q29))</f>
        <v/>
      </c>
      <c r="R509" s="18" t="str">
        <f>IF('Classe CM1'!$B29="","",N('Classe CM1'!N29))</f>
        <v/>
      </c>
      <c r="S509" s="18" t="str">
        <f>IF('Classe CM1'!$B29="","",N('Classe CM1'!O29))</f>
        <v/>
      </c>
      <c r="T509" s="18" t="str">
        <f>IF('Classe CM1'!$B29="","",N('Classe CM1'!P29))</f>
        <v/>
      </c>
    </row>
    <row r="510">
      <c r="A510" s="20" t="str">
        <f>IF('Classe CM1'!$B30="","",IF('Classe CM1'!A30="","",'Classe CM1'!A30))</f>
        <v/>
      </c>
      <c r="B510" s="20" t="str">
        <f>IF('Classe CM1'!$B30="","",IF('Classe CM1'!B30="","",'Classe CM1'!B30))</f>
        <v/>
      </c>
      <c r="C510" s="20" t="str">
        <f>IF('Classe CM1'!$B30="","",IF('Classe CM1'!C30="","",'Classe CM1'!C30))</f>
        <v/>
      </c>
      <c r="D510" s="20" t="str">
        <f>IF($B510="","",C510&amp;" "&amp;B510&amp;" - "&amp;E510)</f>
        <v/>
      </c>
      <c r="E510" s="21" t="str">
        <f>IF($B510="","",Paramètres!$A$21)</f>
        <v/>
      </c>
      <c r="F510" s="21" t="str">
        <f>IF($B510="","",Paramètres!$B$21)</f>
        <v/>
      </c>
      <c r="G510" s="21" t="str">
        <f>IF('Classe CM1'!$B30="","",IF('Classe CM1'!D30="","",'Classe CM1'!D30))</f>
        <v/>
      </c>
      <c r="H510" s="77" t="str">
        <f>IF('Classe CM1'!$B30="","",IF('Classe CM1'!E30="","",'Classe CM1'!E30))</f>
        <v/>
      </c>
      <c r="I510" s="20" t="str">
        <f>IF('Classe CM1'!$B30="","",IF('Classe CM1'!F30="","",'Classe CM1'!F30))</f>
        <v/>
      </c>
      <c r="J510" s="20" t="str">
        <f>IF('Classe CM1'!$B30="","",IF('Classe CM1'!G30="","",'Classe CM1'!G30))</f>
        <v/>
      </c>
      <c r="K510" s="51" t="str">
        <f>IF('Classe CM1'!$B30="","",N('Classe CM1'!H30))</f>
        <v/>
      </c>
      <c r="L510" s="51" t="str">
        <f>IF('Classe CM1'!$B30="","",N('Classe CM1'!I30))</f>
        <v/>
      </c>
      <c r="M510" s="51" t="str">
        <f>IF('Classe CM1'!$B30="","",N('Classe CM1'!J30))</f>
        <v/>
      </c>
      <c r="N510" s="51" t="str">
        <f>IF('Classe CM1'!$B30="","",N('Classe CM1'!K30))</f>
        <v/>
      </c>
      <c r="O510" s="51" t="str">
        <f>IF('Classe CM1'!$B30="","",N('Classe CM1'!L30))</f>
        <v/>
      </c>
      <c r="P510" s="51" t="str">
        <f>IF('Classe CM1'!$B30="","",N('Classe CM1'!M30))</f>
        <v/>
      </c>
      <c r="Q510" s="21" t="str">
        <f>IF('Classe CM1'!$B30="","",IF('Classe CM1'!Q30="","",'Classe CM1'!Q30))</f>
        <v/>
      </c>
      <c r="R510" s="51" t="str">
        <f>IF('Classe CM1'!$B30="","",N('Classe CM1'!N30))</f>
        <v/>
      </c>
      <c r="S510" s="51" t="str">
        <f>IF('Classe CM1'!$B30="","",N('Classe CM1'!O30))</f>
        <v/>
      </c>
      <c r="T510" s="51" t="str">
        <f>IF('Classe CM1'!$B30="","",N('Classe CM1'!P30))</f>
        <v/>
      </c>
    </row>
    <row r="511">
      <c r="A511" s="16" t="str">
        <f>IF('Classe CM1'!$B31="","",IF('Classe CM1'!A31="","",'Classe CM1'!A31))</f>
        <v/>
      </c>
      <c r="B511" s="16" t="str">
        <f>IF('Classe CM1'!$B31="","",IF('Classe CM1'!B31="","",'Classe CM1'!B31))</f>
        <v/>
      </c>
      <c r="C511" s="16" t="str">
        <f>IF('Classe CM1'!$B31="","",IF('Classe CM1'!C31="","",'Classe CM1'!C31))</f>
        <v/>
      </c>
      <c r="D511" s="16" t="str">
        <f>IF($B511="","",C511&amp;" "&amp;B511&amp;" - "&amp;E511)</f>
        <v/>
      </c>
      <c r="E511" s="17" t="str">
        <f>IF($B511="","",Paramètres!$A$21)</f>
        <v/>
      </c>
      <c r="F511" s="17" t="str">
        <f>IF($B511="","",Paramètres!$B$21)</f>
        <v/>
      </c>
      <c r="G511" s="17" t="str">
        <f>IF('Classe CM1'!$B31="","",IF('Classe CM1'!D31="","",'Classe CM1'!D31))</f>
        <v/>
      </c>
      <c r="H511" s="78" t="str">
        <f>IF('Classe CM1'!$B31="","",IF('Classe CM1'!E31="","",'Classe CM1'!E31))</f>
        <v/>
      </c>
      <c r="I511" s="16" t="str">
        <f>IF('Classe CM1'!$B31="","",IF('Classe CM1'!F31="","",'Classe CM1'!F31))</f>
        <v/>
      </c>
      <c r="J511" s="16" t="str">
        <f>IF('Classe CM1'!$B31="","",IF('Classe CM1'!G31="","",'Classe CM1'!G31))</f>
        <v/>
      </c>
      <c r="K511" s="18" t="str">
        <f>IF('Classe CM1'!$B31="","",N('Classe CM1'!H31))</f>
        <v/>
      </c>
      <c r="L511" s="18" t="str">
        <f>IF('Classe CM1'!$B31="","",N('Classe CM1'!I31))</f>
        <v/>
      </c>
      <c r="M511" s="18" t="str">
        <f>IF('Classe CM1'!$B31="","",N('Classe CM1'!J31))</f>
        <v/>
      </c>
      <c r="N511" s="18" t="str">
        <f>IF('Classe CM1'!$B31="","",N('Classe CM1'!K31))</f>
        <v/>
      </c>
      <c r="O511" s="18" t="str">
        <f>IF('Classe CM1'!$B31="","",N('Classe CM1'!L31))</f>
        <v/>
      </c>
      <c r="P511" s="18" t="str">
        <f>IF('Classe CM1'!$B31="","",N('Classe CM1'!M31))</f>
        <v/>
      </c>
      <c r="Q511" s="17" t="str">
        <f>IF('Classe CM1'!$B31="","",IF('Classe CM1'!Q31="","",'Classe CM1'!Q31))</f>
        <v/>
      </c>
      <c r="R511" s="18" t="str">
        <f>IF('Classe CM1'!$B31="","",N('Classe CM1'!N31))</f>
        <v/>
      </c>
      <c r="S511" s="18" t="str">
        <f>IF('Classe CM1'!$B31="","",N('Classe CM1'!O31))</f>
        <v/>
      </c>
      <c r="T511" s="18" t="str">
        <f>IF('Classe CM1'!$B31="","",N('Classe CM1'!P31))</f>
        <v/>
      </c>
    </row>
    <row r="512">
      <c r="A512" s="20" t="str">
        <f>IF('Classe CM1'!$B32="","",IF('Classe CM1'!A32="","",'Classe CM1'!A32))</f>
        <v/>
      </c>
      <c r="B512" s="20" t="str">
        <f>IF('Classe CM1'!$B32="","",IF('Classe CM1'!B32="","",'Classe CM1'!B32))</f>
        <v/>
      </c>
      <c r="C512" s="20" t="str">
        <f>IF('Classe CM1'!$B32="","",IF('Classe CM1'!C32="","",'Classe CM1'!C32))</f>
        <v/>
      </c>
      <c r="D512" s="20" t="str">
        <f>IF($B512="","",C512&amp;" "&amp;B512&amp;" - "&amp;E512)</f>
        <v/>
      </c>
      <c r="E512" s="21" t="str">
        <f>IF($B512="","",Paramètres!$A$21)</f>
        <v/>
      </c>
      <c r="F512" s="21" t="str">
        <f>IF($B512="","",Paramètres!$B$21)</f>
        <v/>
      </c>
      <c r="G512" s="21" t="str">
        <f>IF('Classe CM1'!$B32="","",IF('Classe CM1'!D32="","",'Classe CM1'!D32))</f>
        <v/>
      </c>
      <c r="H512" s="77" t="str">
        <f>IF('Classe CM1'!$B32="","",IF('Classe CM1'!E32="","",'Classe CM1'!E32))</f>
        <v/>
      </c>
      <c r="I512" s="20" t="str">
        <f>IF('Classe CM1'!$B32="","",IF('Classe CM1'!F32="","",'Classe CM1'!F32))</f>
        <v/>
      </c>
      <c r="J512" s="20" t="str">
        <f>IF('Classe CM1'!$B32="","",IF('Classe CM1'!G32="","",'Classe CM1'!G32))</f>
        <v/>
      </c>
      <c r="K512" s="51" t="str">
        <f>IF('Classe CM1'!$B32="","",N('Classe CM1'!H32))</f>
        <v/>
      </c>
      <c r="L512" s="51" t="str">
        <f>IF('Classe CM1'!$B32="","",N('Classe CM1'!I32))</f>
        <v/>
      </c>
      <c r="M512" s="51" t="str">
        <f>IF('Classe CM1'!$B32="","",N('Classe CM1'!J32))</f>
        <v/>
      </c>
      <c r="N512" s="51" t="str">
        <f>IF('Classe CM1'!$B32="","",N('Classe CM1'!K32))</f>
        <v/>
      </c>
      <c r="O512" s="51" t="str">
        <f>IF('Classe CM1'!$B32="","",N('Classe CM1'!L32))</f>
        <v/>
      </c>
      <c r="P512" s="51" t="str">
        <f>IF('Classe CM1'!$B32="","",N('Classe CM1'!M32))</f>
        <v/>
      </c>
      <c r="Q512" s="21" t="str">
        <f>IF('Classe CM1'!$B32="","",IF('Classe CM1'!Q32="","",'Classe CM1'!Q32))</f>
        <v/>
      </c>
      <c r="R512" s="51" t="str">
        <f>IF('Classe CM1'!$B32="","",N('Classe CM1'!N32))</f>
        <v/>
      </c>
      <c r="S512" s="51" t="str">
        <f>IF('Classe CM1'!$B32="","",N('Classe CM1'!O32))</f>
        <v/>
      </c>
      <c r="T512" s="51" t="str">
        <f>IF('Classe CM1'!$B32="","",N('Classe CM1'!P32))</f>
        <v/>
      </c>
    </row>
    <row r="513">
      <c r="A513" s="16" t="str">
        <f>IF('Classe CM1'!$B33="","",IF('Classe CM1'!A33="","",'Classe CM1'!A33))</f>
        <v/>
      </c>
      <c r="B513" s="16" t="str">
        <f>IF('Classe CM1'!$B33="","",IF('Classe CM1'!B33="","",'Classe CM1'!B33))</f>
        <v/>
      </c>
      <c r="C513" s="16" t="str">
        <f>IF('Classe CM1'!$B33="","",IF('Classe CM1'!C33="","",'Classe CM1'!C33))</f>
        <v/>
      </c>
      <c r="D513" s="16" t="str">
        <f>IF($B513="","",C513&amp;" "&amp;B513&amp;" - "&amp;E513)</f>
        <v/>
      </c>
      <c r="E513" s="17" t="str">
        <f>IF($B513="","",Paramètres!$A$21)</f>
        <v/>
      </c>
      <c r="F513" s="17" t="str">
        <f>IF($B513="","",Paramètres!$B$21)</f>
        <v/>
      </c>
      <c r="G513" s="17" t="str">
        <f>IF('Classe CM1'!$B33="","",IF('Classe CM1'!D33="","",'Classe CM1'!D33))</f>
        <v/>
      </c>
      <c r="H513" s="78" t="str">
        <f>IF('Classe CM1'!$B33="","",IF('Classe CM1'!E33="","",'Classe CM1'!E33))</f>
        <v/>
      </c>
      <c r="I513" s="16" t="str">
        <f>IF('Classe CM1'!$B33="","",IF('Classe CM1'!F33="","",'Classe CM1'!F33))</f>
        <v/>
      </c>
      <c r="J513" s="16" t="str">
        <f>IF('Classe CM1'!$B33="","",IF('Classe CM1'!G33="","",'Classe CM1'!G33))</f>
        <v/>
      </c>
      <c r="K513" s="18" t="str">
        <f>IF('Classe CM1'!$B33="","",N('Classe CM1'!H33))</f>
        <v/>
      </c>
      <c r="L513" s="18" t="str">
        <f>IF('Classe CM1'!$B33="","",N('Classe CM1'!I33))</f>
        <v/>
      </c>
      <c r="M513" s="18" t="str">
        <f>IF('Classe CM1'!$B33="","",N('Classe CM1'!J33))</f>
        <v/>
      </c>
      <c r="N513" s="18" t="str">
        <f>IF('Classe CM1'!$B33="","",N('Classe CM1'!K33))</f>
        <v/>
      </c>
      <c r="O513" s="18" t="str">
        <f>IF('Classe CM1'!$B33="","",N('Classe CM1'!L33))</f>
        <v/>
      </c>
      <c r="P513" s="18" t="str">
        <f>IF('Classe CM1'!$B33="","",N('Classe CM1'!M33))</f>
        <v/>
      </c>
      <c r="Q513" s="17" t="str">
        <f>IF('Classe CM1'!$B33="","",IF('Classe CM1'!Q33="","",'Classe CM1'!Q33))</f>
        <v/>
      </c>
      <c r="R513" s="18" t="str">
        <f>IF('Classe CM1'!$B33="","",N('Classe CM1'!N33))</f>
        <v/>
      </c>
      <c r="S513" s="18" t="str">
        <f>IF('Classe CM1'!$B33="","",N('Classe CM1'!O33))</f>
        <v/>
      </c>
      <c r="T513" s="18" t="str">
        <f>IF('Classe CM1'!$B33="","",N('Classe CM1'!P33))</f>
        <v/>
      </c>
    </row>
    <row r="514">
      <c r="A514" s="20" t="str">
        <f>IF('Classe CM1'!$B34="","",IF('Classe CM1'!A34="","",'Classe CM1'!A34))</f>
        <v/>
      </c>
      <c r="B514" s="20" t="str">
        <f>IF('Classe CM1'!$B34="","",IF('Classe CM1'!B34="","",'Classe CM1'!B34))</f>
        <v/>
      </c>
      <c r="C514" s="20" t="str">
        <f>IF('Classe CM1'!$B34="","",IF('Classe CM1'!C34="","",'Classe CM1'!C34))</f>
        <v/>
      </c>
      <c r="D514" s="20" t="str">
        <f>IF($B514="","",C514&amp;" "&amp;B514&amp;" - "&amp;E514)</f>
        <v/>
      </c>
      <c r="E514" s="21" t="str">
        <f>IF($B514="","",Paramètres!$A$21)</f>
        <v/>
      </c>
      <c r="F514" s="21" t="str">
        <f>IF($B514="","",Paramètres!$B$21)</f>
        <v/>
      </c>
      <c r="G514" s="21" t="str">
        <f>IF('Classe CM1'!$B34="","",IF('Classe CM1'!D34="","",'Classe CM1'!D34))</f>
        <v/>
      </c>
      <c r="H514" s="77" t="str">
        <f>IF('Classe CM1'!$B34="","",IF('Classe CM1'!E34="","",'Classe CM1'!E34))</f>
        <v/>
      </c>
      <c r="I514" s="20" t="str">
        <f>IF('Classe CM1'!$B34="","",IF('Classe CM1'!F34="","",'Classe CM1'!F34))</f>
        <v/>
      </c>
      <c r="J514" s="20" t="str">
        <f>IF('Classe CM1'!$B34="","",IF('Classe CM1'!G34="","",'Classe CM1'!G34))</f>
        <v/>
      </c>
      <c r="K514" s="51" t="str">
        <f>IF('Classe CM1'!$B34="","",N('Classe CM1'!H34))</f>
        <v/>
      </c>
      <c r="L514" s="51" t="str">
        <f>IF('Classe CM1'!$B34="","",N('Classe CM1'!I34))</f>
        <v/>
      </c>
      <c r="M514" s="51" t="str">
        <f>IF('Classe CM1'!$B34="","",N('Classe CM1'!J34))</f>
        <v/>
      </c>
      <c r="N514" s="51" t="str">
        <f>IF('Classe CM1'!$B34="","",N('Classe CM1'!K34))</f>
        <v/>
      </c>
      <c r="O514" s="51" t="str">
        <f>IF('Classe CM1'!$B34="","",N('Classe CM1'!L34))</f>
        <v/>
      </c>
      <c r="P514" s="51" t="str">
        <f>IF('Classe CM1'!$B34="","",N('Classe CM1'!M34))</f>
        <v/>
      </c>
      <c r="Q514" s="21" t="str">
        <f>IF('Classe CM1'!$B34="","",IF('Classe CM1'!Q34="","",'Classe CM1'!Q34))</f>
        <v/>
      </c>
      <c r="R514" s="51" t="str">
        <f>IF('Classe CM1'!$B34="","",N('Classe CM1'!N34))</f>
        <v/>
      </c>
      <c r="S514" s="51" t="str">
        <f>IF('Classe CM1'!$B34="","",N('Classe CM1'!O34))</f>
        <v/>
      </c>
      <c r="T514" s="51" t="str">
        <f>IF('Classe CM1'!$B34="","",N('Classe CM1'!P34))</f>
        <v/>
      </c>
    </row>
    <row r="515">
      <c r="A515" s="16" t="str">
        <f>IF('Classe CM1'!$B35="","",IF('Classe CM1'!A35="","",'Classe CM1'!A35))</f>
        <v/>
      </c>
      <c r="B515" s="16" t="str">
        <f>IF('Classe CM1'!$B35="","",IF('Classe CM1'!B35="","",'Classe CM1'!B35))</f>
        <v/>
      </c>
      <c r="C515" s="16" t="str">
        <f>IF('Classe CM1'!$B35="","",IF('Classe CM1'!C35="","",'Classe CM1'!C35))</f>
        <v/>
      </c>
      <c r="D515" s="16" t="str">
        <f>IF($B515="","",C515&amp;" "&amp;B515&amp;" - "&amp;E515)</f>
        <v/>
      </c>
      <c r="E515" s="17" t="str">
        <f>IF($B515="","",Paramètres!$A$21)</f>
        <v/>
      </c>
      <c r="F515" s="17" t="str">
        <f>IF($B515="","",Paramètres!$B$21)</f>
        <v/>
      </c>
      <c r="G515" s="17" t="str">
        <f>IF('Classe CM1'!$B35="","",IF('Classe CM1'!D35="","",'Classe CM1'!D35))</f>
        <v/>
      </c>
      <c r="H515" s="78" t="str">
        <f>IF('Classe CM1'!$B35="","",IF('Classe CM1'!E35="","",'Classe CM1'!E35))</f>
        <v/>
      </c>
      <c r="I515" s="16" t="str">
        <f>IF('Classe CM1'!$B35="","",IF('Classe CM1'!F35="","",'Classe CM1'!F35))</f>
        <v/>
      </c>
      <c r="J515" s="16" t="str">
        <f>IF('Classe CM1'!$B35="","",IF('Classe CM1'!G35="","",'Classe CM1'!G35))</f>
        <v/>
      </c>
      <c r="K515" s="18" t="str">
        <f>IF('Classe CM1'!$B35="","",N('Classe CM1'!H35))</f>
        <v/>
      </c>
      <c r="L515" s="18" t="str">
        <f>IF('Classe CM1'!$B35="","",N('Classe CM1'!I35))</f>
        <v/>
      </c>
      <c r="M515" s="18" t="str">
        <f>IF('Classe CM1'!$B35="","",N('Classe CM1'!J35))</f>
        <v/>
      </c>
      <c r="N515" s="18" t="str">
        <f>IF('Classe CM1'!$B35="","",N('Classe CM1'!K35))</f>
        <v/>
      </c>
      <c r="O515" s="18" t="str">
        <f>IF('Classe CM1'!$B35="","",N('Classe CM1'!L35))</f>
        <v/>
      </c>
      <c r="P515" s="18" t="str">
        <f>IF('Classe CM1'!$B35="","",N('Classe CM1'!M35))</f>
        <v/>
      </c>
      <c r="Q515" s="17" t="str">
        <f>IF('Classe CM1'!$B35="","",IF('Classe CM1'!Q35="","",'Classe CM1'!Q35))</f>
        <v/>
      </c>
      <c r="R515" s="18" t="str">
        <f>IF('Classe CM1'!$B35="","",N('Classe CM1'!N35))</f>
        <v/>
      </c>
      <c r="S515" s="18" t="str">
        <f>IF('Classe CM1'!$B35="","",N('Classe CM1'!O35))</f>
        <v/>
      </c>
      <c r="T515" s="18" t="str">
        <f>IF('Classe CM1'!$B35="","",N('Classe CM1'!P35))</f>
        <v/>
      </c>
    </row>
    <row r="516">
      <c r="A516" s="20" t="str">
        <f>IF('Classe CM1'!$B36="","",IF('Classe CM1'!A36="","",'Classe CM1'!A36))</f>
        <v/>
      </c>
      <c r="B516" s="20" t="str">
        <f>IF('Classe CM1'!$B36="","",IF('Classe CM1'!B36="","",'Classe CM1'!B36))</f>
        <v/>
      </c>
      <c r="C516" s="20" t="str">
        <f>IF('Classe CM1'!$B36="","",IF('Classe CM1'!C36="","",'Classe CM1'!C36))</f>
        <v/>
      </c>
      <c r="D516" s="20" t="str">
        <f>IF($B516="","",C516&amp;" "&amp;B516&amp;" - "&amp;E516)</f>
        <v/>
      </c>
      <c r="E516" s="21" t="str">
        <f>IF($B516="","",Paramètres!$A$21)</f>
        <v/>
      </c>
      <c r="F516" s="21" t="str">
        <f>IF($B516="","",Paramètres!$B$21)</f>
        <v/>
      </c>
      <c r="G516" s="21" t="str">
        <f>IF('Classe CM1'!$B36="","",IF('Classe CM1'!D36="","",'Classe CM1'!D36))</f>
        <v/>
      </c>
      <c r="H516" s="77" t="str">
        <f>IF('Classe CM1'!$B36="","",IF('Classe CM1'!E36="","",'Classe CM1'!E36))</f>
        <v/>
      </c>
      <c r="I516" s="20" t="str">
        <f>IF('Classe CM1'!$B36="","",IF('Classe CM1'!F36="","",'Classe CM1'!F36))</f>
        <v/>
      </c>
      <c r="J516" s="20" t="str">
        <f>IF('Classe CM1'!$B36="","",IF('Classe CM1'!G36="","",'Classe CM1'!G36))</f>
        <v/>
      </c>
      <c r="K516" s="51" t="str">
        <f>IF('Classe CM1'!$B36="","",N('Classe CM1'!H36))</f>
        <v/>
      </c>
      <c r="L516" s="51" t="str">
        <f>IF('Classe CM1'!$B36="","",N('Classe CM1'!I36))</f>
        <v/>
      </c>
      <c r="M516" s="51" t="str">
        <f>IF('Classe CM1'!$B36="","",N('Classe CM1'!J36))</f>
        <v/>
      </c>
      <c r="N516" s="51" t="str">
        <f>IF('Classe CM1'!$B36="","",N('Classe CM1'!K36))</f>
        <v/>
      </c>
      <c r="O516" s="51" t="str">
        <f>IF('Classe CM1'!$B36="","",N('Classe CM1'!L36))</f>
        <v/>
      </c>
      <c r="P516" s="51" t="str">
        <f>IF('Classe CM1'!$B36="","",N('Classe CM1'!M36))</f>
        <v/>
      </c>
      <c r="Q516" s="21" t="str">
        <f>IF('Classe CM1'!$B36="","",IF('Classe CM1'!Q36="","",'Classe CM1'!Q36))</f>
        <v/>
      </c>
      <c r="R516" s="51" t="str">
        <f>IF('Classe CM1'!$B36="","",N('Classe CM1'!N36))</f>
        <v/>
      </c>
      <c r="S516" s="51" t="str">
        <f>IF('Classe CM1'!$B36="","",N('Classe CM1'!O36))</f>
        <v/>
      </c>
      <c r="T516" s="51" t="str">
        <f>IF('Classe CM1'!$B36="","",N('Classe CM1'!P36))</f>
        <v/>
      </c>
    </row>
    <row r="517">
      <c r="A517" s="16" t="str">
        <f>IF('Classe CM1'!$B37="","",IF('Classe CM1'!A37="","",'Classe CM1'!A37))</f>
        <v/>
      </c>
      <c r="B517" s="16" t="str">
        <f>IF('Classe CM1'!$B37="","",IF('Classe CM1'!B37="","",'Classe CM1'!B37))</f>
        <v/>
      </c>
      <c r="C517" s="16" t="str">
        <f>IF('Classe CM1'!$B37="","",IF('Classe CM1'!C37="","",'Classe CM1'!C37))</f>
        <v/>
      </c>
      <c r="D517" s="16" t="str">
        <f>IF($B517="","",C517&amp;" "&amp;B517&amp;" - "&amp;E517)</f>
        <v/>
      </c>
      <c r="E517" s="17" t="str">
        <f>IF($B517="","",Paramètres!$A$21)</f>
        <v/>
      </c>
      <c r="F517" s="17" t="str">
        <f>IF($B517="","",Paramètres!$B$21)</f>
        <v/>
      </c>
      <c r="G517" s="17" t="str">
        <f>IF('Classe CM1'!$B37="","",IF('Classe CM1'!D37="","",'Classe CM1'!D37))</f>
        <v/>
      </c>
      <c r="H517" s="78" t="str">
        <f>IF('Classe CM1'!$B37="","",IF('Classe CM1'!E37="","",'Classe CM1'!E37))</f>
        <v/>
      </c>
      <c r="I517" s="16" t="str">
        <f>IF('Classe CM1'!$B37="","",IF('Classe CM1'!F37="","",'Classe CM1'!F37))</f>
        <v/>
      </c>
      <c r="J517" s="16" t="str">
        <f>IF('Classe CM1'!$B37="","",IF('Classe CM1'!G37="","",'Classe CM1'!G37))</f>
        <v/>
      </c>
      <c r="K517" s="18" t="str">
        <f>IF('Classe CM1'!$B37="","",N('Classe CM1'!H37))</f>
        <v/>
      </c>
      <c r="L517" s="18" t="str">
        <f>IF('Classe CM1'!$B37="","",N('Classe CM1'!I37))</f>
        <v/>
      </c>
      <c r="M517" s="18" t="str">
        <f>IF('Classe CM1'!$B37="","",N('Classe CM1'!J37))</f>
        <v/>
      </c>
      <c r="N517" s="18" t="str">
        <f>IF('Classe CM1'!$B37="","",N('Classe CM1'!K37))</f>
        <v/>
      </c>
      <c r="O517" s="18" t="str">
        <f>IF('Classe CM1'!$B37="","",N('Classe CM1'!L37))</f>
        <v/>
      </c>
      <c r="P517" s="18" t="str">
        <f>IF('Classe CM1'!$B37="","",N('Classe CM1'!M37))</f>
        <v/>
      </c>
      <c r="Q517" s="17" t="str">
        <f>IF('Classe CM1'!$B37="","",IF('Classe CM1'!Q37="","",'Classe CM1'!Q37))</f>
        <v/>
      </c>
      <c r="R517" s="18" t="str">
        <f>IF('Classe CM1'!$B37="","",N('Classe CM1'!N37))</f>
        <v/>
      </c>
      <c r="S517" s="18" t="str">
        <f>IF('Classe CM1'!$B37="","",N('Classe CM1'!O37))</f>
        <v/>
      </c>
      <c r="T517" s="18" t="str">
        <f>IF('Classe CM1'!$B37="","",N('Classe CM1'!P37))</f>
        <v/>
      </c>
    </row>
    <row r="518">
      <c r="A518" s="20" t="str">
        <f>IF('Classe CM1'!$B38="","",IF('Classe CM1'!A38="","",'Classe CM1'!A38))</f>
        <v/>
      </c>
      <c r="B518" s="20" t="str">
        <f>IF('Classe CM1'!$B38="","",IF('Classe CM1'!B38="","",'Classe CM1'!B38))</f>
        <v/>
      </c>
      <c r="C518" s="20" t="str">
        <f>IF('Classe CM1'!$B38="","",IF('Classe CM1'!C38="","",'Classe CM1'!C38))</f>
        <v/>
      </c>
      <c r="D518" s="20" t="str">
        <f>IF($B518="","",C518&amp;" "&amp;B518&amp;" - "&amp;E518)</f>
        <v/>
      </c>
      <c r="E518" s="21" t="str">
        <f>IF($B518="","",Paramètres!$A$21)</f>
        <v/>
      </c>
      <c r="F518" s="21" t="str">
        <f>IF($B518="","",Paramètres!$B$21)</f>
        <v/>
      </c>
      <c r="G518" s="21" t="str">
        <f>IF('Classe CM1'!$B38="","",IF('Classe CM1'!D38="","",'Classe CM1'!D38))</f>
        <v/>
      </c>
      <c r="H518" s="77" t="str">
        <f>IF('Classe CM1'!$B38="","",IF('Classe CM1'!E38="","",'Classe CM1'!E38))</f>
        <v/>
      </c>
      <c r="I518" s="20" t="str">
        <f>IF('Classe CM1'!$B38="","",IF('Classe CM1'!F38="","",'Classe CM1'!F38))</f>
        <v/>
      </c>
      <c r="J518" s="20" t="str">
        <f>IF('Classe CM1'!$B38="","",IF('Classe CM1'!G38="","",'Classe CM1'!G38))</f>
        <v/>
      </c>
      <c r="K518" s="51" t="str">
        <f>IF('Classe CM1'!$B38="","",N('Classe CM1'!H38))</f>
        <v/>
      </c>
      <c r="L518" s="51" t="str">
        <f>IF('Classe CM1'!$B38="","",N('Classe CM1'!I38))</f>
        <v/>
      </c>
      <c r="M518" s="51" t="str">
        <f>IF('Classe CM1'!$B38="","",N('Classe CM1'!J38))</f>
        <v/>
      </c>
      <c r="N518" s="51" t="str">
        <f>IF('Classe CM1'!$B38="","",N('Classe CM1'!K38))</f>
        <v/>
      </c>
      <c r="O518" s="51" t="str">
        <f>IF('Classe CM1'!$B38="","",N('Classe CM1'!L38))</f>
        <v/>
      </c>
      <c r="P518" s="51" t="str">
        <f>IF('Classe CM1'!$B38="","",N('Classe CM1'!M38))</f>
        <v/>
      </c>
      <c r="Q518" s="21" t="str">
        <f>IF('Classe CM1'!$B38="","",IF('Classe CM1'!Q38="","",'Classe CM1'!Q38))</f>
        <v/>
      </c>
      <c r="R518" s="51" t="str">
        <f>IF('Classe CM1'!$B38="","",N('Classe CM1'!N38))</f>
        <v/>
      </c>
      <c r="S518" s="51" t="str">
        <f>IF('Classe CM1'!$B38="","",N('Classe CM1'!O38))</f>
        <v/>
      </c>
      <c r="T518" s="51" t="str">
        <f>IF('Classe CM1'!$B38="","",N('Classe CM1'!P38))</f>
        <v/>
      </c>
    </row>
    <row r="519">
      <c r="A519" s="16" t="str">
        <f>IF('Classe CM1'!$B39="","",IF('Classe CM1'!A39="","",'Classe CM1'!A39))</f>
        <v/>
      </c>
      <c r="B519" s="16" t="str">
        <f>IF('Classe CM1'!$B39="","",IF('Classe CM1'!B39="","",'Classe CM1'!B39))</f>
        <v/>
      </c>
      <c r="C519" s="16" t="str">
        <f>IF('Classe CM1'!$B39="","",IF('Classe CM1'!C39="","",'Classe CM1'!C39))</f>
        <v/>
      </c>
      <c r="D519" s="16" t="str">
        <f>IF($B519="","",C519&amp;" "&amp;B519&amp;" - "&amp;E519)</f>
        <v/>
      </c>
      <c r="E519" s="17" t="str">
        <f>IF($B519="","",Paramètres!$A$21)</f>
        <v/>
      </c>
      <c r="F519" s="17" t="str">
        <f>IF($B519="","",Paramètres!$B$21)</f>
        <v/>
      </c>
      <c r="G519" s="17" t="str">
        <f>IF('Classe CM1'!$B39="","",IF('Classe CM1'!D39="","",'Classe CM1'!D39))</f>
        <v/>
      </c>
      <c r="H519" s="78" t="str">
        <f>IF('Classe CM1'!$B39="","",IF('Classe CM1'!E39="","",'Classe CM1'!E39))</f>
        <v/>
      </c>
      <c r="I519" s="16" t="str">
        <f>IF('Classe CM1'!$B39="","",IF('Classe CM1'!F39="","",'Classe CM1'!F39))</f>
        <v/>
      </c>
      <c r="J519" s="16" t="str">
        <f>IF('Classe CM1'!$B39="","",IF('Classe CM1'!G39="","",'Classe CM1'!G39))</f>
        <v/>
      </c>
      <c r="K519" s="18" t="str">
        <f>IF('Classe CM1'!$B39="","",N('Classe CM1'!H39))</f>
        <v/>
      </c>
      <c r="L519" s="18" t="str">
        <f>IF('Classe CM1'!$B39="","",N('Classe CM1'!I39))</f>
        <v/>
      </c>
      <c r="M519" s="18" t="str">
        <f>IF('Classe CM1'!$B39="","",N('Classe CM1'!J39))</f>
        <v/>
      </c>
      <c r="N519" s="18" t="str">
        <f>IF('Classe CM1'!$B39="","",N('Classe CM1'!K39))</f>
        <v/>
      </c>
      <c r="O519" s="18" t="str">
        <f>IF('Classe CM1'!$B39="","",N('Classe CM1'!L39))</f>
        <v/>
      </c>
      <c r="P519" s="18" t="str">
        <f>IF('Classe CM1'!$B39="","",N('Classe CM1'!M39))</f>
        <v/>
      </c>
      <c r="Q519" s="17" t="str">
        <f>IF('Classe CM1'!$B39="","",IF('Classe CM1'!Q39="","",'Classe CM1'!Q39))</f>
        <v/>
      </c>
      <c r="R519" s="18" t="str">
        <f>IF('Classe CM1'!$B39="","",N('Classe CM1'!N39))</f>
        <v/>
      </c>
      <c r="S519" s="18" t="str">
        <f>IF('Classe CM1'!$B39="","",N('Classe CM1'!O39))</f>
        <v/>
      </c>
      <c r="T519" s="18" t="str">
        <f>IF('Classe CM1'!$B39="","",N('Classe CM1'!P39))</f>
        <v/>
      </c>
    </row>
    <row r="520">
      <c r="A520" s="20" t="str">
        <f>IF('Classe CM1'!$B40="","",IF('Classe CM1'!A40="","",'Classe CM1'!A40))</f>
        <v/>
      </c>
      <c r="B520" s="20" t="str">
        <f>IF('Classe CM1'!$B40="","",IF('Classe CM1'!B40="","",'Classe CM1'!B40))</f>
        <v/>
      </c>
      <c r="C520" s="20" t="str">
        <f>IF('Classe CM1'!$B40="","",IF('Classe CM1'!C40="","",'Classe CM1'!C40))</f>
        <v/>
      </c>
      <c r="D520" s="20" t="str">
        <f>IF($B520="","",C520&amp;" "&amp;B520&amp;" - "&amp;E520)</f>
        <v/>
      </c>
      <c r="E520" s="21" t="str">
        <f>IF($B520="","",Paramètres!$A$21)</f>
        <v/>
      </c>
      <c r="F520" s="21" t="str">
        <f>IF($B520="","",Paramètres!$B$21)</f>
        <v/>
      </c>
      <c r="G520" s="21" t="str">
        <f>IF('Classe CM1'!$B40="","",IF('Classe CM1'!D40="","",'Classe CM1'!D40))</f>
        <v/>
      </c>
      <c r="H520" s="77" t="str">
        <f>IF('Classe CM1'!$B40="","",IF('Classe CM1'!E40="","",'Classe CM1'!E40))</f>
        <v/>
      </c>
      <c r="I520" s="20" t="str">
        <f>IF('Classe CM1'!$B40="","",IF('Classe CM1'!F40="","",'Classe CM1'!F40))</f>
        <v/>
      </c>
      <c r="J520" s="20" t="str">
        <f>IF('Classe CM1'!$B40="","",IF('Classe CM1'!G40="","",'Classe CM1'!G40))</f>
        <v/>
      </c>
      <c r="K520" s="51" t="str">
        <f>IF('Classe CM1'!$B40="","",N('Classe CM1'!H40))</f>
        <v/>
      </c>
      <c r="L520" s="51" t="str">
        <f>IF('Classe CM1'!$B40="","",N('Classe CM1'!I40))</f>
        <v/>
      </c>
      <c r="M520" s="51" t="str">
        <f>IF('Classe CM1'!$B40="","",N('Classe CM1'!J40))</f>
        <v/>
      </c>
      <c r="N520" s="51" t="str">
        <f>IF('Classe CM1'!$B40="","",N('Classe CM1'!K40))</f>
        <v/>
      </c>
      <c r="O520" s="51" t="str">
        <f>IF('Classe CM1'!$B40="","",N('Classe CM1'!L40))</f>
        <v/>
      </c>
      <c r="P520" s="51" t="str">
        <f>IF('Classe CM1'!$B40="","",N('Classe CM1'!M40))</f>
        <v/>
      </c>
      <c r="Q520" s="21" t="str">
        <f>IF('Classe CM1'!$B40="","",IF('Classe CM1'!Q40="","",'Classe CM1'!Q40))</f>
        <v/>
      </c>
      <c r="R520" s="51" t="str">
        <f>IF('Classe CM1'!$B40="","",N('Classe CM1'!N40))</f>
        <v/>
      </c>
      <c r="S520" s="51" t="str">
        <f>IF('Classe CM1'!$B40="","",N('Classe CM1'!O40))</f>
        <v/>
      </c>
      <c r="T520" s="51" t="str">
        <f>IF('Classe CM1'!$B40="","",N('Classe CM1'!P40))</f>
        <v/>
      </c>
    </row>
    <row r="521">
      <c r="A521" s="16" t="str">
        <f>IF('Classe CM1'!$B41="","",IF('Classe CM1'!A41="","",'Classe CM1'!A41))</f>
        <v/>
      </c>
      <c r="B521" s="16" t="str">
        <f>IF('Classe CM1'!$B41="","",IF('Classe CM1'!B41="","",'Classe CM1'!B41))</f>
        <v/>
      </c>
      <c r="C521" s="16" t="str">
        <f>IF('Classe CM1'!$B41="","",IF('Classe CM1'!C41="","",'Classe CM1'!C41))</f>
        <v/>
      </c>
      <c r="D521" s="16" t="str">
        <f>IF($B521="","",C521&amp;" "&amp;B521&amp;" - "&amp;E521)</f>
        <v/>
      </c>
      <c r="E521" s="17" t="str">
        <f>IF($B521="","",Paramètres!$A$21)</f>
        <v/>
      </c>
      <c r="F521" s="17" t="str">
        <f>IF($B521="","",Paramètres!$B$21)</f>
        <v/>
      </c>
      <c r="G521" s="17" t="str">
        <f>IF('Classe CM1'!$B41="","",IF('Classe CM1'!D41="","",'Classe CM1'!D41))</f>
        <v/>
      </c>
      <c r="H521" s="78" t="str">
        <f>IF('Classe CM1'!$B41="","",IF('Classe CM1'!E41="","",'Classe CM1'!E41))</f>
        <v/>
      </c>
      <c r="I521" s="16" t="str">
        <f>IF('Classe CM1'!$B41="","",IF('Classe CM1'!F41="","",'Classe CM1'!F41))</f>
        <v/>
      </c>
      <c r="J521" s="16" t="str">
        <f>IF('Classe CM1'!$B41="","",IF('Classe CM1'!G41="","",'Classe CM1'!G41))</f>
        <v/>
      </c>
      <c r="K521" s="18" t="str">
        <f>IF('Classe CM1'!$B41="","",N('Classe CM1'!H41))</f>
        <v/>
      </c>
      <c r="L521" s="18" t="str">
        <f>IF('Classe CM1'!$B41="","",N('Classe CM1'!I41))</f>
        <v/>
      </c>
      <c r="M521" s="18" t="str">
        <f>IF('Classe CM1'!$B41="","",N('Classe CM1'!J41))</f>
        <v/>
      </c>
      <c r="N521" s="18" t="str">
        <f>IF('Classe CM1'!$B41="","",N('Classe CM1'!K41))</f>
        <v/>
      </c>
      <c r="O521" s="18" t="str">
        <f>IF('Classe CM1'!$B41="","",N('Classe CM1'!L41))</f>
        <v/>
      </c>
      <c r="P521" s="18" t="str">
        <f>IF('Classe CM1'!$B41="","",N('Classe CM1'!M41))</f>
        <v/>
      </c>
      <c r="Q521" s="17" t="str">
        <f>IF('Classe CM1'!$B41="","",IF('Classe CM1'!Q41="","",'Classe CM1'!Q41))</f>
        <v/>
      </c>
      <c r="R521" s="18" t="str">
        <f>IF('Classe CM1'!$B41="","",N('Classe CM1'!N41))</f>
        <v/>
      </c>
      <c r="S521" s="18" t="str">
        <f>IF('Classe CM1'!$B41="","",N('Classe CM1'!O41))</f>
        <v/>
      </c>
      <c r="T521" s="18" t="str">
        <f>IF('Classe CM1'!$B41="","",N('Classe CM1'!P41))</f>
        <v/>
      </c>
    </row>
    <row r="522">
      <c r="A522" s="20" t="str">
        <f>IF('Classe CM1'!$B42="","",IF('Classe CM1'!A42="","",'Classe CM1'!A42))</f>
        <v/>
      </c>
      <c r="B522" s="20" t="str">
        <f>IF('Classe CM1'!$B42="","",IF('Classe CM1'!B42="","",'Classe CM1'!B42))</f>
        <v/>
      </c>
      <c r="C522" s="20" t="str">
        <f>IF('Classe CM1'!$B42="","",IF('Classe CM1'!C42="","",'Classe CM1'!C42))</f>
        <v/>
      </c>
      <c r="D522" s="20" t="str">
        <f>IF($B522="","",C522&amp;" "&amp;B522&amp;" - "&amp;E522)</f>
        <v/>
      </c>
      <c r="E522" s="21" t="str">
        <f>IF($B522="","",Paramètres!$A$21)</f>
        <v/>
      </c>
      <c r="F522" s="21" t="str">
        <f>IF($B522="","",Paramètres!$B$21)</f>
        <v/>
      </c>
      <c r="G522" s="21" t="str">
        <f>IF('Classe CM1'!$B42="","",IF('Classe CM1'!D42="","",'Classe CM1'!D42))</f>
        <v/>
      </c>
      <c r="H522" s="77" t="str">
        <f>IF('Classe CM1'!$B42="","",IF('Classe CM1'!E42="","",'Classe CM1'!E42))</f>
        <v/>
      </c>
      <c r="I522" s="20" t="str">
        <f>IF('Classe CM1'!$B42="","",IF('Classe CM1'!F42="","",'Classe CM1'!F42))</f>
        <v/>
      </c>
      <c r="J522" s="20" t="str">
        <f>IF('Classe CM1'!$B42="","",IF('Classe CM1'!G42="","",'Classe CM1'!G42))</f>
        <v/>
      </c>
      <c r="K522" s="51" t="str">
        <f>IF('Classe CM1'!$B42="","",N('Classe CM1'!H42))</f>
        <v/>
      </c>
      <c r="L522" s="51" t="str">
        <f>IF('Classe CM1'!$B42="","",N('Classe CM1'!I42))</f>
        <v/>
      </c>
      <c r="M522" s="51" t="str">
        <f>IF('Classe CM1'!$B42="","",N('Classe CM1'!J42))</f>
        <v/>
      </c>
      <c r="N522" s="51" t="str">
        <f>IF('Classe CM1'!$B42="","",N('Classe CM1'!K42))</f>
        <v/>
      </c>
      <c r="O522" s="51" t="str">
        <f>IF('Classe CM1'!$B42="","",N('Classe CM1'!L42))</f>
        <v/>
      </c>
      <c r="P522" s="51" t="str">
        <f>IF('Classe CM1'!$B42="","",N('Classe CM1'!M42))</f>
        <v/>
      </c>
      <c r="Q522" s="21" t="str">
        <f>IF('Classe CM1'!$B42="","",IF('Classe CM1'!Q42="","",'Classe CM1'!Q42))</f>
        <v/>
      </c>
      <c r="R522" s="51" t="str">
        <f>IF('Classe CM1'!$B42="","",N('Classe CM1'!N42))</f>
        <v/>
      </c>
      <c r="S522" s="51" t="str">
        <f>IF('Classe CM1'!$B42="","",N('Classe CM1'!O42))</f>
        <v/>
      </c>
      <c r="T522" s="51" t="str">
        <f>IF('Classe CM1'!$B42="","",N('Classe CM1'!P42))</f>
        <v/>
      </c>
    </row>
    <row r="523">
      <c r="A523" s="16" t="str">
        <f>IF('Classe CM1'!$B43="","",IF('Classe CM1'!A43="","",'Classe CM1'!A43))</f>
        <v/>
      </c>
      <c r="B523" s="16" t="str">
        <f>IF('Classe CM1'!$B43="","",IF('Classe CM1'!B43="","",'Classe CM1'!B43))</f>
        <v/>
      </c>
      <c r="C523" s="16" t="str">
        <f>IF('Classe CM1'!$B43="","",IF('Classe CM1'!C43="","",'Classe CM1'!C43))</f>
        <v/>
      </c>
      <c r="D523" s="16" t="str">
        <f>IF($B523="","",C523&amp;" "&amp;B523&amp;" - "&amp;E523)</f>
        <v/>
      </c>
      <c r="E523" s="17" t="str">
        <f>IF($B523="","",Paramètres!$A$21)</f>
        <v/>
      </c>
      <c r="F523" s="17" t="str">
        <f>IF($B523="","",Paramètres!$B$21)</f>
        <v/>
      </c>
      <c r="G523" s="17" t="str">
        <f>IF('Classe CM1'!$B43="","",IF('Classe CM1'!D43="","",'Classe CM1'!D43))</f>
        <v/>
      </c>
      <c r="H523" s="78" t="str">
        <f>IF('Classe CM1'!$B43="","",IF('Classe CM1'!E43="","",'Classe CM1'!E43))</f>
        <v/>
      </c>
      <c r="I523" s="16" t="str">
        <f>IF('Classe CM1'!$B43="","",IF('Classe CM1'!F43="","",'Classe CM1'!F43))</f>
        <v/>
      </c>
      <c r="J523" s="16" t="str">
        <f>IF('Classe CM1'!$B43="","",IF('Classe CM1'!G43="","",'Classe CM1'!G43))</f>
        <v/>
      </c>
      <c r="K523" s="18" t="str">
        <f>IF('Classe CM1'!$B43="","",N('Classe CM1'!H43))</f>
        <v/>
      </c>
      <c r="L523" s="18" t="str">
        <f>IF('Classe CM1'!$B43="","",N('Classe CM1'!I43))</f>
        <v/>
      </c>
      <c r="M523" s="18" t="str">
        <f>IF('Classe CM1'!$B43="","",N('Classe CM1'!J43))</f>
        <v/>
      </c>
      <c r="N523" s="18" t="str">
        <f>IF('Classe CM1'!$B43="","",N('Classe CM1'!K43))</f>
        <v/>
      </c>
      <c r="O523" s="18" t="str">
        <f>IF('Classe CM1'!$B43="","",N('Classe CM1'!L43))</f>
        <v/>
      </c>
      <c r="P523" s="18" t="str">
        <f>IF('Classe CM1'!$B43="","",N('Classe CM1'!M43))</f>
        <v/>
      </c>
      <c r="Q523" s="17" t="str">
        <f>IF('Classe CM1'!$B43="","",IF('Classe CM1'!Q43="","",'Classe CM1'!Q43))</f>
        <v/>
      </c>
      <c r="R523" s="18" t="str">
        <f>IF('Classe CM1'!$B43="","",N('Classe CM1'!N43))</f>
        <v/>
      </c>
      <c r="S523" s="18" t="str">
        <f>IF('Classe CM1'!$B43="","",N('Classe CM1'!O43))</f>
        <v/>
      </c>
      <c r="T523" s="18" t="str">
        <f>IF('Classe CM1'!$B43="","",N('Classe CM1'!P43))</f>
        <v/>
      </c>
    </row>
    <row r="524">
      <c r="A524" s="20" t="str">
        <f>IF('Classe CM1'!$B44="","",IF('Classe CM1'!A44="","",'Classe CM1'!A44))</f>
        <v/>
      </c>
      <c r="B524" s="20" t="str">
        <f>IF('Classe CM1'!$B44="","",IF('Classe CM1'!B44="","",'Classe CM1'!B44))</f>
        <v/>
      </c>
      <c r="C524" s="20" t="str">
        <f>IF('Classe CM1'!$B44="","",IF('Classe CM1'!C44="","",'Classe CM1'!C44))</f>
        <v/>
      </c>
      <c r="D524" s="20" t="str">
        <f>IF($B524="","",C524&amp;" "&amp;B524&amp;" - "&amp;E524)</f>
        <v/>
      </c>
      <c r="E524" s="21" t="str">
        <f>IF($B524="","",Paramètres!$A$21)</f>
        <v/>
      </c>
      <c r="F524" s="21" t="str">
        <f>IF($B524="","",Paramètres!$B$21)</f>
        <v/>
      </c>
      <c r="G524" s="21" t="str">
        <f>IF('Classe CM1'!$B44="","",IF('Classe CM1'!D44="","",'Classe CM1'!D44))</f>
        <v/>
      </c>
      <c r="H524" s="77" t="str">
        <f>IF('Classe CM1'!$B44="","",IF('Classe CM1'!E44="","",'Classe CM1'!E44))</f>
        <v/>
      </c>
      <c r="I524" s="20" t="str">
        <f>IF('Classe CM1'!$B44="","",IF('Classe CM1'!F44="","",'Classe CM1'!F44))</f>
        <v/>
      </c>
      <c r="J524" s="20" t="str">
        <f>IF('Classe CM1'!$B44="","",IF('Classe CM1'!G44="","",'Classe CM1'!G44))</f>
        <v/>
      </c>
      <c r="K524" s="51" t="str">
        <f>IF('Classe CM1'!$B44="","",N('Classe CM1'!H44))</f>
        <v/>
      </c>
      <c r="L524" s="51" t="str">
        <f>IF('Classe CM1'!$B44="","",N('Classe CM1'!I44))</f>
        <v/>
      </c>
      <c r="M524" s="51" t="str">
        <f>IF('Classe CM1'!$B44="","",N('Classe CM1'!J44))</f>
        <v/>
      </c>
      <c r="N524" s="51" t="str">
        <f>IF('Classe CM1'!$B44="","",N('Classe CM1'!K44))</f>
        <v/>
      </c>
      <c r="O524" s="51" t="str">
        <f>IF('Classe CM1'!$B44="","",N('Classe CM1'!L44))</f>
        <v/>
      </c>
      <c r="P524" s="51" t="str">
        <f>IF('Classe CM1'!$B44="","",N('Classe CM1'!M44))</f>
        <v/>
      </c>
      <c r="Q524" s="21" t="str">
        <f>IF('Classe CM1'!$B44="","",IF('Classe CM1'!Q44="","",'Classe CM1'!Q44))</f>
        <v/>
      </c>
      <c r="R524" s="51" t="str">
        <f>IF('Classe CM1'!$B44="","",N('Classe CM1'!N44))</f>
        <v/>
      </c>
      <c r="S524" s="51" t="str">
        <f>IF('Classe CM1'!$B44="","",N('Classe CM1'!O44))</f>
        <v/>
      </c>
      <c r="T524" s="51" t="str">
        <f>IF('Classe CM1'!$B44="","",N('Classe CM1'!P44))</f>
        <v/>
      </c>
    </row>
    <row r="525">
      <c r="A525" s="16" t="str">
        <f>IF('Classe CM1'!$B45="","",IF('Classe CM1'!A45="","",'Classe CM1'!A45))</f>
        <v/>
      </c>
      <c r="B525" s="16" t="str">
        <f>IF('Classe CM1'!$B45="","",IF('Classe CM1'!B45="","",'Classe CM1'!B45))</f>
        <v/>
      </c>
      <c r="C525" s="16" t="str">
        <f>IF('Classe CM1'!$B45="","",IF('Classe CM1'!C45="","",'Classe CM1'!C45))</f>
        <v/>
      </c>
      <c r="D525" s="16" t="str">
        <f>IF($B525="","",C525&amp;" "&amp;B525&amp;" - "&amp;E525)</f>
        <v/>
      </c>
      <c r="E525" s="17" t="str">
        <f>IF($B525="","",Paramètres!$A$21)</f>
        <v/>
      </c>
      <c r="F525" s="17" t="str">
        <f>IF($B525="","",Paramètres!$B$21)</f>
        <v/>
      </c>
      <c r="G525" s="17" t="str">
        <f>IF('Classe CM1'!$B45="","",IF('Classe CM1'!D45="","",'Classe CM1'!D45))</f>
        <v/>
      </c>
      <c r="H525" s="78" t="str">
        <f>IF('Classe CM1'!$B45="","",IF('Classe CM1'!E45="","",'Classe CM1'!E45))</f>
        <v/>
      </c>
      <c r="I525" s="16" t="str">
        <f>IF('Classe CM1'!$B45="","",IF('Classe CM1'!F45="","",'Classe CM1'!F45))</f>
        <v/>
      </c>
      <c r="J525" s="16" t="str">
        <f>IF('Classe CM1'!$B45="","",IF('Classe CM1'!G45="","",'Classe CM1'!G45))</f>
        <v/>
      </c>
      <c r="K525" s="18" t="str">
        <f>IF('Classe CM1'!$B45="","",N('Classe CM1'!H45))</f>
        <v/>
      </c>
      <c r="L525" s="18" t="str">
        <f>IF('Classe CM1'!$B45="","",N('Classe CM1'!I45))</f>
        <v/>
      </c>
      <c r="M525" s="18" t="str">
        <f>IF('Classe CM1'!$B45="","",N('Classe CM1'!J45))</f>
        <v/>
      </c>
      <c r="N525" s="18" t="str">
        <f>IF('Classe CM1'!$B45="","",N('Classe CM1'!K45))</f>
        <v/>
      </c>
      <c r="O525" s="18" t="str">
        <f>IF('Classe CM1'!$B45="","",N('Classe CM1'!L45))</f>
        <v/>
      </c>
      <c r="P525" s="18" t="str">
        <f>IF('Classe CM1'!$B45="","",N('Classe CM1'!M45))</f>
        <v/>
      </c>
      <c r="Q525" s="17" t="str">
        <f>IF('Classe CM1'!$B45="","",IF('Classe CM1'!Q45="","",'Classe CM1'!Q45))</f>
        <v/>
      </c>
      <c r="R525" s="18" t="str">
        <f>IF('Classe CM1'!$B45="","",N('Classe CM1'!N45))</f>
        <v/>
      </c>
      <c r="S525" s="18" t="str">
        <f>IF('Classe CM1'!$B45="","",N('Classe CM1'!O45))</f>
        <v/>
      </c>
      <c r="T525" s="18" t="str">
        <f>IF('Classe CM1'!$B45="","",N('Classe CM1'!P45))</f>
        <v/>
      </c>
    </row>
    <row r="526">
      <c r="A526" s="20" t="str">
        <f>IF('Classe CM1'!$B46="","",IF('Classe CM1'!A46="","",'Classe CM1'!A46))</f>
        <v/>
      </c>
      <c r="B526" s="20" t="str">
        <f>IF('Classe CM1'!$B46="","",IF('Classe CM1'!B46="","",'Classe CM1'!B46))</f>
        <v/>
      </c>
      <c r="C526" s="20" t="str">
        <f>IF('Classe CM1'!$B46="","",IF('Classe CM1'!C46="","",'Classe CM1'!C46))</f>
        <v/>
      </c>
      <c r="D526" s="20" t="str">
        <f>IF($B526="","",C526&amp;" "&amp;B526&amp;" - "&amp;E526)</f>
        <v/>
      </c>
      <c r="E526" s="21" t="str">
        <f>IF($B526="","",Paramètres!$A$21)</f>
        <v/>
      </c>
      <c r="F526" s="21" t="str">
        <f>IF($B526="","",Paramètres!$B$21)</f>
        <v/>
      </c>
      <c r="G526" s="21" t="str">
        <f>IF('Classe CM1'!$B46="","",IF('Classe CM1'!D46="","",'Classe CM1'!D46))</f>
        <v/>
      </c>
      <c r="H526" s="77" t="str">
        <f>IF('Classe CM1'!$B46="","",IF('Classe CM1'!E46="","",'Classe CM1'!E46))</f>
        <v/>
      </c>
      <c r="I526" s="20" t="str">
        <f>IF('Classe CM1'!$B46="","",IF('Classe CM1'!F46="","",'Classe CM1'!F46))</f>
        <v/>
      </c>
      <c r="J526" s="20" t="str">
        <f>IF('Classe CM1'!$B46="","",IF('Classe CM1'!G46="","",'Classe CM1'!G46))</f>
        <v/>
      </c>
      <c r="K526" s="51" t="str">
        <f>IF('Classe CM1'!$B46="","",N('Classe CM1'!H46))</f>
        <v/>
      </c>
      <c r="L526" s="51" t="str">
        <f>IF('Classe CM1'!$B46="","",N('Classe CM1'!I46))</f>
        <v/>
      </c>
      <c r="M526" s="51" t="str">
        <f>IF('Classe CM1'!$B46="","",N('Classe CM1'!J46))</f>
        <v/>
      </c>
      <c r="N526" s="51" t="str">
        <f>IF('Classe CM1'!$B46="","",N('Classe CM1'!K46))</f>
        <v/>
      </c>
      <c r="O526" s="51" t="str">
        <f>IF('Classe CM1'!$B46="","",N('Classe CM1'!L46))</f>
        <v/>
      </c>
      <c r="P526" s="51" t="str">
        <f>IF('Classe CM1'!$B46="","",N('Classe CM1'!M46))</f>
        <v/>
      </c>
      <c r="Q526" s="21" t="str">
        <f>IF('Classe CM1'!$B46="","",IF('Classe CM1'!Q46="","",'Classe CM1'!Q46))</f>
        <v/>
      </c>
      <c r="R526" s="51" t="str">
        <f>IF('Classe CM1'!$B46="","",N('Classe CM1'!N46))</f>
        <v/>
      </c>
      <c r="S526" s="51" t="str">
        <f>IF('Classe CM1'!$B46="","",N('Classe CM1'!O46))</f>
        <v/>
      </c>
      <c r="T526" s="51" t="str">
        <f>IF('Classe CM1'!$B46="","",N('Classe CM1'!P46))</f>
        <v/>
      </c>
    </row>
    <row r="527">
      <c r="A527" s="16" t="str">
        <f>IF('Classe CM1'!$B47="","",IF('Classe CM1'!A47="","",'Classe CM1'!A47))</f>
        <v/>
      </c>
      <c r="B527" s="16" t="str">
        <f>IF('Classe CM1'!$B47="","",IF('Classe CM1'!B47="","",'Classe CM1'!B47))</f>
        <v/>
      </c>
      <c r="C527" s="16" t="str">
        <f>IF('Classe CM1'!$B47="","",IF('Classe CM1'!C47="","",'Classe CM1'!C47))</f>
        <v/>
      </c>
      <c r="D527" s="16" t="str">
        <f>IF($B527="","",C527&amp;" "&amp;B527&amp;" - "&amp;E527)</f>
        <v/>
      </c>
      <c r="E527" s="17" t="str">
        <f>IF($B527="","",Paramètres!$A$21)</f>
        <v/>
      </c>
      <c r="F527" s="17" t="str">
        <f>IF($B527="","",Paramètres!$B$21)</f>
        <v/>
      </c>
      <c r="G527" s="17" t="str">
        <f>IF('Classe CM1'!$B47="","",IF('Classe CM1'!D47="","",'Classe CM1'!D47))</f>
        <v/>
      </c>
      <c r="H527" s="78" t="str">
        <f>IF('Classe CM1'!$B47="","",IF('Classe CM1'!E47="","",'Classe CM1'!E47))</f>
        <v/>
      </c>
      <c r="I527" s="16" t="str">
        <f>IF('Classe CM1'!$B47="","",IF('Classe CM1'!F47="","",'Classe CM1'!F47))</f>
        <v/>
      </c>
      <c r="J527" s="16" t="str">
        <f>IF('Classe CM1'!$B47="","",IF('Classe CM1'!G47="","",'Classe CM1'!G47))</f>
        <v/>
      </c>
      <c r="K527" s="18" t="str">
        <f>IF('Classe CM1'!$B47="","",N('Classe CM1'!H47))</f>
        <v/>
      </c>
      <c r="L527" s="18" t="str">
        <f>IF('Classe CM1'!$B47="","",N('Classe CM1'!I47))</f>
        <v/>
      </c>
      <c r="M527" s="18" t="str">
        <f>IF('Classe CM1'!$B47="","",N('Classe CM1'!J47))</f>
        <v/>
      </c>
      <c r="N527" s="18" t="str">
        <f>IF('Classe CM1'!$B47="","",N('Classe CM1'!K47))</f>
        <v/>
      </c>
      <c r="O527" s="18" t="str">
        <f>IF('Classe CM1'!$B47="","",N('Classe CM1'!L47))</f>
        <v/>
      </c>
      <c r="P527" s="18" t="str">
        <f>IF('Classe CM1'!$B47="","",N('Classe CM1'!M47))</f>
        <v/>
      </c>
      <c r="Q527" s="17" t="str">
        <f>IF('Classe CM1'!$B47="","",IF('Classe CM1'!Q47="","",'Classe CM1'!Q47))</f>
        <v/>
      </c>
      <c r="R527" s="18" t="str">
        <f>IF('Classe CM1'!$B47="","",N('Classe CM1'!N47))</f>
        <v/>
      </c>
      <c r="S527" s="18" t="str">
        <f>IF('Classe CM1'!$B47="","",N('Classe CM1'!O47))</f>
        <v/>
      </c>
      <c r="T527" s="18" t="str">
        <f>IF('Classe CM1'!$B47="","",N('Classe CM1'!P47))</f>
        <v/>
      </c>
    </row>
    <row r="528">
      <c r="A528" s="20" t="str">
        <f>IF('Classe CM1'!$B48="","",IF('Classe CM1'!A48="","",'Classe CM1'!A48))</f>
        <v/>
      </c>
      <c r="B528" s="20" t="str">
        <f>IF('Classe CM1'!$B48="","",IF('Classe CM1'!B48="","",'Classe CM1'!B48))</f>
        <v/>
      </c>
      <c r="C528" s="20" t="str">
        <f>IF('Classe CM1'!$B48="","",IF('Classe CM1'!C48="","",'Classe CM1'!C48))</f>
        <v/>
      </c>
      <c r="D528" s="20" t="str">
        <f>IF($B528="","",C528&amp;" "&amp;B528&amp;" - "&amp;E528)</f>
        <v/>
      </c>
      <c r="E528" s="21" t="str">
        <f>IF($B528="","",Paramètres!$A$21)</f>
        <v/>
      </c>
      <c r="F528" s="21" t="str">
        <f>IF($B528="","",Paramètres!$B$21)</f>
        <v/>
      </c>
      <c r="G528" s="21" t="str">
        <f>IF('Classe CM1'!$B48="","",IF('Classe CM1'!D48="","",'Classe CM1'!D48))</f>
        <v/>
      </c>
      <c r="H528" s="77" t="str">
        <f>IF('Classe CM1'!$B48="","",IF('Classe CM1'!E48="","",'Classe CM1'!E48))</f>
        <v/>
      </c>
      <c r="I528" s="20" t="str">
        <f>IF('Classe CM1'!$B48="","",IF('Classe CM1'!F48="","",'Classe CM1'!F48))</f>
        <v/>
      </c>
      <c r="J528" s="20" t="str">
        <f>IF('Classe CM1'!$B48="","",IF('Classe CM1'!G48="","",'Classe CM1'!G48))</f>
        <v/>
      </c>
      <c r="K528" s="51" t="str">
        <f>IF('Classe CM1'!$B48="","",N('Classe CM1'!H48))</f>
        <v/>
      </c>
      <c r="L528" s="51" t="str">
        <f>IF('Classe CM1'!$B48="","",N('Classe CM1'!I48))</f>
        <v/>
      </c>
      <c r="M528" s="51" t="str">
        <f>IF('Classe CM1'!$B48="","",N('Classe CM1'!J48))</f>
        <v/>
      </c>
      <c r="N528" s="51" t="str">
        <f>IF('Classe CM1'!$B48="","",N('Classe CM1'!K48))</f>
        <v/>
      </c>
      <c r="O528" s="51" t="str">
        <f>IF('Classe CM1'!$B48="","",N('Classe CM1'!L48))</f>
        <v/>
      </c>
      <c r="P528" s="51" t="str">
        <f>IF('Classe CM1'!$B48="","",N('Classe CM1'!M48))</f>
        <v/>
      </c>
      <c r="Q528" s="21" t="str">
        <f>IF('Classe CM1'!$B48="","",IF('Classe CM1'!Q48="","",'Classe CM1'!Q48))</f>
        <v/>
      </c>
      <c r="R528" s="51" t="str">
        <f>IF('Classe CM1'!$B48="","",N('Classe CM1'!N48))</f>
        <v/>
      </c>
      <c r="S528" s="51" t="str">
        <f>IF('Classe CM1'!$B48="","",N('Classe CM1'!O48))</f>
        <v/>
      </c>
      <c r="T528" s="51" t="str">
        <f>IF('Classe CM1'!$B48="","",N('Classe CM1'!P48))</f>
        <v/>
      </c>
    </row>
    <row r="529">
      <c r="A529" s="16" t="str">
        <f>IF('Classe CM1'!$B49="","",IF('Classe CM1'!A49="","",'Classe CM1'!A49))</f>
        <v/>
      </c>
      <c r="B529" s="16" t="str">
        <f>IF('Classe CM1'!$B49="","",IF('Classe CM1'!B49="","",'Classe CM1'!B49))</f>
        <v/>
      </c>
      <c r="C529" s="16" t="str">
        <f>IF('Classe CM1'!$B49="","",IF('Classe CM1'!C49="","",'Classe CM1'!C49))</f>
        <v/>
      </c>
      <c r="D529" s="16" t="str">
        <f>IF($B529="","",C529&amp;" "&amp;B529&amp;" - "&amp;E529)</f>
        <v/>
      </c>
      <c r="E529" s="17" t="str">
        <f>IF($B529="","",Paramètres!$A$21)</f>
        <v/>
      </c>
      <c r="F529" s="17" t="str">
        <f>IF($B529="","",Paramètres!$B$21)</f>
        <v/>
      </c>
      <c r="G529" s="17" t="str">
        <f>IF('Classe CM1'!$B49="","",IF('Classe CM1'!D49="","",'Classe CM1'!D49))</f>
        <v/>
      </c>
      <c r="H529" s="78" t="str">
        <f>IF('Classe CM1'!$B49="","",IF('Classe CM1'!E49="","",'Classe CM1'!E49))</f>
        <v/>
      </c>
      <c r="I529" s="16" t="str">
        <f>IF('Classe CM1'!$B49="","",IF('Classe CM1'!F49="","",'Classe CM1'!F49))</f>
        <v/>
      </c>
      <c r="J529" s="16" t="str">
        <f>IF('Classe CM1'!$B49="","",IF('Classe CM1'!G49="","",'Classe CM1'!G49))</f>
        <v/>
      </c>
      <c r="K529" s="18" t="str">
        <f>IF('Classe CM1'!$B49="","",N('Classe CM1'!H49))</f>
        <v/>
      </c>
      <c r="L529" s="18" t="str">
        <f>IF('Classe CM1'!$B49="","",N('Classe CM1'!I49))</f>
        <v/>
      </c>
      <c r="M529" s="18" t="str">
        <f>IF('Classe CM1'!$B49="","",N('Classe CM1'!J49))</f>
        <v/>
      </c>
      <c r="N529" s="18" t="str">
        <f>IF('Classe CM1'!$B49="","",N('Classe CM1'!K49))</f>
        <v/>
      </c>
      <c r="O529" s="18" t="str">
        <f>IF('Classe CM1'!$B49="","",N('Classe CM1'!L49))</f>
        <v/>
      </c>
      <c r="P529" s="18" t="str">
        <f>IF('Classe CM1'!$B49="","",N('Classe CM1'!M49))</f>
        <v/>
      </c>
      <c r="Q529" s="17" t="str">
        <f>IF('Classe CM1'!$B49="","",IF('Classe CM1'!Q49="","",'Classe CM1'!Q49))</f>
        <v/>
      </c>
      <c r="R529" s="18" t="str">
        <f>IF('Classe CM1'!$B49="","",N('Classe CM1'!N49))</f>
        <v/>
      </c>
      <c r="S529" s="18" t="str">
        <f>IF('Classe CM1'!$B49="","",N('Classe CM1'!O49))</f>
        <v/>
      </c>
      <c r="T529" s="18" t="str">
        <f>IF('Classe CM1'!$B49="","",N('Classe CM1'!P49))</f>
        <v/>
      </c>
    </row>
    <row r="530">
      <c r="A530" s="20" t="str">
        <f>IF('Classe CM1'!$B50="","",IF('Classe CM1'!A50="","",'Classe CM1'!A50))</f>
        <v/>
      </c>
      <c r="B530" s="20" t="str">
        <f>IF('Classe CM1'!$B50="","",IF('Classe CM1'!B50="","",'Classe CM1'!B50))</f>
        <v/>
      </c>
      <c r="C530" s="20" t="str">
        <f>IF('Classe CM1'!$B50="","",IF('Classe CM1'!C50="","",'Classe CM1'!C50))</f>
        <v/>
      </c>
      <c r="D530" s="20" t="str">
        <f>IF($B530="","",C530&amp;" "&amp;B530&amp;" - "&amp;E530)</f>
        <v/>
      </c>
      <c r="E530" s="21" t="str">
        <f>IF($B530="","",Paramètres!$A$21)</f>
        <v/>
      </c>
      <c r="F530" s="21" t="str">
        <f>IF($B530="","",Paramètres!$B$21)</f>
        <v/>
      </c>
      <c r="G530" s="21" t="str">
        <f>IF('Classe CM1'!$B50="","",IF('Classe CM1'!D50="","",'Classe CM1'!D50))</f>
        <v/>
      </c>
      <c r="H530" s="77" t="str">
        <f>IF('Classe CM1'!$B50="","",IF('Classe CM1'!E50="","",'Classe CM1'!E50))</f>
        <v/>
      </c>
      <c r="I530" s="20" t="str">
        <f>IF('Classe CM1'!$B50="","",IF('Classe CM1'!F50="","",'Classe CM1'!F50))</f>
        <v/>
      </c>
      <c r="J530" s="20" t="str">
        <f>IF('Classe CM1'!$B50="","",IF('Classe CM1'!G50="","",'Classe CM1'!G50))</f>
        <v/>
      </c>
      <c r="K530" s="51" t="str">
        <f>IF('Classe CM1'!$B50="","",N('Classe CM1'!H50))</f>
        <v/>
      </c>
      <c r="L530" s="51" t="str">
        <f>IF('Classe CM1'!$B50="","",N('Classe CM1'!I50))</f>
        <v/>
      </c>
      <c r="M530" s="51" t="str">
        <f>IF('Classe CM1'!$B50="","",N('Classe CM1'!J50))</f>
        <v/>
      </c>
      <c r="N530" s="51" t="str">
        <f>IF('Classe CM1'!$B50="","",N('Classe CM1'!K50))</f>
        <v/>
      </c>
      <c r="O530" s="51" t="str">
        <f>IF('Classe CM1'!$B50="","",N('Classe CM1'!L50))</f>
        <v/>
      </c>
      <c r="P530" s="51" t="str">
        <f>IF('Classe CM1'!$B50="","",N('Classe CM1'!M50))</f>
        <v/>
      </c>
      <c r="Q530" s="21" t="str">
        <f>IF('Classe CM1'!$B50="","",IF('Classe CM1'!Q50="","",'Classe CM1'!Q50))</f>
        <v/>
      </c>
      <c r="R530" s="51" t="str">
        <f>IF('Classe CM1'!$B50="","",N('Classe CM1'!N50))</f>
        <v/>
      </c>
      <c r="S530" s="51" t="str">
        <f>IF('Classe CM1'!$B50="","",N('Classe CM1'!O50))</f>
        <v/>
      </c>
      <c r="T530" s="51" t="str">
        <f>IF('Classe CM1'!$B50="","",N('Classe CM1'!P50))</f>
        <v/>
      </c>
    </row>
    <row r="531">
      <c r="A531" s="16" t="str">
        <f>IF('Classe CM1'!$B51="","",IF('Classe CM1'!A51="","",'Classe CM1'!A51))</f>
        <v/>
      </c>
      <c r="B531" s="16" t="str">
        <f>IF('Classe CM1'!$B51="","",IF('Classe CM1'!B51="","",'Classe CM1'!B51))</f>
        <v/>
      </c>
      <c r="C531" s="16" t="str">
        <f>IF('Classe CM1'!$B51="","",IF('Classe CM1'!C51="","",'Classe CM1'!C51))</f>
        <v/>
      </c>
      <c r="D531" s="16" t="str">
        <f>IF($B531="","",C531&amp;" "&amp;B531&amp;" - "&amp;E531)</f>
        <v/>
      </c>
      <c r="E531" s="17" t="str">
        <f>IF($B531="","",Paramètres!$A$21)</f>
        <v/>
      </c>
      <c r="F531" s="17" t="str">
        <f>IF($B531="","",Paramètres!$B$21)</f>
        <v/>
      </c>
      <c r="G531" s="17" t="str">
        <f>IF('Classe CM1'!$B51="","",IF('Classe CM1'!D51="","",'Classe CM1'!D51))</f>
        <v/>
      </c>
      <c r="H531" s="78" t="str">
        <f>IF('Classe CM1'!$B51="","",IF('Classe CM1'!E51="","",'Classe CM1'!E51))</f>
        <v/>
      </c>
      <c r="I531" s="16" t="str">
        <f>IF('Classe CM1'!$B51="","",IF('Classe CM1'!F51="","",'Classe CM1'!F51))</f>
        <v/>
      </c>
      <c r="J531" s="16" t="str">
        <f>IF('Classe CM1'!$B51="","",IF('Classe CM1'!G51="","",'Classe CM1'!G51))</f>
        <v/>
      </c>
      <c r="K531" s="18" t="str">
        <f>IF('Classe CM1'!$B51="","",N('Classe CM1'!H51))</f>
        <v/>
      </c>
      <c r="L531" s="18" t="str">
        <f>IF('Classe CM1'!$B51="","",N('Classe CM1'!I51))</f>
        <v/>
      </c>
      <c r="M531" s="18" t="str">
        <f>IF('Classe CM1'!$B51="","",N('Classe CM1'!J51))</f>
        <v/>
      </c>
      <c r="N531" s="18" t="str">
        <f>IF('Classe CM1'!$B51="","",N('Classe CM1'!K51))</f>
        <v/>
      </c>
      <c r="O531" s="18" t="str">
        <f>IF('Classe CM1'!$B51="","",N('Classe CM1'!L51))</f>
        <v/>
      </c>
      <c r="P531" s="18" t="str">
        <f>IF('Classe CM1'!$B51="","",N('Classe CM1'!M51))</f>
        <v/>
      </c>
      <c r="Q531" s="17" t="str">
        <f>IF('Classe CM1'!$B51="","",IF('Classe CM1'!Q51="","",'Classe CM1'!Q51))</f>
        <v/>
      </c>
      <c r="R531" s="18" t="str">
        <f>IF('Classe CM1'!$B51="","",N('Classe CM1'!N51))</f>
        <v/>
      </c>
      <c r="S531" s="18" t="str">
        <f>IF('Classe CM1'!$B51="","",N('Classe CM1'!O51))</f>
        <v/>
      </c>
      <c r="T531" s="18" t="str">
        <f>IF('Classe CM1'!$B51="","",N('Classe CM1'!P51))</f>
        <v/>
      </c>
    </row>
    <row r="532">
      <c r="A532" s="20" t="str">
        <f>IF('Classe CM1'!$B52="","",IF('Classe CM1'!A52="","",'Classe CM1'!A52))</f>
        <v/>
      </c>
      <c r="B532" s="20" t="str">
        <f>IF('Classe CM1'!$B52="","",IF('Classe CM1'!B52="","",'Classe CM1'!B52))</f>
        <v/>
      </c>
      <c r="C532" s="20" t="str">
        <f>IF('Classe CM1'!$B52="","",IF('Classe CM1'!C52="","",'Classe CM1'!C52))</f>
        <v/>
      </c>
      <c r="D532" s="20" t="str">
        <f>IF($B532="","",C532&amp;" "&amp;B532&amp;" - "&amp;E532)</f>
        <v/>
      </c>
      <c r="E532" s="21" t="str">
        <f>IF($B532="","",Paramètres!$A$21)</f>
        <v/>
      </c>
      <c r="F532" s="21" t="str">
        <f>IF($B532="","",Paramètres!$B$21)</f>
        <v/>
      </c>
      <c r="G532" s="21" t="str">
        <f>IF('Classe CM1'!$B52="","",IF('Classe CM1'!D52="","",'Classe CM1'!D52))</f>
        <v/>
      </c>
      <c r="H532" s="77" t="str">
        <f>IF('Classe CM1'!$B52="","",IF('Classe CM1'!E52="","",'Classe CM1'!E52))</f>
        <v/>
      </c>
      <c r="I532" s="20" t="str">
        <f>IF('Classe CM1'!$B52="","",IF('Classe CM1'!F52="","",'Classe CM1'!F52))</f>
        <v/>
      </c>
      <c r="J532" s="20" t="str">
        <f>IF('Classe CM1'!$B52="","",IF('Classe CM1'!G52="","",'Classe CM1'!G52))</f>
        <v/>
      </c>
      <c r="K532" s="51" t="str">
        <f>IF('Classe CM1'!$B52="","",N('Classe CM1'!H52))</f>
        <v/>
      </c>
      <c r="L532" s="51" t="str">
        <f>IF('Classe CM1'!$B52="","",N('Classe CM1'!I52))</f>
        <v/>
      </c>
      <c r="M532" s="51" t="str">
        <f>IF('Classe CM1'!$B52="","",N('Classe CM1'!J52))</f>
        <v/>
      </c>
      <c r="N532" s="51" t="str">
        <f>IF('Classe CM1'!$B52="","",N('Classe CM1'!K52))</f>
        <v/>
      </c>
      <c r="O532" s="51" t="str">
        <f>IF('Classe CM1'!$B52="","",N('Classe CM1'!L52))</f>
        <v/>
      </c>
      <c r="P532" s="51" t="str">
        <f>IF('Classe CM1'!$B52="","",N('Classe CM1'!M52))</f>
        <v/>
      </c>
      <c r="Q532" s="21" t="str">
        <f>IF('Classe CM1'!$B52="","",IF('Classe CM1'!Q52="","",'Classe CM1'!Q52))</f>
        <v/>
      </c>
      <c r="R532" s="51" t="str">
        <f>IF('Classe CM1'!$B52="","",N('Classe CM1'!N52))</f>
        <v/>
      </c>
      <c r="S532" s="51" t="str">
        <f>IF('Classe CM1'!$B52="","",N('Classe CM1'!O52))</f>
        <v/>
      </c>
      <c r="T532" s="51" t="str">
        <f>IF('Classe CM1'!$B52="","",N('Classe CM1'!P52))</f>
        <v/>
      </c>
    </row>
    <row r="533">
      <c r="A533" s="16" t="str">
        <f>IF('Classe CM1'!$B53="","",IF('Classe CM1'!A53="","",'Classe CM1'!A53))</f>
        <v/>
      </c>
      <c r="B533" s="16" t="str">
        <f>IF('Classe CM1'!$B53="","",IF('Classe CM1'!B53="","",'Classe CM1'!B53))</f>
        <v/>
      </c>
      <c r="C533" s="16" t="str">
        <f>IF('Classe CM1'!$B53="","",IF('Classe CM1'!C53="","",'Classe CM1'!C53))</f>
        <v/>
      </c>
      <c r="D533" s="16" t="str">
        <f>IF($B533="","",C533&amp;" "&amp;B533&amp;" - "&amp;E533)</f>
        <v/>
      </c>
      <c r="E533" s="17" t="str">
        <f>IF($B533="","",Paramètres!$A$21)</f>
        <v/>
      </c>
      <c r="F533" s="17" t="str">
        <f>IF($B533="","",Paramètres!$B$21)</f>
        <v/>
      </c>
      <c r="G533" s="17" t="str">
        <f>IF('Classe CM1'!$B53="","",IF('Classe CM1'!D53="","",'Classe CM1'!D53))</f>
        <v/>
      </c>
      <c r="H533" s="78" t="str">
        <f>IF('Classe CM1'!$B53="","",IF('Classe CM1'!E53="","",'Classe CM1'!E53))</f>
        <v/>
      </c>
      <c r="I533" s="16" t="str">
        <f>IF('Classe CM1'!$B53="","",IF('Classe CM1'!F53="","",'Classe CM1'!F53))</f>
        <v/>
      </c>
      <c r="J533" s="16" t="str">
        <f>IF('Classe CM1'!$B53="","",IF('Classe CM1'!G53="","",'Classe CM1'!G53))</f>
        <v/>
      </c>
      <c r="K533" s="18" t="str">
        <f>IF('Classe CM1'!$B53="","",N('Classe CM1'!H53))</f>
        <v/>
      </c>
      <c r="L533" s="18" t="str">
        <f>IF('Classe CM1'!$B53="","",N('Classe CM1'!I53))</f>
        <v/>
      </c>
      <c r="M533" s="18" t="str">
        <f>IF('Classe CM1'!$B53="","",N('Classe CM1'!J53))</f>
        <v/>
      </c>
      <c r="N533" s="18" t="str">
        <f>IF('Classe CM1'!$B53="","",N('Classe CM1'!K53))</f>
        <v/>
      </c>
      <c r="O533" s="18" t="str">
        <f>IF('Classe CM1'!$B53="","",N('Classe CM1'!L53))</f>
        <v/>
      </c>
      <c r="P533" s="18" t="str">
        <f>IF('Classe CM1'!$B53="","",N('Classe CM1'!M53))</f>
        <v/>
      </c>
      <c r="Q533" s="17" t="str">
        <f>IF('Classe CM1'!$B53="","",IF('Classe CM1'!Q53="","",'Classe CM1'!Q53))</f>
        <v/>
      </c>
      <c r="R533" s="18" t="str">
        <f>IF('Classe CM1'!$B53="","",N('Classe CM1'!N53))</f>
        <v/>
      </c>
      <c r="S533" s="18" t="str">
        <f>IF('Classe CM1'!$B53="","",N('Classe CM1'!O53))</f>
        <v/>
      </c>
      <c r="T533" s="18" t="str">
        <f>IF('Classe CM1'!$B53="","",N('Classe CM1'!P53))</f>
        <v/>
      </c>
    </row>
    <row r="534">
      <c r="A534" s="20" t="str">
        <f>IF('Classe CM1'!$B54="","",IF('Classe CM1'!A54="","",'Classe CM1'!A54))</f>
        <v/>
      </c>
      <c r="B534" s="20" t="str">
        <f>IF('Classe CM1'!$B54="","",IF('Classe CM1'!B54="","",'Classe CM1'!B54))</f>
        <v/>
      </c>
      <c r="C534" s="20" t="str">
        <f>IF('Classe CM1'!$B54="","",IF('Classe CM1'!C54="","",'Classe CM1'!C54))</f>
        <v/>
      </c>
      <c r="D534" s="20" t="str">
        <f>IF($B534="","",C534&amp;" "&amp;B534&amp;" - "&amp;E534)</f>
        <v/>
      </c>
      <c r="E534" s="21" t="str">
        <f>IF($B534="","",Paramètres!$A$21)</f>
        <v/>
      </c>
      <c r="F534" s="21" t="str">
        <f>IF($B534="","",Paramètres!$B$21)</f>
        <v/>
      </c>
      <c r="G534" s="21" t="str">
        <f>IF('Classe CM1'!$B54="","",IF('Classe CM1'!D54="","",'Classe CM1'!D54))</f>
        <v/>
      </c>
      <c r="H534" s="77" t="str">
        <f>IF('Classe CM1'!$B54="","",IF('Classe CM1'!E54="","",'Classe CM1'!E54))</f>
        <v/>
      </c>
      <c r="I534" s="20" t="str">
        <f>IF('Classe CM1'!$B54="","",IF('Classe CM1'!F54="","",'Classe CM1'!F54))</f>
        <v/>
      </c>
      <c r="J534" s="20" t="str">
        <f>IF('Classe CM1'!$B54="","",IF('Classe CM1'!G54="","",'Classe CM1'!G54))</f>
        <v/>
      </c>
      <c r="K534" s="51" t="str">
        <f>IF('Classe CM1'!$B54="","",N('Classe CM1'!H54))</f>
        <v/>
      </c>
      <c r="L534" s="51" t="str">
        <f>IF('Classe CM1'!$B54="","",N('Classe CM1'!I54))</f>
        <v/>
      </c>
      <c r="M534" s="51" t="str">
        <f>IF('Classe CM1'!$B54="","",N('Classe CM1'!J54))</f>
        <v/>
      </c>
      <c r="N534" s="51" t="str">
        <f>IF('Classe CM1'!$B54="","",N('Classe CM1'!K54))</f>
        <v/>
      </c>
      <c r="O534" s="51" t="str">
        <f>IF('Classe CM1'!$B54="","",N('Classe CM1'!L54))</f>
        <v/>
      </c>
      <c r="P534" s="51" t="str">
        <f>IF('Classe CM1'!$B54="","",N('Classe CM1'!M54))</f>
        <v/>
      </c>
      <c r="Q534" s="21" t="str">
        <f>IF('Classe CM1'!$B54="","",IF('Classe CM1'!Q54="","",'Classe CM1'!Q54))</f>
        <v/>
      </c>
      <c r="R534" s="51" t="str">
        <f>IF('Classe CM1'!$B54="","",N('Classe CM1'!N54))</f>
        <v/>
      </c>
      <c r="S534" s="51" t="str">
        <f>IF('Classe CM1'!$B54="","",N('Classe CM1'!O54))</f>
        <v/>
      </c>
      <c r="T534" s="51" t="str">
        <f>IF('Classe CM1'!$B54="","",N('Classe CM1'!P54))</f>
        <v/>
      </c>
    </row>
    <row r="535">
      <c r="A535" s="16" t="str">
        <f>IF('Classe CM1'!$B55="","",IF('Classe CM1'!A55="","",'Classe CM1'!A55))</f>
        <v/>
      </c>
      <c r="B535" s="16" t="str">
        <f>IF('Classe CM1'!$B55="","",IF('Classe CM1'!B55="","",'Classe CM1'!B55))</f>
        <v/>
      </c>
      <c r="C535" s="16" t="str">
        <f>IF('Classe CM1'!$B55="","",IF('Classe CM1'!C55="","",'Classe CM1'!C55))</f>
        <v/>
      </c>
      <c r="D535" s="16" t="str">
        <f>IF($B535="","",C535&amp;" "&amp;B535&amp;" - "&amp;E535)</f>
        <v/>
      </c>
      <c r="E535" s="17" t="str">
        <f>IF($B535="","",Paramètres!$A$21)</f>
        <v/>
      </c>
      <c r="F535" s="17" t="str">
        <f>IF($B535="","",Paramètres!$B$21)</f>
        <v/>
      </c>
      <c r="G535" s="17" t="str">
        <f>IF('Classe CM1'!$B55="","",IF('Classe CM1'!D55="","",'Classe CM1'!D55))</f>
        <v/>
      </c>
      <c r="H535" s="78" t="str">
        <f>IF('Classe CM1'!$B55="","",IF('Classe CM1'!E55="","",'Classe CM1'!E55))</f>
        <v/>
      </c>
      <c r="I535" s="16" t="str">
        <f>IF('Classe CM1'!$B55="","",IF('Classe CM1'!F55="","",'Classe CM1'!F55))</f>
        <v/>
      </c>
      <c r="J535" s="16" t="str">
        <f>IF('Classe CM1'!$B55="","",IF('Classe CM1'!G55="","",'Classe CM1'!G55))</f>
        <v/>
      </c>
      <c r="K535" s="18" t="str">
        <f>IF('Classe CM1'!$B55="","",N('Classe CM1'!H55))</f>
        <v/>
      </c>
      <c r="L535" s="18" t="str">
        <f>IF('Classe CM1'!$B55="","",N('Classe CM1'!I55))</f>
        <v/>
      </c>
      <c r="M535" s="18" t="str">
        <f>IF('Classe CM1'!$B55="","",N('Classe CM1'!J55))</f>
        <v/>
      </c>
      <c r="N535" s="18" t="str">
        <f>IF('Classe CM1'!$B55="","",N('Classe CM1'!K55))</f>
        <v/>
      </c>
      <c r="O535" s="18" t="str">
        <f>IF('Classe CM1'!$B55="","",N('Classe CM1'!L55))</f>
        <v/>
      </c>
      <c r="P535" s="18" t="str">
        <f>IF('Classe CM1'!$B55="","",N('Classe CM1'!M55))</f>
        <v/>
      </c>
      <c r="Q535" s="17" t="str">
        <f>IF('Classe CM1'!$B55="","",IF('Classe CM1'!Q55="","",'Classe CM1'!Q55))</f>
        <v/>
      </c>
      <c r="R535" s="18" t="str">
        <f>IF('Classe CM1'!$B55="","",N('Classe CM1'!N55))</f>
        <v/>
      </c>
      <c r="S535" s="18" t="str">
        <f>IF('Classe CM1'!$B55="","",N('Classe CM1'!O55))</f>
        <v/>
      </c>
      <c r="T535" s="18" t="str">
        <f>IF('Classe CM1'!$B55="","",N('Classe CM1'!P55))</f>
        <v/>
      </c>
    </row>
    <row r="536">
      <c r="A536" s="20" t="str">
        <f>IF('Classe CM1'!$B56="","",IF('Classe CM1'!A56="","",'Classe CM1'!A56))</f>
        <v/>
      </c>
      <c r="B536" s="20" t="str">
        <f>IF('Classe CM1'!$B56="","",IF('Classe CM1'!B56="","",'Classe CM1'!B56))</f>
        <v/>
      </c>
      <c r="C536" s="20" t="str">
        <f>IF('Classe CM1'!$B56="","",IF('Classe CM1'!C56="","",'Classe CM1'!C56))</f>
        <v/>
      </c>
      <c r="D536" s="20" t="str">
        <f>IF($B536="","",C536&amp;" "&amp;B536&amp;" - "&amp;E536)</f>
        <v/>
      </c>
      <c r="E536" s="21" t="str">
        <f>IF($B536="","",Paramètres!$A$21)</f>
        <v/>
      </c>
      <c r="F536" s="21" t="str">
        <f>IF($B536="","",Paramètres!$B$21)</f>
        <v/>
      </c>
      <c r="G536" s="21" t="str">
        <f>IF('Classe CM1'!$B56="","",IF('Classe CM1'!D56="","",'Classe CM1'!D56))</f>
        <v/>
      </c>
      <c r="H536" s="77" t="str">
        <f>IF('Classe CM1'!$B56="","",IF('Classe CM1'!E56="","",'Classe CM1'!E56))</f>
        <v/>
      </c>
      <c r="I536" s="20" t="str">
        <f>IF('Classe CM1'!$B56="","",IF('Classe CM1'!F56="","",'Classe CM1'!F56))</f>
        <v/>
      </c>
      <c r="J536" s="20" t="str">
        <f>IF('Classe CM1'!$B56="","",IF('Classe CM1'!G56="","",'Classe CM1'!G56))</f>
        <v/>
      </c>
      <c r="K536" s="51" t="str">
        <f>IF('Classe CM1'!$B56="","",N('Classe CM1'!H56))</f>
        <v/>
      </c>
      <c r="L536" s="51" t="str">
        <f>IF('Classe CM1'!$B56="","",N('Classe CM1'!I56))</f>
        <v/>
      </c>
      <c r="M536" s="51" t="str">
        <f>IF('Classe CM1'!$B56="","",N('Classe CM1'!J56))</f>
        <v/>
      </c>
      <c r="N536" s="51" t="str">
        <f>IF('Classe CM1'!$B56="","",N('Classe CM1'!K56))</f>
        <v/>
      </c>
      <c r="O536" s="51" t="str">
        <f>IF('Classe CM1'!$B56="","",N('Classe CM1'!L56))</f>
        <v/>
      </c>
      <c r="P536" s="51" t="str">
        <f>IF('Classe CM1'!$B56="","",N('Classe CM1'!M56))</f>
        <v/>
      </c>
      <c r="Q536" s="21" t="str">
        <f>IF('Classe CM1'!$B56="","",IF('Classe CM1'!Q56="","",'Classe CM1'!Q56))</f>
        <v/>
      </c>
      <c r="R536" s="51" t="str">
        <f>IF('Classe CM1'!$B56="","",N('Classe CM1'!N56))</f>
        <v/>
      </c>
      <c r="S536" s="51" t="str">
        <f>IF('Classe CM1'!$B56="","",N('Classe CM1'!O56))</f>
        <v/>
      </c>
      <c r="T536" s="51" t="str">
        <f>IF('Classe CM1'!$B56="","",N('Classe CM1'!P56))</f>
        <v/>
      </c>
    </row>
    <row r="537">
      <c r="A537" s="16" t="str">
        <f>IF('Classe CM1'!$B57="","",IF('Classe CM1'!A57="","",'Classe CM1'!A57))</f>
        <v/>
      </c>
      <c r="B537" s="16" t="str">
        <f>IF('Classe CM1'!$B57="","",IF('Classe CM1'!B57="","",'Classe CM1'!B57))</f>
        <v/>
      </c>
      <c r="C537" s="16" t="str">
        <f>IF('Classe CM1'!$B57="","",IF('Classe CM1'!C57="","",'Classe CM1'!C57))</f>
        <v/>
      </c>
      <c r="D537" s="16" t="str">
        <f>IF($B537="","",C537&amp;" "&amp;B537&amp;" - "&amp;E537)</f>
        <v/>
      </c>
      <c r="E537" s="17" t="str">
        <f>IF($B537="","",Paramètres!$A$21)</f>
        <v/>
      </c>
      <c r="F537" s="17" t="str">
        <f>IF($B537="","",Paramètres!$B$21)</f>
        <v/>
      </c>
      <c r="G537" s="17" t="str">
        <f>IF('Classe CM1'!$B57="","",IF('Classe CM1'!D57="","",'Classe CM1'!D57))</f>
        <v/>
      </c>
      <c r="H537" s="78" t="str">
        <f>IF('Classe CM1'!$B57="","",IF('Classe CM1'!E57="","",'Classe CM1'!E57))</f>
        <v/>
      </c>
      <c r="I537" s="16" t="str">
        <f>IF('Classe CM1'!$B57="","",IF('Classe CM1'!F57="","",'Classe CM1'!F57))</f>
        <v/>
      </c>
      <c r="J537" s="16" t="str">
        <f>IF('Classe CM1'!$B57="","",IF('Classe CM1'!G57="","",'Classe CM1'!G57))</f>
        <v/>
      </c>
      <c r="K537" s="18" t="str">
        <f>IF('Classe CM1'!$B57="","",N('Classe CM1'!H57))</f>
        <v/>
      </c>
      <c r="L537" s="18" t="str">
        <f>IF('Classe CM1'!$B57="","",N('Classe CM1'!I57))</f>
        <v/>
      </c>
      <c r="M537" s="18" t="str">
        <f>IF('Classe CM1'!$B57="","",N('Classe CM1'!J57))</f>
        <v/>
      </c>
      <c r="N537" s="18" t="str">
        <f>IF('Classe CM1'!$B57="","",N('Classe CM1'!K57))</f>
        <v/>
      </c>
      <c r="O537" s="18" t="str">
        <f>IF('Classe CM1'!$B57="","",N('Classe CM1'!L57))</f>
        <v/>
      </c>
      <c r="P537" s="18" t="str">
        <f>IF('Classe CM1'!$B57="","",N('Classe CM1'!M57))</f>
        <v/>
      </c>
      <c r="Q537" s="17" t="str">
        <f>IF('Classe CM1'!$B57="","",IF('Classe CM1'!Q57="","",'Classe CM1'!Q57))</f>
        <v/>
      </c>
      <c r="R537" s="18" t="str">
        <f>IF('Classe CM1'!$B57="","",N('Classe CM1'!N57))</f>
        <v/>
      </c>
      <c r="S537" s="18" t="str">
        <f>IF('Classe CM1'!$B57="","",N('Classe CM1'!O57))</f>
        <v/>
      </c>
      <c r="T537" s="18" t="str">
        <f>IF('Classe CM1'!$B57="","",N('Classe CM1'!P57))</f>
        <v/>
      </c>
    </row>
    <row r="538">
      <c r="A538" s="20" t="str">
        <f>IF('Classe CM1'!$B58="","",IF('Classe CM1'!A58="","",'Classe CM1'!A58))</f>
        <v/>
      </c>
      <c r="B538" s="20" t="str">
        <f>IF('Classe CM1'!$B58="","",IF('Classe CM1'!B58="","",'Classe CM1'!B58))</f>
        <v/>
      </c>
      <c r="C538" s="20" t="str">
        <f>IF('Classe CM1'!$B58="","",IF('Classe CM1'!C58="","",'Classe CM1'!C58))</f>
        <v/>
      </c>
      <c r="D538" s="20" t="str">
        <f>IF($B538="","",C538&amp;" "&amp;B538&amp;" - "&amp;E538)</f>
        <v/>
      </c>
      <c r="E538" s="21" t="str">
        <f>IF($B538="","",Paramètres!$A$21)</f>
        <v/>
      </c>
      <c r="F538" s="21" t="str">
        <f>IF($B538="","",Paramètres!$B$21)</f>
        <v/>
      </c>
      <c r="G538" s="21" t="str">
        <f>IF('Classe CM1'!$B58="","",IF('Classe CM1'!D58="","",'Classe CM1'!D58))</f>
        <v/>
      </c>
      <c r="H538" s="77" t="str">
        <f>IF('Classe CM1'!$B58="","",IF('Classe CM1'!E58="","",'Classe CM1'!E58))</f>
        <v/>
      </c>
      <c r="I538" s="20" t="str">
        <f>IF('Classe CM1'!$B58="","",IF('Classe CM1'!F58="","",'Classe CM1'!F58))</f>
        <v/>
      </c>
      <c r="J538" s="20" t="str">
        <f>IF('Classe CM1'!$B58="","",IF('Classe CM1'!G58="","",'Classe CM1'!G58))</f>
        <v/>
      </c>
      <c r="K538" s="51" t="str">
        <f>IF('Classe CM1'!$B58="","",N('Classe CM1'!H58))</f>
        <v/>
      </c>
      <c r="L538" s="51" t="str">
        <f>IF('Classe CM1'!$B58="","",N('Classe CM1'!I58))</f>
        <v/>
      </c>
      <c r="M538" s="51" t="str">
        <f>IF('Classe CM1'!$B58="","",N('Classe CM1'!J58))</f>
        <v/>
      </c>
      <c r="N538" s="51" t="str">
        <f>IF('Classe CM1'!$B58="","",N('Classe CM1'!K58))</f>
        <v/>
      </c>
      <c r="O538" s="51" t="str">
        <f>IF('Classe CM1'!$B58="","",N('Classe CM1'!L58))</f>
        <v/>
      </c>
      <c r="P538" s="51" t="str">
        <f>IF('Classe CM1'!$B58="","",N('Classe CM1'!M58))</f>
        <v/>
      </c>
      <c r="Q538" s="21" t="str">
        <f>IF('Classe CM1'!$B58="","",IF('Classe CM1'!Q58="","",'Classe CM1'!Q58))</f>
        <v/>
      </c>
      <c r="R538" s="51" t="str">
        <f>IF('Classe CM1'!$B58="","",N('Classe CM1'!N58))</f>
        <v/>
      </c>
      <c r="S538" s="51" t="str">
        <f>IF('Classe CM1'!$B58="","",N('Classe CM1'!O58))</f>
        <v/>
      </c>
      <c r="T538" s="51" t="str">
        <f>IF('Classe CM1'!$B58="","",N('Classe CM1'!P58))</f>
        <v/>
      </c>
    </row>
    <row r="539">
      <c r="A539" s="16" t="str">
        <f>IF('Classe CM1'!$B59="","",IF('Classe CM1'!A59="","",'Classe CM1'!A59))</f>
        <v/>
      </c>
      <c r="B539" s="16" t="str">
        <f>IF('Classe CM1'!$B59="","",IF('Classe CM1'!B59="","",'Classe CM1'!B59))</f>
        <v/>
      </c>
      <c r="C539" s="16" t="str">
        <f>IF('Classe CM1'!$B59="","",IF('Classe CM1'!C59="","",'Classe CM1'!C59))</f>
        <v/>
      </c>
      <c r="D539" s="16" t="str">
        <f>IF($B539="","",C539&amp;" "&amp;B539&amp;" - "&amp;E539)</f>
        <v/>
      </c>
      <c r="E539" s="17" t="str">
        <f>IF($B539="","",Paramètres!$A$21)</f>
        <v/>
      </c>
      <c r="F539" s="17" t="str">
        <f>IF($B539="","",Paramètres!$B$21)</f>
        <v/>
      </c>
      <c r="G539" s="17" t="str">
        <f>IF('Classe CM1'!$B59="","",IF('Classe CM1'!D59="","",'Classe CM1'!D59))</f>
        <v/>
      </c>
      <c r="H539" s="78" t="str">
        <f>IF('Classe CM1'!$B59="","",IF('Classe CM1'!E59="","",'Classe CM1'!E59))</f>
        <v/>
      </c>
      <c r="I539" s="16" t="str">
        <f>IF('Classe CM1'!$B59="","",IF('Classe CM1'!F59="","",'Classe CM1'!F59))</f>
        <v/>
      </c>
      <c r="J539" s="16" t="str">
        <f>IF('Classe CM1'!$B59="","",IF('Classe CM1'!G59="","",'Classe CM1'!G59))</f>
        <v/>
      </c>
      <c r="K539" s="18" t="str">
        <f>IF('Classe CM1'!$B59="","",N('Classe CM1'!H59))</f>
        <v/>
      </c>
      <c r="L539" s="18" t="str">
        <f>IF('Classe CM1'!$B59="","",N('Classe CM1'!I59))</f>
        <v/>
      </c>
      <c r="M539" s="18" t="str">
        <f>IF('Classe CM1'!$B59="","",N('Classe CM1'!J59))</f>
        <v/>
      </c>
      <c r="N539" s="18" t="str">
        <f>IF('Classe CM1'!$B59="","",N('Classe CM1'!K59))</f>
        <v/>
      </c>
      <c r="O539" s="18" t="str">
        <f>IF('Classe CM1'!$B59="","",N('Classe CM1'!L59))</f>
        <v/>
      </c>
      <c r="P539" s="18" t="str">
        <f>IF('Classe CM1'!$B59="","",N('Classe CM1'!M59))</f>
        <v/>
      </c>
      <c r="Q539" s="17" t="str">
        <f>IF('Classe CM1'!$B59="","",IF('Classe CM1'!Q59="","",'Classe CM1'!Q59))</f>
        <v/>
      </c>
      <c r="R539" s="18" t="str">
        <f>IF('Classe CM1'!$B59="","",N('Classe CM1'!N59))</f>
        <v/>
      </c>
      <c r="S539" s="18" t="str">
        <f>IF('Classe CM1'!$B59="","",N('Classe CM1'!O59))</f>
        <v/>
      </c>
      <c r="T539" s="18" t="str">
        <f>IF('Classe CM1'!$B59="","",N('Classe CM1'!P59))</f>
        <v/>
      </c>
    </row>
    <row r="540">
      <c r="A540" s="20" t="str">
        <f>IF('Classe CM1'!$B60="","",IF('Classe CM1'!A60="","",'Classe CM1'!A60))</f>
        <v/>
      </c>
      <c r="B540" s="20" t="str">
        <f>IF('Classe CM1'!$B60="","",IF('Classe CM1'!B60="","",'Classe CM1'!B60))</f>
        <v/>
      </c>
      <c r="C540" s="20" t="str">
        <f>IF('Classe CM1'!$B60="","",IF('Classe CM1'!C60="","",'Classe CM1'!C60))</f>
        <v/>
      </c>
      <c r="D540" s="20" t="str">
        <f>IF($B540="","",C540&amp;" "&amp;B540&amp;" - "&amp;E540)</f>
        <v/>
      </c>
      <c r="E540" s="21" t="str">
        <f>IF($B540="","",Paramètres!$A$21)</f>
        <v/>
      </c>
      <c r="F540" s="21" t="str">
        <f>IF($B540="","",Paramètres!$B$21)</f>
        <v/>
      </c>
      <c r="G540" s="21" t="str">
        <f>IF('Classe CM1'!$B60="","",IF('Classe CM1'!D60="","",'Classe CM1'!D60))</f>
        <v/>
      </c>
      <c r="H540" s="77" t="str">
        <f>IF('Classe CM1'!$B60="","",IF('Classe CM1'!E60="","",'Classe CM1'!E60))</f>
        <v/>
      </c>
      <c r="I540" s="20" t="str">
        <f>IF('Classe CM1'!$B60="","",IF('Classe CM1'!F60="","",'Classe CM1'!F60))</f>
        <v/>
      </c>
      <c r="J540" s="20" t="str">
        <f>IF('Classe CM1'!$B60="","",IF('Classe CM1'!G60="","",'Classe CM1'!G60))</f>
        <v/>
      </c>
      <c r="K540" s="51" t="str">
        <f>IF('Classe CM1'!$B60="","",N('Classe CM1'!H60))</f>
        <v/>
      </c>
      <c r="L540" s="51" t="str">
        <f>IF('Classe CM1'!$B60="","",N('Classe CM1'!I60))</f>
        <v/>
      </c>
      <c r="M540" s="51" t="str">
        <f>IF('Classe CM1'!$B60="","",N('Classe CM1'!J60))</f>
        <v/>
      </c>
      <c r="N540" s="51" t="str">
        <f>IF('Classe CM1'!$B60="","",N('Classe CM1'!K60))</f>
        <v/>
      </c>
      <c r="O540" s="51" t="str">
        <f>IF('Classe CM1'!$B60="","",N('Classe CM1'!L60))</f>
        <v/>
      </c>
      <c r="P540" s="51" t="str">
        <f>IF('Classe CM1'!$B60="","",N('Classe CM1'!M60))</f>
        <v/>
      </c>
      <c r="Q540" s="21" t="str">
        <f>IF('Classe CM1'!$B60="","",IF('Classe CM1'!Q60="","",'Classe CM1'!Q60))</f>
        <v/>
      </c>
      <c r="R540" s="51" t="str">
        <f>IF('Classe CM1'!$B60="","",N('Classe CM1'!N60))</f>
        <v/>
      </c>
      <c r="S540" s="51" t="str">
        <f>IF('Classe CM1'!$B60="","",N('Classe CM1'!O60))</f>
        <v/>
      </c>
      <c r="T540" s="51" t="str">
        <f>IF('Classe CM1'!$B60="","",N('Classe CM1'!P60))</f>
        <v/>
      </c>
    </row>
    <row r="541">
      <c r="A541" s="16" t="str">
        <f>IF('Classe CM1'!$B61="","",IF('Classe CM1'!A61="","",'Classe CM1'!A61))</f>
        <v/>
      </c>
      <c r="B541" s="16" t="str">
        <f>IF('Classe CM1'!$B61="","",IF('Classe CM1'!B61="","",'Classe CM1'!B61))</f>
        <v/>
      </c>
      <c r="C541" s="16" t="str">
        <f>IF('Classe CM1'!$B61="","",IF('Classe CM1'!C61="","",'Classe CM1'!C61))</f>
        <v/>
      </c>
      <c r="D541" s="16" t="str">
        <f>IF($B541="","",C541&amp;" "&amp;B541&amp;" - "&amp;E541)</f>
        <v/>
      </c>
      <c r="E541" s="17" t="str">
        <f>IF($B541="","",Paramètres!$A$21)</f>
        <v/>
      </c>
      <c r="F541" s="17" t="str">
        <f>IF($B541="","",Paramètres!$B$21)</f>
        <v/>
      </c>
      <c r="G541" s="17" t="str">
        <f>IF('Classe CM1'!$B61="","",IF('Classe CM1'!D61="","",'Classe CM1'!D61))</f>
        <v/>
      </c>
      <c r="H541" s="78" t="str">
        <f>IF('Classe CM1'!$B61="","",IF('Classe CM1'!E61="","",'Classe CM1'!E61))</f>
        <v/>
      </c>
      <c r="I541" s="16" t="str">
        <f>IF('Classe CM1'!$B61="","",IF('Classe CM1'!F61="","",'Classe CM1'!F61))</f>
        <v/>
      </c>
      <c r="J541" s="16" t="str">
        <f>IF('Classe CM1'!$B61="","",IF('Classe CM1'!G61="","",'Classe CM1'!G61))</f>
        <v/>
      </c>
      <c r="K541" s="18" t="str">
        <f>IF('Classe CM1'!$B61="","",N('Classe CM1'!H61))</f>
        <v/>
      </c>
      <c r="L541" s="18" t="str">
        <f>IF('Classe CM1'!$B61="","",N('Classe CM1'!I61))</f>
        <v/>
      </c>
      <c r="M541" s="18" t="str">
        <f>IF('Classe CM1'!$B61="","",N('Classe CM1'!J61))</f>
        <v/>
      </c>
      <c r="N541" s="18" t="str">
        <f>IF('Classe CM1'!$B61="","",N('Classe CM1'!K61))</f>
        <v/>
      </c>
      <c r="O541" s="18" t="str">
        <f>IF('Classe CM1'!$B61="","",N('Classe CM1'!L61))</f>
        <v/>
      </c>
      <c r="P541" s="18" t="str">
        <f>IF('Classe CM1'!$B61="","",N('Classe CM1'!M61))</f>
        <v/>
      </c>
      <c r="Q541" s="17" t="str">
        <f>IF('Classe CM1'!$B61="","",IF('Classe CM1'!Q61="","",'Classe CM1'!Q61))</f>
        <v/>
      </c>
      <c r="R541" s="18" t="str">
        <f>IF('Classe CM1'!$B61="","",N('Classe CM1'!N61))</f>
        <v/>
      </c>
      <c r="S541" s="18" t="str">
        <f>IF('Classe CM1'!$B61="","",N('Classe CM1'!O61))</f>
        <v/>
      </c>
      <c r="T541" s="18" t="str">
        <f>IF('Classe CM1'!$B61="","",N('Classe CM1'!P61))</f>
        <v/>
      </c>
    </row>
    <row r="542">
      <c r="A542" s="20" t="str">
        <f>IF('Classe CM1'!$B62="","",IF('Classe CM1'!A62="","",'Classe CM1'!A62))</f>
        <v/>
      </c>
      <c r="B542" s="20" t="str">
        <f>IF('Classe CM1'!$B62="","",IF('Classe CM1'!B62="","",'Classe CM1'!B62))</f>
        <v/>
      </c>
      <c r="C542" s="20" t="str">
        <f>IF('Classe CM1'!$B62="","",IF('Classe CM1'!C62="","",'Classe CM1'!C62))</f>
        <v/>
      </c>
      <c r="D542" s="20" t="str">
        <f>IF($B542="","",C542&amp;" "&amp;B542&amp;" - "&amp;E542)</f>
        <v/>
      </c>
      <c r="E542" s="21" t="str">
        <f>IF($B542="","",Paramètres!$A$21)</f>
        <v/>
      </c>
      <c r="F542" s="21" t="str">
        <f>IF($B542="","",Paramètres!$B$21)</f>
        <v/>
      </c>
      <c r="G542" s="21" t="str">
        <f>IF('Classe CM1'!$B62="","",IF('Classe CM1'!D62="","",'Classe CM1'!D62))</f>
        <v/>
      </c>
      <c r="H542" s="77" t="str">
        <f>IF('Classe CM1'!$B62="","",IF('Classe CM1'!E62="","",'Classe CM1'!E62))</f>
        <v/>
      </c>
      <c r="I542" s="20" t="str">
        <f>IF('Classe CM1'!$B62="","",IF('Classe CM1'!F62="","",'Classe CM1'!F62))</f>
        <v/>
      </c>
      <c r="J542" s="20" t="str">
        <f>IF('Classe CM1'!$B62="","",IF('Classe CM1'!G62="","",'Classe CM1'!G62))</f>
        <v/>
      </c>
      <c r="K542" s="51" t="str">
        <f>IF('Classe CM1'!$B62="","",N('Classe CM1'!H62))</f>
        <v/>
      </c>
      <c r="L542" s="51" t="str">
        <f>IF('Classe CM1'!$B62="","",N('Classe CM1'!I62))</f>
        <v/>
      </c>
      <c r="M542" s="51" t="str">
        <f>IF('Classe CM1'!$B62="","",N('Classe CM1'!J62))</f>
        <v/>
      </c>
      <c r="N542" s="51" t="str">
        <f>IF('Classe CM1'!$B62="","",N('Classe CM1'!K62))</f>
        <v/>
      </c>
      <c r="O542" s="51" t="str">
        <f>IF('Classe CM1'!$B62="","",N('Classe CM1'!L62))</f>
        <v/>
      </c>
      <c r="P542" s="51" t="str">
        <f>IF('Classe CM1'!$B62="","",N('Classe CM1'!M62))</f>
        <v/>
      </c>
      <c r="Q542" s="21" t="str">
        <f>IF('Classe CM1'!$B62="","",IF('Classe CM1'!Q62="","",'Classe CM1'!Q62))</f>
        <v/>
      </c>
      <c r="R542" s="51" t="str">
        <f>IF('Classe CM1'!$B62="","",N('Classe CM1'!N62))</f>
        <v/>
      </c>
      <c r="S542" s="51" t="str">
        <f>IF('Classe CM1'!$B62="","",N('Classe CM1'!O62))</f>
        <v/>
      </c>
      <c r="T542" s="51" t="str">
        <f>IF('Classe CM1'!$B62="","",N('Classe CM1'!P62))</f>
        <v/>
      </c>
    </row>
    <row r="543">
      <c r="A543" s="16" t="str">
        <f>IF('Classe CM1'!$B63="","",IF('Classe CM1'!A63="","",'Classe CM1'!A63))</f>
        <v/>
      </c>
      <c r="B543" s="16" t="str">
        <f>IF('Classe CM1'!$B63="","",IF('Classe CM1'!B63="","",'Classe CM1'!B63))</f>
        <v/>
      </c>
      <c r="C543" s="16" t="str">
        <f>IF('Classe CM1'!$B63="","",IF('Classe CM1'!C63="","",'Classe CM1'!C63))</f>
        <v/>
      </c>
      <c r="D543" s="16" t="str">
        <f>IF($B543="","",C543&amp;" "&amp;B543&amp;" - "&amp;E543)</f>
        <v/>
      </c>
      <c r="E543" s="17" t="str">
        <f>IF($B543="","",Paramètres!$A$21)</f>
        <v/>
      </c>
      <c r="F543" s="17" t="str">
        <f>IF($B543="","",Paramètres!$B$21)</f>
        <v/>
      </c>
      <c r="G543" s="17" t="str">
        <f>IF('Classe CM1'!$B63="","",IF('Classe CM1'!D63="","",'Classe CM1'!D63))</f>
        <v/>
      </c>
      <c r="H543" s="78" t="str">
        <f>IF('Classe CM1'!$B63="","",IF('Classe CM1'!E63="","",'Classe CM1'!E63))</f>
        <v/>
      </c>
      <c r="I543" s="16" t="str">
        <f>IF('Classe CM1'!$B63="","",IF('Classe CM1'!F63="","",'Classe CM1'!F63))</f>
        <v/>
      </c>
      <c r="J543" s="16" t="str">
        <f>IF('Classe CM1'!$B63="","",IF('Classe CM1'!G63="","",'Classe CM1'!G63))</f>
        <v/>
      </c>
      <c r="K543" s="18" t="str">
        <f>IF('Classe CM1'!$B63="","",N('Classe CM1'!H63))</f>
        <v/>
      </c>
      <c r="L543" s="18" t="str">
        <f>IF('Classe CM1'!$B63="","",N('Classe CM1'!I63))</f>
        <v/>
      </c>
      <c r="M543" s="18" t="str">
        <f>IF('Classe CM1'!$B63="","",N('Classe CM1'!J63))</f>
        <v/>
      </c>
      <c r="N543" s="18" t="str">
        <f>IF('Classe CM1'!$B63="","",N('Classe CM1'!K63))</f>
        <v/>
      </c>
      <c r="O543" s="18" t="str">
        <f>IF('Classe CM1'!$B63="","",N('Classe CM1'!L63))</f>
        <v/>
      </c>
      <c r="P543" s="18" t="str">
        <f>IF('Classe CM1'!$B63="","",N('Classe CM1'!M63))</f>
        <v/>
      </c>
      <c r="Q543" s="17" t="str">
        <f>IF('Classe CM1'!$B63="","",IF('Classe CM1'!Q63="","",'Classe CM1'!Q63))</f>
        <v/>
      </c>
      <c r="R543" s="18" t="str">
        <f>IF('Classe CM1'!$B63="","",N('Classe CM1'!N63))</f>
        <v/>
      </c>
      <c r="S543" s="18" t="str">
        <f>IF('Classe CM1'!$B63="","",N('Classe CM1'!O63))</f>
        <v/>
      </c>
      <c r="T543" s="18" t="str">
        <f>IF('Classe CM1'!$B63="","",N('Classe CM1'!P63))</f>
        <v/>
      </c>
    </row>
    <row r="544">
      <c r="A544" s="20" t="str">
        <f>IF('Classe CM1'!$B64="","",IF('Classe CM1'!A64="","",'Classe CM1'!A64))</f>
        <v/>
      </c>
      <c r="B544" s="20" t="str">
        <f>IF('Classe CM1'!$B64="","",IF('Classe CM1'!B64="","",'Classe CM1'!B64))</f>
        <v/>
      </c>
      <c r="C544" s="20" t="str">
        <f>IF('Classe CM1'!$B64="","",IF('Classe CM1'!C64="","",'Classe CM1'!C64))</f>
        <v/>
      </c>
      <c r="D544" s="20" t="str">
        <f>IF($B544="","",C544&amp;" "&amp;B544&amp;" - "&amp;E544)</f>
        <v/>
      </c>
      <c r="E544" s="21" t="str">
        <f>IF($B544="","",Paramètres!$A$21)</f>
        <v/>
      </c>
      <c r="F544" s="21" t="str">
        <f>IF($B544="","",Paramètres!$B$21)</f>
        <v/>
      </c>
      <c r="G544" s="21" t="str">
        <f>IF('Classe CM1'!$B64="","",IF('Classe CM1'!D64="","",'Classe CM1'!D64))</f>
        <v/>
      </c>
      <c r="H544" s="77" t="str">
        <f>IF('Classe CM1'!$B64="","",IF('Classe CM1'!E64="","",'Classe CM1'!E64))</f>
        <v/>
      </c>
      <c r="I544" s="20" t="str">
        <f>IF('Classe CM1'!$B64="","",IF('Classe CM1'!F64="","",'Classe CM1'!F64))</f>
        <v/>
      </c>
      <c r="J544" s="20" t="str">
        <f>IF('Classe CM1'!$B64="","",IF('Classe CM1'!G64="","",'Classe CM1'!G64))</f>
        <v/>
      </c>
      <c r="K544" s="51" t="str">
        <f>IF('Classe CM1'!$B64="","",N('Classe CM1'!H64))</f>
        <v/>
      </c>
      <c r="L544" s="51" t="str">
        <f>IF('Classe CM1'!$B64="","",N('Classe CM1'!I64))</f>
        <v/>
      </c>
      <c r="M544" s="51" t="str">
        <f>IF('Classe CM1'!$B64="","",N('Classe CM1'!J64))</f>
        <v/>
      </c>
      <c r="N544" s="51" t="str">
        <f>IF('Classe CM1'!$B64="","",N('Classe CM1'!K64))</f>
        <v/>
      </c>
      <c r="O544" s="51" t="str">
        <f>IF('Classe CM1'!$B64="","",N('Classe CM1'!L64))</f>
        <v/>
      </c>
      <c r="P544" s="51" t="str">
        <f>IF('Classe CM1'!$B64="","",N('Classe CM1'!M64))</f>
        <v/>
      </c>
      <c r="Q544" s="21" t="str">
        <f>IF('Classe CM1'!$B64="","",IF('Classe CM1'!Q64="","",'Classe CM1'!Q64))</f>
        <v/>
      </c>
      <c r="R544" s="51" t="str">
        <f>IF('Classe CM1'!$B64="","",N('Classe CM1'!N64))</f>
        <v/>
      </c>
      <c r="S544" s="51" t="str">
        <f>IF('Classe CM1'!$B64="","",N('Classe CM1'!O64))</f>
        <v/>
      </c>
      <c r="T544" s="51" t="str">
        <f>IF('Classe CM1'!$B64="","",N('Classe CM1'!P64))</f>
        <v/>
      </c>
    </row>
    <row r="545">
      <c r="A545" s="16" t="str">
        <f>IF('Classe CM1'!$B65="","",IF('Classe CM1'!A65="","",'Classe CM1'!A65))</f>
        <v/>
      </c>
      <c r="B545" s="16" t="str">
        <f>IF('Classe CM1'!$B65="","",IF('Classe CM1'!B65="","",'Classe CM1'!B65))</f>
        <v/>
      </c>
      <c r="C545" s="16" t="str">
        <f>IF('Classe CM1'!$B65="","",IF('Classe CM1'!C65="","",'Classe CM1'!C65))</f>
        <v/>
      </c>
      <c r="D545" s="16" t="str">
        <f>IF($B545="","",C545&amp;" "&amp;B545&amp;" - "&amp;E545)</f>
        <v/>
      </c>
      <c r="E545" s="17" t="str">
        <f>IF($B545="","",Paramètres!$A$21)</f>
        <v/>
      </c>
      <c r="F545" s="17" t="str">
        <f>IF($B545="","",Paramètres!$B$21)</f>
        <v/>
      </c>
      <c r="G545" s="17" t="str">
        <f>IF('Classe CM1'!$B65="","",IF('Classe CM1'!D65="","",'Classe CM1'!D65))</f>
        <v/>
      </c>
      <c r="H545" s="78" t="str">
        <f>IF('Classe CM1'!$B65="","",IF('Classe CM1'!E65="","",'Classe CM1'!E65))</f>
        <v/>
      </c>
      <c r="I545" s="16" t="str">
        <f>IF('Classe CM1'!$B65="","",IF('Classe CM1'!F65="","",'Classe CM1'!F65))</f>
        <v/>
      </c>
      <c r="J545" s="16" t="str">
        <f>IF('Classe CM1'!$B65="","",IF('Classe CM1'!G65="","",'Classe CM1'!G65))</f>
        <v/>
      </c>
      <c r="K545" s="18" t="str">
        <f>IF('Classe CM1'!$B65="","",N('Classe CM1'!H65))</f>
        <v/>
      </c>
      <c r="L545" s="18" t="str">
        <f>IF('Classe CM1'!$B65="","",N('Classe CM1'!I65))</f>
        <v/>
      </c>
      <c r="M545" s="18" t="str">
        <f>IF('Classe CM1'!$B65="","",N('Classe CM1'!J65))</f>
        <v/>
      </c>
      <c r="N545" s="18" t="str">
        <f>IF('Classe CM1'!$B65="","",N('Classe CM1'!K65))</f>
        <v/>
      </c>
      <c r="O545" s="18" t="str">
        <f>IF('Classe CM1'!$B65="","",N('Classe CM1'!L65))</f>
        <v/>
      </c>
      <c r="P545" s="18" t="str">
        <f>IF('Classe CM1'!$B65="","",N('Classe CM1'!M65))</f>
        <v/>
      </c>
      <c r="Q545" s="17" t="str">
        <f>IF('Classe CM1'!$B65="","",IF('Classe CM1'!Q65="","",'Classe CM1'!Q65))</f>
        <v/>
      </c>
      <c r="R545" s="18" t="str">
        <f>IF('Classe CM1'!$B65="","",N('Classe CM1'!N65))</f>
        <v/>
      </c>
      <c r="S545" s="18" t="str">
        <f>IF('Classe CM1'!$B65="","",N('Classe CM1'!O65))</f>
        <v/>
      </c>
      <c r="T545" s="18" t="str">
        <f>IF('Classe CM1'!$B65="","",N('Classe CM1'!P65))</f>
        <v/>
      </c>
    </row>
    <row r="546">
      <c r="A546" s="20" t="str">
        <f>IF('Classe CM1'!$B66="","",IF('Classe CM1'!A66="","",'Classe CM1'!A66))</f>
        <v/>
      </c>
      <c r="B546" s="20" t="str">
        <f>IF('Classe CM1'!$B66="","",IF('Classe CM1'!B66="","",'Classe CM1'!B66))</f>
        <v/>
      </c>
      <c r="C546" s="20" t="str">
        <f>IF('Classe CM1'!$B66="","",IF('Classe CM1'!C66="","",'Classe CM1'!C66))</f>
        <v/>
      </c>
      <c r="D546" s="20" t="str">
        <f>IF($B546="","",C546&amp;" "&amp;B546&amp;" - "&amp;E546)</f>
        <v/>
      </c>
      <c r="E546" s="21" t="str">
        <f>IF($B546="","",Paramètres!$A$21)</f>
        <v/>
      </c>
      <c r="F546" s="21" t="str">
        <f>IF($B546="","",Paramètres!$B$21)</f>
        <v/>
      </c>
      <c r="G546" s="21" t="str">
        <f>IF('Classe CM1'!$B66="","",IF('Classe CM1'!D66="","",'Classe CM1'!D66))</f>
        <v/>
      </c>
      <c r="H546" s="77" t="str">
        <f>IF('Classe CM1'!$B66="","",IF('Classe CM1'!E66="","",'Classe CM1'!E66))</f>
        <v/>
      </c>
      <c r="I546" s="20" t="str">
        <f>IF('Classe CM1'!$B66="","",IF('Classe CM1'!F66="","",'Classe CM1'!F66))</f>
        <v/>
      </c>
      <c r="J546" s="20" t="str">
        <f>IF('Classe CM1'!$B66="","",IF('Classe CM1'!G66="","",'Classe CM1'!G66))</f>
        <v/>
      </c>
      <c r="K546" s="51" t="str">
        <f>IF('Classe CM1'!$B66="","",N('Classe CM1'!H66))</f>
        <v/>
      </c>
      <c r="L546" s="51" t="str">
        <f>IF('Classe CM1'!$B66="","",N('Classe CM1'!I66))</f>
        <v/>
      </c>
      <c r="M546" s="51" t="str">
        <f>IF('Classe CM1'!$B66="","",N('Classe CM1'!J66))</f>
        <v/>
      </c>
      <c r="N546" s="51" t="str">
        <f>IF('Classe CM1'!$B66="","",N('Classe CM1'!K66))</f>
        <v/>
      </c>
      <c r="O546" s="51" t="str">
        <f>IF('Classe CM1'!$B66="","",N('Classe CM1'!L66))</f>
        <v/>
      </c>
      <c r="P546" s="51" t="str">
        <f>IF('Classe CM1'!$B66="","",N('Classe CM1'!M66))</f>
        <v/>
      </c>
      <c r="Q546" s="21" t="str">
        <f>IF('Classe CM1'!$B66="","",IF('Classe CM1'!Q66="","",'Classe CM1'!Q66))</f>
        <v/>
      </c>
      <c r="R546" s="51" t="str">
        <f>IF('Classe CM1'!$B66="","",N('Classe CM1'!N66))</f>
        <v/>
      </c>
      <c r="S546" s="51" t="str">
        <f>IF('Classe CM1'!$B66="","",N('Classe CM1'!O66))</f>
        <v/>
      </c>
      <c r="T546" s="51" t="str">
        <f>IF('Classe CM1'!$B66="","",N('Classe CM1'!P66))</f>
        <v/>
      </c>
    </row>
    <row r="547">
      <c r="A547" s="16" t="str">
        <f>IF('Classe CM1'!$B67="","",IF('Classe CM1'!A67="","",'Classe CM1'!A67))</f>
        <v/>
      </c>
      <c r="B547" s="16" t="str">
        <f>IF('Classe CM1'!$B67="","",IF('Classe CM1'!B67="","",'Classe CM1'!B67))</f>
        <v/>
      </c>
      <c r="C547" s="16" t="str">
        <f>IF('Classe CM1'!$B67="","",IF('Classe CM1'!C67="","",'Classe CM1'!C67))</f>
        <v/>
      </c>
      <c r="D547" s="16" t="str">
        <f>IF($B547="","",C547&amp;" "&amp;B547&amp;" - "&amp;E547)</f>
        <v/>
      </c>
      <c r="E547" s="17" t="str">
        <f>IF($B547="","",Paramètres!$A$21)</f>
        <v/>
      </c>
      <c r="F547" s="17" t="str">
        <f>IF($B547="","",Paramètres!$B$21)</f>
        <v/>
      </c>
      <c r="G547" s="17" t="str">
        <f>IF('Classe CM1'!$B67="","",IF('Classe CM1'!D67="","",'Classe CM1'!D67))</f>
        <v/>
      </c>
      <c r="H547" s="78" t="str">
        <f>IF('Classe CM1'!$B67="","",IF('Classe CM1'!E67="","",'Classe CM1'!E67))</f>
        <v/>
      </c>
      <c r="I547" s="16" t="str">
        <f>IF('Classe CM1'!$B67="","",IF('Classe CM1'!F67="","",'Classe CM1'!F67))</f>
        <v/>
      </c>
      <c r="J547" s="16" t="str">
        <f>IF('Classe CM1'!$B67="","",IF('Classe CM1'!G67="","",'Classe CM1'!G67))</f>
        <v/>
      </c>
      <c r="K547" s="18" t="str">
        <f>IF('Classe CM1'!$B67="","",N('Classe CM1'!H67))</f>
        <v/>
      </c>
      <c r="L547" s="18" t="str">
        <f>IF('Classe CM1'!$B67="","",N('Classe CM1'!I67))</f>
        <v/>
      </c>
      <c r="M547" s="18" t="str">
        <f>IF('Classe CM1'!$B67="","",N('Classe CM1'!J67))</f>
        <v/>
      </c>
      <c r="N547" s="18" t="str">
        <f>IF('Classe CM1'!$B67="","",N('Classe CM1'!K67))</f>
        <v/>
      </c>
      <c r="O547" s="18" t="str">
        <f>IF('Classe CM1'!$B67="","",N('Classe CM1'!L67))</f>
        <v/>
      </c>
      <c r="P547" s="18" t="str">
        <f>IF('Classe CM1'!$B67="","",N('Classe CM1'!M67))</f>
        <v/>
      </c>
      <c r="Q547" s="17" t="str">
        <f>IF('Classe CM1'!$B67="","",IF('Classe CM1'!Q67="","",'Classe CM1'!Q67))</f>
        <v/>
      </c>
      <c r="R547" s="18" t="str">
        <f>IF('Classe CM1'!$B67="","",N('Classe CM1'!N67))</f>
        <v/>
      </c>
      <c r="S547" s="18" t="str">
        <f>IF('Classe CM1'!$B67="","",N('Classe CM1'!O67))</f>
        <v/>
      </c>
      <c r="T547" s="18" t="str">
        <f>IF('Classe CM1'!$B67="","",N('Classe CM1'!P67))</f>
        <v/>
      </c>
    </row>
    <row r="548">
      <c r="A548" s="20" t="str">
        <f>IF('Classe CM1'!$B68="","",IF('Classe CM1'!A68="","",'Classe CM1'!A68))</f>
        <v/>
      </c>
      <c r="B548" s="20" t="str">
        <f>IF('Classe CM1'!$B68="","",IF('Classe CM1'!B68="","",'Classe CM1'!B68))</f>
        <v/>
      </c>
      <c r="C548" s="20" t="str">
        <f>IF('Classe CM1'!$B68="","",IF('Classe CM1'!C68="","",'Classe CM1'!C68))</f>
        <v/>
      </c>
      <c r="D548" s="20" t="str">
        <f>IF($B548="","",C548&amp;" "&amp;B548&amp;" - "&amp;E548)</f>
        <v/>
      </c>
      <c r="E548" s="21" t="str">
        <f>IF($B548="","",Paramètres!$A$21)</f>
        <v/>
      </c>
      <c r="F548" s="21" t="str">
        <f>IF($B548="","",Paramètres!$B$21)</f>
        <v/>
      </c>
      <c r="G548" s="21" t="str">
        <f>IF('Classe CM1'!$B68="","",IF('Classe CM1'!D68="","",'Classe CM1'!D68))</f>
        <v/>
      </c>
      <c r="H548" s="77" t="str">
        <f>IF('Classe CM1'!$B68="","",IF('Classe CM1'!E68="","",'Classe CM1'!E68))</f>
        <v/>
      </c>
      <c r="I548" s="20" t="str">
        <f>IF('Classe CM1'!$B68="","",IF('Classe CM1'!F68="","",'Classe CM1'!F68))</f>
        <v/>
      </c>
      <c r="J548" s="20" t="str">
        <f>IF('Classe CM1'!$B68="","",IF('Classe CM1'!G68="","",'Classe CM1'!G68))</f>
        <v/>
      </c>
      <c r="K548" s="51" t="str">
        <f>IF('Classe CM1'!$B68="","",N('Classe CM1'!H68))</f>
        <v/>
      </c>
      <c r="L548" s="51" t="str">
        <f>IF('Classe CM1'!$B68="","",N('Classe CM1'!I68))</f>
        <v/>
      </c>
      <c r="M548" s="51" t="str">
        <f>IF('Classe CM1'!$B68="","",N('Classe CM1'!J68))</f>
        <v/>
      </c>
      <c r="N548" s="51" t="str">
        <f>IF('Classe CM1'!$B68="","",N('Classe CM1'!K68))</f>
        <v/>
      </c>
      <c r="O548" s="51" t="str">
        <f>IF('Classe CM1'!$B68="","",N('Classe CM1'!L68))</f>
        <v/>
      </c>
      <c r="P548" s="51" t="str">
        <f>IF('Classe CM1'!$B68="","",N('Classe CM1'!M68))</f>
        <v/>
      </c>
      <c r="Q548" s="21" t="str">
        <f>IF('Classe CM1'!$B68="","",IF('Classe CM1'!Q68="","",'Classe CM1'!Q68))</f>
        <v/>
      </c>
      <c r="R548" s="51" t="str">
        <f>IF('Classe CM1'!$B68="","",N('Classe CM1'!N68))</f>
        <v/>
      </c>
      <c r="S548" s="51" t="str">
        <f>IF('Classe CM1'!$B68="","",N('Classe CM1'!O68))</f>
        <v/>
      </c>
      <c r="T548" s="51" t="str">
        <f>IF('Classe CM1'!$B68="","",N('Classe CM1'!P68))</f>
        <v/>
      </c>
    </row>
    <row r="549">
      <c r="A549" s="16" t="str">
        <f>IF('Classe CM1'!$B69="","",IF('Classe CM1'!A69="","",'Classe CM1'!A69))</f>
        <v/>
      </c>
      <c r="B549" s="16" t="str">
        <f>IF('Classe CM1'!$B69="","",IF('Classe CM1'!B69="","",'Classe CM1'!B69))</f>
        <v/>
      </c>
      <c r="C549" s="16" t="str">
        <f>IF('Classe CM1'!$B69="","",IF('Classe CM1'!C69="","",'Classe CM1'!C69))</f>
        <v/>
      </c>
      <c r="D549" s="16" t="str">
        <f>IF($B549="","",C549&amp;" "&amp;B549&amp;" - "&amp;E549)</f>
        <v/>
      </c>
      <c r="E549" s="17" t="str">
        <f>IF($B549="","",Paramètres!$A$21)</f>
        <v/>
      </c>
      <c r="F549" s="17" t="str">
        <f>IF($B549="","",Paramètres!$B$21)</f>
        <v/>
      </c>
      <c r="G549" s="17" t="str">
        <f>IF('Classe CM1'!$B69="","",IF('Classe CM1'!D69="","",'Classe CM1'!D69))</f>
        <v/>
      </c>
      <c r="H549" s="78" t="str">
        <f>IF('Classe CM1'!$B69="","",IF('Classe CM1'!E69="","",'Classe CM1'!E69))</f>
        <v/>
      </c>
      <c r="I549" s="16" t="str">
        <f>IF('Classe CM1'!$B69="","",IF('Classe CM1'!F69="","",'Classe CM1'!F69))</f>
        <v/>
      </c>
      <c r="J549" s="16" t="str">
        <f>IF('Classe CM1'!$B69="","",IF('Classe CM1'!G69="","",'Classe CM1'!G69))</f>
        <v/>
      </c>
      <c r="K549" s="18" t="str">
        <f>IF('Classe CM1'!$B69="","",N('Classe CM1'!H69))</f>
        <v/>
      </c>
      <c r="L549" s="18" t="str">
        <f>IF('Classe CM1'!$B69="","",N('Classe CM1'!I69))</f>
        <v/>
      </c>
      <c r="M549" s="18" t="str">
        <f>IF('Classe CM1'!$B69="","",N('Classe CM1'!J69))</f>
        <v/>
      </c>
      <c r="N549" s="18" t="str">
        <f>IF('Classe CM1'!$B69="","",N('Classe CM1'!K69))</f>
        <v/>
      </c>
      <c r="O549" s="18" t="str">
        <f>IF('Classe CM1'!$B69="","",N('Classe CM1'!L69))</f>
        <v/>
      </c>
      <c r="P549" s="18" t="str">
        <f>IF('Classe CM1'!$B69="","",N('Classe CM1'!M69))</f>
        <v/>
      </c>
      <c r="Q549" s="17" t="str">
        <f>IF('Classe CM1'!$B69="","",IF('Classe CM1'!Q69="","",'Classe CM1'!Q69))</f>
        <v/>
      </c>
      <c r="R549" s="18" t="str">
        <f>IF('Classe CM1'!$B69="","",N('Classe CM1'!N69))</f>
        <v/>
      </c>
      <c r="S549" s="18" t="str">
        <f>IF('Classe CM1'!$B69="","",N('Classe CM1'!O69))</f>
        <v/>
      </c>
      <c r="T549" s="18" t="str">
        <f>IF('Classe CM1'!$B69="","",N('Classe CM1'!P69))</f>
        <v/>
      </c>
    </row>
    <row r="550">
      <c r="A550" s="20" t="str">
        <f>IF('Classe CM1'!$B70="","",IF('Classe CM1'!A70="","",'Classe CM1'!A70))</f>
        <v/>
      </c>
      <c r="B550" s="20" t="str">
        <f>IF('Classe CM1'!$B70="","",IF('Classe CM1'!B70="","",'Classe CM1'!B70))</f>
        <v/>
      </c>
      <c r="C550" s="20" t="str">
        <f>IF('Classe CM1'!$B70="","",IF('Classe CM1'!C70="","",'Classe CM1'!C70))</f>
        <v/>
      </c>
      <c r="D550" s="20" t="str">
        <f>IF($B550="","",C550&amp;" "&amp;B550&amp;" - "&amp;E550)</f>
        <v/>
      </c>
      <c r="E550" s="21" t="str">
        <f>IF($B550="","",Paramètres!$A$21)</f>
        <v/>
      </c>
      <c r="F550" s="21" t="str">
        <f>IF($B550="","",Paramètres!$B$21)</f>
        <v/>
      </c>
      <c r="G550" s="21" t="str">
        <f>IF('Classe CM1'!$B70="","",IF('Classe CM1'!D70="","",'Classe CM1'!D70))</f>
        <v/>
      </c>
      <c r="H550" s="77" t="str">
        <f>IF('Classe CM1'!$B70="","",IF('Classe CM1'!E70="","",'Classe CM1'!E70))</f>
        <v/>
      </c>
      <c r="I550" s="20" t="str">
        <f>IF('Classe CM1'!$B70="","",IF('Classe CM1'!F70="","",'Classe CM1'!F70))</f>
        <v/>
      </c>
      <c r="J550" s="20" t="str">
        <f>IF('Classe CM1'!$B70="","",IF('Classe CM1'!G70="","",'Classe CM1'!G70))</f>
        <v/>
      </c>
      <c r="K550" s="51" t="str">
        <f>IF('Classe CM1'!$B70="","",N('Classe CM1'!H70))</f>
        <v/>
      </c>
      <c r="L550" s="51" t="str">
        <f>IF('Classe CM1'!$B70="","",N('Classe CM1'!I70))</f>
        <v/>
      </c>
      <c r="M550" s="51" t="str">
        <f>IF('Classe CM1'!$B70="","",N('Classe CM1'!J70))</f>
        <v/>
      </c>
      <c r="N550" s="51" t="str">
        <f>IF('Classe CM1'!$B70="","",N('Classe CM1'!K70))</f>
        <v/>
      </c>
      <c r="O550" s="51" t="str">
        <f>IF('Classe CM1'!$B70="","",N('Classe CM1'!L70))</f>
        <v/>
      </c>
      <c r="P550" s="51" t="str">
        <f>IF('Classe CM1'!$B70="","",N('Classe CM1'!M70))</f>
        <v/>
      </c>
      <c r="Q550" s="21" t="str">
        <f>IF('Classe CM1'!$B70="","",IF('Classe CM1'!Q70="","",'Classe CM1'!Q70))</f>
        <v/>
      </c>
      <c r="R550" s="51" t="str">
        <f>IF('Classe CM1'!$B70="","",N('Classe CM1'!N70))</f>
        <v/>
      </c>
      <c r="S550" s="51" t="str">
        <f>IF('Classe CM1'!$B70="","",N('Classe CM1'!O70))</f>
        <v/>
      </c>
      <c r="T550" s="51" t="str">
        <f>IF('Classe CM1'!$B70="","",N('Classe CM1'!P70))</f>
        <v/>
      </c>
    </row>
    <row r="551">
      <c r="A551" s="16" t="str">
        <f>IF('Classe CM1'!$B71="","",IF('Classe CM1'!A71="","",'Classe CM1'!A71))</f>
        <v/>
      </c>
      <c r="B551" s="16" t="str">
        <f>IF('Classe CM1'!$B71="","",IF('Classe CM1'!B71="","",'Classe CM1'!B71))</f>
        <v/>
      </c>
      <c r="C551" s="16" t="str">
        <f>IF('Classe CM1'!$B71="","",IF('Classe CM1'!C71="","",'Classe CM1'!C71))</f>
        <v/>
      </c>
      <c r="D551" s="16" t="str">
        <f>IF($B551="","",C551&amp;" "&amp;B551&amp;" - "&amp;E551)</f>
        <v/>
      </c>
      <c r="E551" s="17" t="str">
        <f>IF($B551="","",Paramètres!$A$21)</f>
        <v/>
      </c>
      <c r="F551" s="17" t="str">
        <f>IF($B551="","",Paramètres!$B$21)</f>
        <v/>
      </c>
      <c r="G551" s="17" t="str">
        <f>IF('Classe CM1'!$B71="","",IF('Classe CM1'!D71="","",'Classe CM1'!D71))</f>
        <v/>
      </c>
      <c r="H551" s="78" t="str">
        <f>IF('Classe CM1'!$B71="","",IF('Classe CM1'!E71="","",'Classe CM1'!E71))</f>
        <v/>
      </c>
      <c r="I551" s="16" t="str">
        <f>IF('Classe CM1'!$B71="","",IF('Classe CM1'!F71="","",'Classe CM1'!F71))</f>
        <v/>
      </c>
      <c r="J551" s="16" t="str">
        <f>IF('Classe CM1'!$B71="","",IF('Classe CM1'!G71="","",'Classe CM1'!G71))</f>
        <v/>
      </c>
      <c r="K551" s="18" t="str">
        <f>IF('Classe CM1'!$B71="","",N('Classe CM1'!H71))</f>
        <v/>
      </c>
      <c r="L551" s="18" t="str">
        <f>IF('Classe CM1'!$B71="","",N('Classe CM1'!I71))</f>
        <v/>
      </c>
      <c r="M551" s="18" t="str">
        <f>IF('Classe CM1'!$B71="","",N('Classe CM1'!J71))</f>
        <v/>
      </c>
      <c r="N551" s="18" t="str">
        <f>IF('Classe CM1'!$B71="","",N('Classe CM1'!K71))</f>
        <v/>
      </c>
      <c r="O551" s="18" t="str">
        <f>IF('Classe CM1'!$B71="","",N('Classe CM1'!L71))</f>
        <v/>
      </c>
      <c r="P551" s="18" t="str">
        <f>IF('Classe CM1'!$B71="","",N('Classe CM1'!M71))</f>
        <v/>
      </c>
      <c r="Q551" s="17" t="str">
        <f>IF('Classe CM1'!$B71="","",IF('Classe CM1'!Q71="","",'Classe CM1'!Q71))</f>
        <v/>
      </c>
      <c r="R551" s="18" t="str">
        <f>IF('Classe CM1'!$B71="","",N('Classe CM1'!N71))</f>
        <v/>
      </c>
      <c r="S551" s="18" t="str">
        <f>IF('Classe CM1'!$B71="","",N('Classe CM1'!O71))</f>
        <v/>
      </c>
      <c r="T551" s="18" t="str">
        <f>IF('Classe CM1'!$B71="","",N('Classe CM1'!P71))</f>
        <v/>
      </c>
    </row>
    <row r="552">
      <c r="A552" s="20" t="str">
        <f>IF('Classe CM1'!$B72="","",IF('Classe CM1'!A72="","",'Classe CM1'!A72))</f>
        <v/>
      </c>
      <c r="B552" s="20" t="str">
        <f>IF('Classe CM1'!$B72="","",IF('Classe CM1'!B72="","",'Classe CM1'!B72))</f>
        <v/>
      </c>
      <c r="C552" s="20" t="str">
        <f>IF('Classe CM1'!$B72="","",IF('Classe CM1'!C72="","",'Classe CM1'!C72))</f>
        <v/>
      </c>
      <c r="D552" s="20" t="str">
        <f>IF($B552="","",C552&amp;" "&amp;B552&amp;" - "&amp;E552)</f>
        <v/>
      </c>
      <c r="E552" s="21" t="str">
        <f>IF($B552="","",Paramètres!$A$21)</f>
        <v/>
      </c>
      <c r="F552" s="21" t="str">
        <f>IF($B552="","",Paramètres!$B$21)</f>
        <v/>
      </c>
      <c r="G552" s="21" t="str">
        <f>IF('Classe CM1'!$B72="","",IF('Classe CM1'!D72="","",'Classe CM1'!D72))</f>
        <v/>
      </c>
      <c r="H552" s="77" t="str">
        <f>IF('Classe CM1'!$B72="","",IF('Classe CM1'!E72="","",'Classe CM1'!E72))</f>
        <v/>
      </c>
      <c r="I552" s="20" t="str">
        <f>IF('Classe CM1'!$B72="","",IF('Classe CM1'!F72="","",'Classe CM1'!F72))</f>
        <v/>
      </c>
      <c r="J552" s="20" t="str">
        <f>IF('Classe CM1'!$B72="","",IF('Classe CM1'!G72="","",'Classe CM1'!G72))</f>
        <v/>
      </c>
      <c r="K552" s="51" t="str">
        <f>IF('Classe CM1'!$B72="","",N('Classe CM1'!H72))</f>
        <v/>
      </c>
      <c r="L552" s="51" t="str">
        <f>IF('Classe CM1'!$B72="","",N('Classe CM1'!I72))</f>
        <v/>
      </c>
      <c r="M552" s="51" t="str">
        <f>IF('Classe CM1'!$B72="","",N('Classe CM1'!J72))</f>
        <v/>
      </c>
      <c r="N552" s="51" t="str">
        <f>IF('Classe CM1'!$B72="","",N('Classe CM1'!K72))</f>
        <v/>
      </c>
      <c r="O552" s="51" t="str">
        <f>IF('Classe CM1'!$B72="","",N('Classe CM1'!L72))</f>
        <v/>
      </c>
      <c r="P552" s="51" t="str">
        <f>IF('Classe CM1'!$B72="","",N('Classe CM1'!M72))</f>
        <v/>
      </c>
      <c r="Q552" s="21" t="str">
        <f>IF('Classe CM1'!$B72="","",IF('Classe CM1'!Q72="","",'Classe CM1'!Q72))</f>
        <v/>
      </c>
      <c r="R552" s="51" t="str">
        <f>IF('Classe CM1'!$B72="","",N('Classe CM1'!N72))</f>
        <v/>
      </c>
      <c r="S552" s="51" t="str">
        <f>IF('Classe CM1'!$B72="","",N('Classe CM1'!O72))</f>
        <v/>
      </c>
      <c r="T552" s="51" t="str">
        <f>IF('Classe CM1'!$B72="","",N('Classe CM1'!P72))</f>
        <v/>
      </c>
    </row>
    <row r="553">
      <c r="A553" s="16" t="str">
        <f>IF('Classe CM1'!$B73="","",IF('Classe CM1'!A73="","",'Classe CM1'!A73))</f>
        <v/>
      </c>
      <c r="B553" s="16" t="str">
        <f>IF('Classe CM1'!$B73="","",IF('Classe CM1'!B73="","",'Classe CM1'!B73))</f>
        <v/>
      </c>
      <c r="C553" s="16" t="str">
        <f>IF('Classe CM1'!$B73="","",IF('Classe CM1'!C73="","",'Classe CM1'!C73))</f>
        <v/>
      </c>
      <c r="D553" s="16" t="str">
        <f>IF($B553="","",C553&amp;" "&amp;B553&amp;" - "&amp;E553)</f>
        <v/>
      </c>
      <c r="E553" s="17" t="str">
        <f>IF($B553="","",Paramètres!$A$21)</f>
        <v/>
      </c>
      <c r="F553" s="17" t="str">
        <f>IF($B553="","",Paramètres!$B$21)</f>
        <v/>
      </c>
      <c r="G553" s="17" t="str">
        <f>IF('Classe CM1'!$B73="","",IF('Classe CM1'!D73="","",'Classe CM1'!D73))</f>
        <v/>
      </c>
      <c r="H553" s="78" t="str">
        <f>IF('Classe CM1'!$B73="","",IF('Classe CM1'!E73="","",'Classe CM1'!E73))</f>
        <v/>
      </c>
      <c r="I553" s="16" t="str">
        <f>IF('Classe CM1'!$B73="","",IF('Classe CM1'!F73="","",'Classe CM1'!F73))</f>
        <v/>
      </c>
      <c r="J553" s="16" t="str">
        <f>IF('Classe CM1'!$B73="","",IF('Classe CM1'!G73="","",'Classe CM1'!G73))</f>
        <v/>
      </c>
      <c r="K553" s="18" t="str">
        <f>IF('Classe CM1'!$B73="","",N('Classe CM1'!H73))</f>
        <v/>
      </c>
      <c r="L553" s="18" t="str">
        <f>IF('Classe CM1'!$B73="","",N('Classe CM1'!I73))</f>
        <v/>
      </c>
      <c r="M553" s="18" t="str">
        <f>IF('Classe CM1'!$B73="","",N('Classe CM1'!J73))</f>
        <v/>
      </c>
      <c r="N553" s="18" t="str">
        <f>IF('Classe CM1'!$B73="","",N('Classe CM1'!K73))</f>
        <v/>
      </c>
      <c r="O553" s="18" t="str">
        <f>IF('Classe CM1'!$B73="","",N('Classe CM1'!L73))</f>
        <v/>
      </c>
      <c r="P553" s="18" t="str">
        <f>IF('Classe CM1'!$B73="","",N('Classe CM1'!M73))</f>
        <v/>
      </c>
      <c r="Q553" s="17" t="str">
        <f>IF('Classe CM1'!$B73="","",IF('Classe CM1'!Q73="","",'Classe CM1'!Q73))</f>
        <v/>
      </c>
      <c r="R553" s="18" t="str">
        <f>IF('Classe CM1'!$B73="","",N('Classe CM1'!N73))</f>
        <v/>
      </c>
      <c r="S553" s="18" t="str">
        <f>IF('Classe CM1'!$B73="","",N('Classe CM1'!O73))</f>
        <v/>
      </c>
      <c r="T553" s="18" t="str">
        <f>IF('Classe CM1'!$B73="","",N('Classe CM1'!P73))</f>
        <v/>
      </c>
    </row>
    <row r="554">
      <c r="A554" s="20" t="str">
        <f>IF('Classe CM1'!$B74="","",IF('Classe CM1'!A74="","",'Classe CM1'!A74))</f>
        <v/>
      </c>
      <c r="B554" s="20" t="str">
        <f>IF('Classe CM1'!$B74="","",IF('Classe CM1'!B74="","",'Classe CM1'!B74))</f>
        <v/>
      </c>
      <c r="C554" s="20" t="str">
        <f>IF('Classe CM1'!$B74="","",IF('Classe CM1'!C74="","",'Classe CM1'!C74))</f>
        <v/>
      </c>
      <c r="D554" s="20" t="str">
        <f>IF($B554="","",C554&amp;" "&amp;B554&amp;" - "&amp;E554)</f>
        <v/>
      </c>
      <c r="E554" s="21" t="str">
        <f>IF($B554="","",Paramètres!$A$21)</f>
        <v/>
      </c>
      <c r="F554" s="21" t="str">
        <f>IF($B554="","",Paramètres!$B$21)</f>
        <v/>
      </c>
      <c r="G554" s="21" t="str">
        <f>IF('Classe CM1'!$B74="","",IF('Classe CM1'!D74="","",'Classe CM1'!D74))</f>
        <v/>
      </c>
      <c r="H554" s="77" t="str">
        <f>IF('Classe CM1'!$B74="","",IF('Classe CM1'!E74="","",'Classe CM1'!E74))</f>
        <v/>
      </c>
      <c r="I554" s="20" t="str">
        <f>IF('Classe CM1'!$B74="","",IF('Classe CM1'!F74="","",'Classe CM1'!F74))</f>
        <v/>
      </c>
      <c r="J554" s="20" t="str">
        <f>IF('Classe CM1'!$B74="","",IF('Classe CM1'!G74="","",'Classe CM1'!G74))</f>
        <v/>
      </c>
      <c r="K554" s="51" t="str">
        <f>IF('Classe CM1'!$B74="","",N('Classe CM1'!H74))</f>
        <v/>
      </c>
      <c r="L554" s="51" t="str">
        <f>IF('Classe CM1'!$B74="","",N('Classe CM1'!I74))</f>
        <v/>
      </c>
      <c r="M554" s="51" t="str">
        <f>IF('Classe CM1'!$B74="","",N('Classe CM1'!J74))</f>
        <v/>
      </c>
      <c r="N554" s="51" t="str">
        <f>IF('Classe CM1'!$B74="","",N('Classe CM1'!K74))</f>
        <v/>
      </c>
      <c r="O554" s="51" t="str">
        <f>IF('Classe CM1'!$B74="","",N('Classe CM1'!L74))</f>
        <v/>
      </c>
      <c r="P554" s="51" t="str">
        <f>IF('Classe CM1'!$B74="","",N('Classe CM1'!M74))</f>
        <v/>
      </c>
      <c r="Q554" s="21" t="str">
        <f>IF('Classe CM1'!$B74="","",IF('Classe CM1'!Q74="","",'Classe CM1'!Q74))</f>
        <v/>
      </c>
      <c r="R554" s="51" t="str">
        <f>IF('Classe CM1'!$B74="","",N('Classe CM1'!N74))</f>
        <v/>
      </c>
      <c r="S554" s="51" t="str">
        <f>IF('Classe CM1'!$B74="","",N('Classe CM1'!O74))</f>
        <v/>
      </c>
      <c r="T554" s="51" t="str">
        <f>IF('Classe CM1'!$B74="","",N('Classe CM1'!P74))</f>
        <v/>
      </c>
    </row>
    <row r="555">
      <c r="A555" s="16" t="str">
        <f>IF('Classe CM1'!$B75="","",IF('Classe CM1'!A75="","",'Classe CM1'!A75))</f>
        <v/>
      </c>
      <c r="B555" s="16" t="str">
        <f>IF('Classe CM1'!$B75="","",IF('Classe CM1'!B75="","",'Classe CM1'!B75))</f>
        <v/>
      </c>
      <c r="C555" s="16" t="str">
        <f>IF('Classe CM1'!$B75="","",IF('Classe CM1'!C75="","",'Classe CM1'!C75))</f>
        <v/>
      </c>
      <c r="D555" s="16" t="str">
        <f>IF($B555="","",C555&amp;" "&amp;B555&amp;" - "&amp;E555)</f>
        <v/>
      </c>
      <c r="E555" s="17" t="str">
        <f>IF($B555="","",Paramètres!$A$21)</f>
        <v/>
      </c>
      <c r="F555" s="17" t="str">
        <f>IF($B555="","",Paramètres!$B$21)</f>
        <v/>
      </c>
      <c r="G555" s="17" t="str">
        <f>IF('Classe CM1'!$B75="","",IF('Classe CM1'!D75="","",'Classe CM1'!D75))</f>
        <v/>
      </c>
      <c r="H555" s="78" t="str">
        <f>IF('Classe CM1'!$B75="","",IF('Classe CM1'!E75="","",'Classe CM1'!E75))</f>
        <v/>
      </c>
      <c r="I555" s="16" t="str">
        <f>IF('Classe CM1'!$B75="","",IF('Classe CM1'!F75="","",'Classe CM1'!F75))</f>
        <v/>
      </c>
      <c r="J555" s="16" t="str">
        <f>IF('Classe CM1'!$B75="","",IF('Classe CM1'!G75="","",'Classe CM1'!G75))</f>
        <v/>
      </c>
      <c r="K555" s="18" t="str">
        <f>IF('Classe CM1'!$B75="","",N('Classe CM1'!H75))</f>
        <v/>
      </c>
      <c r="L555" s="18" t="str">
        <f>IF('Classe CM1'!$B75="","",N('Classe CM1'!I75))</f>
        <v/>
      </c>
      <c r="M555" s="18" t="str">
        <f>IF('Classe CM1'!$B75="","",N('Classe CM1'!J75))</f>
        <v/>
      </c>
      <c r="N555" s="18" t="str">
        <f>IF('Classe CM1'!$B75="","",N('Classe CM1'!K75))</f>
        <v/>
      </c>
      <c r="O555" s="18" t="str">
        <f>IF('Classe CM1'!$B75="","",N('Classe CM1'!L75))</f>
        <v/>
      </c>
      <c r="P555" s="18" t="str">
        <f>IF('Classe CM1'!$B75="","",N('Classe CM1'!M75))</f>
        <v/>
      </c>
      <c r="Q555" s="17" t="str">
        <f>IF('Classe CM1'!$B75="","",IF('Classe CM1'!Q75="","",'Classe CM1'!Q75))</f>
        <v/>
      </c>
      <c r="R555" s="18" t="str">
        <f>IF('Classe CM1'!$B75="","",N('Classe CM1'!N75))</f>
        <v/>
      </c>
      <c r="S555" s="18" t="str">
        <f>IF('Classe CM1'!$B75="","",N('Classe CM1'!O75))</f>
        <v/>
      </c>
      <c r="T555" s="18" t="str">
        <f>IF('Classe CM1'!$B75="","",N('Classe CM1'!P75))</f>
        <v/>
      </c>
    </row>
    <row r="556">
      <c r="A556" s="20" t="str">
        <f>IF('Classe CM1'!$B76="","",IF('Classe CM1'!A76="","",'Classe CM1'!A76))</f>
        <v/>
      </c>
      <c r="B556" s="20" t="str">
        <f>IF('Classe CM1'!$B76="","",IF('Classe CM1'!B76="","",'Classe CM1'!B76))</f>
        <v/>
      </c>
      <c r="C556" s="20" t="str">
        <f>IF('Classe CM1'!$B76="","",IF('Classe CM1'!C76="","",'Classe CM1'!C76))</f>
        <v/>
      </c>
      <c r="D556" s="20" t="str">
        <f>IF($B556="","",C556&amp;" "&amp;B556&amp;" - "&amp;E556)</f>
        <v/>
      </c>
      <c r="E556" s="21" t="str">
        <f>IF($B556="","",Paramètres!$A$21)</f>
        <v/>
      </c>
      <c r="F556" s="21" t="str">
        <f>IF($B556="","",Paramètres!$B$21)</f>
        <v/>
      </c>
      <c r="G556" s="21" t="str">
        <f>IF('Classe CM1'!$B76="","",IF('Classe CM1'!D76="","",'Classe CM1'!D76))</f>
        <v/>
      </c>
      <c r="H556" s="77" t="str">
        <f>IF('Classe CM1'!$B76="","",IF('Classe CM1'!E76="","",'Classe CM1'!E76))</f>
        <v/>
      </c>
      <c r="I556" s="20" t="str">
        <f>IF('Classe CM1'!$B76="","",IF('Classe CM1'!F76="","",'Classe CM1'!F76))</f>
        <v/>
      </c>
      <c r="J556" s="20" t="str">
        <f>IF('Classe CM1'!$B76="","",IF('Classe CM1'!G76="","",'Classe CM1'!G76))</f>
        <v/>
      </c>
      <c r="K556" s="51" t="str">
        <f>IF('Classe CM1'!$B76="","",N('Classe CM1'!H76))</f>
        <v/>
      </c>
      <c r="L556" s="51" t="str">
        <f>IF('Classe CM1'!$B76="","",N('Classe CM1'!I76))</f>
        <v/>
      </c>
      <c r="M556" s="51" t="str">
        <f>IF('Classe CM1'!$B76="","",N('Classe CM1'!J76))</f>
        <v/>
      </c>
      <c r="N556" s="51" t="str">
        <f>IF('Classe CM1'!$B76="","",N('Classe CM1'!K76))</f>
        <v/>
      </c>
      <c r="O556" s="51" t="str">
        <f>IF('Classe CM1'!$B76="","",N('Classe CM1'!L76))</f>
        <v/>
      </c>
      <c r="P556" s="51" t="str">
        <f>IF('Classe CM1'!$B76="","",N('Classe CM1'!M76))</f>
        <v/>
      </c>
      <c r="Q556" s="21" t="str">
        <f>IF('Classe CM1'!$B76="","",IF('Classe CM1'!Q76="","",'Classe CM1'!Q76))</f>
        <v/>
      </c>
      <c r="R556" s="51" t="str">
        <f>IF('Classe CM1'!$B76="","",N('Classe CM1'!N76))</f>
        <v/>
      </c>
      <c r="S556" s="51" t="str">
        <f>IF('Classe CM1'!$B76="","",N('Classe CM1'!O76))</f>
        <v/>
      </c>
      <c r="T556" s="51" t="str">
        <f>IF('Classe CM1'!$B76="","",N('Classe CM1'!P76))</f>
        <v/>
      </c>
    </row>
    <row r="557">
      <c r="A557" s="16" t="str">
        <f>IF('Classe CM1'!$B77="","",IF('Classe CM1'!A77="","",'Classe CM1'!A77))</f>
        <v/>
      </c>
      <c r="B557" s="16" t="str">
        <f>IF('Classe CM1'!$B77="","",IF('Classe CM1'!B77="","",'Classe CM1'!B77))</f>
        <v/>
      </c>
      <c r="C557" s="16" t="str">
        <f>IF('Classe CM1'!$B77="","",IF('Classe CM1'!C77="","",'Classe CM1'!C77))</f>
        <v/>
      </c>
      <c r="D557" s="16" t="str">
        <f>IF($B557="","",C557&amp;" "&amp;B557&amp;" - "&amp;E557)</f>
        <v/>
      </c>
      <c r="E557" s="17" t="str">
        <f>IF($B557="","",Paramètres!$A$21)</f>
        <v/>
      </c>
      <c r="F557" s="17" t="str">
        <f>IF($B557="","",Paramètres!$B$21)</f>
        <v/>
      </c>
      <c r="G557" s="17" t="str">
        <f>IF('Classe CM1'!$B77="","",IF('Classe CM1'!D77="","",'Classe CM1'!D77))</f>
        <v/>
      </c>
      <c r="H557" s="78" t="str">
        <f>IF('Classe CM1'!$B77="","",IF('Classe CM1'!E77="","",'Classe CM1'!E77))</f>
        <v/>
      </c>
      <c r="I557" s="16" t="str">
        <f>IF('Classe CM1'!$B77="","",IF('Classe CM1'!F77="","",'Classe CM1'!F77))</f>
        <v/>
      </c>
      <c r="J557" s="16" t="str">
        <f>IF('Classe CM1'!$B77="","",IF('Classe CM1'!G77="","",'Classe CM1'!G77))</f>
        <v/>
      </c>
      <c r="K557" s="18" t="str">
        <f>IF('Classe CM1'!$B77="","",N('Classe CM1'!H77))</f>
        <v/>
      </c>
      <c r="L557" s="18" t="str">
        <f>IF('Classe CM1'!$B77="","",N('Classe CM1'!I77))</f>
        <v/>
      </c>
      <c r="M557" s="18" t="str">
        <f>IF('Classe CM1'!$B77="","",N('Classe CM1'!J77))</f>
        <v/>
      </c>
      <c r="N557" s="18" t="str">
        <f>IF('Classe CM1'!$B77="","",N('Classe CM1'!K77))</f>
        <v/>
      </c>
      <c r="O557" s="18" t="str">
        <f>IF('Classe CM1'!$B77="","",N('Classe CM1'!L77))</f>
        <v/>
      </c>
      <c r="P557" s="18" t="str">
        <f>IF('Classe CM1'!$B77="","",N('Classe CM1'!M77))</f>
        <v/>
      </c>
      <c r="Q557" s="17" t="str">
        <f>IF('Classe CM1'!$B77="","",IF('Classe CM1'!Q77="","",'Classe CM1'!Q77))</f>
        <v/>
      </c>
      <c r="R557" s="18" t="str">
        <f>IF('Classe CM1'!$B77="","",N('Classe CM1'!N77))</f>
        <v/>
      </c>
      <c r="S557" s="18" t="str">
        <f>IF('Classe CM1'!$B77="","",N('Classe CM1'!O77))</f>
        <v/>
      </c>
      <c r="T557" s="18" t="str">
        <f>IF('Classe CM1'!$B77="","",N('Classe CM1'!P77))</f>
        <v/>
      </c>
    </row>
    <row r="558">
      <c r="A558" s="20" t="str">
        <f>IF('Classe CM1'!$B78="","",IF('Classe CM1'!A78="","",'Classe CM1'!A78))</f>
        <v/>
      </c>
      <c r="B558" s="20" t="str">
        <f>IF('Classe CM1'!$B78="","",IF('Classe CM1'!B78="","",'Classe CM1'!B78))</f>
        <v/>
      </c>
      <c r="C558" s="20" t="str">
        <f>IF('Classe CM1'!$B78="","",IF('Classe CM1'!C78="","",'Classe CM1'!C78))</f>
        <v/>
      </c>
      <c r="D558" s="20" t="str">
        <f>IF($B558="","",C558&amp;" "&amp;B558&amp;" - "&amp;E558)</f>
        <v/>
      </c>
      <c r="E558" s="21" t="str">
        <f>IF($B558="","",Paramètres!$A$21)</f>
        <v/>
      </c>
      <c r="F558" s="21" t="str">
        <f>IF($B558="","",Paramètres!$B$21)</f>
        <v/>
      </c>
      <c r="G558" s="21" t="str">
        <f>IF('Classe CM1'!$B78="","",IF('Classe CM1'!D78="","",'Classe CM1'!D78))</f>
        <v/>
      </c>
      <c r="H558" s="77" t="str">
        <f>IF('Classe CM1'!$B78="","",IF('Classe CM1'!E78="","",'Classe CM1'!E78))</f>
        <v/>
      </c>
      <c r="I558" s="20" t="str">
        <f>IF('Classe CM1'!$B78="","",IF('Classe CM1'!F78="","",'Classe CM1'!F78))</f>
        <v/>
      </c>
      <c r="J558" s="20" t="str">
        <f>IF('Classe CM1'!$B78="","",IF('Classe CM1'!G78="","",'Classe CM1'!G78))</f>
        <v/>
      </c>
      <c r="K558" s="51" t="str">
        <f>IF('Classe CM1'!$B78="","",N('Classe CM1'!H78))</f>
        <v/>
      </c>
      <c r="L558" s="51" t="str">
        <f>IF('Classe CM1'!$B78="","",N('Classe CM1'!I78))</f>
        <v/>
      </c>
      <c r="M558" s="51" t="str">
        <f>IF('Classe CM1'!$B78="","",N('Classe CM1'!J78))</f>
        <v/>
      </c>
      <c r="N558" s="51" t="str">
        <f>IF('Classe CM1'!$B78="","",N('Classe CM1'!K78))</f>
        <v/>
      </c>
      <c r="O558" s="51" t="str">
        <f>IF('Classe CM1'!$B78="","",N('Classe CM1'!L78))</f>
        <v/>
      </c>
      <c r="P558" s="51" t="str">
        <f>IF('Classe CM1'!$B78="","",N('Classe CM1'!M78))</f>
        <v/>
      </c>
      <c r="Q558" s="21" t="str">
        <f>IF('Classe CM1'!$B78="","",IF('Classe CM1'!Q78="","",'Classe CM1'!Q78))</f>
        <v/>
      </c>
      <c r="R558" s="51" t="str">
        <f>IF('Classe CM1'!$B78="","",N('Classe CM1'!N78))</f>
        <v/>
      </c>
      <c r="S558" s="51" t="str">
        <f>IF('Classe CM1'!$B78="","",N('Classe CM1'!O78))</f>
        <v/>
      </c>
      <c r="T558" s="51" t="str">
        <f>IF('Classe CM1'!$B78="","",N('Classe CM1'!P78))</f>
        <v/>
      </c>
    </row>
    <row r="559">
      <c r="A559" s="16" t="str">
        <f>IF('Classe CM1'!$B79="","",IF('Classe CM1'!A79="","",'Classe CM1'!A79))</f>
        <v/>
      </c>
      <c r="B559" s="16" t="str">
        <f>IF('Classe CM1'!$B79="","",IF('Classe CM1'!B79="","",'Classe CM1'!B79))</f>
        <v/>
      </c>
      <c r="C559" s="16" t="str">
        <f>IF('Classe CM1'!$B79="","",IF('Classe CM1'!C79="","",'Classe CM1'!C79))</f>
        <v/>
      </c>
      <c r="D559" s="16" t="str">
        <f>IF($B559="","",C559&amp;" "&amp;B559&amp;" - "&amp;E559)</f>
        <v/>
      </c>
      <c r="E559" s="17" t="str">
        <f>IF($B559="","",Paramètres!$A$21)</f>
        <v/>
      </c>
      <c r="F559" s="17" t="str">
        <f>IF($B559="","",Paramètres!$B$21)</f>
        <v/>
      </c>
      <c r="G559" s="17" t="str">
        <f>IF('Classe CM1'!$B79="","",IF('Classe CM1'!D79="","",'Classe CM1'!D79))</f>
        <v/>
      </c>
      <c r="H559" s="78" t="str">
        <f>IF('Classe CM1'!$B79="","",IF('Classe CM1'!E79="","",'Classe CM1'!E79))</f>
        <v/>
      </c>
      <c r="I559" s="16" t="str">
        <f>IF('Classe CM1'!$B79="","",IF('Classe CM1'!F79="","",'Classe CM1'!F79))</f>
        <v/>
      </c>
      <c r="J559" s="16" t="str">
        <f>IF('Classe CM1'!$B79="","",IF('Classe CM1'!G79="","",'Classe CM1'!G79))</f>
        <v/>
      </c>
      <c r="K559" s="18" t="str">
        <f>IF('Classe CM1'!$B79="","",N('Classe CM1'!H79))</f>
        <v/>
      </c>
      <c r="L559" s="18" t="str">
        <f>IF('Classe CM1'!$B79="","",N('Classe CM1'!I79))</f>
        <v/>
      </c>
      <c r="M559" s="18" t="str">
        <f>IF('Classe CM1'!$B79="","",N('Classe CM1'!J79))</f>
        <v/>
      </c>
      <c r="N559" s="18" t="str">
        <f>IF('Classe CM1'!$B79="","",N('Classe CM1'!K79))</f>
        <v/>
      </c>
      <c r="O559" s="18" t="str">
        <f>IF('Classe CM1'!$B79="","",N('Classe CM1'!L79))</f>
        <v/>
      </c>
      <c r="P559" s="18" t="str">
        <f>IF('Classe CM1'!$B79="","",N('Classe CM1'!M79))</f>
        <v/>
      </c>
      <c r="Q559" s="17" t="str">
        <f>IF('Classe CM1'!$B79="","",IF('Classe CM1'!Q79="","",'Classe CM1'!Q79))</f>
        <v/>
      </c>
      <c r="R559" s="18" t="str">
        <f>IF('Classe CM1'!$B79="","",N('Classe CM1'!N79))</f>
        <v/>
      </c>
      <c r="S559" s="18" t="str">
        <f>IF('Classe CM1'!$B79="","",N('Classe CM1'!O79))</f>
        <v/>
      </c>
      <c r="T559" s="18" t="str">
        <f>IF('Classe CM1'!$B79="","",N('Classe CM1'!P79))</f>
        <v/>
      </c>
    </row>
    <row r="560">
      <c r="A560" s="20" t="str">
        <f>IF('Classe CM1'!$B80="","",IF('Classe CM1'!A80="","",'Classe CM1'!A80))</f>
        <v/>
      </c>
      <c r="B560" s="20" t="str">
        <f>IF('Classe CM1'!$B80="","",IF('Classe CM1'!B80="","",'Classe CM1'!B80))</f>
        <v/>
      </c>
      <c r="C560" s="20" t="str">
        <f>IF('Classe CM1'!$B80="","",IF('Classe CM1'!C80="","",'Classe CM1'!C80))</f>
        <v/>
      </c>
      <c r="D560" s="20" t="str">
        <f>IF($B560="","",C560&amp;" "&amp;B560&amp;" - "&amp;E560)</f>
        <v/>
      </c>
      <c r="E560" s="21" t="str">
        <f>IF($B560="","",Paramètres!$A$21)</f>
        <v/>
      </c>
      <c r="F560" s="21" t="str">
        <f>IF($B560="","",Paramètres!$B$21)</f>
        <v/>
      </c>
      <c r="G560" s="21" t="str">
        <f>IF('Classe CM1'!$B80="","",IF('Classe CM1'!D80="","",'Classe CM1'!D80))</f>
        <v/>
      </c>
      <c r="H560" s="77" t="str">
        <f>IF('Classe CM1'!$B80="","",IF('Classe CM1'!E80="","",'Classe CM1'!E80))</f>
        <v/>
      </c>
      <c r="I560" s="20" t="str">
        <f>IF('Classe CM1'!$B80="","",IF('Classe CM1'!F80="","",'Classe CM1'!F80))</f>
        <v/>
      </c>
      <c r="J560" s="20" t="str">
        <f>IF('Classe CM1'!$B80="","",IF('Classe CM1'!G80="","",'Classe CM1'!G80))</f>
        <v/>
      </c>
      <c r="K560" s="51" t="str">
        <f>IF('Classe CM1'!$B80="","",N('Classe CM1'!H80))</f>
        <v/>
      </c>
      <c r="L560" s="51" t="str">
        <f>IF('Classe CM1'!$B80="","",N('Classe CM1'!I80))</f>
        <v/>
      </c>
      <c r="M560" s="51" t="str">
        <f>IF('Classe CM1'!$B80="","",N('Classe CM1'!J80))</f>
        <v/>
      </c>
      <c r="N560" s="51" t="str">
        <f>IF('Classe CM1'!$B80="","",N('Classe CM1'!K80))</f>
        <v/>
      </c>
      <c r="O560" s="51" t="str">
        <f>IF('Classe CM1'!$B80="","",N('Classe CM1'!L80))</f>
        <v/>
      </c>
      <c r="P560" s="51" t="str">
        <f>IF('Classe CM1'!$B80="","",N('Classe CM1'!M80))</f>
        <v/>
      </c>
      <c r="Q560" s="21" t="str">
        <f>IF('Classe CM1'!$B80="","",IF('Classe CM1'!Q80="","",'Classe CM1'!Q80))</f>
        <v/>
      </c>
      <c r="R560" s="51" t="str">
        <f>IF('Classe CM1'!$B80="","",N('Classe CM1'!N80))</f>
        <v/>
      </c>
      <c r="S560" s="51" t="str">
        <f>IF('Classe CM1'!$B80="","",N('Classe CM1'!O80))</f>
        <v/>
      </c>
      <c r="T560" s="51" t="str">
        <f>IF('Classe CM1'!$B80="","",N('Classe CM1'!P80))</f>
        <v/>
      </c>
    </row>
    <row r="561">
      <c r="A561" s="16" t="str">
        <f>IF('Classe CM1'!$B81="","",IF('Classe CM1'!A81="","",'Classe CM1'!A81))</f>
        <v/>
      </c>
      <c r="B561" s="16" t="str">
        <f>IF('Classe CM1'!$B81="","",IF('Classe CM1'!B81="","",'Classe CM1'!B81))</f>
        <v/>
      </c>
      <c r="C561" s="16" t="str">
        <f>IF('Classe CM1'!$B81="","",IF('Classe CM1'!C81="","",'Classe CM1'!C81))</f>
        <v/>
      </c>
      <c r="D561" s="16" t="str">
        <f>IF($B561="","",C561&amp;" "&amp;B561&amp;" - "&amp;E561)</f>
        <v/>
      </c>
      <c r="E561" s="17" t="str">
        <f>IF($B561="","",Paramètres!$A$21)</f>
        <v/>
      </c>
      <c r="F561" s="17" t="str">
        <f>IF($B561="","",Paramètres!$B$21)</f>
        <v/>
      </c>
      <c r="G561" s="17" t="str">
        <f>IF('Classe CM1'!$B81="","",IF('Classe CM1'!D81="","",'Classe CM1'!D81))</f>
        <v/>
      </c>
      <c r="H561" s="78" t="str">
        <f>IF('Classe CM1'!$B81="","",IF('Classe CM1'!E81="","",'Classe CM1'!E81))</f>
        <v/>
      </c>
      <c r="I561" s="16" t="str">
        <f>IF('Classe CM1'!$B81="","",IF('Classe CM1'!F81="","",'Classe CM1'!F81))</f>
        <v/>
      </c>
      <c r="J561" s="16" t="str">
        <f>IF('Classe CM1'!$B81="","",IF('Classe CM1'!G81="","",'Classe CM1'!G81))</f>
        <v/>
      </c>
      <c r="K561" s="18" t="str">
        <f>IF('Classe CM1'!$B81="","",N('Classe CM1'!H81))</f>
        <v/>
      </c>
      <c r="L561" s="18" t="str">
        <f>IF('Classe CM1'!$B81="","",N('Classe CM1'!I81))</f>
        <v/>
      </c>
      <c r="M561" s="18" t="str">
        <f>IF('Classe CM1'!$B81="","",N('Classe CM1'!J81))</f>
        <v/>
      </c>
      <c r="N561" s="18" t="str">
        <f>IF('Classe CM1'!$B81="","",N('Classe CM1'!K81))</f>
        <v/>
      </c>
      <c r="O561" s="18" t="str">
        <f>IF('Classe CM1'!$B81="","",N('Classe CM1'!L81))</f>
        <v/>
      </c>
      <c r="P561" s="18" t="str">
        <f>IF('Classe CM1'!$B81="","",N('Classe CM1'!M81))</f>
        <v/>
      </c>
      <c r="Q561" s="17" t="str">
        <f>IF('Classe CM1'!$B81="","",IF('Classe CM1'!Q81="","",'Classe CM1'!Q81))</f>
        <v/>
      </c>
      <c r="R561" s="18" t="str">
        <f>IF('Classe CM1'!$B81="","",N('Classe CM1'!N81))</f>
        <v/>
      </c>
      <c r="S561" s="18" t="str">
        <f>IF('Classe CM1'!$B81="","",N('Classe CM1'!O81))</f>
        <v/>
      </c>
      <c r="T561" s="18" t="str">
        <f>IF('Classe CM1'!$B81="","",N('Classe CM1'!P81))</f>
        <v/>
      </c>
    </row>
    <row r="562">
      <c r="A562" s="20" t="str">
        <f>IF('Classe CM1'!$B82="","",IF('Classe CM1'!A82="","",'Classe CM1'!A82))</f>
        <v/>
      </c>
      <c r="B562" s="20" t="str">
        <f>IF('Classe CM1'!$B82="","",IF('Classe CM1'!B82="","",'Classe CM1'!B82))</f>
        <v/>
      </c>
      <c r="C562" s="20" t="str">
        <f>IF('Classe CM1'!$B82="","",IF('Classe CM1'!C82="","",'Classe CM1'!C82))</f>
        <v/>
      </c>
      <c r="D562" s="20" t="str">
        <f>IF($B562="","",C562&amp;" "&amp;B562&amp;" - "&amp;E562)</f>
        <v/>
      </c>
      <c r="E562" s="21" t="str">
        <f>IF($B562="","",Paramètres!$A$21)</f>
        <v/>
      </c>
      <c r="F562" s="21" t="str">
        <f>IF($B562="","",Paramètres!$B$21)</f>
        <v/>
      </c>
      <c r="G562" s="21" t="str">
        <f>IF('Classe CM1'!$B82="","",IF('Classe CM1'!D82="","",'Classe CM1'!D82))</f>
        <v/>
      </c>
      <c r="H562" s="77" t="str">
        <f>IF('Classe CM1'!$B82="","",IF('Classe CM1'!E82="","",'Classe CM1'!E82))</f>
        <v/>
      </c>
      <c r="I562" s="20" t="str">
        <f>IF('Classe CM1'!$B82="","",IF('Classe CM1'!F82="","",'Classe CM1'!F82))</f>
        <v/>
      </c>
      <c r="J562" s="20" t="str">
        <f>IF('Classe CM1'!$B82="","",IF('Classe CM1'!G82="","",'Classe CM1'!G82))</f>
        <v/>
      </c>
      <c r="K562" s="51" t="str">
        <f>IF('Classe CM1'!$B82="","",N('Classe CM1'!H82))</f>
        <v/>
      </c>
      <c r="L562" s="51" t="str">
        <f>IF('Classe CM1'!$B82="","",N('Classe CM1'!I82))</f>
        <v/>
      </c>
      <c r="M562" s="51" t="str">
        <f>IF('Classe CM1'!$B82="","",N('Classe CM1'!J82))</f>
        <v/>
      </c>
      <c r="N562" s="51" t="str">
        <f>IF('Classe CM1'!$B82="","",N('Classe CM1'!K82))</f>
        <v/>
      </c>
      <c r="O562" s="51" t="str">
        <f>IF('Classe CM1'!$B82="","",N('Classe CM1'!L82))</f>
        <v/>
      </c>
      <c r="P562" s="51" t="str">
        <f>IF('Classe CM1'!$B82="","",N('Classe CM1'!M82))</f>
        <v/>
      </c>
      <c r="Q562" s="21" t="str">
        <f>IF('Classe CM1'!$B82="","",IF('Classe CM1'!Q82="","",'Classe CM1'!Q82))</f>
        <v/>
      </c>
      <c r="R562" s="51" t="str">
        <f>IF('Classe CM1'!$B82="","",N('Classe CM1'!N82))</f>
        <v/>
      </c>
      <c r="S562" s="51" t="str">
        <f>IF('Classe CM1'!$B82="","",N('Classe CM1'!O82))</f>
        <v/>
      </c>
      <c r="T562" s="51" t="str">
        <f>IF('Classe CM1'!$B82="","",N('Classe CM1'!P82))</f>
        <v/>
      </c>
    </row>
    <row r="563">
      <c r="A563" s="16" t="str">
        <f>IF('Classe CM1'!$B83="","",IF('Classe CM1'!A83="","",'Classe CM1'!A83))</f>
        <v/>
      </c>
      <c r="B563" s="16" t="str">
        <f>IF('Classe CM1'!$B83="","",IF('Classe CM1'!B83="","",'Classe CM1'!B83))</f>
        <v/>
      </c>
      <c r="C563" s="16" t="str">
        <f>IF('Classe CM1'!$B83="","",IF('Classe CM1'!C83="","",'Classe CM1'!C83))</f>
        <v/>
      </c>
      <c r="D563" s="16" t="str">
        <f>IF($B563="","",C563&amp;" "&amp;B563&amp;" - "&amp;E563)</f>
        <v/>
      </c>
      <c r="E563" s="17" t="str">
        <f>IF($B563="","",Paramètres!$A$21)</f>
        <v/>
      </c>
      <c r="F563" s="17" t="str">
        <f>IF($B563="","",Paramètres!$B$21)</f>
        <v/>
      </c>
      <c r="G563" s="17" t="str">
        <f>IF('Classe CM1'!$B83="","",IF('Classe CM1'!D83="","",'Classe CM1'!D83))</f>
        <v/>
      </c>
      <c r="H563" s="78" t="str">
        <f>IF('Classe CM1'!$B83="","",IF('Classe CM1'!E83="","",'Classe CM1'!E83))</f>
        <v/>
      </c>
      <c r="I563" s="16" t="str">
        <f>IF('Classe CM1'!$B83="","",IF('Classe CM1'!F83="","",'Classe CM1'!F83))</f>
        <v/>
      </c>
      <c r="J563" s="16" t="str">
        <f>IF('Classe CM1'!$B83="","",IF('Classe CM1'!G83="","",'Classe CM1'!G83))</f>
        <v/>
      </c>
      <c r="K563" s="18" t="str">
        <f>IF('Classe CM1'!$B83="","",N('Classe CM1'!H83))</f>
        <v/>
      </c>
      <c r="L563" s="18" t="str">
        <f>IF('Classe CM1'!$B83="","",N('Classe CM1'!I83))</f>
        <v/>
      </c>
      <c r="M563" s="18" t="str">
        <f>IF('Classe CM1'!$B83="","",N('Classe CM1'!J83))</f>
        <v/>
      </c>
      <c r="N563" s="18" t="str">
        <f>IF('Classe CM1'!$B83="","",N('Classe CM1'!K83))</f>
        <v/>
      </c>
      <c r="O563" s="18" t="str">
        <f>IF('Classe CM1'!$B83="","",N('Classe CM1'!L83))</f>
        <v/>
      </c>
      <c r="P563" s="18" t="str">
        <f>IF('Classe CM1'!$B83="","",N('Classe CM1'!M83))</f>
        <v/>
      </c>
      <c r="Q563" s="17" t="str">
        <f>IF('Classe CM1'!$B83="","",IF('Classe CM1'!Q83="","",'Classe CM1'!Q83))</f>
        <v/>
      </c>
      <c r="R563" s="18" t="str">
        <f>IF('Classe CM1'!$B83="","",N('Classe CM1'!N83))</f>
        <v/>
      </c>
      <c r="S563" s="18" t="str">
        <f>IF('Classe CM1'!$B83="","",N('Classe CM1'!O83))</f>
        <v/>
      </c>
      <c r="T563" s="18" t="str">
        <f>IF('Classe CM1'!$B83="","",N('Classe CM1'!P83))</f>
        <v/>
      </c>
    </row>
    <row r="564">
      <c r="A564" s="20" t="str">
        <f>IF('Classe CM2'!$B4="","",IF('Classe CM2'!A4="","",'Classe CM2'!A4))</f>
        <v/>
      </c>
      <c r="B564" s="20" t="str">
        <f>IF('Classe CM2'!$B4="","",IF('Classe CM2'!B4="","",'Classe CM2'!B4))</f>
        <v/>
      </c>
      <c r="C564" s="20" t="str">
        <f>IF('Classe CM2'!$B4="","",IF('Classe CM2'!C4="","",'Classe CM2'!C4))</f>
        <v/>
      </c>
      <c r="D564" s="20" t="str">
        <f>IF($B564="","",C564&amp;" "&amp;B564&amp;" - "&amp;E564)</f>
        <v/>
      </c>
      <c r="E564" s="21" t="str">
        <f>IF($B564="","",Paramètres!$A$22)</f>
        <v/>
      </c>
      <c r="F564" s="21" t="str">
        <f>IF($B564="","",Paramètres!$B$22)</f>
        <v/>
      </c>
      <c r="G564" s="21" t="str">
        <f>IF('Classe CM2'!$B4="","",IF('Classe CM2'!D4="","",'Classe CM2'!D4))</f>
        <v/>
      </c>
      <c r="H564" s="77" t="str">
        <f>IF('Classe CM2'!$B4="","",IF('Classe CM2'!E4="","",'Classe CM2'!E4))</f>
        <v/>
      </c>
      <c r="I564" s="20" t="str">
        <f>IF('Classe CM2'!$B4="","",IF('Classe CM2'!F4="","",'Classe CM2'!F4))</f>
        <v/>
      </c>
      <c r="J564" s="20" t="str">
        <f>IF('Classe CM2'!$B4="","",IF('Classe CM2'!G4="","",'Classe CM2'!G4))</f>
        <v/>
      </c>
      <c r="K564" s="51" t="str">
        <f>IF('Classe CM2'!$B4="","",N('Classe CM2'!H4))</f>
        <v/>
      </c>
      <c r="L564" s="51" t="str">
        <f>IF('Classe CM2'!$B4="","",N('Classe CM2'!I4))</f>
        <v/>
      </c>
      <c r="M564" s="51" t="str">
        <f>IF('Classe CM2'!$B4="","",N('Classe CM2'!J4))</f>
        <v/>
      </c>
      <c r="N564" s="51" t="str">
        <f>IF('Classe CM2'!$B4="","",N('Classe CM2'!K4))</f>
        <v/>
      </c>
      <c r="O564" s="51" t="str">
        <f>IF('Classe CM2'!$B4="","",N('Classe CM2'!L4))</f>
        <v/>
      </c>
      <c r="P564" s="51" t="str">
        <f>IF('Classe CM2'!$B4="","",N('Classe CM2'!M4))</f>
        <v/>
      </c>
      <c r="Q564" s="21" t="str">
        <f>IF('Classe CM2'!$B4="","",IF('Classe CM2'!Q4="","",'Classe CM2'!Q4))</f>
        <v/>
      </c>
      <c r="R564" s="51" t="str">
        <f>IF('Classe CM2'!$B4="","",N('Classe CM2'!N4))</f>
        <v/>
      </c>
      <c r="S564" s="51" t="str">
        <f>IF('Classe CM2'!$B4="","",N('Classe CM2'!O4))</f>
        <v/>
      </c>
      <c r="T564" s="51" t="str">
        <f>IF('Classe CM2'!$B4="","",N('Classe CM2'!P4))</f>
        <v/>
      </c>
    </row>
    <row r="565">
      <c r="A565" s="16" t="str">
        <f>IF('Classe CM2'!$B5="","",IF('Classe CM2'!A5="","",'Classe CM2'!A5))</f>
        <v/>
      </c>
      <c r="B565" s="16" t="str">
        <f>IF('Classe CM2'!$B5="","",IF('Classe CM2'!B5="","",'Classe CM2'!B5))</f>
        <v/>
      </c>
      <c r="C565" s="16" t="str">
        <f>IF('Classe CM2'!$B5="","",IF('Classe CM2'!C5="","",'Classe CM2'!C5))</f>
        <v/>
      </c>
      <c r="D565" s="16" t="str">
        <f>IF($B565="","",C565&amp;" "&amp;B565&amp;" - "&amp;E565)</f>
        <v/>
      </c>
      <c r="E565" s="17" t="str">
        <f>IF($B565="","",Paramètres!$A$22)</f>
        <v/>
      </c>
      <c r="F565" s="17" t="str">
        <f>IF($B565="","",Paramètres!$B$22)</f>
        <v/>
      </c>
      <c r="G565" s="17" t="str">
        <f>IF('Classe CM2'!$B5="","",IF('Classe CM2'!D5="","",'Classe CM2'!D5))</f>
        <v/>
      </c>
      <c r="H565" s="78" t="str">
        <f>IF('Classe CM2'!$B5="","",IF('Classe CM2'!E5="","",'Classe CM2'!E5))</f>
        <v/>
      </c>
      <c r="I565" s="16" t="str">
        <f>IF('Classe CM2'!$B5="","",IF('Classe CM2'!F5="","",'Classe CM2'!F5))</f>
        <v/>
      </c>
      <c r="J565" s="16" t="str">
        <f>IF('Classe CM2'!$B5="","",IF('Classe CM2'!G5="","",'Classe CM2'!G5))</f>
        <v/>
      </c>
      <c r="K565" s="18" t="str">
        <f>IF('Classe CM2'!$B5="","",N('Classe CM2'!H5))</f>
        <v/>
      </c>
      <c r="L565" s="18" t="str">
        <f>IF('Classe CM2'!$B5="","",N('Classe CM2'!I5))</f>
        <v/>
      </c>
      <c r="M565" s="18" t="str">
        <f>IF('Classe CM2'!$B5="","",N('Classe CM2'!J5))</f>
        <v/>
      </c>
      <c r="N565" s="18" t="str">
        <f>IF('Classe CM2'!$B5="","",N('Classe CM2'!K5))</f>
        <v/>
      </c>
      <c r="O565" s="18" t="str">
        <f>IF('Classe CM2'!$B5="","",N('Classe CM2'!L5))</f>
        <v/>
      </c>
      <c r="P565" s="18" t="str">
        <f>IF('Classe CM2'!$B5="","",N('Classe CM2'!M5))</f>
        <v/>
      </c>
      <c r="Q565" s="17" t="str">
        <f>IF('Classe CM2'!$B5="","",IF('Classe CM2'!Q5="","",'Classe CM2'!Q5))</f>
        <v/>
      </c>
      <c r="R565" s="18" t="str">
        <f>IF('Classe CM2'!$B5="","",N('Classe CM2'!N5))</f>
        <v/>
      </c>
      <c r="S565" s="18" t="str">
        <f>IF('Classe CM2'!$B5="","",N('Classe CM2'!O5))</f>
        <v/>
      </c>
      <c r="T565" s="18" t="str">
        <f>IF('Classe CM2'!$B5="","",N('Classe CM2'!P5))</f>
        <v/>
      </c>
    </row>
    <row r="566">
      <c r="A566" s="20" t="str">
        <f>IF('Classe CM2'!$B6="","",IF('Classe CM2'!A6="","",'Classe CM2'!A6))</f>
        <v/>
      </c>
      <c r="B566" s="20" t="str">
        <f>IF('Classe CM2'!$B6="","",IF('Classe CM2'!B6="","",'Classe CM2'!B6))</f>
        <v/>
      </c>
      <c r="C566" s="20" t="str">
        <f>IF('Classe CM2'!$B6="","",IF('Classe CM2'!C6="","",'Classe CM2'!C6))</f>
        <v/>
      </c>
      <c r="D566" s="20" t="str">
        <f>IF($B566="","",C566&amp;" "&amp;B566&amp;" - "&amp;E566)</f>
        <v/>
      </c>
      <c r="E566" s="21" t="str">
        <f>IF($B566="","",Paramètres!$A$22)</f>
        <v/>
      </c>
      <c r="F566" s="21" t="str">
        <f>IF($B566="","",Paramètres!$B$22)</f>
        <v/>
      </c>
      <c r="G566" s="21" t="str">
        <f>IF('Classe CM2'!$B6="","",IF('Classe CM2'!D6="","",'Classe CM2'!D6))</f>
        <v/>
      </c>
      <c r="H566" s="77" t="str">
        <f>IF('Classe CM2'!$B6="","",IF('Classe CM2'!E6="","",'Classe CM2'!E6))</f>
        <v/>
      </c>
      <c r="I566" s="20" t="str">
        <f>IF('Classe CM2'!$B6="","",IF('Classe CM2'!F6="","",'Classe CM2'!F6))</f>
        <v/>
      </c>
      <c r="J566" s="20" t="str">
        <f>IF('Classe CM2'!$B6="","",IF('Classe CM2'!G6="","",'Classe CM2'!G6))</f>
        <v/>
      </c>
      <c r="K566" s="51" t="str">
        <f>IF('Classe CM2'!$B6="","",N('Classe CM2'!H6))</f>
        <v/>
      </c>
      <c r="L566" s="51" t="str">
        <f>IF('Classe CM2'!$B6="","",N('Classe CM2'!I6))</f>
        <v/>
      </c>
      <c r="M566" s="51" t="str">
        <f>IF('Classe CM2'!$B6="","",N('Classe CM2'!J6))</f>
        <v/>
      </c>
      <c r="N566" s="51" t="str">
        <f>IF('Classe CM2'!$B6="","",N('Classe CM2'!K6))</f>
        <v/>
      </c>
      <c r="O566" s="51" t="str">
        <f>IF('Classe CM2'!$B6="","",N('Classe CM2'!L6))</f>
        <v/>
      </c>
      <c r="P566" s="51" t="str">
        <f>IF('Classe CM2'!$B6="","",N('Classe CM2'!M6))</f>
        <v/>
      </c>
      <c r="Q566" s="21" t="str">
        <f>IF('Classe CM2'!$B6="","",IF('Classe CM2'!Q6="","",'Classe CM2'!Q6))</f>
        <v/>
      </c>
      <c r="R566" s="51" t="str">
        <f>IF('Classe CM2'!$B6="","",N('Classe CM2'!N6))</f>
        <v/>
      </c>
      <c r="S566" s="51" t="str">
        <f>IF('Classe CM2'!$B6="","",N('Classe CM2'!O6))</f>
        <v/>
      </c>
      <c r="T566" s="51" t="str">
        <f>IF('Classe CM2'!$B6="","",N('Classe CM2'!P6))</f>
        <v/>
      </c>
    </row>
    <row r="567">
      <c r="A567" s="16" t="str">
        <f>IF('Classe CM2'!$B7="","",IF('Classe CM2'!A7="","",'Classe CM2'!A7))</f>
        <v/>
      </c>
      <c r="B567" s="16" t="str">
        <f>IF('Classe CM2'!$B7="","",IF('Classe CM2'!B7="","",'Classe CM2'!B7))</f>
        <v/>
      </c>
      <c r="C567" s="16" t="str">
        <f>IF('Classe CM2'!$B7="","",IF('Classe CM2'!C7="","",'Classe CM2'!C7))</f>
        <v/>
      </c>
      <c r="D567" s="16" t="str">
        <f>IF($B567="","",C567&amp;" "&amp;B567&amp;" - "&amp;E567)</f>
        <v/>
      </c>
      <c r="E567" s="17" t="str">
        <f>IF($B567="","",Paramètres!$A$22)</f>
        <v/>
      </c>
      <c r="F567" s="17" t="str">
        <f>IF($B567="","",Paramètres!$B$22)</f>
        <v/>
      </c>
      <c r="G567" s="17" t="str">
        <f>IF('Classe CM2'!$B7="","",IF('Classe CM2'!D7="","",'Classe CM2'!D7))</f>
        <v/>
      </c>
      <c r="H567" s="78" t="str">
        <f>IF('Classe CM2'!$B7="","",IF('Classe CM2'!E7="","",'Classe CM2'!E7))</f>
        <v/>
      </c>
      <c r="I567" s="16" t="str">
        <f>IF('Classe CM2'!$B7="","",IF('Classe CM2'!F7="","",'Classe CM2'!F7))</f>
        <v/>
      </c>
      <c r="J567" s="16" t="str">
        <f>IF('Classe CM2'!$B7="","",IF('Classe CM2'!G7="","",'Classe CM2'!G7))</f>
        <v/>
      </c>
      <c r="K567" s="18" t="str">
        <f>IF('Classe CM2'!$B7="","",N('Classe CM2'!H7))</f>
        <v/>
      </c>
      <c r="L567" s="18" t="str">
        <f>IF('Classe CM2'!$B7="","",N('Classe CM2'!I7))</f>
        <v/>
      </c>
      <c r="M567" s="18" t="str">
        <f>IF('Classe CM2'!$B7="","",N('Classe CM2'!J7))</f>
        <v/>
      </c>
      <c r="N567" s="18" t="str">
        <f>IF('Classe CM2'!$B7="","",N('Classe CM2'!K7))</f>
        <v/>
      </c>
      <c r="O567" s="18" t="str">
        <f>IF('Classe CM2'!$B7="","",N('Classe CM2'!L7))</f>
        <v/>
      </c>
      <c r="P567" s="18" t="str">
        <f>IF('Classe CM2'!$B7="","",N('Classe CM2'!M7))</f>
        <v/>
      </c>
      <c r="Q567" s="17" t="str">
        <f>IF('Classe CM2'!$B7="","",IF('Classe CM2'!Q7="","",'Classe CM2'!Q7))</f>
        <v/>
      </c>
      <c r="R567" s="18" t="str">
        <f>IF('Classe CM2'!$B7="","",N('Classe CM2'!N7))</f>
        <v/>
      </c>
      <c r="S567" s="18" t="str">
        <f>IF('Classe CM2'!$B7="","",N('Classe CM2'!O7))</f>
        <v/>
      </c>
      <c r="T567" s="18" t="str">
        <f>IF('Classe CM2'!$B7="","",N('Classe CM2'!P7))</f>
        <v/>
      </c>
    </row>
    <row r="568">
      <c r="A568" s="20" t="str">
        <f>IF('Classe CM2'!$B8="","",IF('Classe CM2'!A8="","",'Classe CM2'!A8))</f>
        <v/>
      </c>
      <c r="B568" s="20" t="str">
        <f>IF('Classe CM2'!$B8="","",IF('Classe CM2'!B8="","",'Classe CM2'!B8))</f>
        <v/>
      </c>
      <c r="C568" s="20" t="str">
        <f>IF('Classe CM2'!$B8="","",IF('Classe CM2'!C8="","",'Classe CM2'!C8))</f>
        <v/>
      </c>
      <c r="D568" s="20" t="str">
        <f>IF($B568="","",C568&amp;" "&amp;B568&amp;" - "&amp;E568)</f>
        <v/>
      </c>
      <c r="E568" s="21" t="str">
        <f>IF($B568="","",Paramètres!$A$22)</f>
        <v/>
      </c>
      <c r="F568" s="21" t="str">
        <f>IF($B568="","",Paramètres!$B$22)</f>
        <v/>
      </c>
      <c r="G568" s="21" t="str">
        <f>IF('Classe CM2'!$B8="","",IF('Classe CM2'!D8="","",'Classe CM2'!D8))</f>
        <v/>
      </c>
      <c r="H568" s="77" t="str">
        <f>IF('Classe CM2'!$B8="","",IF('Classe CM2'!E8="","",'Classe CM2'!E8))</f>
        <v/>
      </c>
      <c r="I568" s="20" t="str">
        <f>IF('Classe CM2'!$B8="","",IF('Classe CM2'!F8="","",'Classe CM2'!F8))</f>
        <v/>
      </c>
      <c r="J568" s="20" t="str">
        <f>IF('Classe CM2'!$B8="","",IF('Classe CM2'!G8="","",'Classe CM2'!G8))</f>
        <v/>
      </c>
      <c r="K568" s="51" t="str">
        <f>IF('Classe CM2'!$B8="","",N('Classe CM2'!H8))</f>
        <v/>
      </c>
      <c r="L568" s="51" t="str">
        <f>IF('Classe CM2'!$B8="","",N('Classe CM2'!I8))</f>
        <v/>
      </c>
      <c r="M568" s="51" t="str">
        <f>IF('Classe CM2'!$B8="","",N('Classe CM2'!J8))</f>
        <v/>
      </c>
      <c r="N568" s="51" t="str">
        <f>IF('Classe CM2'!$B8="","",N('Classe CM2'!K8))</f>
        <v/>
      </c>
      <c r="O568" s="51" t="str">
        <f>IF('Classe CM2'!$B8="","",N('Classe CM2'!L8))</f>
        <v/>
      </c>
      <c r="P568" s="51" t="str">
        <f>IF('Classe CM2'!$B8="","",N('Classe CM2'!M8))</f>
        <v/>
      </c>
      <c r="Q568" s="21" t="str">
        <f>IF('Classe CM2'!$B8="","",IF('Classe CM2'!Q8="","",'Classe CM2'!Q8))</f>
        <v/>
      </c>
      <c r="R568" s="51" t="str">
        <f>IF('Classe CM2'!$B8="","",N('Classe CM2'!N8))</f>
        <v/>
      </c>
      <c r="S568" s="51" t="str">
        <f>IF('Classe CM2'!$B8="","",N('Classe CM2'!O8))</f>
        <v/>
      </c>
      <c r="T568" s="51" t="str">
        <f>IF('Classe CM2'!$B8="","",N('Classe CM2'!P8))</f>
        <v/>
      </c>
    </row>
    <row r="569">
      <c r="A569" s="16" t="str">
        <f>IF('Classe CM2'!$B9="","",IF('Classe CM2'!A9="","",'Classe CM2'!A9))</f>
        <v/>
      </c>
      <c r="B569" s="16" t="str">
        <f>IF('Classe CM2'!$B9="","",IF('Classe CM2'!B9="","",'Classe CM2'!B9))</f>
        <v/>
      </c>
      <c r="C569" s="16" t="str">
        <f>IF('Classe CM2'!$B9="","",IF('Classe CM2'!C9="","",'Classe CM2'!C9))</f>
        <v/>
      </c>
      <c r="D569" s="16" t="str">
        <f>IF($B569="","",C569&amp;" "&amp;B569&amp;" - "&amp;E569)</f>
        <v/>
      </c>
      <c r="E569" s="17" t="str">
        <f>IF($B569="","",Paramètres!$A$22)</f>
        <v/>
      </c>
      <c r="F569" s="17" t="str">
        <f>IF($B569="","",Paramètres!$B$22)</f>
        <v/>
      </c>
      <c r="G569" s="17" t="str">
        <f>IF('Classe CM2'!$B9="","",IF('Classe CM2'!D9="","",'Classe CM2'!D9))</f>
        <v/>
      </c>
      <c r="H569" s="78" t="str">
        <f>IF('Classe CM2'!$B9="","",IF('Classe CM2'!E9="","",'Classe CM2'!E9))</f>
        <v/>
      </c>
      <c r="I569" s="16" t="str">
        <f>IF('Classe CM2'!$B9="","",IF('Classe CM2'!F9="","",'Classe CM2'!F9))</f>
        <v/>
      </c>
      <c r="J569" s="16" t="str">
        <f>IF('Classe CM2'!$B9="","",IF('Classe CM2'!G9="","",'Classe CM2'!G9))</f>
        <v/>
      </c>
      <c r="K569" s="18" t="str">
        <f>IF('Classe CM2'!$B9="","",N('Classe CM2'!H9))</f>
        <v/>
      </c>
      <c r="L569" s="18" t="str">
        <f>IF('Classe CM2'!$B9="","",N('Classe CM2'!I9))</f>
        <v/>
      </c>
      <c r="M569" s="18" t="str">
        <f>IF('Classe CM2'!$B9="","",N('Classe CM2'!J9))</f>
        <v/>
      </c>
      <c r="N569" s="18" t="str">
        <f>IF('Classe CM2'!$B9="","",N('Classe CM2'!K9))</f>
        <v/>
      </c>
      <c r="O569" s="18" t="str">
        <f>IF('Classe CM2'!$B9="","",N('Classe CM2'!L9))</f>
        <v/>
      </c>
      <c r="P569" s="18" t="str">
        <f>IF('Classe CM2'!$B9="","",N('Classe CM2'!M9))</f>
        <v/>
      </c>
      <c r="Q569" s="17" t="str">
        <f>IF('Classe CM2'!$B9="","",IF('Classe CM2'!Q9="","",'Classe CM2'!Q9))</f>
        <v/>
      </c>
      <c r="R569" s="18" t="str">
        <f>IF('Classe CM2'!$B9="","",N('Classe CM2'!N9))</f>
        <v/>
      </c>
      <c r="S569" s="18" t="str">
        <f>IF('Classe CM2'!$B9="","",N('Classe CM2'!O9))</f>
        <v/>
      </c>
      <c r="T569" s="18" t="str">
        <f>IF('Classe CM2'!$B9="","",N('Classe CM2'!P9))</f>
        <v/>
      </c>
    </row>
    <row r="570">
      <c r="A570" s="20" t="str">
        <f>IF('Classe CM2'!$B10="","",IF('Classe CM2'!A10="","",'Classe CM2'!A10))</f>
        <v/>
      </c>
      <c r="B570" s="20" t="str">
        <f>IF('Classe CM2'!$B10="","",IF('Classe CM2'!B10="","",'Classe CM2'!B10))</f>
        <v/>
      </c>
      <c r="C570" s="20" t="str">
        <f>IF('Classe CM2'!$B10="","",IF('Classe CM2'!C10="","",'Classe CM2'!C10))</f>
        <v/>
      </c>
      <c r="D570" s="20" t="str">
        <f>IF($B570="","",C570&amp;" "&amp;B570&amp;" - "&amp;E570)</f>
        <v/>
      </c>
      <c r="E570" s="21" t="str">
        <f>IF($B570="","",Paramètres!$A$22)</f>
        <v/>
      </c>
      <c r="F570" s="21" t="str">
        <f>IF($B570="","",Paramètres!$B$22)</f>
        <v/>
      </c>
      <c r="G570" s="21" t="str">
        <f>IF('Classe CM2'!$B10="","",IF('Classe CM2'!D10="","",'Classe CM2'!D10))</f>
        <v/>
      </c>
      <c r="H570" s="77" t="str">
        <f>IF('Classe CM2'!$B10="","",IF('Classe CM2'!E10="","",'Classe CM2'!E10))</f>
        <v/>
      </c>
      <c r="I570" s="20" t="str">
        <f>IF('Classe CM2'!$B10="","",IF('Classe CM2'!F10="","",'Classe CM2'!F10))</f>
        <v/>
      </c>
      <c r="J570" s="20" t="str">
        <f>IF('Classe CM2'!$B10="","",IF('Classe CM2'!G10="","",'Classe CM2'!G10))</f>
        <v/>
      </c>
      <c r="K570" s="51" t="str">
        <f>IF('Classe CM2'!$B10="","",N('Classe CM2'!H10))</f>
        <v/>
      </c>
      <c r="L570" s="51" t="str">
        <f>IF('Classe CM2'!$B10="","",N('Classe CM2'!I10))</f>
        <v/>
      </c>
      <c r="M570" s="51" t="str">
        <f>IF('Classe CM2'!$B10="","",N('Classe CM2'!J10))</f>
        <v/>
      </c>
      <c r="N570" s="51" t="str">
        <f>IF('Classe CM2'!$B10="","",N('Classe CM2'!K10))</f>
        <v/>
      </c>
      <c r="O570" s="51" t="str">
        <f>IF('Classe CM2'!$B10="","",N('Classe CM2'!L10))</f>
        <v/>
      </c>
      <c r="P570" s="51" t="str">
        <f>IF('Classe CM2'!$B10="","",N('Classe CM2'!M10))</f>
        <v/>
      </c>
      <c r="Q570" s="21" t="str">
        <f>IF('Classe CM2'!$B10="","",IF('Classe CM2'!Q10="","",'Classe CM2'!Q10))</f>
        <v/>
      </c>
      <c r="R570" s="51" t="str">
        <f>IF('Classe CM2'!$B10="","",N('Classe CM2'!N10))</f>
        <v/>
      </c>
      <c r="S570" s="51" t="str">
        <f>IF('Classe CM2'!$B10="","",N('Classe CM2'!O10))</f>
        <v/>
      </c>
      <c r="T570" s="51" t="str">
        <f>IF('Classe CM2'!$B10="","",N('Classe CM2'!P10))</f>
        <v/>
      </c>
    </row>
    <row r="571">
      <c r="A571" s="16" t="str">
        <f>IF('Classe CM2'!$B11="","",IF('Classe CM2'!A11="","",'Classe CM2'!A11))</f>
        <v/>
      </c>
      <c r="B571" s="16" t="str">
        <f>IF('Classe CM2'!$B11="","",IF('Classe CM2'!B11="","",'Classe CM2'!B11))</f>
        <v/>
      </c>
      <c r="C571" s="16" t="str">
        <f>IF('Classe CM2'!$B11="","",IF('Classe CM2'!C11="","",'Classe CM2'!C11))</f>
        <v/>
      </c>
      <c r="D571" s="16" t="str">
        <f>IF($B571="","",C571&amp;" "&amp;B571&amp;" - "&amp;E571)</f>
        <v/>
      </c>
      <c r="E571" s="17" t="str">
        <f>IF($B571="","",Paramètres!$A$22)</f>
        <v/>
      </c>
      <c r="F571" s="17" t="str">
        <f>IF($B571="","",Paramètres!$B$22)</f>
        <v/>
      </c>
      <c r="G571" s="17" t="str">
        <f>IF('Classe CM2'!$B11="","",IF('Classe CM2'!D11="","",'Classe CM2'!D11))</f>
        <v/>
      </c>
      <c r="H571" s="78" t="str">
        <f>IF('Classe CM2'!$B11="","",IF('Classe CM2'!E11="","",'Classe CM2'!E11))</f>
        <v/>
      </c>
      <c r="I571" s="16" t="str">
        <f>IF('Classe CM2'!$B11="","",IF('Classe CM2'!F11="","",'Classe CM2'!F11))</f>
        <v/>
      </c>
      <c r="J571" s="16" t="str">
        <f>IF('Classe CM2'!$B11="","",IF('Classe CM2'!G11="","",'Classe CM2'!G11))</f>
        <v/>
      </c>
      <c r="K571" s="18" t="str">
        <f>IF('Classe CM2'!$B11="","",N('Classe CM2'!H11))</f>
        <v/>
      </c>
      <c r="L571" s="18" t="str">
        <f>IF('Classe CM2'!$B11="","",N('Classe CM2'!I11))</f>
        <v/>
      </c>
      <c r="M571" s="18" t="str">
        <f>IF('Classe CM2'!$B11="","",N('Classe CM2'!J11))</f>
        <v/>
      </c>
      <c r="N571" s="18" t="str">
        <f>IF('Classe CM2'!$B11="","",N('Classe CM2'!K11))</f>
        <v/>
      </c>
      <c r="O571" s="18" t="str">
        <f>IF('Classe CM2'!$B11="","",N('Classe CM2'!L11))</f>
        <v/>
      </c>
      <c r="P571" s="18" t="str">
        <f>IF('Classe CM2'!$B11="","",N('Classe CM2'!M11))</f>
        <v/>
      </c>
      <c r="Q571" s="17" t="str">
        <f>IF('Classe CM2'!$B11="","",IF('Classe CM2'!Q11="","",'Classe CM2'!Q11))</f>
        <v/>
      </c>
      <c r="R571" s="18" t="str">
        <f>IF('Classe CM2'!$B11="","",N('Classe CM2'!N11))</f>
        <v/>
      </c>
      <c r="S571" s="18" t="str">
        <f>IF('Classe CM2'!$B11="","",N('Classe CM2'!O11))</f>
        <v/>
      </c>
      <c r="T571" s="18" t="str">
        <f>IF('Classe CM2'!$B11="","",N('Classe CM2'!P11))</f>
        <v/>
      </c>
    </row>
    <row r="572">
      <c r="A572" s="20" t="str">
        <f>IF('Classe CM2'!$B12="","",IF('Classe CM2'!A12="","",'Classe CM2'!A12))</f>
        <v/>
      </c>
      <c r="B572" s="20" t="str">
        <f>IF('Classe CM2'!$B12="","",IF('Classe CM2'!B12="","",'Classe CM2'!B12))</f>
        <v/>
      </c>
      <c r="C572" s="20" t="str">
        <f>IF('Classe CM2'!$B12="","",IF('Classe CM2'!C12="","",'Classe CM2'!C12))</f>
        <v/>
      </c>
      <c r="D572" s="20" t="str">
        <f>IF($B572="","",C572&amp;" "&amp;B572&amp;" - "&amp;E572)</f>
        <v/>
      </c>
      <c r="E572" s="21" t="str">
        <f>IF($B572="","",Paramètres!$A$22)</f>
        <v/>
      </c>
      <c r="F572" s="21" t="str">
        <f>IF($B572="","",Paramètres!$B$22)</f>
        <v/>
      </c>
      <c r="G572" s="21" t="str">
        <f>IF('Classe CM2'!$B12="","",IF('Classe CM2'!D12="","",'Classe CM2'!D12))</f>
        <v/>
      </c>
      <c r="H572" s="77" t="str">
        <f>IF('Classe CM2'!$B12="","",IF('Classe CM2'!E12="","",'Classe CM2'!E12))</f>
        <v/>
      </c>
      <c r="I572" s="20" t="str">
        <f>IF('Classe CM2'!$B12="","",IF('Classe CM2'!F12="","",'Classe CM2'!F12))</f>
        <v/>
      </c>
      <c r="J572" s="20" t="str">
        <f>IF('Classe CM2'!$B12="","",IF('Classe CM2'!G12="","",'Classe CM2'!G12))</f>
        <v/>
      </c>
      <c r="K572" s="51" t="str">
        <f>IF('Classe CM2'!$B12="","",N('Classe CM2'!H12))</f>
        <v/>
      </c>
      <c r="L572" s="51" t="str">
        <f>IF('Classe CM2'!$B12="","",N('Classe CM2'!I12))</f>
        <v/>
      </c>
      <c r="M572" s="51" t="str">
        <f>IF('Classe CM2'!$B12="","",N('Classe CM2'!J12))</f>
        <v/>
      </c>
      <c r="N572" s="51" t="str">
        <f>IF('Classe CM2'!$B12="","",N('Classe CM2'!K12))</f>
        <v/>
      </c>
      <c r="O572" s="51" t="str">
        <f>IF('Classe CM2'!$B12="","",N('Classe CM2'!L12))</f>
        <v/>
      </c>
      <c r="P572" s="51" t="str">
        <f>IF('Classe CM2'!$B12="","",N('Classe CM2'!M12))</f>
        <v/>
      </c>
      <c r="Q572" s="21" t="str">
        <f>IF('Classe CM2'!$B12="","",IF('Classe CM2'!Q12="","",'Classe CM2'!Q12))</f>
        <v/>
      </c>
      <c r="R572" s="51" t="str">
        <f>IF('Classe CM2'!$B12="","",N('Classe CM2'!N12))</f>
        <v/>
      </c>
      <c r="S572" s="51" t="str">
        <f>IF('Classe CM2'!$B12="","",N('Classe CM2'!O12))</f>
        <v/>
      </c>
      <c r="T572" s="51" t="str">
        <f>IF('Classe CM2'!$B12="","",N('Classe CM2'!P12))</f>
        <v/>
      </c>
    </row>
    <row r="573">
      <c r="A573" s="16" t="str">
        <f>IF('Classe CM2'!$B13="","",IF('Classe CM2'!A13="","",'Classe CM2'!A13))</f>
        <v/>
      </c>
      <c r="B573" s="16" t="str">
        <f>IF('Classe CM2'!$B13="","",IF('Classe CM2'!B13="","",'Classe CM2'!B13))</f>
        <v/>
      </c>
      <c r="C573" s="16" t="str">
        <f>IF('Classe CM2'!$B13="","",IF('Classe CM2'!C13="","",'Classe CM2'!C13))</f>
        <v/>
      </c>
      <c r="D573" s="16" t="str">
        <f>IF($B573="","",C573&amp;" "&amp;B573&amp;" - "&amp;E573)</f>
        <v/>
      </c>
      <c r="E573" s="17" t="str">
        <f>IF($B573="","",Paramètres!$A$22)</f>
        <v/>
      </c>
      <c r="F573" s="17" t="str">
        <f>IF($B573="","",Paramètres!$B$22)</f>
        <v/>
      </c>
      <c r="G573" s="17" t="str">
        <f>IF('Classe CM2'!$B13="","",IF('Classe CM2'!D13="","",'Classe CM2'!D13))</f>
        <v/>
      </c>
      <c r="H573" s="78" t="str">
        <f>IF('Classe CM2'!$B13="","",IF('Classe CM2'!E13="","",'Classe CM2'!E13))</f>
        <v/>
      </c>
      <c r="I573" s="16" t="str">
        <f>IF('Classe CM2'!$B13="","",IF('Classe CM2'!F13="","",'Classe CM2'!F13))</f>
        <v/>
      </c>
      <c r="J573" s="16" t="str">
        <f>IF('Classe CM2'!$B13="","",IF('Classe CM2'!G13="","",'Classe CM2'!G13))</f>
        <v/>
      </c>
      <c r="K573" s="18" t="str">
        <f>IF('Classe CM2'!$B13="","",N('Classe CM2'!H13))</f>
        <v/>
      </c>
      <c r="L573" s="18" t="str">
        <f>IF('Classe CM2'!$B13="","",N('Classe CM2'!I13))</f>
        <v/>
      </c>
      <c r="M573" s="18" t="str">
        <f>IF('Classe CM2'!$B13="","",N('Classe CM2'!J13))</f>
        <v/>
      </c>
      <c r="N573" s="18" t="str">
        <f>IF('Classe CM2'!$B13="","",N('Classe CM2'!K13))</f>
        <v/>
      </c>
      <c r="O573" s="18" t="str">
        <f>IF('Classe CM2'!$B13="","",N('Classe CM2'!L13))</f>
        <v/>
      </c>
      <c r="P573" s="18" t="str">
        <f>IF('Classe CM2'!$B13="","",N('Classe CM2'!M13))</f>
        <v/>
      </c>
      <c r="Q573" s="17" t="str">
        <f>IF('Classe CM2'!$B13="","",IF('Classe CM2'!Q13="","",'Classe CM2'!Q13))</f>
        <v/>
      </c>
      <c r="R573" s="18" t="str">
        <f>IF('Classe CM2'!$B13="","",N('Classe CM2'!N13))</f>
        <v/>
      </c>
      <c r="S573" s="18" t="str">
        <f>IF('Classe CM2'!$B13="","",N('Classe CM2'!O13))</f>
        <v/>
      </c>
      <c r="T573" s="18" t="str">
        <f>IF('Classe CM2'!$B13="","",N('Classe CM2'!P13))</f>
        <v/>
      </c>
    </row>
    <row r="574">
      <c r="A574" s="20" t="str">
        <f>IF('Classe CM2'!$B14="","",IF('Classe CM2'!A14="","",'Classe CM2'!A14))</f>
        <v/>
      </c>
      <c r="B574" s="20" t="str">
        <f>IF('Classe CM2'!$B14="","",IF('Classe CM2'!B14="","",'Classe CM2'!B14))</f>
        <v/>
      </c>
      <c r="C574" s="20" t="str">
        <f>IF('Classe CM2'!$B14="","",IF('Classe CM2'!C14="","",'Classe CM2'!C14))</f>
        <v/>
      </c>
      <c r="D574" s="20" t="str">
        <f>IF($B574="","",C574&amp;" "&amp;B574&amp;" - "&amp;E574)</f>
        <v/>
      </c>
      <c r="E574" s="21" t="str">
        <f>IF($B574="","",Paramètres!$A$22)</f>
        <v/>
      </c>
      <c r="F574" s="21" t="str">
        <f>IF($B574="","",Paramètres!$B$22)</f>
        <v/>
      </c>
      <c r="G574" s="21" t="str">
        <f>IF('Classe CM2'!$B14="","",IF('Classe CM2'!D14="","",'Classe CM2'!D14))</f>
        <v/>
      </c>
      <c r="H574" s="77" t="str">
        <f>IF('Classe CM2'!$B14="","",IF('Classe CM2'!E14="","",'Classe CM2'!E14))</f>
        <v/>
      </c>
      <c r="I574" s="20" t="str">
        <f>IF('Classe CM2'!$B14="","",IF('Classe CM2'!F14="","",'Classe CM2'!F14))</f>
        <v/>
      </c>
      <c r="J574" s="20" t="str">
        <f>IF('Classe CM2'!$B14="","",IF('Classe CM2'!G14="","",'Classe CM2'!G14))</f>
        <v/>
      </c>
      <c r="K574" s="51" t="str">
        <f>IF('Classe CM2'!$B14="","",N('Classe CM2'!H14))</f>
        <v/>
      </c>
      <c r="L574" s="51" t="str">
        <f>IF('Classe CM2'!$B14="","",N('Classe CM2'!I14))</f>
        <v/>
      </c>
      <c r="M574" s="51" t="str">
        <f>IF('Classe CM2'!$B14="","",N('Classe CM2'!J14))</f>
        <v/>
      </c>
      <c r="N574" s="51" t="str">
        <f>IF('Classe CM2'!$B14="","",N('Classe CM2'!K14))</f>
        <v/>
      </c>
      <c r="O574" s="51" t="str">
        <f>IF('Classe CM2'!$B14="","",N('Classe CM2'!L14))</f>
        <v/>
      </c>
      <c r="P574" s="51" t="str">
        <f>IF('Classe CM2'!$B14="","",N('Classe CM2'!M14))</f>
        <v/>
      </c>
      <c r="Q574" s="21" t="str">
        <f>IF('Classe CM2'!$B14="","",IF('Classe CM2'!Q14="","",'Classe CM2'!Q14))</f>
        <v/>
      </c>
      <c r="R574" s="51" t="str">
        <f>IF('Classe CM2'!$B14="","",N('Classe CM2'!N14))</f>
        <v/>
      </c>
      <c r="S574" s="51" t="str">
        <f>IF('Classe CM2'!$B14="","",N('Classe CM2'!O14))</f>
        <v/>
      </c>
      <c r="T574" s="51" t="str">
        <f>IF('Classe CM2'!$B14="","",N('Classe CM2'!P14))</f>
        <v/>
      </c>
    </row>
    <row r="575">
      <c r="A575" s="16" t="str">
        <f>IF('Classe CM2'!$B15="","",IF('Classe CM2'!A15="","",'Classe CM2'!A15))</f>
        <v/>
      </c>
      <c r="B575" s="16" t="str">
        <f>IF('Classe CM2'!$B15="","",IF('Classe CM2'!B15="","",'Classe CM2'!B15))</f>
        <v/>
      </c>
      <c r="C575" s="16" t="str">
        <f>IF('Classe CM2'!$B15="","",IF('Classe CM2'!C15="","",'Classe CM2'!C15))</f>
        <v/>
      </c>
      <c r="D575" s="16" t="str">
        <f>IF($B575="","",C575&amp;" "&amp;B575&amp;" - "&amp;E575)</f>
        <v/>
      </c>
      <c r="E575" s="17" t="str">
        <f>IF($B575="","",Paramètres!$A$22)</f>
        <v/>
      </c>
      <c r="F575" s="17" t="str">
        <f>IF($B575="","",Paramètres!$B$22)</f>
        <v/>
      </c>
      <c r="G575" s="17" t="str">
        <f>IF('Classe CM2'!$B15="","",IF('Classe CM2'!D15="","",'Classe CM2'!D15))</f>
        <v/>
      </c>
      <c r="H575" s="78" t="str">
        <f>IF('Classe CM2'!$B15="","",IF('Classe CM2'!E15="","",'Classe CM2'!E15))</f>
        <v/>
      </c>
      <c r="I575" s="16" t="str">
        <f>IF('Classe CM2'!$B15="","",IF('Classe CM2'!F15="","",'Classe CM2'!F15))</f>
        <v/>
      </c>
      <c r="J575" s="16" t="str">
        <f>IF('Classe CM2'!$B15="","",IF('Classe CM2'!G15="","",'Classe CM2'!G15))</f>
        <v/>
      </c>
      <c r="K575" s="18" t="str">
        <f>IF('Classe CM2'!$B15="","",N('Classe CM2'!H15))</f>
        <v/>
      </c>
      <c r="L575" s="18" t="str">
        <f>IF('Classe CM2'!$B15="","",N('Classe CM2'!I15))</f>
        <v/>
      </c>
      <c r="M575" s="18" t="str">
        <f>IF('Classe CM2'!$B15="","",N('Classe CM2'!J15))</f>
        <v/>
      </c>
      <c r="N575" s="18" t="str">
        <f>IF('Classe CM2'!$B15="","",N('Classe CM2'!K15))</f>
        <v/>
      </c>
      <c r="O575" s="18" t="str">
        <f>IF('Classe CM2'!$B15="","",N('Classe CM2'!L15))</f>
        <v/>
      </c>
      <c r="P575" s="18" t="str">
        <f>IF('Classe CM2'!$B15="","",N('Classe CM2'!M15))</f>
        <v/>
      </c>
      <c r="Q575" s="17" t="str">
        <f>IF('Classe CM2'!$B15="","",IF('Classe CM2'!Q15="","",'Classe CM2'!Q15))</f>
        <v/>
      </c>
      <c r="R575" s="18" t="str">
        <f>IF('Classe CM2'!$B15="","",N('Classe CM2'!N15))</f>
        <v/>
      </c>
      <c r="S575" s="18" t="str">
        <f>IF('Classe CM2'!$B15="","",N('Classe CM2'!O15))</f>
        <v/>
      </c>
      <c r="T575" s="18" t="str">
        <f>IF('Classe CM2'!$B15="","",N('Classe CM2'!P15))</f>
        <v/>
      </c>
    </row>
    <row r="576">
      <c r="A576" s="20" t="str">
        <f>IF('Classe CM2'!$B16="","",IF('Classe CM2'!A16="","",'Classe CM2'!A16))</f>
        <v/>
      </c>
      <c r="B576" s="20" t="str">
        <f>IF('Classe CM2'!$B16="","",IF('Classe CM2'!B16="","",'Classe CM2'!B16))</f>
        <v/>
      </c>
      <c r="C576" s="20" t="str">
        <f>IF('Classe CM2'!$B16="","",IF('Classe CM2'!C16="","",'Classe CM2'!C16))</f>
        <v/>
      </c>
      <c r="D576" s="20" t="str">
        <f>IF($B576="","",C576&amp;" "&amp;B576&amp;" - "&amp;E576)</f>
        <v/>
      </c>
      <c r="E576" s="21" t="str">
        <f>IF($B576="","",Paramètres!$A$22)</f>
        <v/>
      </c>
      <c r="F576" s="21" t="str">
        <f>IF($B576="","",Paramètres!$B$22)</f>
        <v/>
      </c>
      <c r="G576" s="21" t="str">
        <f>IF('Classe CM2'!$B16="","",IF('Classe CM2'!D16="","",'Classe CM2'!D16))</f>
        <v/>
      </c>
      <c r="H576" s="77" t="str">
        <f>IF('Classe CM2'!$B16="","",IF('Classe CM2'!E16="","",'Classe CM2'!E16))</f>
        <v/>
      </c>
      <c r="I576" s="20" t="str">
        <f>IF('Classe CM2'!$B16="","",IF('Classe CM2'!F16="","",'Classe CM2'!F16))</f>
        <v/>
      </c>
      <c r="J576" s="20" t="str">
        <f>IF('Classe CM2'!$B16="","",IF('Classe CM2'!G16="","",'Classe CM2'!G16))</f>
        <v/>
      </c>
      <c r="K576" s="51" t="str">
        <f>IF('Classe CM2'!$B16="","",N('Classe CM2'!H16))</f>
        <v/>
      </c>
      <c r="L576" s="51" t="str">
        <f>IF('Classe CM2'!$B16="","",N('Classe CM2'!I16))</f>
        <v/>
      </c>
      <c r="M576" s="51" t="str">
        <f>IF('Classe CM2'!$B16="","",N('Classe CM2'!J16))</f>
        <v/>
      </c>
      <c r="N576" s="51" t="str">
        <f>IF('Classe CM2'!$B16="","",N('Classe CM2'!K16))</f>
        <v/>
      </c>
      <c r="O576" s="51" t="str">
        <f>IF('Classe CM2'!$B16="","",N('Classe CM2'!L16))</f>
        <v/>
      </c>
      <c r="P576" s="51" t="str">
        <f>IF('Classe CM2'!$B16="","",N('Classe CM2'!M16))</f>
        <v/>
      </c>
      <c r="Q576" s="21" t="str">
        <f>IF('Classe CM2'!$B16="","",IF('Classe CM2'!Q16="","",'Classe CM2'!Q16))</f>
        <v/>
      </c>
      <c r="R576" s="51" t="str">
        <f>IF('Classe CM2'!$B16="","",N('Classe CM2'!N16))</f>
        <v/>
      </c>
      <c r="S576" s="51" t="str">
        <f>IF('Classe CM2'!$B16="","",N('Classe CM2'!O16))</f>
        <v/>
      </c>
      <c r="T576" s="51" t="str">
        <f>IF('Classe CM2'!$B16="","",N('Classe CM2'!P16))</f>
        <v/>
      </c>
    </row>
    <row r="577">
      <c r="A577" s="16" t="str">
        <f>IF('Classe CM2'!$B17="","",IF('Classe CM2'!A17="","",'Classe CM2'!A17))</f>
        <v/>
      </c>
      <c r="B577" s="16" t="str">
        <f>IF('Classe CM2'!$B17="","",IF('Classe CM2'!B17="","",'Classe CM2'!B17))</f>
        <v/>
      </c>
      <c r="C577" s="16" t="str">
        <f>IF('Classe CM2'!$B17="","",IF('Classe CM2'!C17="","",'Classe CM2'!C17))</f>
        <v/>
      </c>
      <c r="D577" s="16" t="str">
        <f>IF($B577="","",C577&amp;" "&amp;B577&amp;" - "&amp;E577)</f>
        <v/>
      </c>
      <c r="E577" s="17" t="str">
        <f>IF($B577="","",Paramètres!$A$22)</f>
        <v/>
      </c>
      <c r="F577" s="17" t="str">
        <f>IF($B577="","",Paramètres!$B$22)</f>
        <v/>
      </c>
      <c r="G577" s="17" t="str">
        <f>IF('Classe CM2'!$B17="","",IF('Classe CM2'!D17="","",'Classe CM2'!D17))</f>
        <v/>
      </c>
      <c r="H577" s="78" t="str">
        <f>IF('Classe CM2'!$B17="","",IF('Classe CM2'!E17="","",'Classe CM2'!E17))</f>
        <v/>
      </c>
      <c r="I577" s="16" t="str">
        <f>IF('Classe CM2'!$B17="","",IF('Classe CM2'!F17="","",'Classe CM2'!F17))</f>
        <v/>
      </c>
      <c r="J577" s="16" t="str">
        <f>IF('Classe CM2'!$B17="","",IF('Classe CM2'!G17="","",'Classe CM2'!G17))</f>
        <v/>
      </c>
      <c r="K577" s="18" t="str">
        <f>IF('Classe CM2'!$B17="","",N('Classe CM2'!H17))</f>
        <v/>
      </c>
      <c r="L577" s="18" t="str">
        <f>IF('Classe CM2'!$B17="","",N('Classe CM2'!I17))</f>
        <v/>
      </c>
      <c r="M577" s="18" t="str">
        <f>IF('Classe CM2'!$B17="","",N('Classe CM2'!J17))</f>
        <v/>
      </c>
      <c r="N577" s="18" t="str">
        <f>IF('Classe CM2'!$B17="","",N('Classe CM2'!K17))</f>
        <v/>
      </c>
      <c r="O577" s="18" t="str">
        <f>IF('Classe CM2'!$B17="","",N('Classe CM2'!L17))</f>
        <v/>
      </c>
      <c r="P577" s="18" t="str">
        <f>IF('Classe CM2'!$B17="","",N('Classe CM2'!M17))</f>
        <v/>
      </c>
      <c r="Q577" s="17" t="str">
        <f>IF('Classe CM2'!$B17="","",IF('Classe CM2'!Q17="","",'Classe CM2'!Q17))</f>
        <v/>
      </c>
      <c r="R577" s="18" t="str">
        <f>IF('Classe CM2'!$B17="","",N('Classe CM2'!N17))</f>
        <v/>
      </c>
      <c r="S577" s="18" t="str">
        <f>IF('Classe CM2'!$B17="","",N('Classe CM2'!O17))</f>
        <v/>
      </c>
      <c r="T577" s="18" t="str">
        <f>IF('Classe CM2'!$B17="","",N('Classe CM2'!P17))</f>
        <v/>
      </c>
    </row>
    <row r="578">
      <c r="A578" s="20" t="str">
        <f>IF('Classe CM2'!$B18="","",IF('Classe CM2'!A18="","",'Classe CM2'!A18))</f>
        <v/>
      </c>
      <c r="B578" s="20" t="str">
        <f>IF('Classe CM2'!$B18="","",IF('Classe CM2'!B18="","",'Classe CM2'!B18))</f>
        <v/>
      </c>
      <c r="C578" s="20" t="str">
        <f>IF('Classe CM2'!$B18="","",IF('Classe CM2'!C18="","",'Classe CM2'!C18))</f>
        <v/>
      </c>
      <c r="D578" s="20" t="str">
        <f>IF($B578="","",C578&amp;" "&amp;B578&amp;" - "&amp;E578)</f>
        <v/>
      </c>
      <c r="E578" s="21" t="str">
        <f>IF($B578="","",Paramètres!$A$22)</f>
        <v/>
      </c>
      <c r="F578" s="21" t="str">
        <f>IF($B578="","",Paramètres!$B$22)</f>
        <v/>
      </c>
      <c r="G578" s="21" t="str">
        <f>IF('Classe CM2'!$B18="","",IF('Classe CM2'!D18="","",'Classe CM2'!D18))</f>
        <v/>
      </c>
      <c r="H578" s="77" t="str">
        <f>IF('Classe CM2'!$B18="","",IF('Classe CM2'!E18="","",'Classe CM2'!E18))</f>
        <v/>
      </c>
      <c r="I578" s="20" t="str">
        <f>IF('Classe CM2'!$B18="","",IF('Classe CM2'!F18="","",'Classe CM2'!F18))</f>
        <v/>
      </c>
      <c r="J578" s="20" t="str">
        <f>IF('Classe CM2'!$B18="","",IF('Classe CM2'!G18="","",'Classe CM2'!G18))</f>
        <v/>
      </c>
      <c r="K578" s="51" t="str">
        <f>IF('Classe CM2'!$B18="","",N('Classe CM2'!H18))</f>
        <v/>
      </c>
      <c r="L578" s="51" t="str">
        <f>IF('Classe CM2'!$B18="","",N('Classe CM2'!I18))</f>
        <v/>
      </c>
      <c r="M578" s="51" t="str">
        <f>IF('Classe CM2'!$B18="","",N('Classe CM2'!J18))</f>
        <v/>
      </c>
      <c r="N578" s="51" t="str">
        <f>IF('Classe CM2'!$B18="","",N('Classe CM2'!K18))</f>
        <v/>
      </c>
      <c r="O578" s="51" t="str">
        <f>IF('Classe CM2'!$B18="","",N('Classe CM2'!L18))</f>
        <v/>
      </c>
      <c r="P578" s="51" t="str">
        <f>IF('Classe CM2'!$B18="","",N('Classe CM2'!M18))</f>
        <v/>
      </c>
      <c r="Q578" s="21" t="str">
        <f>IF('Classe CM2'!$B18="","",IF('Classe CM2'!Q18="","",'Classe CM2'!Q18))</f>
        <v/>
      </c>
      <c r="R578" s="51" t="str">
        <f>IF('Classe CM2'!$B18="","",N('Classe CM2'!N18))</f>
        <v/>
      </c>
      <c r="S578" s="51" t="str">
        <f>IF('Classe CM2'!$B18="","",N('Classe CM2'!O18))</f>
        <v/>
      </c>
      <c r="T578" s="51" t="str">
        <f>IF('Classe CM2'!$B18="","",N('Classe CM2'!P18))</f>
        <v/>
      </c>
    </row>
    <row r="579">
      <c r="A579" s="16" t="str">
        <f>IF('Classe CM2'!$B19="","",IF('Classe CM2'!A19="","",'Classe CM2'!A19))</f>
        <v/>
      </c>
      <c r="B579" s="16" t="str">
        <f>IF('Classe CM2'!$B19="","",IF('Classe CM2'!B19="","",'Classe CM2'!B19))</f>
        <v/>
      </c>
      <c r="C579" s="16" t="str">
        <f>IF('Classe CM2'!$B19="","",IF('Classe CM2'!C19="","",'Classe CM2'!C19))</f>
        <v/>
      </c>
      <c r="D579" s="16" t="str">
        <f>IF($B579="","",C579&amp;" "&amp;B579&amp;" - "&amp;E579)</f>
        <v/>
      </c>
      <c r="E579" s="17" t="str">
        <f>IF($B579="","",Paramètres!$A$22)</f>
        <v/>
      </c>
      <c r="F579" s="17" t="str">
        <f>IF($B579="","",Paramètres!$B$22)</f>
        <v/>
      </c>
      <c r="G579" s="17" t="str">
        <f>IF('Classe CM2'!$B19="","",IF('Classe CM2'!D19="","",'Classe CM2'!D19))</f>
        <v/>
      </c>
      <c r="H579" s="78" t="str">
        <f>IF('Classe CM2'!$B19="","",IF('Classe CM2'!E19="","",'Classe CM2'!E19))</f>
        <v/>
      </c>
      <c r="I579" s="16" t="str">
        <f>IF('Classe CM2'!$B19="","",IF('Classe CM2'!F19="","",'Classe CM2'!F19))</f>
        <v/>
      </c>
      <c r="J579" s="16" t="str">
        <f>IF('Classe CM2'!$B19="","",IF('Classe CM2'!G19="","",'Classe CM2'!G19))</f>
        <v/>
      </c>
      <c r="K579" s="18" t="str">
        <f>IF('Classe CM2'!$B19="","",N('Classe CM2'!H19))</f>
        <v/>
      </c>
      <c r="L579" s="18" t="str">
        <f>IF('Classe CM2'!$B19="","",N('Classe CM2'!I19))</f>
        <v/>
      </c>
      <c r="M579" s="18" t="str">
        <f>IF('Classe CM2'!$B19="","",N('Classe CM2'!J19))</f>
        <v/>
      </c>
      <c r="N579" s="18" t="str">
        <f>IF('Classe CM2'!$B19="","",N('Classe CM2'!K19))</f>
        <v/>
      </c>
      <c r="O579" s="18" t="str">
        <f>IF('Classe CM2'!$B19="","",N('Classe CM2'!L19))</f>
        <v/>
      </c>
      <c r="P579" s="18" t="str">
        <f>IF('Classe CM2'!$B19="","",N('Classe CM2'!M19))</f>
        <v/>
      </c>
      <c r="Q579" s="17" t="str">
        <f>IF('Classe CM2'!$B19="","",IF('Classe CM2'!Q19="","",'Classe CM2'!Q19))</f>
        <v/>
      </c>
      <c r="R579" s="18" t="str">
        <f>IF('Classe CM2'!$B19="","",N('Classe CM2'!N19))</f>
        <v/>
      </c>
      <c r="S579" s="18" t="str">
        <f>IF('Classe CM2'!$B19="","",N('Classe CM2'!O19))</f>
        <v/>
      </c>
      <c r="T579" s="18" t="str">
        <f>IF('Classe CM2'!$B19="","",N('Classe CM2'!P19))</f>
        <v/>
      </c>
    </row>
    <row r="580">
      <c r="A580" s="20" t="str">
        <f>IF('Classe CM2'!$B20="","",IF('Classe CM2'!A20="","",'Classe CM2'!A20))</f>
        <v/>
      </c>
      <c r="B580" s="20" t="str">
        <f>IF('Classe CM2'!$B20="","",IF('Classe CM2'!B20="","",'Classe CM2'!B20))</f>
        <v/>
      </c>
      <c r="C580" s="20" t="str">
        <f>IF('Classe CM2'!$B20="","",IF('Classe CM2'!C20="","",'Classe CM2'!C20))</f>
        <v/>
      </c>
      <c r="D580" s="20" t="str">
        <f>IF($B580="","",C580&amp;" "&amp;B580&amp;" - "&amp;E580)</f>
        <v/>
      </c>
      <c r="E580" s="21" t="str">
        <f>IF($B580="","",Paramètres!$A$22)</f>
        <v/>
      </c>
      <c r="F580" s="21" t="str">
        <f>IF($B580="","",Paramètres!$B$22)</f>
        <v/>
      </c>
      <c r="G580" s="21" t="str">
        <f>IF('Classe CM2'!$B20="","",IF('Classe CM2'!D20="","",'Classe CM2'!D20))</f>
        <v/>
      </c>
      <c r="H580" s="77" t="str">
        <f>IF('Classe CM2'!$B20="","",IF('Classe CM2'!E20="","",'Classe CM2'!E20))</f>
        <v/>
      </c>
      <c r="I580" s="20" t="str">
        <f>IF('Classe CM2'!$B20="","",IF('Classe CM2'!F20="","",'Classe CM2'!F20))</f>
        <v/>
      </c>
      <c r="J580" s="20" t="str">
        <f>IF('Classe CM2'!$B20="","",IF('Classe CM2'!G20="","",'Classe CM2'!G20))</f>
        <v/>
      </c>
      <c r="K580" s="51" t="str">
        <f>IF('Classe CM2'!$B20="","",N('Classe CM2'!H20))</f>
        <v/>
      </c>
      <c r="L580" s="51" t="str">
        <f>IF('Classe CM2'!$B20="","",N('Classe CM2'!I20))</f>
        <v/>
      </c>
      <c r="M580" s="51" t="str">
        <f>IF('Classe CM2'!$B20="","",N('Classe CM2'!J20))</f>
        <v/>
      </c>
      <c r="N580" s="51" t="str">
        <f>IF('Classe CM2'!$B20="","",N('Classe CM2'!K20))</f>
        <v/>
      </c>
      <c r="O580" s="51" t="str">
        <f>IF('Classe CM2'!$B20="","",N('Classe CM2'!L20))</f>
        <v/>
      </c>
      <c r="P580" s="51" t="str">
        <f>IF('Classe CM2'!$B20="","",N('Classe CM2'!M20))</f>
        <v/>
      </c>
      <c r="Q580" s="21" t="str">
        <f>IF('Classe CM2'!$B20="","",IF('Classe CM2'!Q20="","",'Classe CM2'!Q20))</f>
        <v/>
      </c>
      <c r="R580" s="51" t="str">
        <f>IF('Classe CM2'!$B20="","",N('Classe CM2'!N20))</f>
        <v/>
      </c>
      <c r="S580" s="51" t="str">
        <f>IF('Classe CM2'!$B20="","",N('Classe CM2'!O20))</f>
        <v/>
      </c>
      <c r="T580" s="51" t="str">
        <f>IF('Classe CM2'!$B20="","",N('Classe CM2'!P20))</f>
        <v/>
      </c>
    </row>
    <row r="581">
      <c r="A581" s="16" t="str">
        <f>IF('Classe CM2'!$B21="","",IF('Classe CM2'!A21="","",'Classe CM2'!A21))</f>
        <v/>
      </c>
      <c r="B581" s="16" t="str">
        <f>IF('Classe CM2'!$B21="","",IF('Classe CM2'!B21="","",'Classe CM2'!B21))</f>
        <v/>
      </c>
      <c r="C581" s="16" t="str">
        <f>IF('Classe CM2'!$B21="","",IF('Classe CM2'!C21="","",'Classe CM2'!C21))</f>
        <v/>
      </c>
      <c r="D581" s="16" t="str">
        <f>IF($B581="","",C581&amp;" "&amp;B581&amp;" - "&amp;E581)</f>
        <v/>
      </c>
      <c r="E581" s="17" t="str">
        <f>IF($B581="","",Paramètres!$A$22)</f>
        <v/>
      </c>
      <c r="F581" s="17" t="str">
        <f>IF($B581="","",Paramètres!$B$22)</f>
        <v/>
      </c>
      <c r="G581" s="17" t="str">
        <f>IF('Classe CM2'!$B21="","",IF('Classe CM2'!D21="","",'Classe CM2'!D21))</f>
        <v/>
      </c>
      <c r="H581" s="78" t="str">
        <f>IF('Classe CM2'!$B21="","",IF('Classe CM2'!E21="","",'Classe CM2'!E21))</f>
        <v/>
      </c>
      <c r="I581" s="16" t="str">
        <f>IF('Classe CM2'!$B21="","",IF('Classe CM2'!F21="","",'Classe CM2'!F21))</f>
        <v/>
      </c>
      <c r="J581" s="16" t="str">
        <f>IF('Classe CM2'!$B21="","",IF('Classe CM2'!G21="","",'Classe CM2'!G21))</f>
        <v/>
      </c>
      <c r="K581" s="18" t="str">
        <f>IF('Classe CM2'!$B21="","",N('Classe CM2'!H21))</f>
        <v/>
      </c>
      <c r="L581" s="18" t="str">
        <f>IF('Classe CM2'!$B21="","",N('Classe CM2'!I21))</f>
        <v/>
      </c>
      <c r="M581" s="18" t="str">
        <f>IF('Classe CM2'!$B21="","",N('Classe CM2'!J21))</f>
        <v/>
      </c>
      <c r="N581" s="18" t="str">
        <f>IF('Classe CM2'!$B21="","",N('Classe CM2'!K21))</f>
        <v/>
      </c>
      <c r="O581" s="18" t="str">
        <f>IF('Classe CM2'!$B21="","",N('Classe CM2'!L21))</f>
        <v/>
      </c>
      <c r="P581" s="18" t="str">
        <f>IF('Classe CM2'!$B21="","",N('Classe CM2'!M21))</f>
        <v/>
      </c>
      <c r="Q581" s="17" t="str">
        <f>IF('Classe CM2'!$B21="","",IF('Classe CM2'!Q21="","",'Classe CM2'!Q21))</f>
        <v/>
      </c>
      <c r="R581" s="18" t="str">
        <f>IF('Classe CM2'!$B21="","",N('Classe CM2'!N21))</f>
        <v/>
      </c>
      <c r="S581" s="18" t="str">
        <f>IF('Classe CM2'!$B21="","",N('Classe CM2'!O21))</f>
        <v/>
      </c>
      <c r="T581" s="18" t="str">
        <f>IF('Classe CM2'!$B21="","",N('Classe CM2'!P21))</f>
        <v/>
      </c>
    </row>
    <row r="582">
      <c r="A582" s="20" t="str">
        <f>IF('Classe CM2'!$B22="","",IF('Classe CM2'!A22="","",'Classe CM2'!A22))</f>
        <v/>
      </c>
      <c r="B582" s="20" t="str">
        <f>IF('Classe CM2'!$B22="","",IF('Classe CM2'!B22="","",'Classe CM2'!B22))</f>
        <v/>
      </c>
      <c r="C582" s="20" t="str">
        <f>IF('Classe CM2'!$B22="","",IF('Classe CM2'!C22="","",'Classe CM2'!C22))</f>
        <v/>
      </c>
      <c r="D582" s="20" t="str">
        <f>IF($B582="","",C582&amp;" "&amp;B582&amp;" - "&amp;E582)</f>
        <v/>
      </c>
      <c r="E582" s="21" t="str">
        <f>IF($B582="","",Paramètres!$A$22)</f>
        <v/>
      </c>
      <c r="F582" s="21" t="str">
        <f>IF($B582="","",Paramètres!$B$22)</f>
        <v/>
      </c>
      <c r="G582" s="21" t="str">
        <f>IF('Classe CM2'!$B22="","",IF('Classe CM2'!D22="","",'Classe CM2'!D22))</f>
        <v/>
      </c>
      <c r="H582" s="77" t="str">
        <f>IF('Classe CM2'!$B22="","",IF('Classe CM2'!E22="","",'Classe CM2'!E22))</f>
        <v/>
      </c>
      <c r="I582" s="20" t="str">
        <f>IF('Classe CM2'!$B22="","",IF('Classe CM2'!F22="","",'Classe CM2'!F22))</f>
        <v/>
      </c>
      <c r="J582" s="20" t="str">
        <f>IF('Classe CM2'!$B22="","",IF('Classe CM2'!G22="","",'Classe CM2'!G22))</f>
        <v/>
      </c>
      <c r="K582" s="51" t="str">
        <f>IF('Classe CM2'!$B22="","",N('Classe CM2'!H22))</f>
        <v/>
      </c>
      <c r="L582" s="51" t="str">
        <f>IF('Classe CM2'!$B22="","",N('Classe CM2'!I22))</f>
        <v/>
      </c>
      <c r="M582" s="51" t="str">
        <f>IF('Classe CM2'!$B22="","",N('Classe CM2'!J22))</f>
        <v/>
      </c>
      <c r="N582" s="51" t="str">
        <f>IF('Classe CM2'!$B22="","",N('Classe CM2'!K22))</f>
        <v/>
      </c>
      <c r="O582" s="51" t="str">
        <f>IF('Classe CM2'!$B22="","",N('Classe CM2'!L22))</f>
        <v/>
      </c>
      <c r="P582" s="51" t="str">
        <f>IF('Classe CM2'!$B22="","",N('Classe CM2'!M22))</f>
        <v/>
      </c>
      <c r="Q582" s="21" t="str">
        <f>IF('Classe CM2'!$B22="","",IF('Classe CM2'!Q22="","",'Classe CM2'!Q22))</f>
        <v/>
      </c>
      <c r="R582" s="51" t="str">
        <f>IF('Classe CM2'!$B22="","",N('Classe CM2'!N22))</f>
        <v/>
      </c>
      <c r="S582" s="51" t="str">
        <f>IF('Classe CM2'!$B22="","",N('Classe CM2'!O22))</f>
        <v/>
      </c>
      <c r="T582" s="51" t="str">
        <f>IF('Classe CM2'!$B22="","",N('Classe CM2'!P22))</f>
        <v/>
      </c>
    </row>
    <row r="583">
      <c r="A583" s="16" t="str">
        <f>IF('Classe CM2'!$B23="","",IF('Classe CM2'!A23="","",'Classe CM2'!A23))</f>
        <v/>
      </c>
      <c r="B583" s="16" t="str">
        <f>IF('Classe CM2'!$B23="","",IF('Classe CM2'!B23="","",'Classe CM2'!B23))</f>
        <v/>
      </c>
      <c r="C583" s="16" t="str">
        <f>IF('Classe CM2'!$B23="","",IF('Classe CM2'!C23="","",'Classe CM2'!C23))</f>
        <v/>
      </c>
      <c r="D583" s="16" t="str">
        <f>IF($B583="","",C583&amp;" "&amp;B583&amp;" - "&amp;E583)</f>
        <v/>
      </c>
      <c r="E583" s="17" t="str">
        <f>IF($B583="","",Paramètres!$A$22)</f>
        <v/>
      </c>
      <c r="F583" s="17" t="str">
        <f>IF($B583="","",Paramètres!$B$22)</f>
        <v/>
      </c>
      <c r="G583" s="17" t="str">
        <f>IF('Classe CM2'!$B23="","",IF('Classe CM2'!D23="","",'Classe CM2'!D23))</f>
        <v/>
      </c>
      <c r="H583" s="78" t="str">
        <f>IF('Classe CM2'!$B23="","",IF('Classe CM2'!E23="","",'Classe CM2'!E23))</f>
        <v/>
      </c>
      <c r="I583" s="16" t="str">
        <f>IF('Classe CM2'!$B23="","",IF('Classe CM2'!F23="","",'Classe CM2'!F23))</f>
        <v/>
      </c>
      <c r="J583" s="16" t="str">
        <f>IF('Classe CM2'!$B23="","",IF('Classe CM2'!G23="","",'Classe CM2'!G23))</f>
        <v/>
      </c>
      <c r="K583" s="18" t="str">
        <f>IF('Classe CM2'!$B23="","",N('Classe CM2'!H23))</f>
        <v/>
      </c>
      <c r="L583" s="18" t="str">
        <f>IF('Classe CM2'!$B23="","",N('Classe CM2'!I23))</f>
        <v/>
      </c>
      <c r="M583" s="18" t="str">
        <f>IF('Classe CM2'!$B23="","",N('Classe CM2'!J23))</f>
        <v/>
      </c>
      <c r="N583" s="18" t="str">
        <f>IF('Classe CM2'!$B23="","",N('Classe CM2'!K23))</f>
        <v/>
      </c>
      <c r="O583" s="18" t="str">
        <f>IF('Classe CM2'!$B23="","",N('Classe CM2'!L23))</f>
        <v/>
      </c>
      <c r="P583" s="18" t="str">
        <f>IF('Classe CM2'!$B23="","",N('Classe CM2'!M23))</f>
        <v/>
      </c>
      <c r="Q583" s="17" t="str">
        <f>IF('Classe CM2'!$B23="","",IF('Classe CM2'!Q23="","",'Classe CM2'!Q23))</f>
        <v/>
      </c>
      <c r="R583" s="18" t="str">
        <f>IF('Classe CM2'!$B23="","",N('Classe CM2'!N23))</f>
        <v/>
      </c>
      <c r="S583" s="18" t="str">
        <f>IF('Classe CM2'!$B23="","",N('Classe CM2'!O23))</f>
        <v/>
      </c>
      <c r="T583" s="18" t="str">
        <f>IF('Classe CM2'!$B23="","",N('Classe CM2'!P23))</f>
        <v/>
      </c>
    </row>
    <row r="584">
      <c r="A584" s="20" t="str">
        <f>IF('Classe CM2'!$B24="","",IF('Classe CM2'!A24="","",'Classe CM2'!A24))</f>
        <v/>
      </c>
      <c r="B584" s="20" t="str">
        <f>IF('Classe CM2'!$B24="","",IF('Classe CM2'!B24="","",'Classe CM2'!B24))</f>
        <v/>
      </c>
      <c r="C584" s="20" t="str">
        <f>IF('Classe CM2'!$B24="","",IF('Classe CM2'!C24="","",'Classe CM2'!C24))</f>
        <v/>
      </c>
      <c r="D584" s="20" t="str">
        <f>IF($B584="","",C584&amp;" "&amp;B584&amp;" - "&amp;E584)</f>
        <v/>
      </c>
      <c r="E584" s="21" t="str">
        <f>IF($B584="","",Paramètres!$A$22)</f>
        <v/>
      </c>
      <c r="F584" s="21" t="str">
        <f>IF($B584="","",Paramètres!$B$22)</f>
        <v/>
      </c>
      <c r="G584" s="21" t="str">
        <f>IF('Classe CM2'!$B24="","",IF('Classe CM2'!D24="","",'Classe CM2'!D24))</f>
        <v/>
      </c>
      <c r="H584" s="77" t="str">
        <f>IF('Classe CM2'!$B24="","",IF('Classe CM2'!E24="","",'Classe CM2'!E24))</f>
        <v/>
      </c>
      <c r="I584" s="20" t="str">
        <f>IF('Classe CM2'!$B24="","",IF('Classe CM2'!F24="","",'Classe CM2'!F24))</f>
        <v/>
      </c>
      <c r="J584" s="20" t="str">
        <f>IF('Classe CM2'!$B24="","",IF('Classe CM2'!G24="","",'Classe CM2'!G24))</f>
        <v/>
      </c>
      <c r="K584" s="51" t="str">
        <f>IF('Classe CM2'!$B24="","",N('Classe CM2'!H24))</f>
        <v/>
      </c>
      <c r="L584" s="51" t="str">
        <f>IF('Classe CM2'!$B24="","",N('Classe CM2'!I24))</f>
        <v/>
      </c>
      <c r="M584" s="51" t="str">
        <f>IF('Classe CM2'!$B24="","",N('Classe CM2'!J24))</f>
        <v/>
      </c>
      <c r="N584" s="51" t="str">
        <f>IF('Classe CM2'!$B24="","",N('Classe CM2'!K24))</f>
        <v/>
      </c>
      <c r="O584" s="51" t="str">
        <f>IF('Classe CM2'!$B24="","",N('Classe CM2'!L24))</f>
        <v/>
      </c>
      <c r="P584" s="51" t="str">
        <f>IF('Classe CM2'!$B24="","",N('Classe CM2'!M24))</f>
        <v/>
      </c>
      <c r="Q584" s="21" t="str">
        <f>IF('Classe CM2'!$B24="","",IF('Classe CM2'!Q24="","",'Classe CM2'!Q24))</f>
        <v/>
      </c>
      <c r="R584" s="51" t="str">
        <f>IF('Classe CM2'!$B24="","",N('Classe CM2'!N24))</f>
        <v/>
      </c>
      <c r="S584" s="51" t="str">
        <f>IF('Classe CM2'!$B24="","",N('Classe CM2'!O24))</f>
        <v/>
      </c>
      <c r="T584" s="51" t="str">
        <f>IF('Classe CM2'!$B24="","",N('Classe CM2'!P24))</f>
        <v/>
      </c>
    </row>
    <row r="585">
      <c r="A585" s="16" t="str">
        <f>IF('Classe CM2'!$B25="","",IF('Classe CM2'!A25="","",'Classe CM2'!A25))</f>
        <v/>
      </c>
      <c r="B585" s="16" t="str">
        <f>IF('Classe CM2'!$B25="","",IF('Classe CM2'!B25="","",'Classe CM2'!B25))</f>
        <v/>
      </c>
      <c r="C585" s="16" t="str">
        <f>IF('Classe CM2'!$B25="","",IF('Classe CM2'!C25="","",'Classe CM2'!C25))</f>
        <v/>
      </c>
      <c r="D585" s="16" t="str">
        <f>IF($B585="","",C585&amp;" "&amp;B585&amp;" - "&amp;E585)</f>
        <v/>
      </c>
      <c r="E585" s="17" t="str">
        <f>IF($B585="","",Paramètres!$A$22)</f>
        <v/>
      </c>
      <c r="F585" s="17" t="str">
        <f>IF($B585="","",Paramètres!$B$22)</f>
        <v/>
      </c>
      <c r="G585" s="17" t="str">
        <f>IF('Classe CM2'!$B25="","",IF('Classe CM2'!D25="","",'Classe CM2'!D25))</f>
        <v/>
      </c>
      <c r="H585" s="78" t="str">
        <f>IF('Classe CM2'!$B25="","",IF('Classe CM2'!E25="","",'Classe CM2'!E25))</f>
        <v/>
      </c>
      <c r="I585" s="16" t="str">
        <f>IF('Classe CM2'!$B25="","",IF('Classe CM2'!F25="","",'Classe CM2'!F25))</f>
        <v/>
      </c>
      <c r="J585" s="16" t="str">
        <f>IF('Classe CM2'!$B25="","",IF('Classe CM2'!G25="","",'Classe CM2'!G25))</f>
        <v/>
      </c>
      <c r="K585" s="18" t="str">
        <f>IF('Classe CM2'!$B25="","",N('Classe CM2'!H25))</f>
        <v/>
      </c>
      <c r="L585" s="18" t="str">
        <f>IF('Classe CM2'!$B25="","",N('Classe CM2'!I25))</f>
        <v/>
      </c>
      <c r="M585" s="18" t="str">
        <f>IF('Classe CM2'!$B25="","",N('Classe CM2'!J25))</f>
        <v/>
      </c>
      <c r="N585" s="18" t="str">
        <f>IF('Classe CM2'!$B25="","",N('Classe CM2'!K25))</f>
        <v/>
      </c>
      <c r="O585" s="18" t="str">
        <f>IF('Classe CM2'!$B25="","",N('Classe CM2'!L25))</f>
        <v/>
      </c>
      <c r="P585" s="18" t="str">
        <f>IF('Classe CM2'!$B25="","",N('Classe CM2'!M25))</f>
        <v/>
      </c>
      <c r="Q585" s="17" t="str">
        <f>IF('Classe CM2'!$B25="","",IF('Classe CM2'!Q25="","",'Classe CM2'!Q25))</f>
        <v/>
      </c>
      <c r="R585" s="18" t="str">
        <f>IF('Classe CM2'!$B25="","",N('Classe CM2'!N25))</f>
        <v/>
      </c>
      <c r="S585" s="18" t="str">
        <f>IF('Classe CM2'!$B25="","",N('Classe CM2'!O25))</f>
        <v/>
      </c>
      <c r="T585" s="18" t="str">
        <f>IF('Classe CM2'!$B25="","",N('Classe CM2'!P25))</f>
        <v/>
      </c>
    </row>
    <row r="586">
      <c r="A586" s="20" t="str">
        <f>IF('Classe CM2'!$B26="","",IF('Classe CM2'!A26="","",'Classe CM2'!A26))</f>
        <v/>
      </c>
      <c r="B586" s="20" t="str">
        <f>IF('Classe CM2'!$B26="","",IF('Classe CM2'!B26="","",'Classe CM2'!B26))</f>
        <v/>
      </c>
      <c r="C586" s="20" t="str">
        <f>IF('Classe CM2'!$B26="","",IF('Classe CM2'!C26="","",'Classe CM2'!C26))</f>
        <v/>
      </c>
      <c r="D586" s="20" t="str">
        <f>IF($B586="","",C586&amp;" "&amp;B586&amp;" - "&amp;E586)</f>
        <v/>
      </c>
      <c r="E586" s="21" t="str">
        <f>IF($B586="","",Paramètres!$A$22)</f>
        <v/>
      </c>
      <c r="F586" s="21" t="str">
        <f>IF($B586="","",Paramètres!$B$22)</f>
        <v/>
      </c>
      <c r="G586" s="21" t="str">
        <f>IF('Classe CM2'!$B26="","",IF('Classe CM2'!D26="","",'Classe CM2'!D26))</f>
        <v/>
      </c>
      <c r="H586" s="77" t="str">
        <f>IF('Classe CM2'!$B26="","",IF('Classe CM2'!E26="","",'Classe CM2'!E26))</f>
        <v/>
      </c>
      <c r="I586" s="20" t="str">
        <f>IF('Classe CM2'!$B26="","",IF('Classe CM2'!F26="","",'Classe CM2'!F26))</f>
        <v/>
      </c>
      <c r="J586" s="20" t="str">
        <f>IF('Classe CM2'!$B26="","",IF('Classe CM2'!G26="","",'Classe CM2'!G26))</f>
        <v/>
      </c>
      <c r="K586" s="51" t="str">
        <f>IF('Classe CM2'!$B26="","",N('Classe CM2'!H26))</f>
        <v/>
      </c>
      <c r="L586" s="51" t="str">
        <f>IF('Classe CM2'!$B26="","",N('Classe CM2'!I26))</f>
        <v/>
      </c>
      <c r="M586" s="51" t="str">
        <f>IF('Classe CM2'!$B26="","",N('Classe CM2'!J26))</f>
        <v/>
      </c>
      <c r="N586" s="51" t="str">
        <f>IF('Classe CM2'!$B26="","",N('Classe CM2'!K26))</f>
        <v/>
      </c>
      <c r="O586" s="51" t="str">
        <f>IF('Classe CM2'!$B26="","",N('Classe CM2'!L26))</f>
        <v/>
      </c>
      <c r="P586" s="51" t="str">
        <f>IF('Classe CM2'!$B26="","",N('Classe CM2'!M26))</f>
        <v/>
      </c>
      <c r="Q586" s="21" t="str">
        <f>IF('Classe CM2'!$B26="","",IF('Classe CM2'!Q26="","",'Classe CM2'!Q26))</f>
        <v/>
      </c>
      <c r="R586" s="51" t="str">
        <f>IF('Classe CM2'!$B26="","",N('Classe CM2'!N26))</f>
        <v/>
      </c>
      <c r="S586" s="51" t="str">
        <f>IF('Classe CM2'!$B26="","",N('Classe CM2'!O26))</f>
        <v/>
      </c>
      <c r="T586" s="51" t="str">
        <f>IF('Classe CM2'!$B26="","",N('Classe CM2'!P26))</f>
        <v/>
      </c>
    </row>
    <row r="587">
      <c r="A587" s="16" t="str">
        <f>IF('Classe CM2'!$B27="","",IF('Classe CM2'!A27="","",'Classe CM2'!A27))</f>
        <v/>
      </c>
      <c r="B587" s="16" t="str">
        <f>IF('Classe CM2'!$B27="","",IF('Classe CM2'!B27="","",'Classe CM2'!B27))</f>
        <v/>
      </c>
      <c r="C587" s="16" t="str">
        <f>IF('Classe CM2'!$B27="","",IF('Classe CM2'!C27="","",'Classe CM2'!C27))</f>
        <v/>
      </c>
      <c r="D587" s="16" t="str">
        <f>IF($B587="","",C587&amp;" "&amp;B587&amp;" - "&amp;E587)</f>
        <v/>
      </c>
      <c r="E587" s="17" t="str">
        <f>IF($B587="","",Paramètres!$A$22)</f>
        <v/>
      </c>
      <c r="F587" s="17" t="str">
        <f>IF($B587="","",Paramètres!$B$22)</f>
        <v/>
      </c>
      <c r="G587" s="17" t="str">
        <f>IF('Classe CM2'!$B27="","",IF('Classe CM2'!D27="","",'Classe CM2'!D27))</f>
        <v/>
      </c>
      <c r="H587" s="78" t="str">
        <f>IF('Classe CM2'!$B27="","",IF('Classe CM2'!E27="","",'Classe CM2'!E27))</f>
        <v/>
      </c>
      <c r="I587" s="16" t="str">
        <f>IF('Classe CM2'!$B27="","",IF('Classe CM2'!F27="","",'Classe CM2'!F27))</f>
        <v/>
      </c>
      <c r="J587" s="16" t="str">
        <f>IF('Classe CM2'!$B27="","",IF('Classe CM2'!G27="","",'Classe CM2'!G27))</f>
        <v/>
      </c>
      <c r="K587" s="18" t="str">
        <f>IF('Classe CM2'!$B27="","",N('Classe CM2'!H27))</f>
        <v/>
      </c>
      <c r="L587" s="18" t="str">
        <f>IF('Classe CM2'!$B27="","",N('Classe CM2'!I27))</f>
        <v/>
      </c>
      <c r="M587" s="18" t="str">
        <f>IF('Classe CM2'!$B27="","",N('Classe CM2'!J27))</f>
        <v/>
      </c>
      <c r="N587" s="18" t="str">
        <f>IF('Classe CM2'!$B27="","",N('Classe CM2'!K27))</f>
        <v/>
      </c>
      <c r="O587" s="18" t="str">
        <f>IF('Classe CM2'!$B27="","",N('Classe CM2'!L27))</f>
        <v/>
      </c>
      <c r="P587" s="18" t="str">
        <f>IF('Classe CM2'!$B27="","",N('Classe CM2'!M27))</f>
        <v/>
      </c>
      <c r="Q587" s="17" t="str">
        <f>IF('Classe CM2'!$B27="","",IF('Classe CM2'!Q27="","",'Classe CM2'!Q27))</f>
        <v/>
      </c>
      <c r="R587" s="18" t="str">
        <f>IF('Classe CM2'!$B27="","",N('Classe CM2'!N27))</f>
        <v/>
      </c>
      <c r="S587" s="18" t="str">
        <f>IF('Classe CM2'!$B27="","",N('Classe CM2'!O27))</f>
        <v/>
      </c>
      <c r="T587" s="18" t="str">
        <f>IF('Classe CM2'!$B27="","",N('Classe CM2'!P27))</f>
        <v/>
      </c>
    </row>
    <row r="588">
      <c r="A588" s="20" t="str">
        <f>IF('Classe CM2'!$B28="","",IF('Classe CM2'!A28="","",'Classe CM2'!A28))</f>
        <v/>
      </c>
      <c r="B588" s="20" t="str">
        <f>IF('Classe CM2'!$B28="","",IF('Classe CM2'!B28="","",'Classe CM2'!B28))</f>
        <v/>
      </c>
      <c r="C588" s="20" t="str">
        <f>IF('Classe CM2'!$B28="","",IF('Classe CM2'!C28="","",'Classe CM2'!C28))</f>
        <v/>
      </c>
      <c r="D588" s="20" t="str">
        <f>IF($B588="","",C588&amp;" "&amp;B588&amp;" - "&amp;E588)</f>
        <v/>
      </c>
      <c r="E588" s="21" t="str">
        <f>IF($B588="","",Paramètres!$A$22)</f>
        <v/>
      </c>
      <c r="F588" s="21" t="str">
        <f>IF($B588="","",Paramètres!$B$22)</f>
        <v/>
      </c>
      <c r="G588" s="21" t="str">
        <f>IF('Classe CM2'!$B28="","",IF('Classe CM2'!D28="","",'Classe CM2'!D28))</f>
        <v/>
      </c>
      <c r="H588" s="77" t="str">
        <f>IF('Classe CM2'!$B28="","",IF('Classe CM2'!E28="","",'Classe CM2'!E28))</f>
        <v/>
      </c>
      <c r="I588" s="20" t="str">
        <f>IF('Classe CM2'!$B28="","",IF('Classe CM2'!F28="","",'Classe CM2'!F28))</f>
        <v/>
      </c>
      <c r="J588" s="20" t="str">
        <f>IF('Classe CM2'!$B28="","",IF('Classe CM2'!G28="","",'Classe CM2'!G28))</f>
        <v/>
      </c>
      <c r="K588" s="51" t="str">
        <f>IF('Classe CM2'!$B28="","",N('Classe CM2'!H28))</f>
        <v/>
      </c>
      <c r="L588" s="51" t="str">
        <f>IF('Classe CM2'!$B28="","",N('Classe CM2'!I28))</f>
        <v/>
      </c>
      <c r="M588" s="51" t="str">
        <f>IF('Classe CM2'!$B28="","",N('Classe CM2'!J28))</f>
        <v/>
      </c>
      <c r="N588" s="51" t="str">
        <f>IF('Classe CM2'!$B28="","",N('Classe CM2'!K28))</f>
        <v/>
      </c>
      <c r="O588" s="51" t="str">
        <f>IF('Classe CM2'!$B28="","",N('Classe CM2'!L28))</f>
        <v/>
      </c>
      <c r="P588" s="51" t="str">
        <f>IF('Classe CM2'!$B28="","",N('Classe CM2'!M28))</f>
        <v/>
      </c>
      <c r="Q588" s="21" t="str">
        <f>IF('Classe CM2'!$B28="","",IF('Classe CM2'!Q28="","",'Classe CM2'!Q28))</f>
        <v/>
      </c>
      <c r="R588" s="51" t="str">
        <f>IF('Classe CM2'!$B28="","",N('Classe CM2'!N28))</f>
        <v/>
      </c>
      <c r="S588" s="51" t="str">
        <f>IF('Classe CM2'!$B28="","",N('Classe CM2'!O28))</f>
        <v/>
      </c>
      <c r="T588" s="51" t="str">
        <f>IF('Classe CM2'!$B28="","",N('Classe CM2'!P28))</f>
        <v/>
      </c>
    </row>
    <row r="589">
      <c r="A589" s="16" t="str">
        <f>IF('Classe CM2'!$B29="","",IF('Classe CM2'!A29="","",'Classe CM2'!A29))</f>
        <v/>
      </c>
      <c r="B589" s="16" t="str">
        <f>IF('Classe CM2'!$B29="","",IF('Classe CM2'!B29="","",'Classe CM2'!B29))</f>
        <v/>
      </c>
      <c r="C589" s="16" t="str">
        <f>IF('Classe CM2'!$B29="","",IF('Classe CM2'!C29="","",'Classe CM2'!C29))</f>
        <v/>
      </c>
      <c r="D589" s="16" t="str">
        <f>IF($B589="","",C589&amp;" "&amp;B589&amp;" - "&amp;E589)</f>
        <v/>
      </c>
      <c r="E589" s="17" t="str">
        <f>IF($B589="","",Paramètres!$A$22)</f>
        <v/>
      </c>
      <c r="F589" s="17" t="str">
        <f>IF($B589="","",Paramètres!$B$22)</f>
        <v/>
      </c>
      <c r="G589" s="17" t="str">
        <f>IF('Classe CM2'!$B29="","",IF('Classe CM2'!D29="","",'Classe CM2'!D29))</f>
        <v/>
      </c>
      <c r="H589" s="78" t="str">
        <f>IF('Classe CM2'!$B29="","",IF('Classe CM2'!E29="","",'Classe CM2'!E29))</f>
        <v/>
      </c>
      <c r="I589" s="16" t="str">
        <f>IF('Classe CM2'!$B29="","",IF('Classe CM2'!F29="","",'Classe CM2'!F29))</f>
        <v/>
      </c>
      <c r="J589" s="16" t="str">
        <f>IF('Classe CM2'!$B29="","",IF('Classe CM2'!G29="","",'Classe CM2'!G29))</f>
        <v/>
      </c>
      <c r="K589" s="18" t="str">
        <f>IF('Classe CM2'!$B29="","",N('Classe CM2'!H29))</f>
        <v/>
      </c>
      <c r="L589" s="18" t="str">
        <f>IF('Classe CM2'!$B29="","",N('Classe CM2'!I29))</f>
        <v/>
      </c>
      <c r="M589" s="18" t="str">
        <f>IF('Classe CM2'!$B29="","",N('Classe CM2'!J29))</f>
        <v/>
      </c>
      <c r="N589" s="18" t="str">
        <f>IF('Classe CM2'!$B29="","",N('Classe CM2'!K29))</f>
        <v/>
      </c>
      <c r="O589" s="18" t="str">
        <f>IF('Classe CM2'!$B29="","",N('Classe CM2'!L29))</f>
        <v/>
      </c>
      <c r="P589" s="18" t="str">
        <f>IF('Classe CM2'!$B29="","",N('Classe CM2'!M29))</f>
        <v/>
      </c>
      <c r="Q589" s="17" t="str">
        <f>IF('Classe CM2'!$B29="","",IF('Classe CM2'!Q29="","",'Classe CM2'!Q29))</f>
        <v/>
      </c>
      <c r="R589" s="18" t="str">
        <f>IF('Classe CM2'!$B29="","",N('Classe CM2'!N29))</f>
        <v/>
      </c>
      <c r="S589" s="18" t="str">
        <f>IF('Classe CM2'!$B29="","",N('Classe CM2'!O29))</f>
        <v/>
      </c>
      <c r="T589" s="18" t="str">
        <f>IF('Classe CM2'!$B29="","",N('Classe CM2'!P29))</f>
        <v/>
      </c>
    </row>
    <row r="590">
      <c r="A590" s="20" t="str">
        <f>IF('Classe CM2'!$B30="","",IF('Classe CM2'!A30="","",'Classe CM2'!A30))</f>
        <v/>
      </c>
      <c r="B590" s="20" t="str">
        <f>IF('Classe CM2'!$B30="","",IF('Classe CM2'!B30="","",'Classe CM2'!B30))</f>
        <v/>
      </c>
      <c r="C590" s="20" t="str">
        <f>IF('Classe CM2'!$B30="","",IF('Classe CM2'!C30="","",'Classe CM2'!C30))</f>
        <v/>
      </c>
      <c r="D590" s="20" t="str">
        <f>IF($B590="","",C590&amp;" "&amp;B590&amp;" - "&amp;E590)</f>
        <v/>
      </c>
      <c r="E590" s="21" t="str">
        <f>IF($B590="","",Paramètres!$A$22)</f>
        <v/>
      </c>
      <c r="F590" s="21" t="str">
        <f>IF($B590="","",Paramètres!$B$22)</f>
        <v/>
      </c>
      <c r="G590" s="21" t="str">
        <f>IF('Classe CM2'!$B30="","",IF('Classe CM2'!D30="","",'Classe CM2'!D30))</f>
        <v/>
      </c>
      <c r="H590" s="77" t="str">
        <f>IF('Classe CM2'!$B30="","",IF('Classe CM2'!E30="","",'Classe CM2'!E30))</f>
        <v/>
      </c>
      <c r="I590" s="20" t="str">
        <f>IF('Classe CM2'!$B30="","",IF('Classe CM2'!F30="","",'Classe CM2'!F30))</f>
        <v/>
      </c>
      <c r="J590" s="20" t="str">
        <f>IF('Classe CM2'!$B30="","",IF('Classe CM2'!G30="","",'Classe CM2'!G30))</f>
        <v/>
      </c>
      <c r="K590" s="51" t="str">
        <f>IF('Classe CM2'!$B30="","",N('Classe CM2'!H30))</f>
        <v/>
      </c>
      <c r="L590" s="51" t="str">
        <f>IF('Classe CM2'!$B30="","",N('Classe CM2'!I30))</f>
        <v/>
      </c>
      <c r="M590" s="51" t="str">
        <f>IF('Classe CM2'!$B30="","",N('Classe CM2'!J30))</f>
        <v/>
      </c>
      <c r="N590" s="51" t="str">
        <f>IF('Classe CM2'!$B30="","",N('Classe CM2'!K30))</f>
        <v/>
      </c>
      <c r="O590" s="51" t="str">
        <f>IF('Classe CM2'!$B30="","",N('Classe CM2'!L30))</f>
        <v/>
      </c>
      <c r="P590" s="51" t="str">
        <f>IF('Classe CM2'!$B30="","",N('Classe CM2'!M30))</f>
        <v/>
      </c>
      <c r="Q590" s="21" t="str">
        <f>IF('Classe CM2'!$B30="","",IF('Classe CM2'!Q30="","",'Classe CM2'!Q30))</f>
        <v/>
      </c>
      <c r="R590" s="51" t="str">
        <f>IF('Classe CM2'!$B30="","",N('Classe CM2'!N30))</f>
        <v/>
      </c>
      <c r="S590" s="51" t="str">
        <f>IF('Classe CM2'!$B30="","",N('Classe CM2'!O30))</f>
        <v/>
      </c>
      <c r="T590" s="51" t="str">
        <f>IF('Classe CM2'!$B30="","",N('Classe CM2'!P30))</f>
        <v/>
      </c>
    </row>
    <row r="591">
      <c r="A591" s="16" t="str">
        <f>IF('Classe CM2'!$B31="","",IF('Classe CM2'!A31="","",'Classe CM2'!A31))</f>
        <v/>
      </c>
      <c r="B591" s="16" t="str">
        <f>IF('Classe CM2'!$B31="","",IF('Classe CM2'!B31="","",'Classe CM2'!B31))</f>
        <v/>
      </c>
      <c r="C591" s="16" t="str">
        <f>IF('Classe CM2'!$B31="","",IF('Classe CM2'!C31="","",'Classe CM2'!C31))</f>
        <v/>
      </c>
      <c r="D591" s="16" t="str">
        <f>IF($B591="","",C591&amp;" "&amp;B591&amp;" - "&amp;E591)</f>
        <v/>
      </c>
      <c r="E591" s="17" t="str">
        <f>IF($B591="","",Paramètres!$A$22)</f>
        <v/>
      </c>
      <c r="F591" s="17" t="str">
        <f>IF($B591="","",Paramètres!$B$22)</f>
        <v/>
      </c>
      <c r="G591" s="17" t="str">
        <f>IF('Classe CM2'!$B31="","",IF('Classe CM2'!D31="","",'Classe CM2'!D31))</f>
        <v/>
      </c>
      <c r="H591" s="78" t="str">
        <f>IF('Classe CM2'!$B31="","",IF('Classe CM2'!E31="","",'Classe CM2'!E31))</f>
        <v/>
      </c>
      <c r="I591" s="16" t="str">
        <f>IF('Classe CM2'!$B31="","",IF('Classe CM2'!F31="","",'Classe CM2'!F31))</f>
        <v/>
      </c>
      <c r="J591" s="16" t="str">
        <f>IF('Classe CM2'!$B31="","",IF('Classe CM2'!G31="","",'Classe CM2'!G31))</f>
        <v/>
      </c>
      <c r="K591" s="18" t="str">
        <f>IF('Classe CM2'!$B31="","",N('Classe CM2'!H31))</f>
        <v/>
      </c>
      <c r="L591" s="18" t="str">
        <f>IF('Classe CM2'!$B31="","",N('Classe CM2'!I31))</f>
        <v/>
      </c>
      <c r="M591" s="18" t="str">
        <f>IF('Classe CM2'!$B31="","",N('Classe CM2'!J31))</f>
        <v/>
      </c>
      <c r="N591" s="18" t="str">
        <f>IF('Classe CM2'!$B31="","",N('Classe CM2'!K31))</f>
        <v/>
      </c>
      <c r="O591" s="18" t="str">
        <f>IF('Classe CM2'!$B31="","",N('Classe CM2'!L31))</f>
        <v/>
      </c>
      <c r="P591" s="18" t="str">
        <f>IF('Classe CM2'!$B31="","",N('Classe CM2'!M31))</f>
        <v/>
      </c>
      <c r="Q591" s="17" t="str">
        <f>IF('Classe CM2'!$B31="","",IF('Classe CM2'!Q31="","",'Classe CM2'!Q31))</f>
        <v/>
      </c>
      <c r="R591" s="18" t="str">
        <f>IF('Classe CM2'!$B31="","",N('Classe CM2'!N31))</f>
        <v/>
      </c>
      <c r="S591" s="18" t="str">
        <f>IF('Classe CM2'!$B31="","",N('Classe CM2'!O31))</f>
        <v/>
      </c>
      <c r="T591" s="18" t="str">
        <f>IF('Classe CM2'!$B31="","",N('Classe CM2'!P31))</f>
        <v/>
      </c>
    </row>
    <row r="592">
      <c r="A592" s="20" t="str">
        <f>IF('Classe CM2'!$B32="","",IF('Classe CM2'!A32="","",'Classe CM2'!A32))</f>
        <v/>
      </c>
      <c r="B592" s="20" t="str">
        <f>IF('Classe CM2'!$B32="","",IF('Classe CM2'!B32="","",'Classe CM2'!B32))</f>
        <v/>
      </c>
      <c r="C592" s="20" t="str">
        <f>IF('Classe CM2'!$B32="","",IF('Classe CM2'!C32="","",'Classe CM2'!C32))</f>
        <v/>
      </c>
      <c r="D592" s="20" t="str">
        <f>IF($B592="","",C592&amp;" "&amp;B592&amp;" - "&amp;E592)</f>
        <v/>
      </c>
      <c r="E592" s="21" t="str">
        <f>IF($B592="","",Paramètres!$A$22)</f>
        <v/>
      </c>
      <c r="F592" s="21" t="str">
        <f>IF($B592="","",Paramètres!$B$22)</f>
        <v/>
      </c>
      <c r="G592" s="21" t="str">
        <f>IF('Classe CM2'!$B32="","",IF('Classe CM2'!D32="","",'Classe CM2'!D32))</f>
        <v/>
      </c>
      <c r="H592" s="77" t="str">
        <f>IF('Classe CM2'!$B32="","",IF('Classe CM2'!E32="","",'Classe CM2'!E32))</f>
        <v/>
      </c>
      <c r="I592" s="20" t="str">
        <f>IF('Classe CM2'!$B32="","",IF('Classe CM2'!F32="","",'Classe CM2'!F32))</f>
        <v/>
      </c>
      <c r="J592" s="20" t="str">
        <f>IF('Classe CM2'!$B32="","",IF('Classe CM2'!G32="","",'Classe CM2'!G32))</f>
        <v/>
      </c>
      <c r="K592" s="51" t="str">
        <f>IF('Classe CM2'!$B32="","",N('Classe CM2'!H32))</f>
        <v/>
      </c>
      <c r="L592" s="51" t="str">
        <f>IF('Classe CM2'!$B32="","",N('Classe CM2'!I32))</f>
        <v/>
      </c>
      <c r="M592" s="51" t="str">
        <f>IF('Classe CM2'!$B32="","",N('Classe CM2'!J32))</f>
        <v/>
      </c>
      <c r="N592" s="51" t="str">
        <f>IF('Classe CM2'!$B32="","",N('Classe CM2'!K32))</f>
        <v/>
      </c>
      <c r="O592" s="51" t="str">
        <f>IF('Classe CM2'!$B32="","",N('Classe CM2'!L32))</f>
        <v/>
      </c>
      <c r="P592" s="51" t="str">
        <f>IF('Classe CM2'!$B32="","",N('Classe CM2'!M32))</f>
        <v/>
      </c>
      <c r="Q592" s="21" t="str">
        <f>IF('Classe CM2'!$B32="","",IF('Classe CM2'!Q32="","",'Classe CM2'!Q32))</f>
        <v/>
      </c>
      <c r="R592" s="51" t="str">
        <f>IF('Classe CM2'!$B32="","",N('Classe CM2'!N32))</f>
        <v/>
      </c>
      <c r="S592" s="51" t="str">
        <f>IF('Classe CM2'!$B32="","",N('Classe CM2'!O32))</f>
        <v/>
      </c>
      <c r="T592" s="51" t="str">
        <f>IF('Classe CM2'!$B32="","",N('Classe CM2'!P32))</f>
        <v/>
      </c>
    </row>
    <row r="593">
      <c r="A593" s="16" t="str">
        <f>IF('Classe CM2'!$B33="","",IF('Classe CM2'!A33="","",'Classe CM2'!A33))</f>
        <v/>
      </c>
      <c r="B593" s="16" t="str">
        <f>IF('Classe CM2'!$B33="","",IF('Classe CM2'!B33="","",'Classe CM2'!B33))</f>
        <v/>
      </c>
      <c r="C593" s="16" t="str">
        <f>IF('Classe CM2'!$B33="","",IF('Classe CM2'!C33="","",'Classe CM2'!C33))</f>
        <v/>
      </c>
      <c r="D593" s="16" t="str">
        <f>IF($B593="","",C593&amp;" "&amp;B593&amp;" - "&amp;E593)</f>
        <v/>
      </c>
      <c r="E593" s="17" t="str">
        <f>IF($B593="","",Paramètres!$A$22)</f>
        <v/>
      </c>
      <c r="F593" s="17" t="str">
        <f>IF($B593="","",Paramètres!$B$22)</f>
        <v/>
      </c>
      <c r="G593" s="17" t="str">
        <f>IF('Classe CM2'!$B33="","",IF('Classe CM2'!D33="","",'Classe CM2'!D33))</f>
        <v/>
      </c>
      <c r="H593" s="78" t="str">
        <f>IF('Classe CM2'!$B33="","",IF('Classe CM2'!E33="","",'Classe CM2'!E33))</f>
        <v/>
      </c>
      <c r="I593" s="16" t="str">
        <f>IF('Classe CM2'!$B33="","",IF('Classe CM2'!F33="","",'Classe CM2'!F33))</f>
        <v/>
      </c>
      <c r="J593" s="16" t="str">
        <f>IF('Classe CM2'!$B33="","",IF('Classe CM2'!G33="","",'Classe CM2'!G33))</f>
        <v/>
      </c>
      <c r="K593" s="18" t="str">
        <f>IF('Classe CM2'!$B33="","",N('Classe CM2'!H33))</f>
        <v/>
      </c>
      <c r="L593" s="18" t="str">
        <f>IF('Classe CM2'!$B33="","",N('Classe CM2'!I33))</f>
        <v/>
      </c>
      <c r="M593" s="18" t="str">
        <f>IF('Classe CM2'!$B33="","",N('Classe CM2'!J33))</f>
        <v/>
      </c>
      <c r="N593" s="18" t="str">
        <f>IF('Classe CM2'!$B33="","",N('Classe CM2'!K33))</f>
        <v/>
      </c>
      <c r="O593" s="18" t="str">
        <f>IF('Classe CM2'!$B33="","",N('Classe CM2'!L33))</f>
        <v/>
      </c>
      <c r="P593" s="18" t="str">
        <f>IF('Classe CM2'!$B33="","",N('Classe CM2'!M33))</f>
        <v/>
      </c>
      <c r="Q593" s="17" t="str">
        <f>IF('Classe CM2'!$B33="","",IF('Classe CM2'!Q33="","",'Classe CM2'!Q33))</f>
        <v/>
      </c>
      <c r="R593" s="18" t="str">
        <f>IF('Classe CM2'!$B33="","",N('Classe CM2'!N33))</f>
        <v/>
      </c>
      <c r="S593" s="18" t="str">
        <f>IF('Classe CM2'!$B33="","",N('Classe CM2'!O33))</f>
        <v/>
      </c>
      <c r="T593" s="18" t="str">
        <f>IF('Classe CM2'!$B33="","",N('Classe CM2'!P33))</f>
        <v/>
      </c>
    </row>
    <row r="594">
      <c r="A594" s="20" t="str">
        <f>IF('Classe CM2'!$B34="","",IF('Classe CM2'!A34="","",'Classe CM2'!A34))</f>
        <v/>
      </c>
      <c r="B594" s="20" t="str">
        <f>IF('Classe CM2'!$B34="","",IF('Classe CM2'!B34="","",'Classe CM2'!B34))</f>
        <v/>
      </c>
      <c r="C594" s="20" t="str">
        <f>IF('Classe CM2'!$B34="","",IF('Classe CM2'!C34="","",'Classe CM2'!C34))</f>
        <v/>
      </c>
      <c r="D594" s="20" t="str">
        <f>IF($B594="","",C594&amp;" "&amp;B594&amp;" - "&amp;E594)</f>
        <v/>
      </c>
      <c r="E594" s="21" t="str">
        <f>IF($B594="","",Paramètres!$A$22)</f>
        <v/>
      </c>
      <c r="F594" s="21" t="str">
        <f>IF($B594="","",Paramètres!$B$22)</f>
        <v/>
      </c>
      <c r="G594" s="21" t="str">
        <f>IF('Classe CM2'!$B34="","",IF('Classe CM2'!D34="","",'Classe CM2'!D34))</f>
        <v/>
      </c>
      <c r="H594" s="77" t="str">
        <f>IF('Classe CM2'!$B34="","",IF('Classe CM2'!E34="","",'Classe CM2'!E34))</f>
        <v/>
      </c>
      <c r="I594" s="20" t="str">
        <f>IF('Classe CM2'!$B34="","",IF('Classe CM2'!F34="","",'Classe CM2'!F34))</f>
        <v/>
      </c>
      <c r="J594" s="20" t="str">
        <f>IF('Classe CM2'!$B34="","",IF('Classe CM2'!G34="","",'Classe CM2'!G34))</f>
        <v/>
      </c>
      <c r="K594" s="51" t="str">
        <f>IF('Classe CM2'!$B34="","",N('Classe CM2'!H34))</f>
        <v/>
      </c>
      <c r="L594" s="51" t="str">
        <f>IF('Classe CM2'!$B34="","",N('Classe CM2'!I34))</f>
        <v/>
      </c>
      <c r="M594" s="51" t="str">
        <f>IF('Classe CM2'!$B34="","",N('Classe CM2'!J34))</f>
        <v/>
      </c>
      <c r="N594" s="51" t="str">
        <f>IF('Classe CM2'!$B34="","",N('Classe CM2'!K34))</f>
        <v/>
      </c>
      <c r="O594" s="51" t="str">
        <f>IF('Classe CM2'!$B34="","",N('Classe CM2'!L34))</f>
        <v/>
      </c>
      <c r="P594" s="51" t="str">
        <f>IF('Classe CM2'!$B34="","",N('Classe CM2'!M34))</f>
        <v/>
      </c>
      <c r="Q594" s="21" t="str">
        <f>IF('Classe CM2'!$B34="","",IF('Classe CM2'!Q34="","",'Classe CM2'!Q34))</f>
        <v/>
      </c>
      <c r="R594" s="51" t="str">
        <f>IF('Classe CM2'!$B34="","",N('Classe CM2'!N34))</f>
        <v/>
      </c>
      <c r="S594" s="51" t="str">
        <f>IF('Classe CM2'!$B34="","",N('Classe CM2'!O34))</f>
        <v/>
      </c>
      <c r="T594" s="51" t="str">
        <f>IF('Classe CM2'!$B34="","",N('Classe CM2'!P34))</f>
        <v/>
      </c>
    </row>
    <row r="595">
      <c r="A595" s="16" t="str">
        <f>IF('Classe CM2'!$B35="","",IF('Classe CM2'!A35="","",'Classe CM2'!A35))</f>
        <v/>
      </c>
      <c r="B595" s="16" t="str">
        <f>IF('Classe CM2'!$B35="","",IF('Classe CM2'!B35="","",'Classe CM2'!B35))</f>
        <v/>
      </c>
      <c r="C595" s="16" t="str">
        <f>IF('Classe CM2'!$B35="","",IF('Classe CM2'!C35="","",'Classe CM2'!C35))</f>
        <v/>
      </c>
      <c r="D595" s="16" t="str">
        <f>IF($B595="","",C595&amp;" "&amp;B595&amp;" - "&amp;E595)</f>
        <v/>
      </c>
      <c r="E595" s="17" t="str">
        <f>IF($B595="","",Paramètres!$A$22)</f>
        <v/>
      </c>
      <c r="F595" s="17" t="str">
        <f>IF($B595="","",Paramètres!$B$22)</f>
        <v/>
      </c>
      <c r="G595" s="17" t="str">
        <f>IF('Classe CM2'!$B35="","",IF('Classe CM2'!D35="","",'Classe CM2'!D35))</f>
        <v/>
      </c>
      <c r="H595" s="78" t="str">
        <f>IF('Classe CM2'!$B35="","",IF('Classe CM2'!E35="","",'Classe CM2'!E35))</f>
        <v/>
      </c>
      <c r="I595" s="16" t="str">
        <f>IF('Classe CM2'!$B35="","",IF('Classe CM2'!F35="","",'Classe CM2'!F35))</f>
        <v/>
      </c>
      <c r="J595" s="16" t="str">
        <f>IF('Classe CM2'!$B35="","",IF('Classe CM2'!G35="","",'Classe CM2'!G35))</f>
        <v/>
      </c>
      <c r="K595" s="18" t="str">
        <f>IF('Classe CM2'!$B35="","",N('Classe CM2'!H35))</f>
        <v/>
      </c>
      <c r="L595" s="18" t="str">
        <f>IF('Classe CM2'!$B35="","",N('Classe CM2'!I35))</f>
        <v/>
      </c>
      <c r="M595" s="18" t="str">
        <f>IF('Classe CM2'!$B35="","",N('Classe CM2'!J35))</f>
        <v/>
      </c>
      <c r="N595" s="18" t="str">
        <f>IF('Classe CM2'!$B35="","",N('Classe CM2'!K35))</f>
        <v/>
      </c>
      <c r="O595" s="18" t="str">
        <f>IF('Classe CM2'!$B35="","",N('Classe CM2'!L35))</f>
        <v/>
      </c>
      <c r="P595" s="18" t="str">
        <f>IF('Classe CM2'!$B35="","",N('Classe CM2'!M35))</f>
        <v/>
      </c>
      <c r="Q595" s="17" t="str">
        <f>IF('Classe CM2'!$B35="","",IF('Classe CM2'!Q35="","",'Classe CM2'!Q35))</f>
        <v/>
      </c>
      <c r="R595" s="18" t="str">
        <f>IF('Classe CM2'!$B35="","",N('Classe CM2'!N35))</f>
        <v/>
      </c>
      <c r="S595" s="18" t="str">
        <f>IF('Classe CM2'!$B35="","",N('Classe CM2'!O35))</f>
        <v/>
      </c>
      <c r="T595" s="18" t="str">
        <f>IF('Classe CM2'!$B35="","",N('Classe CM2'!P35))</f>
        <v/>
      </c>
    </row>
    <row r="596">
      <c r="A596" s="20" t="str">
        <f>IF('Classe CM2'!$B36="","",IF('Classe CM2'!A36="","",'Classe CM2'!A36))</f>
        <v/>
      </c>
      <c r="B596" s="20" t="str">
        <f>IF('Classe CM2'!$B36="","",IF('Classe CM2'!B36="","",'Classe CM2'!B36))</f>
        <v/>
      </c>
      <c r="C596" s="20" t="str">
        <f>IF('Classe CM2'!$B36="","",IF('Classe CM2'!C36="","",'Classe CM2'!C36))</f>
        <v/>
      </c>
      <c r="D596" s="20" t="str">
        <f>IF($B596="","",C596&amp;" "&amp;B596&amp;" - "&amp;E596)</f>
        <v/>
      </c>
      <c r="E596" s="21" t="str">
        <f>IF($B596="","",Paramètres!$A$22)</f>
        <v/>
      </c>
      <c r="F596" s="21" t="str">
        <f>IF($B596="","",Paramètres!$B$22)</f>
        <v/>
      </c>
      <c r="G596" s="21" t="str">
        <f>IF('Classe CM2'!$B36="","",IF('Classe CM2'!D36="","",'Classe CM2'!D36))</f>
        <v/>
      </c>
      <c r="H596" s="77" t="str">
        <f>IF('Classe CM2'!$B36="","",IF('Classe CM2'!E36="","",'Classe CM2'!E36))</f>
        <v/>
      </c>
      <c r="I596" s="20" t="str">
        <f>IF('Classe CM2'!$B36="","",IF('Classe CM2'!F36="","",'Classe CM2'!F36))</f>
        <v/>
      </c>
      <c r="J596" s="20" t="str">
        <f>IF('Classe CM2'!$B36="","",IF('Classe CM2'!G36="","",'Classe CM2'!G36))</f>
        <v/>
      </c>
      <c r="K596" s="51" t="str">
        <f>IF('Classe CM2'!$B36="","",N('Classe CM2'!H36))</f>
        <v/>
      </c>
      <c r="L596" s="51" t="str">
        <f>IF('Classe CM2'!$B36="","",N('Classe CM2'!I36))</f>
        <v/>
      </c>
      <c r="M596" s="51" t="str">
        <f>IF('Classe CM2'!$B36="","",N('Classe CM2'!J36))</f>
        <v/>
      </c>
      <c r="N596" s="51" t="str">
        <f>IF('Classe CM2'!$B36="","",N('Classe CM2'!K36))</f>
        <v/>
      </c>
      <c r="O596" s="51" t="str">
        <f>IF('Classe CM2'!$B36="","",N('Classe CM2'!L36))</f>
        <v/>
      </c>
      <c r="P596" s="51" t="str">
        <f>IF('Classe CM2'!$B36="","",N('Classe CM2'!M36))</f>
        <v/>
      </c>
      <c r="Q596" s="21" t="str">
        <f>IF('Classe CM2'!$B36="","",IF('Classe CM2'!Q36="","",'Classe CM2'!Q36))</f>
        <v/>
      </c>
      <c r="R596" s="51" t="str">
        <f>IF('Classe CM2'!$B36="","",N('Classe CM2'!N36))</f>
        <v/>
      </c>
      <c r="S596" s="51" t="str">
        <f>IF('Classe CM2'!$B36="","",N('Classe CM2'!O36))</f>
        <v/>
      </c>
      <c r="T596" s="51" t="str">
        <f>IF('Classe CM2'!$B36="","",N('Classe CM2'!P36))</f>
        <v/>
      </c>
    </row>
    <row r="597">
      <c r="A597" s="16" t="str">
        <f>IF('Classe CM2'!$B37="","",IF('Classe CM2'!A37="","",'Classe CM2'!A37))</f>
        <v/>
      </c>
      <c r="B597" s="16" t="str">
        <f>IF('Classe CM2'!$B37="","",IF('Classe CM2'!B37="","",'Classe CM2'!B37))</f>
        <v/>
      </c>
      <c r="C597" s="16" t="str">
        <f>IF('Classe CM2'!$B37="","",IF('Classe CM2'!C37="","",'Classe CM2'!C37))</f>
        <v/>
      </c>
      <c r="D597" s="16" t="str">
        <f>IF($B597="","",C597&amp;" "&amp;B597&amp;" - "&amp;E597)</f>
        <v/>
      </c>
      <c r="E597" s="17" t="str">
        <f>IF($B597="","",Paramètres!$A$22)</f>
        <v/>
      </c>
      <c r="F597" s="17" t="str">
        <f>IF($B597="","",Paramètres!$B$22)</f>
        <v/>
      </c>
      <c r="G597" s="17" t="str">
        <f>IF('Classe CM2'!$B37="","",IF('Classe CM2'!D37="","",'Classe CM2'!D37))</f>
        <v/>
      </c>
      <c r="H597" s="78" t="str">
        <f>IF('Classe CM2'!$B37="","",IF('Classe CM2'!E37="","",'Classe CM2'!E37))</f>
        <v/>
      </c>
      <c r="I597" s="16" t="str">
        <f>IF('Classe CM2'!$B37="","",IF('Classe CM2'!F37="","",'Classe CM2'!F37))</f>
        <v/>
      </c>
      <c r="J597" s="16" t="str">
        <f>IF('Classe CM2'!$B37="","",IF('Classe CM2'!G37="","",'Classe CM2'!G37))</f>
        <v/>
      </c>
      <c r="K597" s="18" t="str">
        <f>IF('Classe CM2'!$B37="","",N('Classe CM2'!H37))</f>
        <v/>
      </c>
      <c r="L597" s="18" t="str">
        <f>IF('Classe CM2'!$B37="","",N('Classe CM2'!I37))</f>
        <v/>
      </c>
      <c r="M597" s="18" t="str">
        <f>IF('Classe CM2'!$B37="","",N('Classe CM2'!J37))</f>
        <v/>
      </c>
      <c r="N597" s="18" t="str">
        <f>IF('Classe CM2'!$B37="","",N('Classe CM2'!K37))</f>
        <v/>
      </c>
      <c r="O597" s="18" t="str">
        <f>IF('Classe CM2'!$B37="","",N('Classe CM2'!L37))</f>
        <v/>
      </c>
      <c r="P597" s="18" t="str">
        <f>IF('Classe CM2'!$B37="","",N('Classe CM2'!M37))</f>
        <v/>
      </c>
      <c r="Q597" s="17" t="str">
        <f>IF('Classe CM2'!$B37="","",IF('Classe CM2'!Q37="","",'Classe CM2'!Q37))</f>
        <v/>
      </c>
      <c r="R597" s="18" t="str">
        <f>IF('Classe CM2'!$B37="","",N('Classe CM2'!N37))</f>
        <v/>
      </c>
      <c r="S597" s="18" t="str">
        <f>IF('Classe CM2'!$B37="","",N('Classe CM2'!O37))</f>
        <v/>
      </c>
      <c r="T597" s="18" t="str">
        <f>IF('Classe CM2'!$B37="","",N('Classe CM2'!P37))</f>
        <v/>
      </c>
    </row>
    <row r="598">
      <c r="A598" s="20" t="str">
        <f>IF('Classe CM2'!$B38="","",IF('Classe CM2'!A38="","",'Classe CM2'!A38))</f>
        <v/>
      </c>
      <c r="B598" s="20" t="str">
        <f>IF('Classe CM2'!$B38="","",IF('Classe CM2'!B38="","",'Classe CM2'!B38))</f>
        <v/>
      </c>
      <c r="C598" s="20" t="str">
        <f>IF('Classe CM2'!$B38="","",IF('Classe CM2'!C38="","",'Classe CM2'!C38))</f>
        <v/>
      </c>
      <c r="D598" s="20" t="str">
        <f>IF($B598="","",C598&amp;" "&amp;B598&amp;" - "&amp;E598)</f>
        <v/>
      </c>
      <c r="E598" s="21" t="str">
        <f>IF($B598="","",Paramètres!$A$22)</f>
        <v/>
      </c>
      <c r="F598" s="21" t="str">
        <f>IF($B598="","",Paramètres!$B$22)</f>
        <v/>
      </c>
      <c r="G598" s="21" t="str">
        <f>IF('Classe CM2'!$B38="","",IF('Classe CM2'!D38="","",'Classe CM2'!D38))</f>
        <v/>
      </c>
      <c r="H598" s="77" t="str">
        <f>IF('Classe CM2'!$B38="","",IF('Classe CM2'!E38="","",'Classe CM2'!E38))</f>
        <v/>
      </c>
      <c r="I598" s="20" t="str">
        <f>IF('Classe CM2'!$B38="","",IF('Classe CM2'!F38="","",'Classe CM2'!F38))</f>
        <v/>
      </c>
      <c r="J598" s="20" t="str">
        <f>IF('Classe CM2'!$B38="","",IF('Classe CM2'!G38="","",'Classe CM2'!G38))</f>
        <v/>
      </c>
      <c r="K598" s="51" t="str">
        <f>IF('Classe CM2'!$B38="","",N('Classe CM2'!H38))</f>
        <v/>
      </c>
      <c r="L598" s="51" t="str">
        <f>IF('Classe CM2'!$B38="","",N('Classe CM2'!I38))</f>
        <v/>
      </c>
      <c r="M598" s="51" t="str">
        <f>IF('Classe CM2'!$B38="","",N('Classe CM2'!J38))</f>
        <v/>
      </c>
      <c r="N598" s="51" t="str">
        <f>IF('Classe CM2'!$B38="","",N('Classe CM2'!K38))</f>
        <v/>
      </c>
      <c r="O598" s="51" t="str">
        <f>IF('Classe CM2'!$B38="","",N('Classe CM2'!L38))</f>
        <v/>
      </c>
      <c r="P598" s="51" t="str">
        <f>IF('Classe CM2'!$B38="","",N('Classe CM2'!M38))</f>
        <v/>
      </c>
      <c r="Q598" s="21" t="str">
        <f>IF('Classe CM2'!$B38="","",IF('Classe CM2'!Q38="","",'Classe CM2'!Q38))</f>
        <v/>
      </c>
      <c r="R598" s="51" t="str">
        <f>IF('Classe CM2'!$B38="","",N('Classe CM2'!N38))</f>
        <v/>
      </c>
      <c r="S598" s="51" t="str">
        <f>IF('Classe CM2'!$B38="","",N('Classe CM2'!O38))</f>
        <v/>
      </c>
      <c r="T598" s="51" t="str">
        <f>IF('Classe CM2'!$B38="","",N('Classe CM2'!P38))</f>
        <v/>
      </c>
    </row>
    <row r="599">
      <c r="A599" s="16" t="str">
        <f>IF('Classe CM2'!$B39="","",IF('Classe CM2'!A39="","",'Classe CM2'!A39))</f>
        <v/>
      </c>
      <c r="B599" s="16" t="str">
        <f>IF('Classe CM2'!$B39="","",IF('Classe CM2'!B39="","",'Classe CM2'!B39))</f>
        <v/>
      </c>
      <c r="C599" s="16" t="str">
        <f>IF('Classe CM2'!$B39="","",IF('Classe CM2'!C39="","",'Classe CM2'!C39))</f>
        <v/>
      </c>
      <c r="D599" s="16" t="str">
        <f>IF($B599="","",C599&amp;" "&amp;B599&amp;" - "&amp;E599)</f>
        <v/>
      </c>
      <c r="E599" s="17" t="str">
        <f>IF($B599="","",Paramètres!$A$22)</f>
        <v/>
      </c>
      <c r="F599" s="17" t="str">
        <f>IF($B599="","",Paramètres!$B$22)</f>
        <v/>
      </c>
      <c r="G599" s="17" t="str">
        <f>IF('Classe CM2'!$B39="","",IF('Classe CM2'!D39="","",'Classe CM2'!D39))</f>
        <v/>
      </c>
      <c r="H599" s="78" t="str">
        <f>IF('Classe CM2'!$B39="","",IF('Classe CM2'!E39="","",'Classe CM2'!E39))</f>
        <v/>
      </c>
      <c r="I599" s="16" t="str">
        <f>IF('Classe CM2'!$B39="","",IF('Classe CM2'!F39="","",'Classe CM2'!F39))</f>
        <v/>
      </c>
      <c r="J599" s="16" t="str">
        <f>IF('Classe CM2'!$B39="","",IF('Classe CM2'!G39="","",'Classe CM2'!G39))</f>
        <v/>
      </c>
      <c r="K599" s="18" t="str">
        <f>IF('Classe CM2'!$B39="","",N('Classe CM2'!H39))</f>
        <v/>
      </c>
      <c r="L599" s="18" t="str">
        <f>IF('Classe CM2'!$B39="","",N('Classe CM2'!I39))</f>
        <v/>
      </c>
      <c r="M599" s="18" t="str">
        <f>IF('Classe CM2'!$B39="","",N('Classe CM2'!J39))</f>
        <v/>
      </c>
      <c r="N599" s="18" t="str">
        <f>IF('Classe CM2'!$B39="","",N('Classe CM2'!K39))</f>
        <v/>
      </c>
      <c r="O599" s="18" t="str">
        <f>IF('Classe CM2'!$B39="","",N('Classe CM2'!L39))</f>
        <v/>
      </c>
      <c r="P599" s="18" t="str">
        <f>IF('Classe CM2'!$B39="","",N('Classe CM2'!M39))</f>
        <v/>
      </c>
      <c r="Q599" s="17" t="str">
        <f>IF('Classe CM2'!$B39="","",IF('Classe CM2'!Q39="","",'Classe CM2'!Q39))</f>
        <v/>
      </c>
      <c r="R599" s="18" t="str">
        <f>IF('Classe CM2'!$B39="","",N('Classe CM2'!N39))</f>
        <v/>
      </c>
      <c r="S599" s="18" t="str">
        <f>IF('Classe CM2'!$B39="","",N('Classe CM2'!O39))</f>
        <v/>
      </c>
      <c r="T599" s="18" t="str">
        <f>IF('Classe CM2'!$B39="","",N('Classe CM2'!P39))</f>
        <v/>
      </c>
    </row>
    <row r="600">
      <c r="A600" s="20" t="str">
        <f>IF('Classe CM2'!$B40="","",IF('Classe CM2'!A40="","",'Classe CM2'!A40))</f>
        <v/>
      </c>
      <c r="B600" s="20" t="str">
        <f>IF('Classe CM2'!$B40="","",IF('Classe CM2'!B40="","",'Classe CM2'!B40))</f>
        <v/>
      </c>
      <c r="C600" s="20" t="str">
        <f>IF('Classe CM2'!$B40="","",IF('Classe CM2'!C40="","",'Classe CM2'!C40))</f>
        <v/>
      </c>
      <c r="D600" s="20" t="str">
        <f>IF($B600="","",C600&amp;" "&amp;B600&amp;" - "&amp;E600)</f>
        <v/>
      </c>
      <c r="E600" s="21" t="str">
        <f>IF($B600="","",Paramètres!$A$22)</f>
        <v/>
      </c>
      <c r="F600" s="21" t="str">
        <f>IF($B600="","",Paramètres!$B$22)</f>
        <v/>
      </c>
      <c r="G600" s="21" t="str">
        <f>IF('Classe CM2'!$B40="","",IF('Classe CM2'!D40="","",'Classe CM2'!D40))</f>
        <v/>
      </c>
      <c r="H600" s="77" t="str">
        <f>IF('Classe CM2'!$B40="","",IF('Classe CM2'!E40="","",'Classe CM2'!E40))</f>
        <v/>
      </c>
      <c r="I600" s="20" t="str">
        <f>IF('Classe CM2'!$B40="","",IF('Classe CM2'!F40="","",'Classe CM2'!F40))</f>
        <v/>
      </c>
      <c r="J600" s="20" t="str">
        <f>IF('Classe CM2'!$B40="","",IF('Classe CM2'!G40="","",'Classe CM2'!G40))</f>
        <v/>
      </c>
      <c r="K600" s="51" t="str">
        <f>IF('Classe CM2'!$B40="","",N('Classe CM2'!H40))</f>
        <v/>
      </c>
      <c r="L600" s="51" t="str">
        <f>IF('Classe CM2'!$B40="","",N('Classe CM2'!I40))</f>
        <v/>
      </c>
      <c r="M600" s="51" t="str">
        <f>IF('Classe CM2'!$B40="","",N('Classe CM2'!J40))</f>
        <v/>
      </c>
      <c r="N600" s="51" t="str">
        <f>IF('Classe CM2'!$B40="","",N('Classe CM2'!K40))</f>
        <v/>
      </c>
      <c r="O600" s="51" t="str">
        <f>IF('Classe CM2'!$B40="","",N('Classe CM2'!L40))</f>
        <v/>
      </c>
      <c r="P600" s="51" t="str">
        <f>IF('Classe CM2'!$B40="","",N('Classe CM2'!M40))</f>
        <v/>
      </c>
      <c r="Q600" s="21" t="str">
        <f>IF('Classe CM2'!$B40="","",IF('Classe CM2'!Q40="","",'Classe CM2'!Q40))</f>
        <v/>
      </c>
      <c r="R600" s="51" t="str">
        <f>IF('Classe CM2'!$B40="","",N('Classe CM2'!N40))</f>
        <v/>
      </c>
      <c r="S600" s="51" t="str">
        <f>IF('Classe CM2'!$B40="","",N('Classe CM2'!O40))</f>
        <v/>
      </c>
      <c r="T600" s="51" t="str">
        <f>IF('Classe CM2'!$B40="","",N('Classe CM2'!P40))</f>
        <v/>
      </c>
    </row>
    <row r="601">
      <c r="A601" s="16" t="str">
        <f>IF('Classe CM2'!$B41="","",IF('Classe CM2'!A41="","",'Classe CM2'!A41))</f>
        <v/>
      </c>
      <c r="B601" s="16" t="str">
        <f>IF('Classe CM2'!$B41="","",IF('Classe CM2'!B41="","",'Classe CM2'!B41))</f>
        <v/>
      </c>
      <c r="C601" s="16" t="str">
        <f>IF('Classe CM2'!$B41="","",IF('Classe CM2'!C41="","",'Classe CM2'!C41))</f>
        <v/>
      </c>
      <c r="D601" s="16" t="str">
        <f>IF($B601="","",C601&amp;" "&amp;B601&amp;" - "&amp;E601)</f>
        <v/>
      </c>
      <c r="E601" s="17" t="str">
        <f>IF($B601="","",Paramètres!$A$22)</f>
        <v/>
      </c>
      <c r="F601" s="17" t="str">
        <f>IF($B601="","",Paramètres!$B$22)</f>
        <v/>
      </c>
      <c r="G601" s="17" t="str">
        <f>IF('Classe CM2'!$B41="","",IF('Classe CM2'!D41="","",'Classe CM2'!D41))</f>
        <v/>
      </c>
      <c r="H601" s="78" t="str">
        <f>IF('Classe CM2'!$B41="","",IF('Classe CM2'!E41="","",'Classe CM2'!E41))</f>
        <v/>
      </c>
      <c r="I601" s="16" t="str">
        <f>IF('Classe CM2'!$B41="","",IF('Classe CM2'!F41="","",'Classe CM2'!F41))</f>
        <v/>
      </c>
      <c r="J601" s="16" t="str">
        <f>IF('Classe CM2'!$B41="","",IF('Classe CM2'!G41="","",'Classe CM2'!G41))</f>
        <v/>
      </c>
      <c r="K601" s="18" t="str">
        <f>IF('Classe CM2'!$B41="","",N('Classe CM2'!H41))</f>
        <v/>
      </c>
      <c r="L601" s="18" t="str">
        <f>IF('Classe CM2'!$B41="","",N('Classe CM2'!I41))</f>
        <v/>
      </c>
      <c r="M601" s="18" t="str">
        <f>IF('Classe CM2'!$B41="","",N('Classe CM2'!J41))</f>
        <v/>
      </c>
      <c r="N601" s="18" t="str">
        <f>IF('Classe CM2'!$B41="","",N('Classe CM2'!K41))</f>
        <v/>
      </c>
      <c r="O601" s="18" t="str">
        <f>IF('Classe CM2'!$B41="","",N('Classe CM2'!L41))</f>
        <v/>
      </c>
      <c r="P601" s="18" t="str">
        <f>IF('Classe CM2'!$B41="","",N('Classe CM2'!M41))</f>
        <v/>
      </c>
      <c r="Q601" s="17" t="str">
        <f>IF('Classe CM2'!$B41="","",IF('Classe CM2'!Q41="","",'Classe CM2'!Q41))</f>
        <v/>
      </c>
      <c r="R601" s="18" t="str">
        <f>IF('Classe CM2'!$B41="","",N('Classe CM2'!N41))</f>
        <v/>
      </c>
      <c r="S601" s="18" t="str">
        <f>IF('Classe CM2'!$B41="","",N('Classe CM2'!O41))</f>
        <v/>
      </c>
      <c r="T601" s="18" t="str">
        <f>IF('Classe CM2'!$B41="","",N('Classe CM2'!P41))</f>
        <v/>
      </c>
    </row>
    <row r="602">
      <c r="A602" s="20" t="str">
        <f>IF('Classe CM2'!$B42="","",IF('Classe CM2'!A42="","",'Classe CM2'!A42))</f>
        <v/>
      </c>
      <c r="B602" s="20" t="str">
        <f>IF('Classe CM2'!$B42="","",IF('Classe CM2'!B42="","",'Classe CM2'!B42))</f>
        <v/>
      </c>
      <c r="C602" s="20" t="str">
        <f>IF('Classe CM2'!$B42="","",IF('Classe CM2'!C42="","",'Classe CM2'!C42))</f>
        <v/>
      </c>
      <c r="D602" s="20" t="str">
        <f>IF($B602="","",C602&amp;" "&amp;B602&amp;" - "&amp;E602)</f>
        <v/>
      </c>
      <c r="E602" s="21" t="str">
        <f>IF($B602="","",Paramètres!$A$22)</f>
        <v/>
      </c>
      <c r="F602" s="21" t="str">
        <f>IF($B602="","",Paramètres!$B$22)</f>
        <v/>
      </c>
      <c r="G602" s="21" t="str">
        <f>IF('Classe CM2'!$B42="","",IF('Classe CM2'!D42="","",'Classe CM2'!D42))</f>
        <v/>
      </c>
      <c r="H602" s="77" t="str">
        <f>IF('Classe CM2'!$B42="","",IF('Classe CM2'!E42="","",'Classe CM2'!E42))</f>
        <v/>
      </c>
      <c r="I602" s="20" t="str">
        <f>IF('Classe CM2'!$B42="","",IF('Classe CM2'!F42="","",'Classe CM2'!F42))</f>
        <v/>
      </c>
      <c r="J602" s="20" t="str">
        <f>IF('Classe CM2'!$B42="","",IF('Classe CM2'!G42="","",'Classe CM2'!G42))</f>
        <v/>
      </c>
      <c r="K602" s="51" t="str">
        <f>IF('Classe CM2'!$B42="","",N('Classe CM2'!H42))</f>
        <v/>
      </c>
      <c r="L602" s="51" t="str">
        <f>IF('Classe CM2'!$B42="","",N('Classe CM2'!I42))</f>
        <v/>
      </c>
      <c r="M602" s="51" t="str">
        <f>IF('Classe CM2'!$B42="","",N('Classe CM2'!J42))</f>
        <v/>
      </c>
      <c r="N602" s="51" t="str">
        <f>IF('Classe CM2'!$B42="","",N('Classe CM2'!K42))</f>
        <v/>
      </c>
      <c r="O602" s="51" t="str">
        <f>IF('Classe CM2'!$B42="","",N('Classe CM2'!L42))</f>
        <v/>
      </c>
      <c r="P602" s="51" t="str">
        <f>IF('Classe CM2'!$B42="","",N('Classe CM2'!M42))</f>
        <v/>
      </c>
      <c r="Q602" s="21" t="str">
        <f>IF('Classe CM2'!$B42="","",IF('Classe CM2'!Q42="","",'Classe CM2'!Q42))</f>
        <v/>
      </c>
      <c r="R602" s="51" t="str">
        <f>IF('Classe CM2'!$B42="","",N('Classe CM2'!N42))</f>
        <v/>
      </c>
      <c r="S602" s="51" t="str">
        <f>IF('Classe CM2'!$B42="","",N('Classe CM2'!O42))</f>
        <v/>
      </c>
      <c r="T602" s="51" t="str">
        <f>IF('Classe CM2'!$B42="","",N('Classe CM2'!P42))</f>
        <v/>
      </c>
    </row>
    <row r="603">
      <c r="A603" s="16" t="str">
        <f>IF('Classe CM2'!$B43="","",IF('Classe CM2'!A43="","",'Classe CM2'!A43))</f>
        <v/>
      </c>
      <c r="B603" s="16" t="str">
        <f>IF('Classe CM2'!$B43="","",IF('Classe CM2'!B43="","",'Classe CM2'!B43))</f>
        <v/>
      </c>
      <c r="C603" s="16" t="str">
        <f>IF('Classe CM2'!$B43="","",IF('Classe CM2'!C43="","",'Classe CM2'!C43))</f>
        <v/>
      </c>
      <c r="D603" s="16" t="str">
        <f>IF($B603="","",C603&amp;" "&amp;B603&amp;" - "&amp;E603)</f>
        <v/>
      </c>
      <c r="E603" s="17" t="str">
        <f>IF($B603="","",Paramètres!$A$22)</f>
        <v/>
      </c>
      <c r="F603" s="17" t="str">
        <f>IF($B603="","",Paramètres!$B$22)</f>
        <v/>
      </c>
      <c r="G603" s="17" t="str">
        <f>IF('Classe CM2'!$B43="","",IF('Classe CM2'!D43="","",'Classe CM2'!D43))</f>
        <v/>
      </c>
      <c r="H603" s="78" t="str">
        <f>IF('Classe CM2'!$B43="","",IF('Classe CM2'!E43="","",'Classe CM2'!E43))</f>
        <v/>
      </c>
      <c r="I603" s="16" t="str">
        <f>IF('Classe CM2'!$B43="","",IF('Classe CM2'!F43="","",'Classe CM2'!F43))</f>
        <v/>
      </c>
      <c r="J603" s="16" t="str">
        <f>IF('Classe CM2'!$B43="","",IF('Classe CM2'!G43="","",'Classe CM2'!G43))</f>
        <v/>
      </c>
      <c r="K603" s="18" t="str">
        <f>IF('Classe CM2'!$B43="","",N('Classe CM2'!H43))</f>
        <v/>
      </c>
      <c r="L603" s="18" t="str">
        <f>IF('Classe CM2'!$B43="","",N('Classe CM2'!I43))</f>
        <v/>
      </c>
      <c r="M603" s="18" t="str">
        <f>IF('Classe CM2'!$B43="","",N('Classe CM2'!J43))</f>
        <v/>
      </c>
      <c r="N603" s="18" t="str">
        <f>IF('Classe CM2'!$B43="","",N('Classe CM2'!K43))</f>
        <v/>
      </c>
      <c r="O603" s="18" t="str">
        <f>IF('Classe CM2'!$B43="","",N('Classe CM2'!L43))</f>
        <v/>
      </c>
      <c r="P603" s="18" t="str">
        <f>IF('Classe CM2'!$B43="","",N('Classe CM2'!M43))</f>
        <v/>
      </c>
      <c r="Q603" s="17" t="str">
        <f>IF('Classe CM2'!$B43="","",IF('Classe CM2'!Q43="","",'Classe CM2'!Q43))</f>
        <v/>
      </c>
      <c r="R603" s="18" t="str">
        <f>IF('Classe CM2'!$B43="","",N('Classe CM2'!N43))</f>
        <v/>
      </c>
      <c r="S603" s="18" t="str">
        <f>IF('Classe CM2'!$B43="","",N('Classe CM2'!O43))</f>
        <v/>
      </c>
      <c r="T603" s="18" t="str">
        <f>IF('Classe CM2'!$B43="","",N('Classe CM2'!P43))</f>
        <v/>
      </c>
    </row>
    <row r="604">
      <c r="A604" s="20" t="str">
        <f>IF('Classe CM2'!$B44="","",IF('Classe CM2'!A44="","",'Classe CM2'!A44))</f>
        <v/>
      </c>
      <c r="B604" s="20" t="str">
        <f>IF('Classe CM2'!$B44="","",IF('Classe CM2'!B44="","",'Classe CM2'!B44))</f>
        <v/>
      </c>
      <c r="C604" s="20" t="str">
        <f>IF('Classe CM2'!$B44="","",IF('Classe CM2'!C44="","",'Classe CM2'!C44))</f>
        <v/>
      </c>
      <c r="D604" s="20" t="str">
        <f>IF($B604="","",C604&amp;" "&amp;B604&amp;" - "&amp;E604)</f>
        <v/>
      </c>
      <c r="E604" s="21" t="str">
        <f>IF($B604="","",Paramètres!$A$22)</f>
        <v/>
      </c>
      <c r="F604" s="21" t="str">
        <f>IF($B604="","",Paramètres!$B$22)</f>
        <v/>
      </c>
      <c r="G604" s="21" t="str">
        <f>IF('Classe CM2'!$B44="","",IF('Classe CM2'!D44="","",'Classe CM2'!D44))</f>
        <v/>
      </c>
      <c r="H604" s="77" t="str">
        <f>IF('Classe CM2'!$B44="","",IF('Classe CM2'!E44="","",'Classe CM2'!E44))</f>
        <v/>
      </c>
      <c r="I604" s="20" t="str">
        <f>IF('Classe CM2'!$B44="","",IF('Classe CM2'!F44="","",'Classe CM2'!F44))</f>
        <v/>
      </c>
      <c r="J604" s="20" t="str">
        <f>IF('Classe CM2'!$B44="","",IF('Classe CM2'!G44="","",'Classe CM2'!G44))</f>
        <v/>
      </c>
      <c r="K604" s="51" t="str">
        <f>IF('Classe CM2'!$B44="","",N('Classe CM2'!H44))</f>
        <v/>
      </c>
      <c r="L604" s="51" t="str">
        <f>IF('Classe CM2'!$B44="","",N('Classe CM2'!I44))</f>
        <v/>
      </c>
      <c r="M604" s="51" t="str">
        <f>IF('Classe CM2'!$B44="","",N('Classe CM2'!J44))</f>
        <v/>
      </c>
      <c r="N604" s="51" t="str">
        <f>IF('Classe CM2'!$B44="","",N('Classe CM2'!K44))</f>
        <v/>
      </c>
      <c r="O604" s="51" t="str">
        <f>IF('Classe CM2'!$B44="","",N('Classe CM2'!L44))</f>
        <v/>
      </c>
      <c r="P604" s="51" t="str">
        <f>IF('Classe CM2'!$B44="","",N('Classe CM2'!M44))</f>
        <v/>
      </c>
      <c r="Q604" s="21" t="str">
        <f>IF('Classe CM2'!$B44="","",IF('Classe CM2'!Q44="","",'Classe CM2'!Q44))</f>
        <v/>
      </c>
      <c r="R604" s="51" t="str">
        <f>IF('Classe CM2'!$B44="","",N('Classe CM2'!N44))</f>
        <v/>
      </c>
      <c r="S604" s="51" t="str">
        <f>IF('Classe CM2'!$B44="","",N('Classe CM2'!O44))</f>
        <v/>
      </c>
      <c r="T604" s="51" t="str">
        <f>IF('Classe CM2'!$B44="","",N('Classe CM2'!P44))</f>
        <v/>
      </c>
    </row>
    <row r="605">
      <c r="A605" s="16" t="str">
        <f>IF('Classe CM2'!$B45="","",IF('Classe CM2'!A45="","",'Classe CM2'!A45))</f>
        <v/>
      </c>
      <c r="B605" s="16" t="str">
        <f>IF('Classe CM2'!$B45="","",IF('Classe CM2'!B45="","",'Classe CM2'!B45))</f>
        <v/>
      </c>
      <c r="C605" s="16" t="str">
        <f>IF('Classe CM2'!$B45="","",IF('Classe CM2'!C45="","",'Classe CM2'!C45))</f>
        <v/>
      </c>
      <c r="D605" s="16" t="str">
        <f>IF($B605="","",C605&amp;" "&amp;B605&amp;" - "&amp;E605)</f>
        <v/>
      </c>
      <c r="E605" s="17" t="str">
        <f>IF($B605="","",Paramètres!$A$22)</f>
        <v/>
      </c>
      <c r="F605" s="17" t="str">
        <f>IF($B605="","",Paramètres!$B$22)</f>
        <v/>
      </c>
      <c r="G605" s="17" t="str">
        <f>IF('Classe CM2'!$B45="","",IF('Classe CM2'!D45="","",'Classe CM2'!D45))</f>
        <v/>
      </c>
      <c r="H605" s="78" t="str">
        <f>IF('Classe CM2'!$B45="","",IF('Classe CM2'!E45="","",'Classe CM2'!E45))</f>
        <v/>
      </c>
      <c r="I605" s="16" t="str">
        <f>IF('Classe CM2'!$B45="","",IF('Classe CM2'!F45="","",'Classe CM2'!F45))</f>
        <v/>
      </c>
      <c r="J605" s="16" t="str">
        <f>IF('Classe CM2'!$B45="","",IF('Classe CM2'!G45="","",'Classe CM2'!G45))</f>
        <v/>
      </c>
      <c r="K605" s="18" t="str">
        <f>IF('Classe CM2'!$B45="","",N('Classe CM2'!H45))</f>
        <v/>
      </c>
      <c r="L605" s="18" t="str">
        <f>IF('Classe CM2'!$B45="","",N('Classe CM2'!I45))</f>
        <v/>
      </c>
      <c r="M605" s="18" t="str">
        <f>IF('Classe CM2'!$B45="","",N('Classe CM2'!J45))</f>
        <v/>
      </c>
      <c r="N605" s="18" t="str">
        <f>IF('Classe CM2'!$B45="","",N('Classe CM2'!K45))</f>
        <v/>
      </c>
      <c r="O605" s="18" t="str">
        <f>IF('Classe CM2'!$B45="","",N('Classe CM2'!L45))</f>
        <v/>
      </c>
      <c r="P605" s="18" t="str">
        <f>IF('Classe CM2'!$B45="","",N('Classe CM2'!M45))</f>
        <v/>
      </c>
      <c r="Q605" s="17" t="str">
        <f>IF('Classe CM2'!$B45="","",IF('Classe CM2'!Q45="","",'Classe CM2'!Q45))</f>
        <v/>
      </c>
      <c r="R605" s="18" t="str">
        <f>IF('Classe CM2'!$B45="","",N('Classe CM2'!N45))</f>
        <v/>
      </c>
      <c r="S605" s="18" t="str">
        <f>IF('Classe CM2'!$B45="","",N('Classe CM2'!O45))</f>
        <v/>
      </c>
      <c r="T605" s="18" t="str">
        <f>IF('Classe CM2'!$B45="","",N('Classe CM2'!P45))</f>
        <v/>
      </c>
    </row>
    <row r="606">
      <c r="A606" s="20" t="str">
        <f>IF('Classe CM2'!$B46="","",IF('Classe CM2'!A46="","",'Classe CM2'!A46))</f>
        <v/>
      </c>
      <c r="B606" s="20" t="str">
        <f>IF('Classe CM2'!$B46="","",IF('Classe CM2'!B46="","",'Classe CM2'!B46))</f>
        <v/>
      </c>
      <c r="C606" s="20" t="str">
        <f>IF('Classe CM2'!$B46="","",IF('Classe CM2'!C46="","",'Classe CM2'!C46))</f>
        <v/>
      </c>
      <c r="D606" s="20" t="str">
        <f>IF($B606="","",C606&amp;" "&amp;B606&amp;" - "&amp;E606)</f>
        <v/>
      </c>
      <c r="E606" s="21" t="str">
        <f>IF($B606="","",Paramètres!$A$22)</f>
        <v/>
      </c>
      <c r="F606" s="21" t="str">
        <f>IF($B606="","",Paramètres!$B$22)</f>
        <v/>
      </c>
      <c r="G606" s="21" t="str">
        <f>IF('Classe CM2'!$B46="","",IF('Classe CM2'!D46="","",'Classe CM2'!D46))</f>
        <v/>
      </c>
      <c r="H606" s="77" t="str">
        <f>IF('Classe CM2'!$B46="","",IF('Classe CM2'!E46="","",'Classe CM2'!E46))</f>
        <v/>
      </c>
      <c r="I606" s="20" t="str">
        <f>IF('Classe CM2'!$B46="","",IF('Classe CM2'!F46="","",'Classe CM2'!F46))</f>
        <v/>
      </c>
      <c r="J606" s="20" t="str">
        <f>IF('Classe CM2'!$B46="","",IF('Classe CM2'!G46="","",'Classe CM2'!G46))</f>
        <v/>
      </c>
      <c r="K606" s="51" t="str">
        <f>IF('Classe CM2'!$B46="","",N('Classe CM2'!H46))</f>
        <v/>
      </c>
      <c r="L606" s="51" t="str">
        <f>IF('Classe CM2'!$B46="","",N('Classe CM2'!I46))</f>
        <v/>
      </c>
      <c r="M606" s="51" t="str">
        <f>IF('Classe CM2'!$B46="","",N('Classe CM2'!J46))</f>
        <v/>
      </c>
      <c r="N606" s="51" t="str">
        <f>IF('Classe CM2'!$B46="","",N('Classe CM2'!K46))</f>
        <v/>
      </c>
      <c r="O606" s="51" t="str">
        <f>IF('Classe CM2'!$B46="","",N('Classe CM2'!L46))</f>
        <v/>
      </c>
      <c r="P606" s="51" t="str">
        <f>IF('Classe CM2'!$B46="","",N('Classe CM2'!M46))</f>
        <v/>
      </c>
      <c r="Q606" s="21" t="str">
        <f>IF('Classe CM2'!$B46="","",IF('Classe CM2'!Q46="","",'Classe CM2'!Q46))</f>
        <v/>
      </c>
      <c r="R606" s="51" t="str">
        <f>IF('Classe CM2'!$B46="","",N('Classe CM2'!N46))</f>
        <v/>
      </c>
      <c r="S606" s="51" t="str">
        <f>IF('Classe CM2'!$B46="","",N('Classe CM2'!O46))</f>
        <v/>
      </c>
      <c r="T606" s="51" t="str">
        <f>IF('Classe CM2'!$B46="","",N('Classe CM2'!P46))</f>
        <v/>
      </c>
    </row>
    <row r="607">
      <c r="A607" s="16" t="str">
        <f>IF('Classe CM2'!$B47="","",IF('Classe CM2'!A47="","",'Classe CM2'!A47))</f>
        <v/>
      </c>
      <c r="B607" s="16" t="str">
        <f>IF('Classe CM2'!$B47="","",IF('Classe CM2'!B47="","",'Classe CM2'!B47))</f>
        <v/>
      </c>
      <c r="C607" s="16" t="str">
        <f>IF('Classe CM2'!$B47="","",IF('Classe CM2'!C47="","",'Classe CM2'!C47))</f>
        <v/>
      </c>
      <c r="D607" s="16" t="str">
        <f>IF($B607="","",C607&amp;" "&amp;B607&amp;" - "&amp;E607)</f>
        <v/>
      </c>
      <c r="E607" s="17" t="str">
        <f>IF($B607="","",Paramètres!$A$22)</f>
        <v/>
      </c>
      <c r="F607" s="17" t="str">
        <f>IF($B607="","",Paramètres!$B$22)</f>
        <v/>
      </c>
      <c r="G607" s="17" t="str">
        <f>IF('Classe CM2'!$B47="","",IF('Classe CM2'!D47="","",'Classe CM2'!D47))</f>
        <v/>
      </c>
      <c r="H607" s="78" t="str">
        <f>IF('Classe CM2'!$B47="","",IF('Classe CM2'!E47="","",'Classe CM2'!E47))</f>
        <v/>
      </c>
      <c r="I607" s="16" t="str">
        <f>IF('Classe CM2'!$B47="","",IF('Classe CM2'!F47="","",'Classe CM2'!F47))</f>
        <v/>
      </c>
      <c r="J607" s="16" t="str">
        <f>IF('Classe CM2'!$B47="","",IF('Classe CM2'!G47="","",'Classe CM2'!G47))</f>
        <v/>
      </c>
      <c r="K607" s="18" t="str">
        <f>IF('Classe CM2'!$B47="","",N('Classe CM2'!H47))</f>
        <v/>
      </c>
      <c r="L607" s="18" t="str">
        <f>IF('Classe CM2'!$B47="","",N('Classe CM2'!I47))</f>
        <v/>
      </c>
      <c r="M607" s="18" t="str">
        <f>IF('Classe CM2'!$B47="","",N('Classe CM2'!J47))</f>
        <v/>
      </c>
      <c r="N607" s="18" t="str">
        <f>IF('Classe CM2'!$B47="","",N('Classe CM2'!K47))</f>
        <v/>
      </c>
      <c r="O607" s="18" t="str">
        <f>IF('Classe CM2'!$B47="","",N('Classe CM2'!L47))</f>
        <v/>
      </c>
      <c r="P607" s="18" t="str">
        <f>IF('Classe CM2'!$B47="","",N('Classe CM2'!M47))</f>
        <v/>
      </c>
      <c r="Q607" s="17" t="str">
        <f>IF('Classe CM2'!$B47="","",IF('Classe CM2'!Q47="","",'Classe CM2'!Q47))</f>
        <v/>
      </c>
      <c r="R607" s="18" t="str">
        <f>IF('Classe CM2'!$B47="","",N('Classe CM2'!N47))</f>
        <v/>
      </c>
      <c r="S607" s="18" t="str">
        <f>IF('Classe CM2'!$B47="","",N('Classe CM2'!O47))</f>
        <v/>
      </c>
      <c r="T607" s="18" t="str">
        <f>IF('Classe CM2'!$B47="","",N('Classe CM2'!P47))</f>
        <v/>
      </c>
    </row>
    <row r="608">
      <c r="A608" s="20" t="str">
        <f>IF('Classe CM2'!$B48="","",IF('Classe CM2'!A48="","",'Classe CM2'!A48))</f>
        <v/>
      </c>
      <c r="B608" s="20" t="str">
        <f>IF('Classe CM2'!$B48="","",IF('Classe CM2'!B48="","",'Classe CM2'!B48))</f>
        <v/>
      </c>
      <c r="C608" s="20" t="str">
        <f>IF('Classe CM2'!$B48="","",IF('Classe CM2'!C48="","",'Classe CM2'!C48))</f>
        <v/>
      </c>
      <c r="D608" s="20" t="str">
        <f>IF($B608="","",C608&amp;" "&amp;B608&amp;" - "&amp;E608)</f>
        <v/>
      </c>
      <c r="E608" s="21" t="str">
        <f>IF($B608="","",Paramètres!$A$22)</f>
        <v/>
      </c>
      <c r="F608" s="21" t="str">
        <f>IF($B608="","",Paramètres!$B$22)</f>
        <v/>
      </c>
      <c r="G608" s="21" t="str">
        <f>IF('Classe CM2'!$B48="","",IF('Classe CM2'!D48="","",'Classe CM2'!D48))</f>
        <v/>
      </c>
      <c r="H608" s="77" t="str">
        <f>IF('Classe CM2'!$B48="","",IF('Classe CM2'!E48="","",'Classe CM2'!E48))</f>
        <v/>
      </c>
      <c r="I608" s="20" t="str">
        <f>IF('Classe CM2'!$B48="","",IF('Classe CM2'!F48="","",'Classe CM2'!F48))</f>
        <v/>
      </c>
      <c r="J608" s="20" t="str">
        <f>IF('Classe CM2'!$B48="","",IF('Classe CM2'!G48="","",'Classe CM2'!G48))</f>
        <v/>
      </c>
      <c r="K608" s="51" t="str">
        <f>IF('Classe CM2'!$B48="","",N('Classe CM2'!H48))</f>
        <v/>
      </c>
      <c r="L608" s="51" t="str">
        <f>IF('Classe CM2'!$B48="","",N('Classe CM2'!I48))</f>
        <v/>
      </c>
      <c r="M608" s="51" t="str">
        <f>IF('Classe CM2'!$B48="","",N('Classe CM2'!J48))</f>
        <v/>
      </c>
      <c r="N608" s="51" t="str">
        <f>IF('Classe CM2'!$B48="","",N('Classe CM2'!K48))</f>
        <v/>
      </c>
      <c r="O608" s="51" t="str">
        <f>IF('Classe CM2'!$B48="","",N('Classe CM2'!L48))</f>
        <v/>
      </c>
      <c r="P608" s="51" t="str">
        <f>IF('Classe CM2'!$B48="","",N('Classe CM2'!M48))</f>
        <v/>
      </c>
      <c r="Q608" s="21" t="str">
        <f>IF('Classe CM2'!$B48="","",IF('Classe CM2'!Q48="","",'Classe CM2'!Q48))</f>
        <v/>
      </c>
      <c r="R608" s="51" t="str">
        <f>IF('Classe CM2'!$B48="","",N('Classe CM2'!N48))</f>
        <v/>
      </c>
      <c r="S608" s="51" t="str">
        <f>IF('Classe CM2'!$B48="","",N('Classe CM2'!O48))</f>
        <v/>
      </c>
      <c r="T608" s="51" t="str">
        <f>IF('Classe CM2'!$B48="","",N('Classe CM2'!P48))</f>
        <v/>
      </c>
    </row>
    <row r="609">
      <c r="A609" s="16" t="str">
        <f>IF('Classe CM2'!$B49="","",IF('Classe CM2'!A49="","",'Classe CM2'!A49))</f>
        <v/>
      </c>
      <c r="B609" s="16" t="str">
        <f>IF('Classe CM2'!$B49="","",IF('Classe CM2'!B49="","",'Classe CM2'!B49))</f>
        <v/>
      </c>
      <c r="C609" s="16" t="str">
        <f>IF('Classe CM2'!$B49="","",IF('Classe CM2'!C49="","",'Classe CM2'!C49))</f>
        <v/>
      </c>
      <c r="D609" s="16" t="str">
        <f>IF($B609="","",C609&amp;" "&amp;B609&amp;" - "&amp;E609)</f>
        <v/>
      </c>
      <c r="E609" s="17" t="str">
        <f>IF($B609="","",Paramètres!$A$22)</f>
        <v/>
      </c>
      <c r="F609" s="17" t="str">
        <f>IF($B609="","",Paramètres!$B$22)</f>
        <v/>
      </c>
      <c r="G609" s="17" t="str">
        <f>IF('Classe CM2'!$B49="","",IF('Classe CM2'!D49="","",'Classe CM2'!D49))</f>
        <v/>
      </c>
      <c r="H609" s="78" t="str">
        <f>IF('Classe CM2'!$B49="","",IF('Classe CM2'!E49="","",'Classe CM2'!E49))</f>
        <v/>
      </c>
      <c r="I609" s="16" t="str">
        <f>IF('Classe CM2'!$B49="","",IF('Classe CM2'!F49="","",'Classe CM2'!F49))</f>
        <v/>
      </c>
      <c r="J609" s="16" t="str">
        <f>IF('Classe CM2'!$B49="","",IF('Classe CM2'!G49="","",'Classe CM2'!G49))</f>
        <v/>
      </c>
      <c r="K609" s="18" t="str">
        <f>IF('Classe CM2'!$B49="","",N('Classe CM2'!H49))</f>
        <v/>
      </c>
      <c r="L609" s="18" t="str">
        <f>IF('Classe CM2'!$B49="","",N('Classe CM2'!I49))</f>
        <v/>
      </c>
      <c r="M609" s="18" t="str">
        <f>IF('Classe CM2'!$B49="","",N('Classe CM2'!J49))</f>
        <v/>
      </c>
      <c r="N609" s="18" t="str">
        <f>IF('Classe CM2'!$B49="","",N('Classe CM2'!K49))</f>
        <v/>
      </c>
      <c r="O609" s="18" t="str">
        <f>IF('Classe CM2'!$B49="","",N('Classe CM2'!L49))</f>
        <v/>
      </c>
      <c r="P609" s="18" t="str">
        <f>IF('Classe CM2'!$B49="","",N('Classe CM2'!M49))</f>
        <v/>
      </c>
      <c r="Q609" s="17" t="str">
        <f>IF('Classe CM2'!$B49="","",IF('Classe CM2'!Q49="","",'Classe CM2'!Q49))</f>
        <v/>
      </c>
      <c r="R609" s="18" t="str">
        <f>IF('Classe CM2'!$B49="","",N('Classe CM2'!N49))</f>
        <v/>
      </c>
      <c r="S609" s="18" t="str">
        <f>IF('Classe CM2'!$B49="","",N('Classe CM2'!O49))</f>
        <v/>
      </c>
      <c r="T609" s="18" t="str">
        <f>IF('Classe CM2'!$B49="","",N('Classe CM2'!P49))</f>
        <v/>
      </c>
    </row>
    <row r="610">
      <c r="A610" s="20" t="str">
        <f>IF('Classe CM2'!$B50="","",IF('Classe CM2'!A50="","",'Classe CM2'!A50))</f>
        <v/>
      </c>
      <c r="B610" s="20" t="str">
        <f>IF('Classe CM2'!$B50="","",IF('Classe CM2'!B50="","",'Classe CM2'!B50))</f>
        <v/>
      </c>
      <c r="C610" s="20" t="str">
        <f>IF('Classe CM2'!$B50="","",IF('Classe CM2'!C50="","",'Classe CM2'!C50))</f>
        <v/>
      </c>
      <c r="D610" s="20" t="str">
        <f>IF($B610="","",C610&amp;" "&amp;B610&amp;" - "&amp;E610)</f>
        <v/>
      </c>
      <c r="E610" s="21" t="str">
        <f>IF($B610="","",Paramètres!$A$22)</f>
        <v/>
      </c>
      <c r="F610" s="21" t="str">
        <f>IF($B610="","",Paramètres!$B$22)</f>
        <v/>
      </c>
      <c r="G610" s="21" t="str">
        <f>IF('Classe CM2'!$B50="","",IF('Classe CM2'!D50="","",'Classe CM2'!D50))</f>
        <v/>
      </c>
      <c r="H610" s="77" t="str">
        <f>IF('Classe CM2'!$B50="","",IF('Classe CM2'!E50="","",'Classe CM2'!E50))</f>
        <v/>
      </c>
      <c r="I610" s="20" t="str">
        <f>IF('Classe CM2'!$B50="","",IF('Classe CM2'!F50="","",'Classe CM2'!F50))</f>
        <v/>
      </c>
      <c r="J610" s="20" t="str">
        <f>IF('Classe CM2'!$B50="","",IF('Classe CM2'!G50="","",'Classe CM2'!G50))</f>
        <v/>
      </c>
      <c r="K610" s="51" t="str">
        <f>IF('Classe CM2'!$B50="","",N('Classe CM2'!H50))</f>
        <v/>
      </c>
      <c r="L610" s="51" t="str">
        <f>IF('Classe CM2'!$B50="","",N('Classe CM2'!I50))</f>
        <v/>
      </c>
      <c r="M610" s="51" t="str">
        <f>IF('Classe CM2'!$B50="","",N('Classe CM2'!J50))</f>
        <v/>
      </c>
      <c r="N610" s="51" t="str">
        <f>IF('Classe CM2'!$B50="","",N('Classe CM2'!K50))</f>
        <v/>
      </c>
      <c r="O610" s="51" t="str">
        <f>IF('Classe CM2'!$B50="","",N('Classe CM2'!L50))</f>
        <v/>
      </c>
      <c r="P610" s="51" t="str">
        <f>IF('Classe CM2'!$B50="","",N('Classe CM2'!M50))</f>
        <v/>
      </c>
      <c r="Q610" s="21" t="str">
        <f>IF('Classe CM2'!$B50="","",IF('Classe CM2'!Q50="","",'Classe CM2'!Q50))</f>
        <v/>
      </c>
      <c r="R610" s="51" t="str">
        <f>IF('Classe CM2'!$B50="","",N('Classe CM2'!N50))</f>
        <v/>
      </c>
      <c r="S610" s="51" t="str">
        <f>IF('Classe CM2'!$B50="","",N('Classe CM2'!O50))</f>
        <v/>
      </c>
      <c r="T610" s="51" t="str">
        <f>IF('Classe CM2'!$B50="","",N('Classe CM2'!P50))</f>
        <v/>
      </c>
    </row>
    <row r="611">
      <c r="A611" s="16" t="str">
        <f>IF('Classe CM2'!$B51="","",IF('Classe CM2'!A51="","",'Classe CM2'!A51))</f>
        <v/>
      </c>
      <c r="B611" s="16" t="str">
        <f>IF('Classe CM2'!$B51="","",IF('Classe CM2'!B51="","",'Classe CM2'!B51))</f>
        <v/>
      </c>
      <c r="C611" s="16" t="str">
        <f>IF('Classe CM2'!$B51="","",IF('Classe CM2'!C51="","",'Classe CM2'!C51))</f>
        <v/>
      </c>
      <c r="D611" s="16" t="str">
        <f>IF($B611="","",C611&amp;" "&amp;B611&amp;" - "&amp;E611)</f>
        <v/>
      </c>
      <c r="E611" s="17" t="str">
        <f>IF($B611="","",Paramètres!$A$22)</f>
        <v/>
      </c>
      <c r="F611" s="17" t="str">
        <f>IF($B611="","",Paramètres!$B$22)</f>
        <v/>
      </c>
      <c r="G611" s="17" t="str">
        <f>IF('Classe CM2'!$B51="","",IF('Classe CM2'!D51="","",'Classe CM2'!D51))</f>
        <v/>
      </c>
      <c r="H611" s="78" t="str">
        <f>IF('Classe CM2'!$B51="","",IF('Classe CM2'!E51="","",'Classe CM2'!E51))</f>
        <v/>
      </c>
      <c r="I611" s="16" t="str">
        <f>IF('Classe CM2'!$B51="","",IF('Classe CM2'!F51="","",'Classe CM2'!F51))</f>
        <v/>
      </c>
      <c r="J611" s="16" t="str">
        <f>IF('Classe CM2'!$B51="","",IF('Classe CM2'!G51="","",'Classe CM2'!G51))</f>
        <v/>
      </c>
      <c r="K611" s="18" t="str">
        <f>IF('Classe CM2'!$B51="","",N('Classe CM2'!H51))</f>
        <v/>
      </c>
      <c r="L611" s="18" t="str">
        <f>IF('Classe CM2'!$B51="","",N('Classe CM2'!I51))</f>
        <v/>
      </c>
      <c r="M611" s="18" t="str">
        <f>IF('Classe CM2'!$B51="","",N('Classe CM2'!J51))</f>
        <v/>
      </c>
      <c r="N611" s="18" t="str">
        <f>IF('Classe CM2'!$B51="","",N('Classe CM2'!K51))</f>
        <v/>
      </c>
      <c r="O611" s="18" t="str">
        <f>IF('Classe CM2'!$B51="","",N('Classe CM2'!L51))</f>
        <v/>
      </c>
      <c r="P611" s="18" t="str">
        <f>IF('Classe CM2'!$B51="","",N('Classe CM2'!M51))</f>
        <v/>
      </c>
      <c r="Q611" s="17" t="str">
        <f>IF('Classe CM2'!$B51="","",IF('Classe CM2'!Q51="","",'Classe CM2'!Q51))</f>
        <v/>
      </c>
      <c r="R611" s="18" t="str">
        <f>IF('Classe CM2'!$B51="","",N('Classe CM2'!N51))</f>
        <v/>
      </c>
      <c r="S611" s="18" t="str">
        <f>IF('Classe CM2'!$B51="","",N('Classe CM2'!O51))</f>
        <v/>
      </c>
      <c r="T611" s="18" t="str">
        <f>IF('Classe CM2'!$B51="","",N('Classe CM2'!P51))</f>
        <v/>
      </c>
    </row>
    <row r="612">
      <c r="A612" s="20" t="str">
        <f>IF('Classe CM2'!$B52="","",IF('Classe CM2'!A52="","",'Classe CM2'!A52))</f>
        <v/>
      </c>
      <c r="B612" s="20" t="str">
        <f>IF('Classe CM2'!$B52="","",IF('Classe CM2'!B52="","",'Classe CM2'!B52))</f>
        <v/>
      </c>
      <c r="C612" s="20" t="str">
        <f>IF('Classe CM2'!$B52="","",IF('Classe CM2'!C52="","",'Classe CM2'!C52))</f>
        <v/>
      </c>
      <c r="D612" s="20" t="str">
        <f>IF($B612="","",C612&amp;" "&amp;B612&amp;" - "&amp;E612)</f>
        <v/>
      </c>
      <c r="E612" s="21" t="str">
        <f>IF($B612="","",Paramètres!$A$22)</f>
        <v/>
      </c>
      <c r="F612" s="21" t="str">
        <f>IF($B612="","",Paramètres!$B$22)</f>
        <v/>
      </c>
      <c r="G612" s="21" t="str">
        <f>IF('Classe CM2'!$B52="","",IF('Classe CM2'!D52="","",'Classe CM2'!D52))</f>
        <v/>
      </c>
      <c r="H612" s="77" t="str">
        <f>IF('Classe CM2'!$B52="","",IF('Classe CM2'!E52="","",'Classe CM2'!E52))</f>
        <v/>
      </c>
      <c r="I612" s="20" t="str">
        <f>IF('Classe CM2'!$B52="","",IF('Classe CM2'!F52="","",'Classe CM2'!F52))</f>
        <v/>
      </c>
      <c r="J612" s="20" t="str">
        <f>IF('Classe CM2'!$B52="","",IF('Classe CM2'!G52="","",'Classe CM2'!G52))</f>
        <v/>
      </c>
      <c r="K612" s="51" t="str">
        <f>IF('Classe CM2'!$B52="","",N('Classe CM2'!H52))</f>
        <v/>
      </c>
      <c r="L612" s="51" t="str">
        <f>IF('Classe CM2'!$B52="","",N('Classe CM2'!I52))</f>
        <v/>
      </c>
      <c r="M612" s="51" t="str">
        <f>IF('Classe CM2'!$B52="","",N('Classe CM2'!J52))</f>
        <v/>
      </c>
      <c r="N612" s="51" t="str">
        <f>IF('Classe CM2'!$B52="","",N('Classe CM2'!K52))</f>
        <v/>
      </c>
      <c r="O612" s="51" t="str">
        <f>IF('Classe CM2'!$B52="","",N('Classe CM2'!L52))</f>
        <v/>
      </c>
      <c r="P612" s="51" t="str">
        <f>IF('Classe CM2'!$B52="","",N('Classe CM2'!M52))</f>
        <v/>
      </c>
      <c r="Q612" s="21" t="str">
        <f>IF('Classe CM2'!$B52="","",IF('Classe CM2'!Q52="","",'Classe CM2'!Q52))</f>
        <v/>
      </c>
      <c r="R612" s="51" t="str">
        <f>IF('Classe CM2'!$B52="","",N('Classe CM2'!N52))</f>
        <v/>
      </c>
      <c r="S612" s="51" t="str">
        <f>IF('Classe CM2'!$B52="","",N('Classe CM2'!O52))</f>
        <v/>
      </c>
      <c r="T612" s="51" t="str">
        <f>IF('Classe CM2'!$B52="","",N('Classe CM2'!P52))</f>
        <v/>
      </c>
    </row>
    <row r="613">
      <c r="A613" s="16" t="str">
        <f>IF('Classe CM2'!$B53="","",IF('Classe CM2'!A53="","",'Classe CM2'!A53))</f>
        <v/>
      </c>
      <c r="B613" s="16" t="str">
        <f>IF('Classe CM2'!$B53="","",IF('Classe CM2'!B53="","",'Classe CM2'!B53))</f>
        <v/>
      </c>
      <c r="C613" s="16" t="str">
        <f>IF('Classe CM2'!$B53="","",IF('Classe CM2'!C53="","",'Classe CM2'!C53))</f>
        <v/>
      </c>
      <c r="D613" s="16" t="str">
        <f>IF($B613="","",C613&amp;" "&amp;B613&amp;" - "&amp;E613)</f>
        <v/>
      </c>
      <c r="E613" s="17" t="str">
        <f>IF($B613="","",Paramètres!$A$22)</f>
        <v/>
      </c>
      <c r="F613" s="17" t="str">
        <f>IF($B613="","",Paramètres!$B$22)</f>
        <v/>
      </c>
      <c r="G613" s="17" t="str">
        <f>IF('Classe CM2'!$B53="","",IF('Classe CM2'!D53="","",'Classe CM2'!D53))</f>
        <v/>
      </c>
      <c r="H613" s="78" t="str">
        <f>IF('Classe CM2'!$B53="","",IF('Classe CM2'!E53="","",'Classe CM2'!E53))</f>
        <v/>
      </c>
      <c r="I613" s="16" t="str">
        <f>IF('Classe CM2'!$B53="","",IF('Classe CM2'!F53="","",'Classe CM2'!F53))</f>
        <v/>
      </c>
      <c r="J613" s="16" t="str">
        <f>IF('Classe CM2'!$B53="","",IF('Classe CM2'!G53="","",'Classe CM2'!G53))</f>
        <v/>
      </c>
      <c r="K613" s="18" t="str">
        <f>IF('Classe CM2'!$B53="","",N('Classe CM2'!H53))</f>
        <v/>
      </c>
      <c r="L613" s="18" t="str">
        <f>IF('Classe CM2'!$B53="","",N('Classe CM2'!I53))</f>
        <v/>
      </c>
      <c r="M613" s="18" t="str">
        <f>IF('Classe CM2'!$B53="","",N('Classe CM2'!J53))</f>
        <v/>
      </c>
      <c r="N613" s="18" t="str">
        <f>IF('Classe CM2'!$B53="","",N('Classe CM2'!K53))</f>
        <v/>
      </c>
      <c r="O613" s="18" t="str">
        <f>IF('Classe CM2'!$B53="","",N('Classe CM2'!L53))</f>
        <v/>
      </c>
      <c r="P613" s="18" t="str">
        <f>IF('Classe CM2'!$B53="","",N('Classe CM2'!M53))</f>
        <v/>
      </c>
      <c r="Q613" s="17" t="str">
        <f>IF('Classe CM2'!$B53="","",IF('Classe CM2'!Q53="","",'Classe CM2'!Q53))</f>
        <v/>
      </c>
      <c r="R613" s="18" t="str">
        <f>IF('Classe CM2'!$B53="","",N('Classe CM2'!N53))</f>
        <v/>
      </c>
      <c r="S613" s="18" t="str">
        <f>IF('Classe CM2'!$B53="","",N('Classe CM2'!O53))</f>
        <v/>
      </c>
      <c r="T613" s="18" t="str">
        <f>IF('Classe CM2'!$B53="","",N('Classe CM2'!P53))</f>
        <v/>
      </c>
    </row>
    <row r="614">
      <c r="A614" s="20" t="str">
        <f>IF('Classe CM2'!$B54="","",IF('Classe CM2'!A54="","",'Classe CM2'!A54))</f>
        <v/>
      </c>
      <c r="B614" s="20" t="str">
        <f>IF('Classe CM2'!$B54="","",IF('Classe CM2'!B54="","",'Classe CM2'!B54))</f>
        <v/>
      </c>
      <c r="C614" s="20" t="str">
        <f>IF('Classe CM2'!$B54="","",IF('Classe CM2'!C54="","",'Classe CM2'!C54))</f>
        <v/>
      </c>
      <c r="D614" s="20" t="str">
        <f>IF($B614="","",C614&amp;" "&amp;B614&amp;" - "&amp;E614)</f>
        <v/>
      </c>
      <c r="E614" s="21" t="str">
        <f>IF($B614="","",Paramètres!$A$22)</f>
        <v/>
      </c>
      <c r="F614" s="21" t="str">
        <f>IF($B614="","",Paramètres!$B$22)</f>
        <v/>
      </c>
      <c r="G614" s="21" t="str">
        <f>IF('Classe CM2'!$B54="","",IF('Classe CM2'!D54="","",'Classe CM2'!D54))</f>
        <v/>
      </c>
      <c r="H614" s="77" t="str">
        <f>IF('Classe CM2'!$B54="","",IF('Classe CM2'!E54="","",'Classe CM2'!E54))</f>
        <v/>
      </c>
      <c r="I614" s="20" t="str">
        <f>IF('Classe CM2'!$B54="","",IF('Classe CM2'!F54="","",'Classe CM2'!F54))</f>
        <v/>
      </c>
      <c r="J614" s="20" t="str">
        <f>IF('Classe CM2'!$B54="","",IF('Classe CM2'!G54="","",'Classe CM2'!G54))</f>
        <v/>
      </c>
      <c r="K614" s="51" t="str">
        <f>IF('Classe CM2'!$B54="","",N('Classe CM2'!H54))</f>
        <v/>
      </c>
      <c r="L614" s="51" t="str">
        <f>IF('Classe CM2'!$B54="","",N('Classe CM2'!I54))</f>
        <v/>
      </c>
      <c r="M614" s="51" t="str">
        <f>IF('Classe CM2'!$B54="","",N('Classe CM2'!J54))</f>
        <v/>
      </c>
      <c r="N614" s="51" t="str">
        <f>IF('Classe CM2'!$B54="","",N('Classe CM2'!K54))</f>
        <v/>
      </c>
      <c r="O614" s="51" t="str">
        <f>IF('Classe CM2'!$B54="","",N('Classe CM2'!L54))</f>
        <v/>
      </c>
      <c r="P614" s="51" t="str">
        <f>IF('Classe CM2'!$B54="","",N('Classe CM2'!M54))</f>
        <v/>
      </c>
      <c r="Q614" s="21" t="str">
        <f>IF('Classe CM2'!$B54="","",IF('Classe CM2'!Q54="","",'Classe CM2'!Q54))</f>
        <v/>
      </c>
      <c r="R614" s="51" t="str">
        <f>IF('Classe CM2'!$B54="","",N('Classe CM2'!N54))</f>
        <v/>
      </c>
      <c r="S614" s="51" t="str">
        <f>IF('Classe CM2'!$B54="","",N('Classe CM2'!O54))</f>
        <v/>
      </c>
      <c r="T614" s="51" t="str">
        <f>IF('Classe CM2'!$B54="","",N('Classe CM2'!P54))</f>
        <v/>
      </c>
    </row>
    <row r="615">
      <c r="A615" s="16" t="str">
        <f>IF('Classe CM2'!$B55="","",IF('Classe CM2'!A55="","",'Classe CM2'!A55))</f>
        <v/>
      </c>
      <c r="B615" s="16" t="str">
        <f>IF('Classe CM2'!$B55="","",IF('Classe CM2'!B55="","",'Classe CM2'!B55))</f>
        <v/>
      </c>
      <c r="C615" s="16" t="str">
        <f>IF('Classe CM2'!$B55="","",IF('Classe CM2'!C55="","",'Classe CM2'!C55))</f>
        <v/>
      </c>
      <c r="D615" s="16" t="str">
        <f>IF($B615="","",C615&amp;" "&amp;B615&amp;" - "&amp;E615)</f>
        <v/>
      </c>
      <c r="E615" s="17" t="str">
        <f>IF($B615="","",Paramètres!$A$22)</f>
        <v/>
      </c>
      <c r="F615" s="17" t="str">
        <f>IF($B615="","",Paramètres!$B$22)</f>
        <v/>
      </c>
      <c r="G615" s="17" t="str">
        <f>IF('Classe CM2'!$B55="","",IF('Classe CM2'!D55="","",'Classe CM2'!D55))</f>
        <v/>
      </c>
      <c r="H615" s="78" t="str">
        <f>IF('Classe CM2'!$B55="","",IF('Classe CM2'!E55="","",'Classe CM2'!E55))</f>
        <v/>
      </c>
      <c r="I615" s="16" t="str">
        <f>IF('Classe CM2'!$B55="","",IF('Classe CM2'!F55="","",'Classe CM2'!F55))</f>
        <v/>
      </c>
      <c r="J615" s="16" t="str">
        <f>IF('Classe CM2'!$B55="","",IF('Classe CM2'!G55="","",'Classe CM2'!G55))</f>
        <v/>
      </c>
      <c r="K615" s="18" t="str">
        <f>IF('Classe CM2'!$B55="","",N('Classe CM2'!H55))</f>
        <v/>
      </c>
      <c r="L615" s="18" t="str">
        <f>IF('Classe CM2'!$B55="","",N('Classe CM2'!I55))</f>
        <v/>
      </c>
      <c r="M615" s="18" t="str">
        <f>IF('Classe CM2'!$B55="","",N('Classe CM2'!J55))</f>
        <v/>
      </c>
      <c r="N615" s="18" t="str">
        <f>IF('Classe CM2'!$B55="","",N('Classe CM2'!K55))</f>
        <v/>
      </c>
      <c r="O615" s="18" t="str">
        <f>IF('Classe CM2'!$B55="","",N('Classe CM2'!L55))</f>
        <v/>
      </c>
      <c r="P615" s="18" t="str">
        <f>IF('Classe CM2'!$B55="","",N('Classe CM2'!M55))</f>
        <v/>
      </c>
      <c r="Q615" s="17" t="str">
        <f>IF('Classe CM2'!$B55="","",IF('Classe CM2'!Q55="","",'Classe CM2'!Q55))</f>
        <v/>
      </c>
      <c r="R615" s="18" t="str">
        <f>IF('Classe CM2'!$B55="","",N('Classe CM2'!N55))</f>
        <v/>
      </c>
      <c r="S615" s="18" t="str">
        <f>IF('Classe CM2'!$B55="","",N('Classe CM2'!O55))</f>
        <v/>
      </c>
      <c r="T615" s="18" t="str">
        <f>IF('Classe CM2'!$B55="","",N('Classe CM2'!P55))</f>
        <v/>
      </c>
    </row>
    <row r="616">
      <c r="A616" s="20" t="str">
        <f>IF('Classe CM2'!$B56="","",IF('Classe CM2'!A56="","",'Classe CM2'!A56))</f>
        <v/>
      </c>
      <c r="B616" s="20" t="str">
        <f>IF('Classe CM2'!$B56="","",IF('Classe CM2'!B56="","",'Classe CM2'!B56))</f>
        <v/>
      </c>
      <c r="C616" s="20" t="str">
        <f>IF('Classe CM2'!$B56="","",IF('Classe CM2'!C56="","",'Classe CM2'!C56))</f>
        <v/>
      </c>
      <c r="D616" s="20" t="str">
        <f>IF($B616="","",C616&amp;" "&amp;B616&amp;" - "&amp;E616)</f>
        <v/>
      </c>
      <c r="E616" s="21" t="str">
        <f>IF($B616="","",Paramètres!$A$22)</f>
        <v/>
      </c>
      <c r="F616" s="21" t="str">
        <f>IF($B616="","",Paramètres!$B$22)</f>
        <v/>
      </c>
      <c r="G616" s="21" t="str">
        <f>IF('Classe CM2'!$B56="","",IF('Classe CM2'!D56="","",'Classe CM2'!D56))</f>
        <v/>
      </c>
      <c r="H616" s="77" t="str">
        <f>IF('Classe CM2'!$B56="","",IF('Classe CM2'!E56="","",'Classe CM2'!E56))</f>
        <v/>
      </c>
      <c r="I616" s="20" t="str">
        <f>IF('Classe CM2'!$B56="","",IF('Classe CM2'!F56="","",'Classe CM2'!F56))</f>
        <v/>
      </c>
      <c r="J616" s="20" t="str">
        <f>IF('Classe CM2'!$B56="","",IF('Classe CM2'!G56="","",'Classe CM2'!G56))</f>
        <v/>
      </c>
      <c r="K616" s="51" t="str">
        <f>IF('Classe CM2'!$B56="","",N('Classe CM2'!H56))</f>
        <v/>
      </c>
      <c r="L616" s="51" t="str">
        <f>IF('Classe CM2'!$B56="","",N('Classe CM2'!I56))</f>
        <v/>
      </c>
      <c r="M616" s="51" t="str">
        <f>IF('Classe CM2'!$B56="","",N('Classe CM2'!J56))</f>
        <v/>
      </c>
      <c r="N616" s="51" t="str">
        <f>IF('Classe CM2'!$B56="","",N('Classe CM2'!K56))</f>
        <v/>
      </c>
      <c r="O616" s="51" t="str">
        <f>IF('Classe CM2'!$B56="","",N('Classe CM2'!L56))</f>
        <v/>
      </c>
      <c r="P616" s="51" t="str">
        <f>IF('Classe CM2'!$B56="","",N('Classe CM2'!M56))</f>
        <v/>
      </c>
      <c r="Q616" s="21" t="str">
        <f>IF('Classe CM2'!$B56="","",IF('Classe CM2'!Q56="","",'Classe CM2'!Q56))</f>
        <v/>
      </c>
      <c r="R616" s="51" t="str">
        <f>IF('Classe CM2'!$B56="","",N('Classe CM2'!N56))</f>
        <v/>
      </c>
      <c r="S616" s="51" t="str">
        <f>IF('Classe CM2'!$B56="","",N('Classe CM2'!O56))</f>
        <v/>
      </c>
      <c r="T616" s="51" t="str">
        <f>IF('Classe CM2'!$B56="","",N('Classe CM2'!P56))</f>
        <v/>
      </c>
    </row>
    <row r="617">
      <c r="A617" s="16" t="str">
        <f>IF('Classe CM2'!$B57="","",IF('Classe CM2'!A57="","",'Classe CM2'!A57))</f>
        <v/>
      </c>
      <c r="B617" s="16" t="str">
        <f>IF('Classe CM2'!$B57="","",IF('Classe CM2'!B57="","",'Classe CM2'!B57))</f>
        <v/>
      </c>
      <c r="C617" s="16" t="str">
        <f>IF('Classe CM2'!$B57="","",IF('Classe CM2'!C57="","",'Classe CM2'!C57))</f>
        <v/>
      </c>
      <c r="D617" s="16" t="str">
        <f>IF($B617="","",C617&amp;" "&amp;B617&amp;" - "&amp;E617)</f>
        <v/>
      </c>
      <c r="E617" s="17" t="str">
        <f>IF($B617="","",Paramètres!$A$22)</f>
        <v/>
      </c>
      <c r="F617" s="17" t="str">
        <f>IF($B617="","",Paramètres!$B$22)</f>
        <v/>
      </c>
      <c r="G617" s="17" t="str">
        <f>IF('Classe CM2'!$B57="","",IF('Classe CM2'!D57="","",'Classe CM2'!D57))</f>
        <v/>
      </c>
      <c r="H617" s="78" t="str">
        <f>IF('Classe CM2'!$B57="","",IF('Classe CM2'!E57="","",'Classe CM2'!E57))</f>
        <v/>
      </c>
      <c r="I617" s="16" t="str">
        <f>IF('Classe CM2'!$B57="","",IF('Classe CM2'!F57="","",'Classe CM2'!F57))</f>
        <v/>
      </c>
      <c r="J617" s="16" t="str">
        <f>IF('Classe CM2'!$B57="","",IF('Classe CM2'!G57="","",'Classe CM2'!G57))</f>
        <v/>
      </c>
      <c r="K617" s="18" t="str">
        <f>IF('Classe CM2'!$B57="","",N('Classe CM2'!H57))</f>
        <v/>
      </c>
      <c r="L617" s="18" t="str">
        <f>IF('Classe CM2'!$B57="","",N('Classe CM2'!I57))</f>
        <v/>
      </c>
      <c r="M617" s="18" t="str">
        <f>IF('Classe CM2'!$B57="","",N('Classe CM2'!J57))</f>
        <v/>
      </c>
      <c r="N617" s="18" t="str">
        <f>IF('Classe CM2'!$B57="","",N('Classe CM2'!K57))</f>
        <v/>
      </c>
      <c r="O617" s="18" t="str">
        <f>IF('Classe CM2'!$B57="","",N('Classe CM2'!L57))</f>
        <v/>
      </c>
      <c r="P617" s="18" t="str">
        <f>IF('Classe CM2'!$B57="","",N('Classe CM2'!M57))</f>
        <v/>
      </c>
      <c r="Q617" s="17" t="str">
        <f>IF('Classe CM2'!$B57="","",IF('Classe CM2'!Q57="","",'Classe CM2'!Q57))</f>
        <v/>
      </c>
      <c r="R617" s="18" t="str">
        <f>IF('Classe CM2'!$B57="","",N('Classe CM2'!N57))</f>
        <v/>
      </c>
      <c r="S617" s="18" t="str">
        <f>IF('Classe CM2'!$B57="","",N('Classe CM2'!O57))</f>
        <v/>
      </c>
      <c r="T617" s="18" t="str">
        <f>IF('Classe CM2'!$B57="","",N('Classe CM2'!P57))</f>
        <v/>
      </c>
    </row>
    <row r="618">
      <c r="A618" s="20" t="str">
        <f>IF('Classe CM2'!$B58="","",IF('Classe CM2'!A58="","",'Classe CM2'!A58))</f>
        <v/>
      </c>
      <c r="B618" s="20" t="str">
        <f>IF('Classe CM2'!$B58="","",IF('Classe CM2'!B58="","",'Classe CM2'!B58))</f>
        <v/>
      </c>
      <c r="C618" s="20" t="str">
        <f>IF('Classe CM2'!$B58="","",IF('Classe CM2'!C58="","",'Classe CM2'!C58))</f>
        <v/>
      </c>
      <c r="D618" s="20" t="str">
        <f>IF($B618="","",C618&amp;" "&amp;B618&amp;" - "&amp;E618)</f>
        <v/>
      </c>
      <c r="E618" s="21" t="str">
        <f>IF($B618="","",Paramètres!$A$22)</f>
        <v/>
      </c>
      <c r="F618" s="21" t="str">
        <f>IF($B618="","",Paramètres!$B$22)</f>
        <v/>
      </c>
      <c r="G618" s="21" t="str">
        <f>IF('Classe CM2'!$B58="","",IF('Classe CM2'!D58="","",'Classe CM2'!D58))</f>
        <v/>
      </c>
      <c r="H618" s="77" t="str">
        <f>IF('Classe CM2'!$B58="","",IF('Classe CM2'!E58="","",'Classe CM2'!E58))</f>
        <v/>
      </c>
      <c r="I618" s="20" t="str">
        <f>IF('Classe CM2'!$B58="","",IF('Classe CM2'!F58="","",'Classe CM2'!F58))</f>
        <v/>
      </c>
      <c r="J618" s="20" t="str">
        <f>IF('Classe CM2'!$B58="","",IF('Classe CM2'!G58="","",'Classe CM2'!G58))</f>
        <v/>
      </c>
      <c r="K618" s="51" t="str">
        <f>IF('Classe CM2'!$B58="","",N('Classe CM2'!H58))</f>
        <v/>
      </c>
      <c r="L618" s="51" t="str">
        <f>IF('Classe CM2'!$B58="","",N('Classe CM2'!I58))</f>
        <v/>
      </c>
      <c r="M618" s="51" t="str">
        <f>IF('Classe CM2'!$B58="","",N('Classe CM2'!J58))</f>
        <v/>
      </c>
      <c r="N618" s="51" t="str">
        <f>IF('Classe CM2'!$B58="","",N('Classe CM2'!K58))</f>
        <v/>
      </c>
      <c r="O618" s="51" t="str">
        <f>IF('Classe CM2'!$B58="","",N('Classe CM2'!L58))</f>
        <v/>
      </c>
      <c r="P618" s="51" t="str">
        <f>IF('Classe CM2'!$B58="","",N('Classe CM2'!M58))</f>
        <v/>
      </c>
      <c r="Q618" s="21" t="str">
        <f>IF('Classe CM2'!$B58="","",IF('Classe CM2'!Q58="","",'Classe CM2'!Q58))</f>
        <v/>
      </c>
      <c r="R618" s="51" t="str">
        <f>IF('Classe CM2'!$B58="","",N('Classe CM2'!N58))</f>
        <v/>
      </c>
      <c r="S618" s="51" t="str">
        <f>IF('Classe CM2'!$B58="","",N('Classe CM2'!O58))</f>
        <v/>
      </c>
      <c r="T618" s="51" t="str">
        <f>IF('Classe CM2'!$B58="","",N('Classe CM2'!P58))</f>
        <v/>
      </c>
    </row>
    <row r="619">
      <c r="A619" s="16" t="str">
        <f>IF('Classe CM2'!$B59="","",IF('Classe CM2'!A59="","",'Classe CM2'!A59))</f>
        <v/>
      </c>
      <c r="B619" s="16" t="str">
        <f>IF('Classe CM2'!$B59="","",IF('Classe CM2'!B59="","",'Classe CM2'!B59))</f>
        <v/>
      </c>
      <c r="C619" s="16" t="str">
        <f>IF('Classe CM2'!$B59="","",IF('Classe CM2'!C59="","",'Classe CM2'!C59))</f>
        <v/>
      </c>
      <c r="D619" s="16" t="str">
        <f>IF($B619="","",C619&amp;" "&amp;B619&amp;" - "&amp;E619)</f>
        <v/>
      </c>
      <c r="E619" s="17" t="str">
        <f>IF($B619="","",Paramètres!$A$22)</f>
        <v/>
      </c>
      <c r="F619" s="17" t="str">
        <f>IF($B619="","",Paramètres!$B$22)</f>
        <v/>
      </c>
      <c r="G619" s="17" t="str">
        <f>IF('Classe CM2'!$B59="","",IF('Classe CM2'!D59="","",'Classe CM2'!D59))</f>
        <v/>
      </c>
      <c r="H619" s="78" t="str">
        <f>IF('Classe CM2'!$B59="","",IF('Classe CM2'!E59="","",'Classe CM2'!E59))</f>
        <v/>
      </c>
      <c r="I619" s="16" t="str">
        <f>IF('Classe CM2'!$B59="","",IF('Classe CM2'!F59="","",'Classe CM2'!F59))</f>
        <v/>
      </c>
      <c r="J619" s="16" t="str">
        <f>IF('Classe CM2'!$B59="","",IF('Classe CM2'!G59="","",'Classe CM2'!G59))</f>
        <v/>
      </c>
      <c r="K619" s="18" t="str">
        <f>IF('Classe CM2'!$B59="","",N('Classe CM2'!H59))</f>
        <v/>
      </c>
      <c r="L619" s="18" t="str">
        <f>IF('Classe CM2'!$B59="","",N('Classe CM2'!I59))</f>
        <v/>
      </c>
      <c r="M619" s="18" t="str">
        <f>IF('Classe CM2'!$B59="","",N('Classe CM2'!J59))</f>
        <v/>
      </c>
      <c r="N619" s="18" t="str">
        <f>IF('Classe CM2'!$B59="","",N('Classe CM2'!K59))</f>
        <v/>
      </c>
      <c r="O619" s="18" t="str">
        <f>IF('Classe CM2'!$B59="","",N('Classe CM2'!L59))</f>
        <v/>
      </c>
      <c r="P619" s="18" t="str">
        <f>IF('Classe CM2'!$B59="","",N('Classe CM2'!M59))</f>
        <v/>
      </c>
      <c r="Q619" s="17" t="str">
        <f>IF('Classe CM2'!$B59="","",IF('Classe CM2'!Q59="","",'Classe CM2'!Q59))</f>
        <v/>
      </c>
      <c r="R619" s="18" t="str">
        <f>IF('Classe CM2'!$B59="","",N('Classe CM2'!N59))</f>
        <v/>
      </c>
      <c r="S619" s="18" t="str">
        <f>IF('Classe CM2'!$B59="","",N('Classe CM2'!O59))</f>
        <v/>
      </c>
      <c r="T619" s="18" t="str">
        <f>IF('Classe CM2'!$B59="","",N('Classe CM2'!P59))</f>
        <v/>
      </c>
    </row>
    <row r="620">
      <c r="A620" s="20" t="str">
        <f>IF('Classe CM2'!$B60="","",IF('Classe CM2'!A60="","",'Classe CM2'!A60))</f>
        <v/>
      </c>
      <c r="B620" s="20" t="str">
        <f>IF('Classe CM2'!$B60="","",IF('Classe CM2'!B60="","",'Classe CM2'!B60))</f>
        <v/>
      </c>
      <c r="C620" s="20" t="str">
        <f>IF('Classe CM2'!$B60="","",IF('Classe CM2'!C60="","",'Classe CM2'!C60))</f>
        <v/>
      </c>
      <c r="D620" s="20" t="str">
        <f>IF($B620="","",C620&amp;" "&amp;B620&amp;" - "&amp;E620)</f>
        <v/>
      </c>
      <c r="E620" s="21" t="str">
        <f>IF($B620="","",Paramètres!$A$22)</f>
        <v/>
      </c>
      <c r="F620" s="21" t="str">
        <f>IF($B620="","",Paramètres!$B$22)</f>
        <v/>
      </c>
      <c r="G620" s="21" t="str">
        <f>IF('Classe CM2'!$B60="","",IF('Classe CM2'!D60="","",'Classe CM2'!D60))</f>
        <v/>
      </c>
      <c r="H620" s="77" t="str">
        <f>IF('Classe CM2'!$B60="","",IF('Classe CM2'!E60="","",'Classe CM2'!E60))</f>
        <v/>
      </c>
      <c r="I620" s="20" t="str">
        <f>IF('Classe CM2'!$B60="","",IF('Classe CM2'!F60="","",'Classe CM2'!F60))</f>
        <v/>
      </c>
      <c r="J620" s="20" t="str">
        <f>IF('Classe CM2'!$B60="","",IF('Classe CM2'!G60="","",'Classe CM2'!G60))</f>
        <v/>
      </c>
      <c r="K620" s="51" t="str">
        <f>IF('Classe CM2'!$B60="","",N('Classe CM2'!H60))</f>
        <v/>
      </c>
      <c r="L620" s="51" t="str">
        <f>IF('Classe CM2'!$B60="","",N('Classe CM2'!I60))</f>
        <v/>
      </c>
      <c r="M620" s="51" t="str">
        <f>IF('Classe CM2'!$B60="","",N('Classe CM2'!J60))</f>
        <v/>
      </c>
      <c r="N620" s="51" t="str">
        <f>IF('Classe CM2'!$B60="","",N('Classe CM2'!K60))</f>
        <v/>
      </c>
      <c r="O620" s="51" t="str">
        <f>IF('Classe CM2'!$B60="","",N('Classe CM2'!L60))</f>
        <v/>
      </c>
      <c r="P620" s="51" t="str">
        <f>IF('Classe CM2'!$B60="","",N('Classe CM2'!M60))</f>
        <v/>
      </c>
      <c r="Q620" s="21" t="str">
        <f>IF('Classe CM2'!$B60="","",IF('Classe CM2'!Q60="","",'Classe CM2'!Q60))</f>
        <v/>
      </c>
      <c r="R620" s="51" t="str">
        <f>IF('Classe CM2'!$B60="","",N('Classe CM2'!N60))</f>
        <v/>
      </c>
      <c r="S620" s="51" t="str">
        <f>IF('Classe CM2'!$B60="","",N('Classe CM2'!O60))</f>
        <v/>
      </c>
      <c r="T620" s="51" t="str">
        <f>IF('Classe CM2'!$B60="","",N('Classe CM2'!P60))</f>
        <v/>
      </c>
    </row>
    <row r="621">
      <c r="A621" s="16" t="str">
        <f>IF('Classe CM2'!$B61="","",IF('Classe CM2'!A61="","",'Classe CM2'!A61))</f>
        <v/>
      </c>
      <c r="B621" s="16" t="str">
        <f>IF('Classe CM2'!$B61="","",IF('Classe CM2'!B61="","",'Classe CM2'!B61))</f>
        <v/>
      </c>
      <c r="C621" s="16" t="str">
        <f>IF('Classe CM2'!$B61="","",IF('Classe CM2'!C61="","",'Classe CM2'!C61))</f>
        <v/>
      </c>
      <c r="D621" s="16" t="str">
        <f>IF($B621="","",C621&amp;" "&amp;B621&amp;" - "&amp;E621)</f>
        <v/>
      </c>
      <c r="E621" s="17" t="str">
        <f>IF($B621="","",Paramètres!$A$22)</f>
        <v/>
      </c>
      <c r="F621" s="17" t="str">
        <f>IF($B621="","",Paramètres!$B$22)</f>
        <v/>
      </c>
      <c r="G621" s="17" t="str">
        <f>IF('Classe CM2'!$B61="","",IF('Classe CM2'!D61="","",'Classe CM2'!D61))</f>
        <v/>
      </c>
      <c r="H621" s="78" t="str">
        <f>IF('Classe CM2'!$B61="","",IF('Classe CM2'!E61="","",'Classe CM2'!E61))</f>
        <v/>
      </c>
      <c r="I621" s="16" t="str">
        <f>IF('Classe CM2'!$B61="","",IF('Classe CM2'!F61="","",'Classe CM2'!F61))</f>
        <v/>
      </c>
      <c r="J621" s="16" t="str">
        <f>IF('Classe CM2'!$B61="","",IF('Classe CM2'!G61="","",'Classe CM2'!G61))</f>
        <v/>
      </c>
      <c r="K621" s="18" t="str">
        <f>IF('Classe CM2'!$B61="","",N('Classe CM2'!H61))</f>
        <v/>
      </c>
      <c r="L621" s="18" t="str">
        <f>IF('Classe CM2'!$B61="","",N('Classe CM2'!I61))</f>
        <v/>
      </c>
      <c r="M621" s="18" t="str">
        <f>IF('Classe CM2'!$B61="","",N('Classe CM2'!J61))</f>
        <v/>
      </c>
      <c r="N621" s="18" t="str">
        <f>IF('Classe CM2'!$B61="","",N('Classe CM2'!K61))</f>
        <v/>
      </c>
      <c r="O621" s="18" t="str">
        <f>IF('Classe CM2'!$B61="","",N('Classe CM2'!L61))</f>
        <v/>
      </c>
      <c r="P621" s="18" t="str">
        <f>IF('Classe CM2'!$B61="","",N('Classe CM2'!M61))</f>
        <v/>
      </c>
      <c r="Q621" s="17" t="str">
        <f>IF('Classe CM2'!$B61="","",IF('Classe CM2'!Q61="","",'Classe CM2'!Q61))</f>
        <v/>
      </c>
      <c r="R621" s="18" t="str">
        <f>IF('Classe CM2'!$B61="","",N('Classe CM2'!N61))</f>
        <v/>
      </c>
      <c r="S621" s="18" t="str">
        <f>IF('Classe CM2'!$B61="","",N('Classe CM2'!O61))</f>
        <v/>
      </c>
      <c r="T621" s="18" t="str">
        <f>IF('Classe CM2'!$B61="","",N('Classe CM2'!P61))</f>
        <v/>
      </c>
    </row>
    <row r="622">
      <c r="A622" s="20" t="str">
        <f>IF('Classe CM2'!$B62="","",IF('Classe CM2'!A62="","",'Classe CM2'!A62))</f>
        <v/>
      </c>
      <c r="B622" s="20" t="str">
        <f>IF('Classe CM2'!$B62="","",IF('Classe CM2'!B62="","",'Classe CM2'!B62))</f>
        <v/>
      </c>
      <c r="C622" s="20" t="str">
        <f>IF('Classe CM2'!$B62="","",IF('Classe CM2'!C62="","",'Classe CM2'!C62))</f>
        <v/>
      </c>
      <c r="D622" s="20" t="str">
        <f>IF($B622="","",C622&amp;" "&amp;B622&amp;" - "&amp;E622)</f>
        <v/>
      </c>
      <c r="E622" s="21" t="str">
        <f>IF($B622="","",Paramètres!$A$22)</f>
        <v/>
      </c>
      <c r="F622" s="21" t="str">
        <f>IF($B622="","",Paramètres!$B$22)</f>
        <v/>
      </c>
      <c r="G622" s="21" t="str">
        <f>IF('Classe CM2'!$B62="","",IF('Classe CM2'!D62="","",'Classe CM2'!D62))</f>
        <v/>
      </c>
      <c r="H622" s="77" t="str">
        <f>IF('Classe CM2'!$B62="","",IF('Classe CM2'!E62="","",'Classe CM2'!E62))</f>
        <v/>
      </c>
      <c r="I622" s="20" t="str">
        <f>IF('Classe CM2'!$B62="","",IF('Classe CM2'!F62="","",'Classe CM2'!F62))</f>
        <v/>
      </c>
      <c r="J622" s="20" t="str">
        <f>IF('Classe CM2'!$B62="","",IF('Classe CM2'!G62="","",'Classe CM2'!G62))</f>
        <v/>
      </c>
      <c r="K622" s="51" t="str">
        <f>IF('Classe CM2'!$B62="","",N('Classe CM2'!H62))</f>
        <v/>
      </c>
      <c r="L622" s="51" t="str">
        <f>IF('Classe CM2'!$B62="","",N('Classe CM2'!I62))</f>
        <v/>
      </c>
      <c r="M622" s="51" t="str">
        <f>IF('Classe CM2'!$B62="","",N('Classe CM2'!J62))</f>
        <v/>
      </c>
      <c r="N622" s="51" t="str">
        <f>IF('Classe CM2'!$B62="","",N('Classe CM2'!K62))</f>
        <v/>
      </c>
      <c r="O622" s="51" t="str">
        <f>IF('Classe CM2'!$B62="","",N('Classe CM2'!L62))</f>
        <v/>
      </c>
      <c r="P622" s="51" t="str">
        <f>IF('Classe CM2'!$B62="","",N('Classe CM2'!M62))</f>
        <v/>
      </c>
      <c r="Q622" s="21" t="str">
        <f>IF('Classe CM2'!$B62="","",IF('Classe CM2'!Q62="","",'Classe CM2'!Q62))</f>
        <v/>
      </c>
      <c r="R622" s="51" t="str">
        <f>IF('Classe CM2'!$B62="","",N('Classe CM2'!N62))</f>
        <v/>
      </c>
      <c r="S622" s="51" t="str">
        <f>IF('Classe CM2'!$B62="","",N('Classe CM2'!O62))</f>
        <v/>
      </c>
      <c r="T622" s="51" t="str">
        <f>IF('Classe CM2'!$B62="","",N('Classe CM2'!P62))</f>
        <v/>
      </c>
    </row>
    <row r="623">
      <c r="A623" s="16" t="str">
        <f>IF('Classe CM2'!$B63="","",IF('Classe CM2'!A63="","",'Classe CM2'!A63))</f>
        <v/>
      </c>
      <c r="B623" s="16" t="str">
        <f>IF('Classe CM2'!$B63="","",IF('Classe CM2'!B63="","",'Classe CM2'!B63))</f>
        <v/>
      </c>
      <c r="C623" s="16" t="str">
        <f>IF('Classe CM2'!$B63="","",IF('Classe CM2'!C63="","",'Classe CM2'!C63))</f>
        <v/>
      </c>
      <c r="D623" s="16" t="str">
        <f>IF($B623="","",C623&amp;" "&amp;B623&amp;" - "&amp;E623)</f>
        <v/>
      </c>
      <c r="E623" s="17" t="str">
        <f>IF($B623="","",Paramètres!$A$22)</f>
        <v/>
      </c>
      <c r="F623" s="17" t="str">
        <f>IF($B623="","",Paramètres!$B$22)</f>
        <v/>
      </c>
      <c r="G623" s="17" t="str">
        <f>IF('Classe CM2'!$B63="","",IF('Classe CM2'!D63="","",'Classe CM2'!D63))</f>
        <v/>
      </c>
      <c r="H623" s="78" t="str">
        <f>IF('Classe CM2'!$B63="","",IF('Classe CM2'!E63="","",'Classe CM2'!E63))</f>
        <v/>
      </c>
      <c r="I623" s="16" t="str">
        <f>IF('Classe CM2'!$B63="","",IF('Classe CM2'!F63="","",'Classe CM2'!F63))</f>
        <v/>
      </c>
      <c r="J623" s="16" t="str">
        <f>IF('Classe CM2'!$B63="","",IF('Classe CM2'!G63="","",'Classe CM2'!G63))</f>
        <v/>
      </c>
      <c r="K623" s="18" t="str">
        <f>IF('Classe CM2'!$B63="","",N('Classe CM2'!H63))</f>
        <v/>
      </c>
      <c r="L623" s="18" t="str">
        <f>IF('Classe CM2'!$B63="","",N('Classe CM2'!I63))</f>
        <v/>
      </c>
      <c r="M623" s="18" t="str">
        <f>IF('Classe CM2'!$B63="","",N('Classe CM2'!J63))</f>
        <v/>
      </c>
      <c r="N623" s="18" t="str">
        <f>IF('Classe CM2'!$B63="","",N('Classe CM2'!K63))</f>
        <v/>
      </c>
      <c r="O623" s="18" t="str">
        <f>IF('Classe CM2'!$B63="","",N('Classe CM2'!L63))</f>
        <v/>
      </c>
      <c r="P623" s="18" t="str">
        <f>IF('Classe CM2'!$B63="","",N('Classe CM2'!M63))</f>
        <v/>
      </c>
      <c r="Q623" s="17" t="str">
        <f>IF('Classe CM2'!$B63="","",IF('Classe CM2'!Q63="","",'Classe CM2'!Q63))</f>
        <v/>
      </c>
      <c r="R623" s="18" t="str">
        <f>IF('Classe CM2'!$B63="","",N('Classe CM2'!N63))</f>
        <v/>
      </c>
      <c r="S623" s="18" t="str">
        <f>IF('Classe CM2'!$B63="","",N('Classe CM2'!O63))</f>
        <v/>
      </c>
      <c r="T623" s="18" t="str">
        <f>IF('Classe CM2'!$B63="","",N('Classe CM2'!P63))</f>
        <v/>
      </c>
    </row>
    <row r="624">
      <c r="A624" s="20" t="str">
        <f>IF('Classe CM2'!$B64="","",IF('Classe CM2'!A64="","",'Classe CM2'!A64))</f>
        <v/>
      </c>
      <c r="B624" s="20" t="str">
        <f>IF('Classe CM2'!$B64="","",IF('Classe CM2'!B64="","",'Classe CM2'!B64))</f>
        <v/>
      </c>
      <c r="C624" s="20" t="str">
        <f>IF('Classe CM2'!$B64="","",IF('Classe CM2'!C64="","",'Classe CM2'!C64))</f>
        <v/>
      </c>
      <c r="D624" s="20" t="str">
        <f>IF($B624="","",C624&amp;" "&amp;B624&amp;" - "&amp;E624)</f>
        <v/>
      </c>
      <c r="E624" s="21" t="str">
        <f>IF($B624="","",Paramètres!$A$22)</f>
        <v/>
      </c>
      <c r="F624" s="21" t="str">
        <f>IF($B624="","",Paramètres!$B$22)</f>
        <v/>
      </c>
      <c r="G624" s="21" t="str">
        <f>IF('Classe CM2'!$B64="","",IF('Classe CM2'!D64="","",'Classe CM2'!D64))</f>
        <v/>
      </c>
      <c r="H624" s="77" t="str">
        <f>IF('Classe CM2'!$B64="","",IF('Classe CM2'!E64="","",'Classe CM2'!E64))</f>
        <v/>
      </c>
      <c r="I624" s="20" t="str">
        <f>IF('Classe CM2'!$B64="","",IF('Classe CM2'!F64="","",'Classe CM2'!F64))</f>
        <v/>
      </c>
      <c r="J624" s="20" t="str">
        <f>IF('Classe CM2'!$B64="","",IF('Classe CM2'!G64="","",'Classe CM2'!G64))</f>
        <v/>
      </c>
      <c r="K624" s="51" t="str">
        <f>IF('Classe CM2'!$B64="","",N('Classe CM2'!H64))</f>
        <v/>
      </c>
      <c r="L624" s="51" t="str">
        <f>IF('Classe CM2'!$B64="","",N('Classe CM2'!I64))</f>
        <v/>
      </c>
      <c r="M624" s="51" t="str">
        <f>IF('Classe CM2'!$B64="","",N('Classe CM2'!J64))</f>
        <v/>
      </c>
      <c r="N624" s="51" t="str">
        <f>IF('Classe CM2'!$B64="","",N('Classe CM2'!K64))</f>
        <v/>
      </c>
      <c r="O624" s="51" t="str">
        <f>IF('Classe CM2'!$B64="","",N('Classe CM2'!L64))</f>
        <v/>
      </c>
      <c r="P624" s="51" t="str">
        <f>IF('Classe CM2'!$B64="","",N('Classe CM2'!M64))</f>
        <v/>
      </c>
      <c r="Q624" s="21" t="str">
        <f>IF('Classe CM2'!$B64="","",IF('Classe CM2'!Q64="","",'Classe CM2'!Q64))</f>
        <v/>
      </c>
      <c r="R624" s="51" t="str">
        <f>IF('Classe CM2'!$B64="","",N('Classe CM2'!N64))</f>
        <v/>
      </c>
      <c r="S624" s="51" t="str">
        <f>IF('Classe CM2'!$B64="","",N('Classe CM2'!O64))</f>
        <v/>
      </c>
      <c r="T624" s="51" t="str">
        <f>IF('Classe CM2'!$B64="","",N('Classe CM2'!P64))</f>
        <v/>
      </c>
    </row>
    <row r="625">
      <c r="A625" s="16" t="str">
        <f>IF('Classe CM2'!$B65="","",IF('Classe CM2'!A65="","",'Classe CM2'!A65))</f>
        <v/>
      </c>
      <c r="B625" s="16" t="str">
        <f>IF('Classe CM2'!$B65="","",IF('Classe CM2'!B65="","",'Classe CM2'!B65))</f>
        <v/>
      </c>
      <c r="C625" s="16" t="str">
        <f>IF('Classe CM2'!$B65="","",IF('Classe CM2'!C65="","",'Classe CM2'!C65))</f>
        <v/>
      </c>
      <c r="D625" s="16" t="str">
        <f>IF($B625="","",C625&amp;" "&amp;B625&amp;" - "&amp;E625)</f>
        <v/>
      </c>
      <c r="E625" s="17" t="str">
        <f>IF($B625="","",Paramètres!$A$22)</f>
        <v/>
      </c>
      <c r="F625" s="17" t="str">
        <f>IF($B625="","",Paramètres!$B$22)</f>
        <v/>
      </c>
      <c r="G625" s="17" t="str">
        <f>IF('Classe CM2'!$B65="","",IF('Classe CM2'!D65="","",'Classe CM2'!D65))</f>
        <v/>
      </c>
      <c r="H625" s="78" t="str">
        <f>IF('Classe CM2'!$B65="","",IF('Classe CM2'!E65="","",'Classe CM2'!E65))</f>
        <v/>
      </c>
      <c r="I625" s="16" t="str">
        <f>IF('Classe CM2'!$B65="","",IF('Classe CM2'!F65="","",'Classe CM2'!F65))</f>
        <v/>
      </c>
      <c r="J625" s="16" t="str">
        <f>IF('Classe CM2'!$B65="","",IF('Classe CM2'!G65="","",'Classe CM2'!G65))</f>
        <v/>
      </c>
      <c r="K625" s="18" t="str">
        <f>IF('Classe CM2'!$B65="","",N('Classe CM2'!H65))</f>
        <v/>
      </c>
      <c r="L625" s="18" t="str">
        <f>IF('Classe CM2'!$B65="","",N('Classe CM2'!I65))</f>
        <v/>
      </c>
      <c r="M625" s="18" t="str">
        <f>IF('Classe CM2'!$B65="","",N('Classe CM2'!J65))</f>
        <v/>
      </c>
      <c r="N625" s="18" t="str">
        <f>IF('Classe CM2'!$B65="","",N('Classe CM2'!K65))</f>
        <v/>
      </c>
      <c r="O625" s="18" t="str">
        <f>IF('Classe CM2'!$B65="","",N('Classe CM2'!L65))</f>
        <v/>
      </c>
      <c r="P625" s="18" t="str">
        <f>IF('Classe CM2'!$B65="","",N('Classe CM2'!M65))</f>
        <v/>
      </c>
      <c r="Q625" s="17" t="str">
        <f>IF('Classe CM2'!$B65="","",IF('Classe CM2'!Q65="","",'Classe CM2'!Q65))</f>
        <v/>
      </c>
      <c r="R625" s="18" t="str">
        <f>IF('Classe CM2'!$B65="","",N('Classe CM2'!N65))</f>
        <v/>
      </c>
      <c r="S625" s="18" t="str">
        <f>IF('Classe CM2'!$B65="","",N('Classe CM2'!O65))</f>
        <v/>
      </c>
      <c r="T625" s="18" t="str">
        <f>IF('Classe CM2'!$B65="","",N('Classe CM2'!P65))</f>
        <v/>
      </c>
    </row>
    <row r="626">
      <c r="A626" s="20" t="str">
        <f>IF('Classe CM2'!$B66="","",IF('Classe CM2'!A66="","",'Classe CM2'!A66))</f>
        <v/>
      </c>
      <c r="B626" s="20" t="str">
        <f>IF('Classe CM2'!$B66="","",IF('Classe CM2'!B66="","",'Classe CM2'!B66))</f>
        <v/>
      </c>
      <c r="C626" s="20" t="str">
        <f>IF('Classe CM2'!$B66="","",IF('Classe CM2'!C66="","",'Classe CM2'!C66))</f>
        <v/>
      </c>
      <c r="D626" s="20" t="str">
        <f>IF($B626="","",C626&amp;" "&amp;B626&amp;" - "&amp;E626)</f>
        <v/>
      </c>
      <c r="E626" s="21" t="str">
        <f>IF($B626="","",Paramètres!$A$22)</f>
        <v/>
      </c>
      <c r="F626" s="21" t="str">
        <f>IF($B626="","",Paramètres!$B$22)</f>
        <v/>
      </c>
      <c r="G626" s="21" t="str">
        <f>IF('Classe CM2'!$B66="","",IF('Classe CM2'!D66="","",'Classe CM2'!D66))</f>
        <v/>
      </c>
      <c r="H626" s="77" t="str">
        <f>IF('Classe CM2'!$B66="","",IF('Classe CM2'!E66="","",'Classe CM2'!E66))</f>
        <v/>
      </c>
      <c r="I626" s="20" t="str">
        <f>IF('Classe CM2'!$B66="","",IF('Classe CM2'!F66="","",'Classe CM2'!F66))</f>
        <v/>
      </c>
      <c r="J626" s="20" t="str">
        <f>IF('Classe CM2'!$B66="","",IF('Classe CM2'!G66="","",'Classe CM2'!G66))</f>
        <v/>
      </c>
      <c r="K626" s="51" t="str">
        <f>IF('Classe CM2'!$B66="","",N('Classe CM2'!H66))</f>
        <v/>
      </c>
      <c r="L626" s="51" t="str">
        <f>IF('Classe CM2'!$B66="","",N('Classe CM2'!I66))</f>
        <v/>
      </c>
      <c r="M626" s="51" t="str">
        <f>IF('Classe CM2'!$B66="","",N('Classe CM2'!J66))</f>
        <v/>
      </c>
      <c r="N626" s="51" t="str">
        <f>IF('Classe CM2'!$B66="","",N('Classe CM2'!K66))</f>
        <v/>
      </c>
      <c r="O626" s="51" t="str">
        <f>IF('Classe CM2'!$B66="","",N('Classe CM2'!L66))</f>
        <v/>
      </c>
      <c r="P626" s="51" t="str">
        <f>IF('Classe CM2'!$B66="","",N('Classe CM2'!M66))</f>
        <v/>
      </c>
      <c r="Q626" s="21" t="str">
        <f>IF('Classe CM2'!$B66="","",IF('Classe CM2'!Q66="","",'Classe CM2'!Q66))</f>
        <v/>
      </c>
      <c r="R626" s="51" t="str">
        <f>IF('Classe CM2'!$B66="","",N('Classe CM2'!N66))</f>
        <v/>
      </c>
      <c r="S626" s="51" t="str">
        <f>IF('Classe CM2'!$B66="","",N('Classe CM2'!O66))</f>
        <v/>
      </c>
      <c r="T626" s="51" t="str">
        <f>IF('Classe CM2'!$B66="","",N('Classe CM2'!P66))</f>
        <v/>
      </c>
    </row>
    <row r="627">
      <c r="A627" s="16" t="str">
        <f>IF('Classe CM2'!$B67="","",IF('Classe CM2'!A67="","",'Classe CM2'!A67))</f>
        <v/>
      </c>
      <c r="B627" s="16" t="str">
        <f>IF('Classe CM2'!$B67="","",IF('Classe CM2'!B67="","",'Classe CM2'!B67))</f>
        <v/>
      </c>
      <c r="C627" s="16" t="str">
        <f>IF('Classe CM2'!$B67="","",IF('Classe CM2'!C67="","",'Classe CM2'!C67))</f>
        <v/>
      </c>
      <c r="D627" s="16" t="str">
        <f>IF($B627="","",C627&amp;" "&amp;B627&amp;" - "&amp;E627)</f>
        <v/>
      </c>
      <c r="E627" s="17" t="str">
        <f>IF($B627="","",Paramètres!$A$22)</f>
        <v/>
      </c>
      <c r="F627" s="17" t="str">
        <f>IF($B627="","",Paramètres!$B$22)</f>
        <v/>
      </c>
      <c r="G627" s="17" t="str">
        <f>IF('Classe CM2'!$B67="","",IF('Classe CM2'!D67="","",'Classe CM2'!D67))</f>
        <v/>
      </c>
      <c r="H627" s="78" t="str">
        <f>IF('Classe CM2'!$B67="","",IF('Classe CM2'!E67="","",'Classe CM2'!E67))</f>
        <v/>
      </c>
      <c r="I627" s="16" t="str">
        <f>IF('Classe CM2'!$B67="","",IF('Classe CM2'!F67="","",'Classe CM2'!F67))</f>
        <v/>
      </c>
      <c r="J627" s="16" t="str">
        <f>IF('Classe CM2'!$B67="","",IF('Classe CM2'!G67="","",'Classe CM2'!G67))</f>
        <v/>
      </c>
      <c r="K627" s="18" t="str">
        <f>IF('Classe CM2'!$B67="","",N('Classe CM2'!H67))</f>
        <v/>
      </c>
      <c r="L627" s="18" t="str">
        <f>IF('Classe CM2'!$B67="","",N('Classe CM2'!I67))</f>
        <v/>
      </c>
      <c r="M627" s="18" t="str">
        <f>IF('Classe CM2'!$B67="","",N('Classe CM2'!J67))</f>
        <v/>
      </c>
      <c r="N627" s="18" t="str">
        <f>IF('Classe CM2'!$B67="","",N('Classe CM2'!K67))</f>
        <v/>
      </c>
      <c r="O627" s="18" t="str">
        <f>IF('Classe CM2'!$B67="","",N('Classe CM2'!L67))</f>
        <v/>
      </c>
      <c r="P627" s="18" t="str">
        <f>IF('Classe CM2'!$B67="","",N('Classe CM2'!M67))</f>
        <v/>
      </c>
      <c r="Q627" s="17" t="str">
        <f>IF('Classe CM2'!$B67="","",IF('Classe CM2'!Q67="","",'Classe CM2'!Q67))</f>
        <v/>
      </c>
      <c r="R627" s="18" t="str">
        <f>IF('Classe CM2'!$B67="","",N('Classe CM2'!N67))</f>
        <v/>
      </c>
      <c r="S627" s="18" t="str">
        <f>IF('Classe CM2'!$B67="","",N('Classe CM2'!O67))</f>
        <v/>
      </c>
      <c r="T627" s="18" t="str">
        <f>IF('Classe CM2'!$B67="","",N('Classe CM2'!P67))</f>
        <v/>
      </c>
    </row>
    <row r="628">
      <c r="A628" s="20" t="str">
        <f>IF('Classe CM2'!$B68="","",IF('Classe CM2'!A68="","",'Classe CM2'!A68))</f>
        <v/>
      </c>
      <c r="B628" s="20" t="str">
        <f>IF('Classe CM2'!$B68="","",IF('Classe CM2'!B68="","",'Classe CM2'!B68))</f>
        <v/>
      </c>
      <c r="C628" s="20" t="str">
        <f>IF('Classe CM2'!$B68="","",IF('Classe CM2'!C68="","",'Classe CM2'!C68))</f>
        <v/>
      </c>
      <c r="D628" s="20" t="str">
        <f>IF($B628="","",C628&amp;" "&amp;B628&amp;" - "&amp;E628)</f>
        <v/>
      </c>
      <c r="E628" s="21" t="str">
        <f>IF($B628="","",Paramètres!$A$22)</f>
        <v/>
      </c>
      <c r="F628" s="21" t="str">
        <f>IF($B628="","",Paramètres!$B$22)</f>
        <v/>
      </c>
      <c r="G628" s="21" t="str">
        <f>IF('Classe CM2'!$B68="","",IF('Classe CM2'!D68="","",'Classe CM2'!D68))</f>
        <v/>
      </c>
      <c r="H628" s="77" t="str">
        <f>IF('Classe CM2'!$B68="","",IF('Classe CM2'!E68="","",'Classe CM2'!E68))</f>
        <v/>
      </c>
      <c r="I628" s="20" t="str">
        <f>IF('Classe CM2'!$B68="","",IF('Classe CM2'!F68="","",'Classe CM2'!F68))</f>
        <v/>
      </c>
      <c r="J628" s="20" t="str">
        <f>IF('Classe CM2'!$B68="","",IF('Classe CM2'!G68="","",'Classe CM2'!G68))</f>
        <v/>
      </c>
      <c r="K628" s="51" t="str">
        <f>IF('Classe CM2'!$B68="","",N('Classe CM2'!H68))</f>
        <v/>
      </c>
      <c r="L628" s="51" t="str">
        <f>IF('Classe CM2'!$B68="","",N('Classe CM2'!I68))</f>
        <v/>
      </c>
      <c r="M628" s="51" t="str">
        <f>IF('Classe CM2'!$B68="","",N('Classe CM2'!J68))</f>
        <v/>
      </c>
      <c r="N628" s="51" t="str">
        <f>IF('Classe CM2'!$B68="","",N('Classe CM2'!K68))</f>
        <v/>
      </c>
      <c r="O628" s="51" t="str">
        <f>IF('Classe CM2'!$B68="","",N('Classe CM2'!L68))</f>
        <v/>
      </c>
      <c r="P628" s="51" t="str">
        <f>IF('Classe CM2'!$B68="","",N('Classe CM2'!M68))</f>
        <v/>
      </c>
      <c r="Q628" s="21" t="str">
        <f>IF('Classe CM2'!$B68="","",IF('Classe CM2'!Q68="","",'Classe CM2'!Q68))</f>
        <v/>
      </c>
      <c r="R628" s="51" t="str">
        <f>IF('Classe CM2'!$B68="","",N('Classe CM2'!N68))</f>
        <v/>
      </c>
      <c r="S628" s="51" t="str">
        <f>IF('Classe CM2'!$B68="","",N('Classe CM2'!O68))</f>
        <v/>
      </c>
      <c r="T628" s="51" t="str">
        <f>IF('Classe CM2'!$B68="","",N('Classe CM2'!P68))</f>
        <v/>
      </c>
    </row>
    <row r="629">
      <c r="A629" s="16" t="str">
        <f>IF('Classe CM2'!$B69="","",IF('Classe CM2'!A69="","",'Classe CM2'!A69))</f>
        <v/>
      </c>
      <c r="B629" s="16" t="str">
        <f>IF('Classe CM2'!$B69="","",IF('Classe CM2'!B69="","",'Classe CM2'!B69))</f>
        <v/>
      </c>
      <c r="C629" s="16" t="str">
        <f>IF('Classe CM2'!$B69="","",IF('Classe CM2'!C69="","",'Classe CM2'!C69))</f>
        <v/>
      </c>
      <c r="D629" s="16" t="str">
        <f>IF($B629="","",C629&amp;" "&amp;B629&amp;" - "&amp;E629)</f>
        <v/>
      </c>
      <c r="E629" s="17" t="str">
        <f>IF($B629="","",Paramètres!$A$22)</f>
        <v/>
      </c>
      <c r="F629" s="17" t="str">
        <f>IF($B629="","",Paramètres!$B$22)</f>
        <v/>
      </c>
      <c r="G629" s="17" t="str">
        <f>IF('Classe CM2'!$B69="","",IF('Classe CM2'!D69="","",'Classe CM2'!D69))</f>
        <v/>
      </c>
      <c r="H629" s="78" t="str">
        <f>IF('Classe CM2'!$B69="","",IF('Classe CM2'!E69="","",'Classe CM2'!E69))</f>
        <v/>
      </c>
      <c r="I629" s="16" t="str">
        <f>IF('Classe CM2'!$B69="","",IF('Classe CM2'!F69="","",'Classe CM2'!F69))</f>
        <v/>
      </c>
      <c r="J629" s="16" t="str">
        <f>IF('Classe CM2'!$B69="","",IF('Classe CM2'!G69="","",'Classe CM2'!G69))</f>
        <v/>
      </c>
      <c r="K629" s="18" t="str">
        <f>IF('Classe CM2'!$B69="","",N('Classe CM2'!H69))</f>
        <v/>
      </c>
      <c r="L629" s="18" t="str">
        <f>IF('Classe CM2'!$B69="","",N('Classe CM2'!I69))</f>
        <v/>
      </c>
      <c r="M629" s="18" t="str">
        <f>IF('Classe CM2'!$B69="","",N('Classe CM2'!J69))</f>
        <v/>
      </c>
      <c r="N629" s="18" t="str">
        <f>IF('Classe CM2'!$B69="","",N('Classe CM2'!K69))</f>
        <v/>
      </c>
      <c r="O629" s="18" t="str">
        <f>IF('Classe CM2'!$B69="","",N('Classe CM2'!L69))</f>
        <v/>
      </c>
      <c r="P629" s="18" t="str">
        <f>IF('Classe CM2'!$B69="","",N('Classe CM2'!M69))</f>
        <v/>
      </c>
      <c r="Q629" s="17" t="str">
        <f>IF('Classe CM2'!$B69="","",IF('Classe CM2'!Q69="","",'Classe CM2'!Q69))</f>
        <v/>
      </c>
      <c r="R629" s="18" t="str">
        <f>IF('Classe CM2'!$B69="","",N('Classe CM2'!N69))</f>
        <v/>
      </c>
      <c r="S629" s="18" t="str">
        <f>IF('Classe CM2'!$B69="","",N('Classe CM2'!O69))</f>
        <v/>
      </c>
      <c r="T629" s="18" t="str">
        <f>IF('Classe CM2'!$B69="","",N('Classe CM2'!P69))</f>
        <v/>
      </c>
    </row>
    <row r="630">
      <c r="A630" s="20" t="str">
        <f>IF('Classe CM2'!$B70="","",IF('Classe CM2'!A70="","",'Classe CM2'!A70))</f>
        <v/>
      </c>
      <c r="B630" s="20" t="str">
        <f>IF('Classe CM2'!$B70="","",IF('Classe CM2'!B70="","",'Classe CM2'!B70))</f>
        <v/>
      </c>
      <c r="C630" s="20" t="str">
        <f>IF('Classe CM2'!$B70="","",IF('Classe CM2'!C70="","",'Classe CM2'!C70))</f>
        <v/>
      </c>
      <c r="D630" s="20" t="str">
        <f>IF($B630="","",C630&amp;" "&amp;B630&amp;" - "&amp;E630)</f>
        <v/>
      </c>
      <c r="E630" s="21" t="str">
        <f>IF($B630="","",Paramètres!$A$22)</f>
        <v/>
      </c>
      <c r="F630" s="21" t="str">
        <f>IF($B630="","",Paramètres!$B$22)</f>
        <v/>
      </c>
      <c r="G630" s="21" t="str">
        <f>IF('Classe CM2'!$B70="","",IF('Classe CM2'!D70="","",'Classe CM2'!D70))</f>
        <v/>
      </c>
      <c r="H630" s="77" t="str">
        <f>IF('Classe CM2'!$B70="","",IF('Classe CM2'!E70="","",'Classe CM2'!E70))</f>
        <v/>
      </c>
      <c r="I630" s="20" t="str">
        <f>IF('Classe CM2'!$B70="","",IF('Classe CM2'!F70="","",'Classe CM2'!F70))</f>
        <v/>
      </c>
      <c r="J630" s="20" t="str">
        <f>IF('Classe CM2'!$B70="","",IF('Classe CM2'!G70="","",'Classe CM2'!G70))</f>
        <v/>
      </c>
      <c r="K630" s="51" t="str">
        <f>IF('Classe CM2'!$B70="","",N('Classe CM2'!H70))</f>
        <v/>
      </c>
      <c r="L630" s="51" t="str">
        <f>IF('Classe CM2'!$B70="","",N('Classe CM2'!I70))</f>
        <v/>
      </c>
      <c r="M630" s="51" t="str">
        <f>IF('Classe CM2'!$B70="","",N('Classe CM2'!J70))</f>
        <v/>
      </c>
      <c r="N630" s="51" t="str">
        <f>IF('Classe CM2'!$B70="","",N('Classe CM2'!K70))</f>
        <v/>
      </c>
      <c r="O630" s="51" t="str">
        <f>IF('Classe CM2'!$B70="","",N('Classe CM2'!L70))</f>
        <v/>
      </c>
      <c r="P630" s="51" t="str">
        <f>IF('Classe CM2'!$B70="","",N('Classe CM2'!M70))</f>
        <v/>
      </c>
      <c r="Q630" s="21" t="str">
        <f>IF('Classe CM2'!$B70="","",IF('Classe CM2'!Q70="","",'Classe CM2'!Q70))</f>
        <v/>
      </c>
      <c r="R630" s="51" t="str">
        <f>IF('Classe CM2'!$B70="","",N('Classe CM2'!N70))</f>
        <v/>
      </c>
      <c r="S630" s="51" t="str">
        <f>IF('Classe CM2'!$B70="","",N('Classe CM2'!O70))</f>
        <v/>
      </c>
      <c r="T630" s="51" t="str">
        <f>IF('Classe CM2'!$B70="","",N('Classe CM2'!P70))</f>
        <v/>
      </c>
    </row>
    <row r="631">
      <c r="A631" s="16" t="str">
        <f>IF('Classe CM2'!$B71="","",IF('Classe CM2'!A71="","",'Classe CM2'!A71))</f>
        <v/>
      </c>
      <c r="B631" s="16" t="str">
        <f>IF('Classe CM2'!$B71="","",IF('Classe CM2'!B71="","",'Classe CM2'!B71))</f>
        <v/>
      </c>
      <c r="C631" s="16" t="str">
        <f>IF('Classe CM2'!$B71="","",IF('Classe CM2'!C71="","",'Classe CM2'!C71))</f>
        <v/>
      </c>
      <c r="D631" s="16" t="str">
        <f>IF($B631="","",C631&amp;" "&amp;B631&amp;" - "&amp;E631)</f>
        <v/>
      </c>
      <c r="E631" s="17" t="str">
        <f>IF($B631="","",Paramètres!$A$22)</f>
        <v/>
      </c>
      <c r="F631" s="17" t="str">
        <f>IF($B631="","",Paramètres!$B$22)</f>
        <v/>
      </c>
      <c r="G631" s="17" t="str">
        <f>IF('Classe CM2'!$B71="","",IF('Classe CM2'!D71="","",'Classe CM2'!D71))</f>
        <v/>
      </c>
      <c r="H631" s="78" t="str">
        <f>IF('Classe CM2'!$B71="","",IF('Classe CM2'!E71="","",'Classe CM2'!E71))</f>
        <v/>
      </c>
      <c r="I631" s="16" t="str">
        <f>IF('Classe CM2'!$B71="","",IF('Classe CM2'!F71="","",'Classe CM2'!F71))</f>
        <v/>
      </c>
      <c r="J631" s="16" t="str">
        <f>IF('Classe CM2'!$B71="","",IF('Classe CM2'!G71="","",'Classe CM2'!G71))</f>
        <v/>
      </c>
      <c r="K631" s="18" t="str">
        <f>IF('Classe CM2'!$B71="","",N('Classe CM2'!H71))</f>
        <v/>
      </c>
      <c r="L631" s="18" t="str">
        <f>IF('Classe CM2'!$B71="","",N('Classe CM2'!I71))</f>
        <v/>
      </c>
      <c r="M631" s="18" t="str">
        <f>IF('Classe CM2'!$B71="","",N('Classe CM2'!J71))</f>
        <v/>
      </c>
      <c r="N631" s="18" t="str">
        <f>IF('Classe CM2'!$B71="","",N('Classe CM2'!K71))</f>
        <v/>
      </c>
      <c r="O631" s="18" t="str">
        <f>IF('Classe CM2'!$B71="","",N('Classe CM2'!L71))</f>
        <v/>
      </c>
      <c r="P631" s="18" t="str">
        <f>IF('Classe CM2'!$B71="","",N('Classe CM2'!M71))</f>
        <v/>
      </c>
      <c r="Q631" s="17" t="str">
        <f>IF('Classe CM2'!$B71="","",IF('Classe CM2'!Q71="","",'Classe CM2'!Q71))</f>
        <v/>
      </c>
      <c r="R631" s="18" t="str">
        <f>IF('Classe CM2'!$B71="","",N('Classe CM2'!N71))</f>
        <v/>
      </c>
      <c r="S631" s="18" t="str">
        <f>IF('Classe CM2'!$B71="","",N('Classe CM2'!O71))</f>
        <v/>
      </c>
      <c r="T631" s="18" t="str">
        <f>IF('Classe CM2'!$B71="","",N('Classe CM2'!P71))</f>
        <v/>
      </c>
    </row>
    <row r="632">
      <c r="A632" s="20" t="str">
        <f>IF('Classe CM2'!$B72="","",IF('Classe CM2'!A72="","",'Classe CM2'!A72))</f>
        <v/>
      </c>
      <c r="B632" s="20" t="str">
        <f>IF('Classe CM2'!$B72="","",IF('Classe CM2'!B72="","",'Classe CM2'!B72))</f>
        <v/>
      </c>
      <c r="C632" s="20" t="str">
        <f>IF('Classe CM2'!$B72="","",IF('Classe CM2'!C72="","",'Classe CM2'!C72))</f>
        <v/>
      </c>
      <c r="D632" s="20" t="str">
        <f>IF($B632="","",C632&amp;" "&amp;B632&amp;" - "&amp;E632)</f>
        <v/>
      </c>
      <c r="E632" s="21" t="str">
        <f>IF($B632="","",Paramètres!$A$22)</f>
        <v/>
      </c>
      <c r="F632" s="21" t="str">
        <f>IF($B632="","",Paramètres!$B$22)</f>
        <v/>
      </c>
      <c r="G632" s="21" t="str">
        <f>IF('Classe CM2'!$B72="","",IF('Classe CM2'!D72="","",'Classe CM2'!D72))</f>
        <v/>
      </c>
      <c r="H632" s="77" t="str">
        <f>IF('Classe CM2'!$B72="","",IF('Classe CM2'!E72="","",'Classe CM2'!E72))</f>
        <v/>
      </c>
      <c r="I632" s="20" t="str">
        <f>IF('Classe CM2'!$B72="","",IF('Classe CM2'!F72="","",'Classe CM2'!F72))</f>
        <v/>
      </c>
      <c r="J632" s="20" t="str">
        <f>IF('Classe CM2'!$B72="","",IF('Classe CM2'!G72="","",'Classe CM2'!G72))</f>
        <v/>
      </c>
      <c r="K632" s="51" t="str">
        <f>IF('Classe CM2'!$B72="","",N('Classe CM2'!H72))</f>
        <v/>
      </c>
      <c r="L632" s="51" t="str">
        <f>IF('Classe CM2'!$B72="","",N('Classe CM2'!I72))</f>
        <v/>
      </c>
      <c r="M632" s="51" t="str">
        <f>IF('Classe CM2'!$B72="","",N('Classe CM2'!J72))</f>
        <v/>
      </c>
      <c r="N632" s="51" t="str">
        <f>IF('Classe CM2'!$B72="","",N('Classe CM2'!K72))</f>
        <v/>
      </c>
      <c r="O632" s="51" t="str">
        <f>IF('Classe CM2'!$B72="","",N('Classe CM2'!L72))</f>
        <v/>
      </c>
      <c r="P632" s="51" t="str">
        <f>IF('Classe CM2'!$B72="","",N('Classe CM2'!M72))</f>
        <v/>
      </c>
      <c r="Q632" s="21" t="str">
        <f>IF('Classe CM2'!$B72="","",IF('Classe CM2'!Q72="","",'Classe CM2'!Q72))</f>
        <v/>
      </c>
      <c r="R632" s="51" t="str">
        <f>IF('Classe CM2'!$B72="","",N('Classe CM2'!N72))</f>
        <v/>
      </c>
      <c r="S632" s="51" t="str">
        <f>IF('Classe CM2'!$B72="","",N('Classe CM2'!O72))</f>
        <v/>
      </c>
      <c r="T632" s="51" t="str">
        <f>IF('Classe CM2'!$B72="","",N('Classe CM2'!P72))</f>
        <v/>
      </c>
    </row>
    <row r="633">
      <c r="A633" s="16" t="str">
        <f>IF('Classe CM2'!$B73="","",IF('Classe CM2'!A73="","",'Classe CM2'!A73))</f>
        <v/>
      </c>
      <c r="B633" s="16" t="str">
        <f>IF('Classe CM2'!$B73="","",IF('Classe CM2'!B73="","",'Classe CM2'!B73))</f>
        <v/>
      </c>
      <c r="C633" s="16" t="str">
        <f>IF('Classe CM2'!$B73="","",IF('Classe CM2'!C73="","",'Classe CM2'!C73))</f>
        <v/>
      </c>
      <c r="D633" s="16" t="str">
        <f>IF($B633="","",C633&amp;" "&amp;B633&amp;" - "&amp;E633)</f>
        <v/>
      </c>
      <c r="E633" s="17" t="str">
        <f>IF($B633="","",Paramètres!$A$22)</f>
        <v/>
      </c>
      <c r="F633" s="17" t="str">
        <f>IF($B633="","",Paramètres!$B$22)</f>
        <v/>
      </c>
      <c r="G633" s="17" t="str">
        <f>IF('Classe CM2'!$B73="","",IF('Classe CM2'!D73="","",'Classe CM2'!D73))</f>
        <v/>
      </c>
      <c r="H633" s="78" t="str">
        <f>IF('Classe CM2'!$B73="","",IF('Classe CM2'!E73="","",'Classe CM2'!E73))</f>
        <v/>
      </c>
      <c r="I633" s="16" t="str">
        <f>IF('Classe CM2'!$B73="","",IF('Classe CM2'!F73="","",'Classe CM2'!F73))</f>
        <v/>
      </c>
      <c r="J633" s="16" t="str">
        <f>IF('Classe CM2'!$B73="","",IF('Classe CM2'!G73="","",'Classe CM2'!G73))</f>
        <v/>
      </c>
      <c r="K633" s="18" t="str">
        <f>IF('Classe CM2'!$B73="","",N('Classe CM2'!H73))</f>
        <v/>
      </c>
      <c r="L633" s="18" t="str">
        <f>IF('Classe CM2'!$B73="","",N('Classe CM2'!I73))</f>
        <v/>
      </c>
      <c r="M633" s="18" t="str">
        <f>IF('Classe CM2'!$B73="","",N('Classe CM2'!J73))</f>
        <v/>
      </c>
      <c r="N633" s="18" t="str">
        <f>IF('Classe CM2'!$B73="","",N('Classe CM2'!K73))</f>
        <v/>
      </c>
      <c r="O633" s="18" t="str">
        <f>IF('Classe CM2'!$B73="","",N('Classe CM2'!L73))</f>
        <v/>
      </c>
      <c r="P633" s="18" t="str">
        <f>IF('Classe CM2'!$B73="","",N('Classe CM2'!M73))</f>
        <v/>
      </c>
      <c r="Q633" s="17" t="str">
        <f>IF('Classe CM2'!$B73="","",IF('Classe CM2'!Q73="","",'Classe CM2'!Q73))</f>
        <v/>
      </c>
      <c r="R633" s="18" t="str">
        <f>IF('Classe CM2'!$B73="","",N('Classe CM2'!N73))</f>
        <v/>
      </c>
      <c r="S633" s="18" t="str">
        <f>IF('Classe CM2'!$B73="","",N('Classe CM2'!O73))</f>
        <v/>
      </c>
      <c r="T633" s="18" t="str">
        <f>IF('Classe CM2'!$B73="","",N('Classe CM2'!P73))</f>
        <v/>
      </c>
    </row>
    <row r="634">
      <c r="A634" s="20" t="str">
        <f>IF('Classe CM2'!$B74="","",IF('Classe CM2'!A74="","",'Classe CM2'!A74))</f>
        <v/>
      </c>
      <c r="B634" s="20" t="str">
        <f>IF('Classe CM2'!$B74="","",IF('Classe CM2'!B74="","",'Classe CM2'!B74))</f>
        <v/>
      </c>
      <c r="C634" s="20" t="str">
        <f>IF('Classe CM2'!$B74="","",IF('Classe CM2'!C74="","",'Classe CM2'!C74))</f>
        <v/>
      </c>
      <c r="D634" s="20" t="str">
        <f>IF($B634="","",C634&amp;" "&amp;B634&amp;" - "&amp;E634)</f>
        <v/>
      </c>
      <c r="E634" s="21" t="str">
        <f>IF($B634="","",Paramètres!$A$22)</f>
        <v/>
      </c>
      <c r="F634" s="21" t="str">
        <f>IF($B634="","",Paramètres!$B$22)</f>
        <v/>
      </c>
      <c r="G634" s="21" t="str">
        <f>IF('Classe CM2'!$B74="","",IF('Classe CM2'!D74="","",'Classe CM2'!D74))</f>
        <v/>
      </c>
      <c r="H634" s="77" t="str">
        <f>IF('Classe CM2'!$B74="","",IF('Classe CM2'!E74="","",'Classe CM2'!E74))</f>
        <v/>
      </c>
      <c r="I634" s="20" t="str">
        <f>IF('Classe CM2'!$B74="","",IF('Classe CM2'!F74="","",'Classe CM2'!F74))</f>
        <v/>
      </c>
      <c r="J634" s="20" t="str">
        <f>IF('Classe CM2'!$B74="","",IF('Classe CM2'!G74="","",'Classe CM2'!G74))</f>
        <v/>
      </c>
      <c r="K634" s="51" t="str">
        <f>IF('Classe CM2'!$B74="","",N('Classe CM2'!H74))</f>
        <v/>
      </c>
      <c r="L634" s="51" t="str">
        <f>IF('Classe CM2'!$B74="","",N('Classe CM2'!I74))</f>
        <v/>
      </c>
      <c r="M634" s="51" t="str">
        <f>IF('Classe CM2'!$B74="","",N('Classe CM2'!J74))</f>
        <v/>
      </c>
      <c r="N634" s="51" t="str">
        <f>IF('Classe CM2'!$B74="","",N('Classe CM2'!K74))</f>
        <v/>
      </c>
      <c r="O634" s="51" t="str">
        <f>IF('Classe CM2'!$B74="","",N('Classe CM2'!L74))</f>
        <v/>
      </c>
      <c r="P634" s="51" t="str">
        <f>IF('Classe CM2'!$B74="","",N('Classe CM2'!M74))</f>
        <v/>
      </c>
      <c r="Q634" s="21" t="str">
        <f>IF('Classe CM2'!$B74="","",IF('Classe CM2'!Q74="","",'Classe CM2'!Q74))</f>
        <v/>
      </c>
      <c r="R634" s="51" t="str">
        <f>IF('Classe CM2'!$B74="","",N('Classe CM2'!N74))</f>
        <v/>
      </c>
      <c r="S634" s="51" t="str">
        <f>IF('Classe CM2'!$B74="","",N('Classe CM2'!O74))</f>
        <v/>
      </c>
      <c r="T634" s="51" t="str">
        <f>IF('Classe CM2'!$B74="","",N('Classe CM2'!P74))</f>
        <v/>
      </c>
    </row>
    <row r="635">
      <c r="A635" s="16" t="str">
        <f>IF('Classe CM2'!$B75="","",IF('Classe CM2'!A75="","",'Classe CM2'!A75))</f>
        <v/>
      </c>
      <c r="B635" s="16" t="str">
        <f>IF('Classe CM2'!$B75="","",IF('Classe CM2'!B75="","",'Classe CM2'!B75))</f>
        <v/>
      </c>
      <c r="C635" s="16" t="str">
        <f>IF('Classe CM2'!$B75="","",IF('Classe CM2'!C75="","",'Classe CM2'!C75))</f>
        <v/>
      </c>
      <c r="D635" s="16" t="str">
        <f>IF($B635="","",C635&amp;" "&amp;B635&amp;" - "&amp;E635)</f>
        <v/>
      </c>
      <c r="E635" s="17" t="str">
        <f>IF($B635="","",Paramètres!$A$22)</f>
        <v/>
      </c>
      <c r="F635" s="17" t="str">
        <f>IF($B635="","",Paramètres!$B$22)</f>
        <v/>
      </c>
      <c r="G635" s="17" t="str">
        <f>IF('Classe CM2'!$B75="","",IF('Classe CM2'!D75="","",'Classe CM2'!D75))</f>
        <v/>
      </c>
      <c r="H635" s="78" t="str">
        <f>IF('Classe CM2'!$B75="","",IF('Classe CM2'!E75="","",'Classe CM2'!E75))</f>
        <v/>
      </c>
      <c r="I635" s="16" t="str">
        <f>IF('Classe CM2'!$B75="","",IF('Classe CM2'!F75="","",'Classe CM2'!F75))</f>
        <v/>
      </c>
      <c r="J635" s="16" t="str">
        <f>IF('Classe CM2'!$B75="","",IF('Classe CM2'!G75="","",'Classe CM2'!G75))</f>
        <v/>
      </c>
      <c r="K635" s="18" t="str">
        <f>IF('Classe CM2'!$B75="","",N('Classe CM2'!H75))</f>
        <v/>
      </c>
      <c r="L635" s="18" t="str">
        <f>IF('Classe CM2'!$B75="","",N('Classe CM2'!I75))</f>
        <v/>
      </c>
      <c r="M635" s="18" t="str">
        <f>IF('Classe CM2'!$B75="","",N('Classe CM2'!J75))</f>
        <v/>
      </c>
      <c r="N635" s="18" t="str">
        <f>IF('Classe CM2'!$B75="","",N('Classe CM2'!K75))</f>
        <v/>
      </c>
      <c r="O635" s="18" t="str">
        <f>IF('Classe CM2'!$B75="","",N('Classe CM2'!L75))</f>
        <v/>
      </c>
      <c r="P635" s="18" t="str">
        <f>IF('Classe CM2'!$B75="","",N('Classe CM2'!M75))</f>
        <v/>
      </c>
      <c r="Q635" s="17" t="str">
        <f>IF('Classe CM2'!$B75="","",IF('Classe CM2'!Q75="","",'Classe CM2'!Q75))</f>
        <v/>
      </c>
      <c r="R635" s="18" t="str">
        <f>IF('Classe CM2'!$B75="","",N('Classe CM2'!N75))</f>
        <v/>
      </c>
      <c r="S635" s="18" t="str">
        <f>IF('Classe CM2'!$B75="","",N('Classe CM2'!O75))</f>
        <v/>
      </c>
      <c r="T635" s="18" t="str">
        <f>IF('Classe CM2'!$B75="","",N('Classe CM2'!P75))</f>
        <v/>
      </c>
    </row>
    <row r="636">
      <c r="A636" s="20" t="str">
        <f>IF('Classe CM2'!$B76="","",IF('Classe CM2'!A76="","",'Classe CM2'!A76))</f>
        <v/>
      </c>
      <c r="B636" s="20" t="str">
        <f>IF('Classe CM2'!$B76="","",IF('Classe CM2'!B76="","",'Classe CM2'!B76))</f>
        <v/>
      </c>
      <c r="C636" s="20" t="str">
        <f>IF('Classe CM2'!$B76="","",IF('Classe CM2'!C76="","",'Classe CM2'!C76))</f>
        <v/>
      </c>
      <c r="D636" s="20" t="str">
        <f>IF($B636="","",C636&amp;" "&amp;B636&amp;" - "&amp;E636)</f>
        <v/>
      </c>
      <c r="E636" s="21" t="str">
        <f>IF($B636="","",Paramètres!$A$22)</f>
        <v/>
      </c>
      <c r="F636" s="21" t="str">
        <f>IF($B636="","",Paramètres!$B$22)</f>
        <v/>
      </c>
      <c r="G636" s="21" t="str">
        <f>IF('Classe CM2'!$B76="","",IF('Classe CM2'!D76="","",'Classe CM2'!D76))</f>
        <v/>
      </c>
      <c r="H636" s="77" t="str">
        <f>IF('Classe CM2'!$B76="","",IF('Classe CM2'!E76="","",'Classe CM2'!E76))</f>
        <v/>
      </c>
      <c r="I636" s="20" t="str">
        <f>IF('Classe CM2'!$B76="","",IF('Classe CM2'!F76="","",'Classe CM2'!F76))</f>
        <v/>
      </c>
      <c r="J636" s="20" t="str">
        <f>IF('Classe CM2'!$B76="","",IF('Classe CM2'!G76="","",'Classe CM2'!G76))</f>
        <v/>
      </c>
      <c r="K636" s="51" t="str">
        <f>IF('Classe CM2'!$B76="","",N('Classe CM2'!H76))</f>
        <v/>
      </c>
      <c r="L636" s="51" t="str">
        <f>IF('Classe CM2'!$B76="","",N('Classe CM2'!I76))</f>
        <v/>
      </c>
      <c r="M636" s="51" t="str">
        <f>IF('Classe CM2'!$B76="","",N('Classe CM2'!J76))</f>
        <v/>
      </c>
      <c r="N636" s="51" t="str">
        <f>IF('Classe CM2'!$B76="","",N('Classe CM2'!K76))</f>
        <v/>
      </c>
      <c r="O636" s="51" t="str">
        <f>IF('Classe CM2'!$B76="","",N('Classe CM2'!L76))</f>
        <v/>
      </c>
      <c r="P636" s="51" t="str">
        <f>IF('Classe CM2'!$B76="","",N('Classe CM2'!M76))</f>
        <v/>
      </c>
      <c r="Q636" s="21" t="str">
        <f>IF('Classe CM2'!$B76="","",IF('Classe CM2'!Q76="","",'Classe CM2'!Q76))</f>
        <v/>
      </c>
      <c r="R636" s="51" t="str">
        <f>IF('Classe CM2'!$B76="","",N('Classe CM2'!N76))</f>
        <v/>
      </c>
      <c r="S636" s="51" t="str">
        <f>IF('Classe CM2'!$B76="","",N('Classe CM2'!O76))</f>
        <v/>
      </c>
      <c r="T636" s="51" t="str">
        <f>IF('Classe CM2'!$B76="","",N('Classe CM2'!P76))</f>
        <v/>
      </c>
    </row>
    <row r="637">
      <c r="A637" s="16" t="str">
        <f>IF('Classe CM2'!$B77="","",IF('Classe CM2'!A77="","",'Classe CM2'!A77))</f>
        <v/>
      </c>
      <c r="B637" s="16" t="str">
        <f>IF('Classe CM2'!$B77="","",IF('Classe CM2'!B77="","",'Classe CM2'!B77))</f>
        <v/>
      </c>
      <c r="C637" s="16" t="str">
        <f>IF('Classe CM2'!$B77="","",IF('Classe CM2'!C77="","",'Classe CM2'!C77))</f>
        <v/>
      </c>
      <c r="D637" s="16" t="str">
        <f>IF($B637="","",C637&amp;" "&amp;B637&amp;" - "&amp;E637)</f>
        <v/>
      </c>
      <c r="E637" s="17" t="str">
        <f>IF($B637="","",Paramètres!$A$22)</f>
        <v/>
      </c>
      <c r="F637" s="17" t="str">
        <f>IF($B637="","",Paramètres!$B$22)</f>
        <v/>
      </c>
      <c r="G637" s="17" t="str">
        <f>IF('Classe CM2'!$B77="","",IF('Classe CM2'!D77="","",'Classe CM2'!D77))</f>
        <v/>
      </c>
      <c r="H637" s="78" t="str">
        <f>IF('Classe CM2'!$B77="","",IF('Classe CM2'!E77="","",'Classe CM2'!E77))</f>
        <v/>
      </c>
      <c r="I637" s="16" t="str">
        <f>IF('Classe CM2'!$B77="","",IF('Classe CM2'!F77="","",'Classe CM2'!F77))</f>
        <v/>
      </c>
      <c r="J637" s="16" t="str">
        <f>IF('Classe CM2'!$B77="","",IF('Classe CM2'!G77="","",'Classe CM2'!G77))</f>
        <v/>
      </c>
      <c r="K637" s="18" t="str">
        <f>IF('Classe CM2'!$B77="","",N('Classe CM2'!H77))</f>
        <v/>
      </c>
      <c r="L637" s="18" t="str">
        <f>IF('Classe CM2'!$B77="","",N('Classe CM2'!I77))</f>
        <v/>
      </c>
      <c r="M637" s="18" t="str">
        <f>IF('Classe CM2'!$B77="","",N('Classe CM2'!J77))</f>
        <v/>
      </c>
      <c r="N637" s="18" t="str">
        <f>IF('Classe CM2'!$B77="","",N('Classe CM2'!K77))</f>
        <v/>
      </c>
      <c r="O637" s="18" t="str">
        <f>IF('Classe CM2'!$B77="","",N('Classe CM2'!L77))</f>
        <v/>
      </c>
      <c r="P637" s="18" t="str">
        <f>IF('Classe CM2'!$B77="","",N('Classe CM2'!M77))</f>
        <v/>
      </c>
      <c r="Q637" s="17" t="str">
        <f>IF('Classe CM2'!$B77="","",IF('Classe CM2'!Q77="","",'Classe CM2'!Q77))</f>
        <v/>
      </c>
      <c r="R637" s="18" t="str">
        <f>IF('Classe CM2'!$B77="","",N('Classe CM2'!N77))</f>
        <v/>
      </c>
      <c r="S637" s="18" t="str">
        <f>IF('Classe CM2'!$B77="","",N('Classe CM2'!O77))</f>
        <v/>
      </c>
      <c r="T637" s="18" t="str">
        <f>IF('Classe CM2'!$B77="","",N('Classe CM2'!P77))</f>
        <v/>
      </c>
    </row>
    <row r="638">
      <c r="A638" s="20" t="str">
        <f>IF('Classe CM2'!$B78="","",IF('Classe CM2'!A78="","",'Classe CM2'!A78))</f>
        <v/>
      </c>
      <c r="B638" s="20" t="str">
        <f>IF('Classe CM2'!$B78="","",IF('Classe CM2'!B78="","",'Classe CM2'!B78))</f>
        <v/>
      </c>
      <c r="C638" s="20" t="str">
        <f>IF('Classe CM2'!$B78="","",IF('Classe CM2'!C78="","",'Classe CM2'!C78))</f>
        <v/>
      </c>
      <c r="D638" s="20" t="str">
        <f>IF($B638="","",C638&amp;" "&amp;B638&amp;" - "&amp;E638)</f>
        <v/>
      </c>
      <c r="E638" s="21" t="str">
        <f>IF($B638="","",Paramètres!$A$22)</f>
        <v/>
      </c>
      <c r="F638" s="21" t="str">
        <f>IF($B638="","",Paramètres!$B$22)</f>
        <v/>
      </c>
      <c r="G638" s="21" t="str">
        <f>IF('Classe CM2'!$B78="","",IF('Classe CM2'!D78="","",'Classe CM2'!D78))</f>
        <v/>
      </c>
      <c r="H638" s="77" t="str">
        <f>IF('Classe CM2'!$B78="","",IF('Classe CM2'!E78="","",'Classe CM2'!E78))</f>
        <v/>
      </c>
      <c r="I638" s="20" t="str">
        <f>IF('Classe CM2'!$B78="","",IF('Classe CM2'!F78="","",'Classe CM2'!F78))</f>
        <v/>
      </c>
      <c r="J638" s="20" t="str">
        <f>IF('Classe CM2'!$B78="","",IF('Classe CM2'!G78="","",'Classe CM2'!G78))</f>
        <v/>
      </c>
      <c r="K638" s="51" t="str">
        <f>IF('Classe CM2'!$B78="","",N('Classe CM2'!H78))</f>
        <v/>
      </c>
      <c r="L638" s="51" t="str">
        <f>IF('Classe CM2'!$B78="","",N('Classe CM2'!I78))</f>
        <v/>
      </c>
      <c r="M638" s="51" t="str">
        <f>IF('Classe CM2'!$B78="","",N('Classe CM2'!J78))</f>
        <v/>
      </c>
      <c r="N638" s="51" t="str">
        <f>IF('Classe CM2'!$B78="","",N('Classe CM2'!K78))</f>
        <v/>
      </c>
      <c r="O638" s="51" t="str">
        <f>IF('Classe CM2'!$B78="","",N('Classe CM2'!L78))</f>
        <v/>
      </c>
      <c r="P638" s="51" t="str">
        <f>IF('Classe CM2'!$B78="","",N('Classe CM2'!M78))</f>
        <v/>
      </c>
      <c r="Q638" s="21" t="str">
        <f>IF('Classe CM2'!$B78="","",IF('Classe CM2'!Q78="","",'Classe CM2'!Q78))</f>
        <v/>
      </c>
      <c r="R638" s="51" t="str">
        <f>IF('Classe CM2'!$B78="","",N('Classe CM2'!N78))</f>
        <v/>
      </c>
      <c r="S638" s="51" t="str">
        <f>IF('Classe CM2'!$B78="","",N('Classe CM2'!O78))</f>
        <v/>
      </c>
      <c r="T638" s="51" t="str">
        <f>IF('Classe CM2'!$B78="","",N('Classe CM2'!P78))</f>
        <v/>
      </c>
    </row>
    <row r="639">
      <c r="A639" s="16" t="str">
        <f>IF('Classe CM2'!$B79="","",IF('Classe CM2'!A79="","",'Classe CM2'!A79))</f>
        <v/>
      </c>
      <c r="B639" s="16" t="str">
        <f>IF('Classe CM2'!$B79="","",IF('Classe CM2'!B79="","",'Classe CM2'!B79))</f>
        <v/>
      </c>
      <c r="C639" s="16" t="str">
        <f>IF('Classe CM2'!$B79="","",IF('Classe CM2'!C79="","",'Classe CM2'!C79))</f>
        <v/>
      </c>
      <c r="D639" s="16" t="str">
        <f>IF($B639="","",C639&amp;" "&amp;B639&amp;" - "&amp;E639)</f>
        <v/>
      </c>
      <c r="E639" s="17" t="str">
        <f>IF($B639="","",Paramètres!$A$22)</f>
        <v/>
      </c>
      <c r="F639" s="17" t="str">
        <f>IF($B639="","",Paramètres!$B$22)</f>
        <v/>
      </c>
      <c r="G639" s="17" t="str">
        <f>IF('Classe CM2'!$B79="","",IF('Classe CM2'!D79="","",'Classe CM2'!D79))</f>
        <v/>
      </c>
      <c r="H639" s="78" t="str">
        <f>IF('Classe CM2'!$B79="","",IF('Classe CM2'!E79="","",'Classe CM2'!E79))</f>
        <v/>
      </c>
      <c r="I639" s="16" t="str">
        <f>IF('Classe CM2'!$B79="","",IF('Classe CM2'!F79="","",'Classe CM2'!F79))</f>
        <v/>
      </c>
      <c r="J639" s="16" t="str">
        <f>IF('Classe CM2'!$B79="","",IF('Classe CM2'!G79="","",'Classe CM2'!G79))</f>
        <v/>
      </c>
      <c r="K639" s="18" t="str">
        <f>IF('Classe CM2'!$B79="","",N('Classe CM2'!H79))</f>
        <v/>
      </c>
      <c r="L639" s="18" t="str">
        <f>IF('Classe CM2'!$B79="","",N('Classe CM2'!I79))</f>
        <v/>
      </c>
      <c r="M639" s="18" t="str">
        <f>IF('Classe CM2'!$B79="","",N('Classe CM2'!J79))</f>
        <v/>
      </c>
      <c r="N639" s="18" t="str">
        <f>IF('Classe CM2'!$B79="","",N('Classe CM2'!K79))</f>
        <v/>
      </c>
      <c r="O639" s="18" t="str">
        <f>IF('Classe CM2'!$B79="","",N('Classe CM2'!L79))</f>
        <v/>
      </c>
      <c r="P639" s="18" t="str">
        <f>IF('Classe CM2'!$B79="","",N('Classe CM2'!M79))</f>
        <v/>
      </c>
      <c r="Q639" s="17" t="str">
        <f>IF('Classe CM2'!$B79="","",IF('Classe CM2'!Q79="","",'Classe CM2'!Q79))</f>
        <v/>
      </c>
      <c r="R639" s="18" t="str">
        <f>IF('Classe CM2'!$B79="","",N('Classe CM2'!N79))</f>
        <v/>
      </c>
      <c r="S639" s="18" t="str">
        <f>IF('Classe CM2'!$B79="","",N('Classe CM2'!O79))</f>
        <v/>
      </c>
      <c r="T639" s="18" t="str">
        <f>IF('Classe CM2'!$B79="","",N('Classe CM2'!P79))</f>
        <v/>
      </c>
    </row>
    <row r="640">
      <c r="A640" s="20" t="str">
        <f>IF('Classe CM2'!$B80="","",IF('Classe CM2'!A80="","",'Classe CM2'!A80))</f>
        <v/>
      </c>
      <c r="B640" s="20" t="str">
        <f>IF('Classe CM2'!$B80="","",IF('Classe CM2'!B80="","",'Classe CM2'!B80))</f>
        <v/>
      </c>
      <c r="C640" s="20" t="str">
        <f>IF('Classe CM2'!$B80="","",IF('Classe CM2'!C80="","",'Classe CM2'!C80))</f>
        <v/>
      </c>
      <c r="D640" s="20" t="str">
        <f>IF($B640="","",C640&amp;" "&amp;B640&amp;" - "&amp;E640)</f>
        <v/>
      </c>
      <c r="E640" s="21" t="str">
        <f>IF($B640="","",Paramètres!$A$22)</f>
        <v/>
      </c>
      <c r="F640" s="21" t="str">
        <f>IF($B640="","",Paramètres!$B$22)</f>
        <v/>
      </c>
      <c r="G640" s="21" t="str">
        <f>IF('Classe CM2'!$B80="","",IF('Classe CM2'!D80="","",'Classe CM2'!D80))</f>
        <v/>
      </c>
      <c r="H640" s="77" t="str">
        <f>IF('Classe CM2'!$B80="","",IF('Classe CM2'!E80="","",'Classe CM2'!E80))</f>
        <v/>
      </c>
      <c r="I640" s="20" t="str">
        <f>IF('Classe CM2'!$B80="","",IF('Classe CM2'!F80="","",'Classe CM2'!F80))</f>
        <v/>
      </c>
      <c r="J640" s="20" t="str">
        <f>IF('Classe CM2'!$B80="","",IF('Classe CM2'!G80="","",'Classe CM2'!G80))</f>
        <v/>
      </c>
      <c r="K640" s="51" t="str">
        <f>IF('Classe CM2'!$B80="","",N('Classe CM2'!H80))</f>
        <v/>
      </c>
      <c r="L640" s="51" t="str">
        <f>IF('Classe CM2'!$B80="","",N('Classe CM2'!I80))</f>
        <v/>
      </c>
      <c r="M640" s="51" t="str">
        <f>IF('Classe CM2'!$B80="","",N('Classe CM2'!J80))</f>
        <v/>
      </c>
      <c r="N640" s="51" t="str">
        <f>IF('Classe CM2'!$B80="","",N('Classe CM2'!K80))</f>
        <v/>
      </c>
      <c r="O640" s="51" t="str">
        <f>IF('Classe CM2'!$B80="","",N('Classe CM2'!L80))</f>
        <v/>
      </c>
      <c r="P640" s="51" t="str">
        <f>IF('Classe CM2'!$B80="","",N('Classe CM2'!M80))</f>
        <v/>
      </c>
      <c r="Q640" s="21" t="str">
        <f>IF('Classe CM2'!$B80="","",IF('Classe CM2'!Q80="","",'Classe CM2'!Q80))</f>
        <v/>
      </c>
      <c r="R640" s="51" t="str">
        <f>IF('Classe CM2'!$B80="","",N('Classe CM2'!N80))</f>
        <v/>
      </c>
      <c r="S640" s="51" t="str">
        <f>IF('Classe CM2'!$B80="","",N('Classe CM2'!O80))</f>
        <v/>
      </c>
      <c r="T640" s="51" t="str">
        <f>IF('Classe CM2'!$B80="","",N('Classe CM2'!P80))</f>
        <v/>
      </c>
    </row>
    <row r="641">
      <c r="A641" s="16" t="str">
        <f>IF('Classe CM2'!$B81="","",IF('Classe CM2'!A81="","",'Classe CM2'!A81))</f>
        <v/>
      </c>
      <c r="B641" s="16" t="str">
        <f>IF('Classe CM2'!$B81="","",IF('Classe CM2'!B81="","",'Classe CM2'!B81))</f>
        <v/>
      </c>
      <c r="C641" s="16" t="str">
        <f>IF('Classe CM2'!$B81="","",IF('Classe CM2'!C81="","",'Classe CM2'!C81))</f>
        <v/>
      </c>
      <c r="D641" s="16" t="str">
        <f>IF($B641="","",C641&amp;" "&amp;B641&amp;" - "&amp;E641)</f>
        <v/>
      </c>
      <c r="E641" s="17" t="str">
        <f>IF($B641="","",Paramètres!$A$22)</f>
        <v/>
      </c>
      <c r="F641" s="17" t="str">
        <f>IF($B641="","",Paramètres!$B$22)</f>
        <v/>
      </c>
      <c r="G641" s="17" t="str">
        <f>IF('Classe CM2'!$B81="","",IF('Classe CM2'!D81="","",'Classe CM2'!D81))</f>
        <v/>
      </c>
      <c r="H641" s="78" t="str">
        <f>IF('Classe CM2'!$B81="","",IF('Classe CM2'!E81="","",'Classe CM2'!E81))</f>
        <v/>
      </c>
      <c r="I641" s="16" t="str">
        <f>IF('Classe CM2'!$B81="","",IF('Classe CM2'!F81="","",'Classe CM2'!F81))</f>
        <v/>
      </c>
      <c r="J641" s="16" t="str">
        <f>IF('Classe CM2'!$B81="","",IF('Classe CM2'!G81="","",'Classe CM2'!G81))</f>
        <v/>
      </c>
      <c r="K641" s="18" t="str">
        <f>IF('Classe CM2'!$B81="","",N('Classe CM2'!H81))</f>
        <v/>
      </c>
      <c r="L641" s="18" t="str">
        <f>IF('Classe CM2'!$B81="","",N('Classe CM2'!I81))</f>
        <v/>
      </c>
      <c r="M641" s="18" t="str">
        <f>IF('Classe CM2'!$B81="","",N('Classe CM2'!J81))</f>
        <v/>
      </c>
      <c r="N641" s="18" t="str">
        <f>IF('Classe CM2'!$B81="","",N('Classe CM2'!K81))</f>
        <v/>
      </c>
      <c r="O641" s="18" t="str">
        <f>IF('Classe CM2'!$B81="","",N('Classe CM2'!L81))</f>
        <v/>
      </c>
      <c r="P641" s="18" t="str">
        <f>IF('Classe CM2'!$B81="","",N('Classe CM2'!M81))</f>
        <v/>
      </c>
      <c r="Q641" s="17" t="str">
        <f>IF('Classe CM2'!$B81="","",IF('Classe CM2'!Q81="","",'Classe CM2'!Q81))</f>
        <v/>
      </c>
      <c r="R641" s="18" t="str">
        <f>IF('Classe CM2'!$B81="","",N('Classe CM2'!N81))</f>
        <v/>
      </c>
      <c r="S641" s="18" t="str">
        <f>IF('Classe CM2'!$B81="","",N('Classe CM2'!O81))</f>
        <v/>
      </c>
      <c r="T641" s="18" t="str">
        <f>IF('Classe CM2'!$B81="","",N('Classe CM2'!P81))</f>
        <v/>
      </c>
    </row>
    <row r="642">
      <c r="A642" s="20" t="str">
        <f>IF('Classe CM2'!$B82="","",IF('Classe CM2'!A82="","",'Classe CM2'!A82))</f>
        <v/>
      </c>
      <c r="B642" s="20" t="str">
        <f>IF('Classe CM2'!$B82="","",IF('Classe CM2'!B82="","",'Classe CM2'!B82))</f>
        <v/>
      </c>
      <c r="C642" s="20" t="str">
        <f>IF('Classe CM2'!$B82="","",IF('Classe CM2'!C82="","",'Classe CM2'!C82))</f>
        <v/>
      </c>
      <c r="D642" s="20" t="str">
        <f>IF($B642="","",C642&amp;" "&amp;B642&amp;" - "&amp;E642)</f>
        <v/>
      </c>
      <c r="E642" s="21" t="str">
        <f>IF($B642="","",Paramètres!$A$22)</f>
        <v/>
      </c>
      <c r="F642" s="21" t="str">
        <f>IF($B642="","",Paramètres!$B$22)</f>
        <v/>
      </c>
      <c r="G642" s="21" t="str">
        <f>IF('Classe CM2'!$B82="","",IF('Classe CM2'!D82="","",'Classe CM2'!D82))</f>
        <v/>
      </c>
      <c r="H642" s="77" t="str">
        <f>IF('Classe CM2'!$B82="","",IF('Classe CM2'!E82="","",'Classe CM2'!E82))</f>
        <v/>
      </c>
      <c r="I642" s="20" t="str">
        <f>IF('Classe CM2'!$B82="","",IF('Classe CM2'!F82="","",'Classe CM2'!F82))</f>
        <v/>
      </c>
      <c r="J642" s="20" t="str">
        <f>IF('Classe CM2'!$B82="","",IF('Classe CM2'!G82="","",'Classe CM2'!G82))</f>
        <v/>
      </c>
      <c r="K642" s="51" t="str">
        <f>IF('Classe CM2'!$B82="","",N('Classe CM2'!H82))</f>
        <v/>
      </c>
      <c r="L642" s="51" t="str">
        <f>IF('Classe CM2'!$B82="","",N('Classe CM2'!I82))</f>
        <v/>
      </c>
      <c r="M642" s="51" t="str">
        <f>IF('Classe CM2'!$B82="","",N('Classe CM2'!J82))</f>
        <v/>
      </c>
      <c r="N642" s="51" t="str">
        <f>IF('Classe CM2'!$B82="","",N('Classe CM2'!K82))</f>
        <v/>
      </c>
      <c r="O642" s="51" t="str">
        <f>IF('Classe CM2'!$B82="","",N('Classe CM2'!L82))</f>
        <v/>
      </c>
      <c r="P642" s="51" t="str">
        <f>IF('Classe CM2'!$B82="","",N('Classe CM2'!M82))</f>
        <v/>
      </c>
      <c r="Q642" s="21" t="str">
        <f>IF('Classe CM2'!$B82="","",IF('Classe CM2'!Q82="","",'Classe CM2'!Q82))</f>
        <v/>
      </c>
      <c r="R642" s="51" t="str">
        <f>IF('Classe CM2'!$B82="","",N('Classe CM2'!N82))</f>
        <v/>
      </c>
      <c r="S642" s="51" t="str">
        <f>IF('Classe CM2'!$B82="","",N('Classe CM2'!O82))</f>
        <v/>
      </c>
      <c r="T642" s="51" t="str">
        <f>IF('Classe CM2'!$B82="","",N('Classe CM2'!P82))</f>
        <v/>
      </c>
    </row>
    <row r="643">
      <c r="A643" s="16" t="str">
        <f>IF('Classe CM2'!$B83="","",IF('Classe CM2'!A83="","",'Classe CM2'!A83))</f>
        <v/>
      </c>
      <c r="B643" s="16" t="str">
        <f>IF('Classe CM2'!$B83="","",IF('Classe CM2'!B83="","",'Classe CM2'!B83))</f>
        <v/>
      </c>
      <c r="C643" s="16" t="str">
        <f>IF('Classe CM2'!$B83="","",IF('Classe CM2'!C83="","",'Classe CM2'!C83))</f>
        <v/>
      </c>
      <c r="D643" s="16" t="str">
        <f>IF($B643="","",C643&amp;" "&amp;B643&amp;" - "&amp;E643)</f>
        <v/>
      </c>
      <c r="E643" s="17" t="str">
        <f>IF($B643="","",Paramètres!$A$22)</f>
        <v/>
      </c>
      <c r="F643" s="17" t="str">
        <f>IF($B643="","",Paramètres!$B$22)</f>
        <v/>
      </c>
      <c r="G643" s="17" t="str">
        <f>IF('Classe CM2'!$B83="","",IF('Classe CM2'!D83="","",'Classe CM2'!D83))</f>
        <v/>
      </c>
      <c r="H643" s="78" t="str">
        <f>IF('Classe CM2'!$B83="","",IF('Classe CM2'!E83="","",'Classe CM2'!E83))</f>
        <v/>
      </c>
      <c r="I643" s="16" t="str">
        <f>IF('Classe CM2'!$B83="","",IF('Classe CM2'!F83="","",'Classe CM2'!F83))</f>
        <v/>
      </c>
      <c r="J643" s="16" t="str">
        <f>IF('Classe CM2'!$B83="","",IF('Classe CM2'!G83="","",'Classe CM2'!G83))</f>
        <v/>
      </c>
      <c r="K643" s="18" t="str">
        <f>IF('Classe CM2'!$B83="","",N('Classe CM2'!H83))</f>
        <v/>
      </c>
      <c r="L643" s="18" t="str">
        <f>IF('Classe CM2'!$B83="","",N('Classe CM2'!I83))</f>
        <v/>
      </c>
      <c r="M643" s="18" t="str">
        <f>IF('Classe CM2'!$B83="","",N('Classe CM2'!J83))</f>
        <v/>
      </c>
      <c r="N643" s="18" t="str">
        <f>IF('Classe CM2'!$B83="","",N('Classe CM2'!K83))</f>
        <v/>
      </c>
      <c r="O643" s="18" t="str">
        <f>IF('Classe CM2'!$B83="","",N('Classe CM2'!L83))</f>
        <v/>
      </c>
      <c r="P643" s="18" t="str">
        <f>IF('Classe CM2'!$B83="","",N('Classe CM2'!M83))</f>
        <v/>
      </c>
      <c r="Q643" s="17" t="str">
        <f>IF('Classe CM2'!$B83="","",IF('Classe CM2'!Q83="","",'Classe CM2'!Q83))</f>
        <v/>
      </c>
      <c r="R643" s="18" t="str">
        <f>IF('Classe CM2'!$B83="","",N('Classe CM2'!N83))</f>
        <v/>
      </c>
      <c r="S643" s="18" t="str">
        <f>IF('Classe CM2'!$B83="","",N('Classe CM2'!O83))</f>
        <v/>
      </c>
      <c r="T643" s="18" t="str">
        <f>IF('Classe CM2'!$B83="","",N('Classe CM2'!P83))</f>
        <v/>
      </c>
    </row>
    <row r="644">
      <c r="A644" s="20" t="str">
        <f>IF('Classe 6e'!$B4="","",IF('Classe 6e'!A4="","",'Classe 6e'!A4))</f>
        <v/>
      </c>
      <c r="B644" s="20" t="str">
        <f>IF('Classe 6e'!$B4="","",IF('Classe 6e'!B4="","",'Classe 6e'!B4))</f>
        <v/>
      </c>
      <c r="C644" s="20" t="str">
        <f>IF('Classe 6e'!$B4="","",IF('Classe 6e'!C4="","",'Classe 6e'!C4))</f>
        <v/>
      </c>
      <c r="D644" s="20" t="str">
        <f>IF($B644="","",C644&amp;" "&amp;B644&amp;" - "&amp;E644)</f>
        <v/>
      </c>
      <c r="E644" s="21" t="str">
        <f>IF($B644="","",Paramètres!$A$23)</f>
        <v/>
      </c>
      <c r="F644" s="21" t="str">
        <f>IF($B644="","",Paramètres!$B$23)</f>
        <v/>
      </c>
      <c r="G644" s="21" t="str">
        <f>IF('Classe 6e'!$B4="","",IF('Classe 6e'!D4="","",'Classe 6e'!D4))</f>
        <v/>
      </c>
      <c r="H644" s="77" t="str">
        <f>IF('Classe 6e'!$B4="","",IF('Classe 6e'!E4="","",'Classe 6e'!E4))</f>
        <v/>
      </c>
      <c r="I644" s="20" t="str">
        <f>IF('Classe 6e'!$B4="","",IF('Classe 6e'!F4="","",'Classe 6e'!F4))</f>
        <v/>
      </c>
      <c r="J644" s="20" t="str">
        <f>IF('Classe 6e'!$B4="","",IF('Classe 6e'!G4="","",'Classe 6e'!G4))</f>
        <v/>
      </c>
      <c r="K644" s="51" t="str">
        <f>IF('Classe 6e'!$B4="","",N('Classe 6e'!H4))</f>
        <v/>
      </c>
      <c r="L644" s="51" t="str">
        <f>IF('Classe 6e'!$B4="","",N('Classe 6e'!I4))</f>
        <v/>
      </c>
      <c r="M644" s="51" t="str">
        <f>IF('Classe 6e'!$B4="","",N('Classe 6e'!J4))</f>
        <v/>
      </c>
      <c r="N644" s="51" t="str">
        <f>IF('Classe 6e'!$B4="","",N('Classe 6e'!K4))</f>
        <v/>
      </c>
      <c r="O644" s="51" t="str">
        <f>IF('Classe 6e'!$B4="","",N('Classe 6e'!L4))</f>
        <v/>
      </c>
      <c r="P644" s="51" t="str">
        <f>IF('Classe 6e'!$B4="","",N('Classe 6e'!M4))</f>
        <v/>
      </c>
      <c r="Q644" s="21" t="str">
        <f>IF('Classe 6e'!$B4="","",IF('Classe 6e'!Q4="","",'Classe 6e'!Q4))</f>
        <v/>
      </c>
      <c r="R644" s="51" t="str">
        <f>IF('Classe 6e'!$B4="","",N('Classe 6e'!N4))</f>
        <v/>
      </c>
      <c r="S644" s="51" t="str">
        <f>IF('Classe 6e'!$B4="","",N('Classe 6e'!O4))</f>
        <v/>
      </c>
      <c r="T644" s="51" t="str">
        <f>IF('Classe 6e'!$B4="","",N('Classe 6e'!P4))</f>
        <v/>
      </c>
    </row>
    <row r="645">
      <c r="A645" s="16" t="str">
        <f>IF('Classe 6e'!$B5="","",IF('Classe 6e'!A5="","",'Classe 6e'!A5))</f>
        <v/>
      </c>
      <c r="B645" s="16" t="str">
        <f>IF('Classe 6e'!$B5="","",IF('Classe 6e'!B5="","",'Classe 6e'!B5))</f>
        <v/>
      </c>
      <c r="C645" s="16" t="str">
        <f>IF('Classe 6e'!$B5="","",IF('Classe 6e'!C5="","",'Classe 6e'!C5))</f>
        <v/>
      </c>
      <c r="D645" s="16" t="str">
        <f>IF($B645="","",C645&amp;" "&amp;B645&amp;" - "&amp;E645)</f>
        <v/>
      </c>
      <c r="E645" s="17" t="str">
        <f>IF($B645="","",Paramètres!$A$23)</f>
        <v/>
      </c>
      <c r="F645" s="17" t="str">
        <f>IF($B645="","",Paramètres!$B$23)</f>
        <v/>
      </c>
      <c r="G645" s="17" t="str">
        <f>IF('Classe 6e'!$B5="","",IF('Classe 6e'!D5="","",'Classe 6e'!D5))</f>
        <v/>
      </c>
      <c r="H645" s="78" t="str">
        <f>IF('Classe 6e'!$B5="","",IF('Classe 6e'!E5="","",'Classe 6e'!E5))</f>
        <v/>
      </c>
      <c r="I645" s="16" t="str">
        <f>IF('Classe 6e'!$B5="","",IF('Classe 6e'!F5="","",'Classe 6e'!F5))</f>
        <v/>
      </c>
      <c r="J645" s="16" t="str">
        <f>IF('Classe 6e'!$B5="","",IF('Classe 6e'!G5="","",'Classe 6e'!G5))</f>
        <v/>
      </c>
      <c r="K645" s="18" t="str">
        <f>IF('Classe 6e'!$B5="","",N('Classe 6e'!H5))</f>
        <v/>
      </c>
      <c r="L645" s="18" t="str">
        <f>IF('Classe 6e'!$B5="","",N('Classe 6e'!I5))</f>
        <v/>
      </c>
      <c r="M645" s="18" t="str">
        <f>IF('Classe 6e'!$B5="","",N('Classe 6e'!J5))</f>
        <v/>
      </c>
      <c r="N645" s="18" t="str">
        <f>IF('Classe 6e'!$B5="","",N('Classe 6e'!K5))</f>
        <v/>
      </c>
      <c r="O645" s="18" t="str">
        <f>IF('Classe 6e'!$B5="","",N('Classe 6e'!L5))</f>
        <v/>
      </c>
      <c r="P645" s="18" t="str">
        <f>IF('Classe 6e'!$B5="","",N('Classe 6e'!M5))</f>
        <v/>
      </c>
      <c r="Q645" s="17" t="str">
        <f>IF('Classe 6e'!$B5="","",IF('Classe 6e'!Q5="","",'Classe 6e'!Q5))</f>
        <v/>
      </c>
      <c r="R645" s="18" t="str">
        <f>IF('Classe 6e'!$B5="","",N('Classe 6e'!N5))</f>
        <v/>
      </c>
      <c r="S645" s="18" t="str">
        <f>IF('Classe 6e'!$B5="","",N('Classe 6e'!O5))</f>
        <v/>
      </c>
      <c r="T645" s="18" t="str">
        <f>IF('Classe 6e'!$B5="","",N('Classe 6e'!P5))</f>
        <v/>
      </c>
    </row>
    <row r="646">
      <c r="A646" s="20" t="str">
        <f>IF('Classe 6e'!$B6="","",IF('Classe 6e'!A6="","",'Classe 6e'!A6))</f>
        <v/>
      </c>
      <c r="B646" s="20" t="str">
        <f>IF('Classe 6e'!$B6="","",IF('Classe 6e'!B6="","",'Classe 6e'!B6))</f>
        <v/>
      </c>
      <c r="C646" s="20" t="str">
        <f>IF('Classe 6e'!$B6="","",IF('Classe 6e'!C6="","",'Classe 6e'!C6))</f>
        <v/>
      </c>
      <c r="D646" s="20" t="str">
        <f>IF($B646="","",C646&amp;" "&amp;B646&amp;" - "&amp;E646)</f>
        <v/>
      </c>
      <c r="E646" s="21" t="str">
        <f>IF($B646="","",Paramètres!$A$23)</f>
        <v/>
      </c>
      <c r="F646" s="21" t="str">
        <f>IF($B646="","",Paramètres!$B$23)</f>
        <v/>
      </c>
      <c r="G646" s="21" t="str">
        <f>IF('Classe 6e'!$B6="","",IF('Classe 6e'!D6="","",'Classe 6e'!D6))</f>
        <v/>
      </c>
      <c r="H646" s="77" t="str">
        <f>IF('Classe 6e'!$B6="","",IF('Classe 6e'!E6="","",'Classe 6e'!E6))</f>
        <v/>
      </c>
      <c r="I646" s="20" t="str">
        <f>IF('Classe 6e'!$B6="","",IF('Classe 6e'!F6="","",'Classe 6e'!F6))</f>
        <v/>
      </c>
      <c r="J646" s="20" t="str">
        <f>IF('Classe 6e'!$B6="","",IF('Classe 6e'!G6="","",'Classe 6e'!G6))</f>
        <v/>
      </c>
      <c r="K646" s="51" t="str">
        <f>IF('Classe 6e'!$B6="","",N('Classe 6e'!H6))</f>
        <v/>
      </c>
      <c r="L646" s="51" t="str">
        <f>IF('Classe 6e'!$B6="","",N('Classe 6e'!I6))</f>
        <v/>
      </c>
      <c r="M646" s="51" t="str">
        <f>IF('Classe 6e'!$B6="","",N('Classe 6e'!J6))</f>
        <v/>
      </c>
      <c r="N646" s="51" t="str">
        <f>IF('Classe 6e'!$B6="","",N('Classe 6e'!K6))</f>
        <v/>
      </c>
      <c r="O646" s="51" t="str">
        <f>IF('Classe 6e'!$B6="","",N('Classe 6e'!L6))</f>
        <v/>
      </c>
      <c r="P646" s="51" t="str">
        <f>IF('Classe 6e'!$B6="","",N('Classe 6e'!M6))</f>
        <v/>
      </c>
      <c r="Q646" s="21" t="str">
        <f>IF('Classe 6e'!$B6="","",IF('Classe 6e'!Q6="","",'Classe 6e'!Q6))</f>
        <v/>
      </c>
      <c r="R646" s="51" t="str">
        <f>IF('Classe 6e'!$B6="","",N('Classe 6e'!N6))</f>
        <v/>
      </c>
      <c r="S646" s="51" t="str">
        <f>IF('Classe 6e'!$B6="","",N('Classe 6e'!O6))</f>
        <v/>
      </c>
      <c r="T646" s="51" t="str">
        <f>IF('Classe 6e'!$B6="","",N('Classe 6e'!P6))</f>
        <v/>
      </c>
    </row>
    <row r="647">
      <c r="A647" s="16" t="str">
        <f>IF('Classe 6e'!$B7="","",IF('Classe 6e'!A7="","",'Classe 6e'!A7))</f>
        <v/>
      </c>
      <c r="B647" s="16" t="str">
        <f>IF('Classe 6e'!$B7="","",IF('Classe 6e'!B7="","",'Classe 6e'!B7))</f>
        <v/>
      </c>
      <c r="C647" s="16" t="str">
        <f>IF('Classe 6e'!$B7="","",IF('Classe 6e'!C7="","",'Classe 6e'!C7))</f>
        <v/>
      </c>
      <c r="D647" s="16" t="str">
        <f>IF($B647="","",C647&amp;" "&amp;B647&amp;" - "&amp;E647)</f>
        <v/>
      </c>
      <c r="E647" s="17" t="str">
        <f>IF($B647="","",Paramètres!$A$23)</f>
        <v/>
      </c>
      <c r="F647" s="17" t="str">
        <f>IF($B647="","",Paramètres!$B$23)</f>
        <v/>
      </c>
      <c r="G647" s="17" t="str">
        <f>IF('Classe 6e'!$B7="","",IF('Classe 6e'!D7="","",'Classe 6e'!D7))</f>
        <v/>
      </c>
      <c r="H647" s="78" t="str">
        <f>IF('Classe 6e'!$B7="","",IF('Classe 6e'!E7="","",'Classe 6e'!E7))</f>
        <v/>
      </c>
      <c r="I647" s="16" t="str">
        <f>IF('Classe 6e'!$B7="","",IF('Classe 6e'!F7="","",'Classe 6e'!F7))</f>
        <v/>
      </c>
      <c r="J647" s="16" t="str">
        <f>IF('Classe 6e'!$B7="","",IF('Classe 6e'!G7="","",'Classe 6e'!G7))</f>
        <v/>
      </c>
      <c r="K647" s="18" t="str">
        <f>IF('Classe 6e'!$B7="","",N('Classe 6e'!H7))</f>
        <v/>
      </c>
      <c r="L647" s="18" t="str">
        <f>IF('Classe 6e'!$B7="","",N('Classe 6e'!I7))</f>
        <v/>
      </c>
      <c r="M647" s="18" t="str">
        <f>IF('Classe 6e'!$B7="","",N('Classe 6e'!J7))</f>
        <v/>
      </c>
      <c r="N647" s="18" t="str">
        <f>IF('Classe 6e'!$B7="","",N('Classe 6e'!K7))</f>
        <v/>
      </c>
      <c r="O647" s="18" t="str">
        <f>IF('Classe 6e'!$B7="","",N('Classe 6e'!L7))</f>
        <v/>
      </c>
      <c r="P647" s="18" t="str">
        <f>IF('Classe 6e'!$B7="","",N('Classe 6e'!M7))</f>
        <v/>
      </c>
      <c r="Q647" s="17" t="str">
        <f>IF('Classe 6e'!$B7="","",IF('Classe 6e'!Q7="","",'Classe 6e'!Q7))</f>
        <v/>
      </c>
      <c r="R647" s="18" t="str">
        <f>IF('Classe 6e'!$B7="","",N('Classe 6e'!N7))</f>
        <v/>
      </c>
      <c r="S647" s="18" t="str">
        <f>IF('Classe 6e'!$B7="","",N('Classe 6e'!O7))</f>
        <v/>
      </c>
      <c r="T647" s="18" t="str">
        <f>IF('Classe 6e'!$B7="","",N('Classe 6e'!P7))</f>
        <v/>
      </c>
    </row>
    <row r="648">
      <c r="A648" s="20" t="str">
        <f>IF('Classe 6e'!$B8="","",IF('Classe 6e'!A8="","",'Classe 6e'!A8))</f>
        <v/>
      </c>
      <c r="B648" s="20" t="str">
        <f>IF('Classe 6e'!$B8="","",IF('Classe 6e'!B8="","",'Classe 6e'!B8))</f>
        <v/>
      </c>
      <c r="C648" s="20" t="str">
        <f>IF('Classe 6e'!$B8="","",IF('Classe 6e'!C8="","",'Classe 6e'!C8))</f>
        <v/>
      </c>
      <c r="D648" s="20" t="str">
        <f>IF($B648="","",C648&amp;" "&amp;B648&amp;" - "&amp;E648)</f>
        <v/>
      </c>
      <c r="E648" s="21" t="str">
        <f>IF($B648="","",Paramètres!$A$23)</f>
        <v/>
      </c>
      <c r="F648" s="21" t="str">
        <f>IF($B648="","",Paramètres!$B$23)</f>
        <v/>
      </c>
      <c r="G648" s="21" t="str">
        <f>IF('Classe 6e'!$B8="","",IF('Classe 6e'!D8="","",'Classe 6e'!D8))</f>
        <v/>
      </c>
      <c r="H648" s="77" t="str">
        <f>IF('Classe 6e'!$B8="","",IF('Classe 6e'!E8="","",'Classe 6e'!E8))</f>
        <v/>
      </c>
      <c r="I648" s="20" t="str">
        <f>IF('Classe 6e'!$B8="","",IF('Classe 6e'!F8="","",'Classe 6e'!F8))</f>
        <v/>
      </c>
      <c r="J648" s="20" t="str">
        <f>IF('Classe 6e'!$B8="","",IF('Classe 6e'!G8="","",'Classe 6e'!G8))</f>
        <v/>
      </c>
      <c r="K648" s="51" t="str">
        <f>IF('Classe 6e'!$B8="","",N('Classe 6e'!H8))</f>
        <v/>
      </c>
      <c r="L648" s="51" t="str">
        <f>IF('Classe 6e'!$B8="","",N('Classe 6e'!I8))</f>
        <v/>
      </c>
      <c r="M648" s="51" t="str">
        <f>IF('Classe 6e'!$B8="","",N('Classe 6e'!J8))</f>
        <v/>
      </c>
      <c r="N648" s="51" t="str">
        <f>IF('Classe 6e'!$B8="","",N('Classe 6e'!K8))</f>
        <v/>
      </c>
      <c r="O648" s="51" t="str">
        <f>IF('Classe 6e'!$B8="","",N('Classe 6e'!L8))</f>
        <v/>
      </c>
      <c r="P648" s="51" t="str">
        <f>IF('Classe 6e'!$B8="","",N('Classe 6e'!M8))</f>
        <v/>
      </c>
      <c r="Q648" s="21" t="str">
        <f>IF('Classe 6e'!$B8="","",IF('Classe 6e'!Q8="","",'Classe 6e'!Q8))</f>
        <v/>
      </c>
      <c r="R648" s="51" t="str">
        <f>IF('Classe 6e'!$B8="","",N('Classe 6e'!N8))</f>
        <v/>
      </c>
      <c r="S648" s="51" t="str">
        <f>IF('Classe 6e'!$B8="","",N('Classe 6e'!O8))</f>
        <v/>
      </c>
      <c r="T648" s="51" t="str">
        <f>IF('Classe 6e'!$B8="","",N('Classe 6e'!P8))</f>
        <v/>
      </c>
    </row>
    <row r="649">
      <c r="A649" s="16" t="str">
        <f>IF('Classe 6e'!$B9="","",IF('Classe 6e'!A9="","",'Classe 6e'!A9))</f>
        <v/>
      </c>
      <c r="B649" s="16" t="str">
        <f>IF('Classe 6e'!$B9="","",IF('Classe 6e'!B9="","",'Classe 6e'!B9))</f>
        <v/>
      </c>
      <c r="C649" s="16" t="str">
        <f>IF('Classe 6e'!$B9="","",IF('Classe 6e'!C9="","",'Classe 6e'!C9))</f>
        <v/>
      </c>
      <c r="D649" s="16" t="str">
        <f>IF($B649="","",C649&amp;" "&amp;B649&amp;" - "&amp;E649)</f>
        <v/>
      </c>
      <c r="E649" s="17" t="str">
        <f>IF($B649="","",Paramètres!$A$23)</f>
        <v/>
      </c>
      <c r="F649" s="17" t="str">
        <f>IF($B649="","",Paramètres!$B$23)</f>
        <v/>
      </c>
      <c r="G649" s="17" t="str">
        <f>IF('Classe 6e'!$B9="","",IF('Classe 6e'!D9="","",'Classe 6e'!D9))</f>
        <v/>
      </c>
      <c r="H649" s="78" t="str">
        <f>IF('Classe 6e'!$B9="","",IF('Classe 6e'!E9="","",'Classe 6e'!E9))</f>
        <v/>
      </c>
      <c r="I649" s="16" t="str">
        <f>IF('Classe 6e'!$B9="","",IF('Classe 6e'!F9="","",'Classe 6e'!F9))</f>
        <v/>
      </c>
      <c r="J649" s="16" t="str">
        <f>IF('Classe 6e'!$B9="","",IF('Classe 6e'!G9="","",'Classe 6e'!G9))</f>
        <v/>
      </c>
      <c r="K649" s="18" t="str">
        <f>IF('Classe 6e'!$B9="","",N('Classe 6e'!H9))</f>
        <v/>
      </c>
      <c r="L649" s="18" t="str">
        <f>IF('Classe 6e'!$B9="","",N('Classe 6e'!I9))</f>
        <v/>
      </c>
      <c r="M649" s="18" t="str">
        <f>IF('Classe 6e'!$B9="","",N('Classe 6e'!J9))</f>
        <v/>
      </c>
      <c r="N649" s="18" t="str">
        <f>IF('Classe 6e'!$B9="","",N('Classe 6e'!K9))</f>
        <v/>
      </c>
      <c r="O649" s="18" t="str">
        <f>IF('Classe 6e'!$B9="","",N('Classe 6e'!L9))</f>
        <v/>
      </c>
      <c r="P649" s="18" t="str">
        <f>IF('Classe 6e'!$B9="","",N('Classe 6e'!M9))</f>
        <v/>
      </c>
      <c r="Q649" s="17" t="str">
        <f>IF('Classe 6e'!$B9="","",IF('Classe 6e'!Q9="","",'Classe 6e'!Q9))</f>
        <v/>
      </c>
      <c r="R649" s="18" t="str">
        <f>IF('Classe 6e'!$B9="","",N('Classe 6e'!N9))</f>
        <v/>
      </c>
      <c r="S649" s="18" t="str">
        <f>IF('Classe 6e'!$B9="","",N('Classe 6e'!O9))</f>
        <v/>
      </c>
      <c r="T649" s="18" t="str">
        <f>IF('Classe 6e'!$B9="","",N('Classe 6e'!P9))</f>
        <v/>
      </c>
    </row>
    <row r="650">
      <c r="A650" s="20" t="str">
        <f>IF('Classe 6e'!$B10="","",IF('Classe 6e'!A10="","",'Classe 6e'!A10))</f>
        <v/>
      </c>
      <c r="B650" s="20" t="str">
        <f>IF('Classe 6e'!$B10="","",IF('Classe 6e'!B10="","",'Classe 6e'!B10))</f>
        <v/>
      </c>
      <c r="C650" s="20" t="str">
        <f>IF('Classe 6e'!$B10="","",IF('Classe 6e'!C10="","",'Classe 6e'!C10))</f>
        <v/>
      </c>
      <c r="D650" s="20" t="str">
        <f>IF($B650="","",C650&amp;" "&amp;B650&amp;" - "&amp;E650)</f>
        <v/>
      </c>
      <c r="E650" s="21" t="str">
        <f>IF($B650="","",Paramètres!$A$23)</f>
        <v/>
      </c>
      <c r="F650" s="21" t="str">
        <f>IF($B650="","",Paramètres!$B$23)</f>
        <v/>
      </c>
      <c r="G650" s="21" t="str">
        <f>IF('Classe 6e'!$B10="","",IF('Classe 6e'!D10="","",'Classe 6e'!D10))</f>
        <v/>
      </c>
      <c r="H650" s="77" t="str">
        <f>IF('Classe 6e'!$B10="","",IF('Classe 6e'!E10="","",'Classe 6e'!E10))</f>
        <v/>
      </c>
      <c r="I650" s="20" t="str">
        <f>IF('Classe 6e'!$B10="","",IF('Classe 6e'!F10="","",'Classe 6e'!F10))</f>
        <v/>
      </c>
      <c r="J650" s="20" t="str">
        <f>IF('Classe 6e'!$B10="","",IF('Classe 6e'!G10="","",'Classe 6e'!G10))</f>
        <v/>
      </c>
      <c r="K650" s="51" t="str">
        <f>IF('Classe 6e'!$B10="","",N('Classe 6e'!H10))</f>
        <v/>
      </c>
      <c r="L650" s="51" t="str">
        <f>IF('Classe 6e'!$B10="","",N('Classe 6e'!I10))</f>
        <v/>
      </c>
      <c r="M650" s="51" t="str">
        <f>IF('Classe 6e'!$B10="","",N('Classe 6e'!J10))</f>
        <v/>
      </c>
      <c r="N650" s="51" t="str">
        <f>IF('Classe 6e'!$B10="","",N('Classe 6e'!K10))</f>
        <v/>
      </c>
      <c r="O650" s="51" t="str">
        <f>IF('Classe 6e'!$B10="","",N('Classe 6e'!L10))</f>
        <v/>
      </c>
      <c r="P650" s="51" t="str">
        <f>IF('Classe 6e'!$B10="","",N('Classe 6e'!M10))</f>
        <v/>
      </c>
      <c r="Q650" s="21" t="str">
        <f>IF('Classe 6e'!$B10="","",IF('Classe 6e'!Q10="","",'Classe 6e'!Q10))</f>
        <v/>
      </c>
      <c r="R650" s="51" t="str">
        <f>IF('Classe 6e'!$B10="","",N('Classe 6e'!N10))</f>
        <v/>
      </c>
      <c r="S650" s="51" t="str">
        <f>IF('Classe 6e'!$B10="","",N('Classe 6e'!O10))</f>
        <v/>
      </c>
      <c r="T650" s="51" t="str">
        <f>IF('Classe 6e'!$B10="","",N('Classe 6e'!P10))</f>
        <v/>
      </c>
    </row>
    <row r="651">
      <c r="A651" s="16" t="str">
        <f>IF('Classe 6e'!$B11="","",IF('Classe 6e'!A11="","",'Classe 6e'!A11))</f>
        <v/>
      </c>
      <c r="B651" s="16" t="str">
        <f>IF('Classe 6e'!$B11="","",IF('Classe 6e'!B11="","",'Classe 6e'!B11))</f>
        <v/>
      </c>
      <c r="C651" s="16" t="str">
        <f>IF('Classe 6e'!$B11="","",IF('Classe 6e'!C11="","",'Classe 6e'!C11))</f>
        <v/>
      </c>
      <c r="D651" s="16" t="str">
        <f>IF($B651="","",C651&amp;" "&amp;B651&amp;" - "&amp;E651)</f>
        <v/>
      </c>
      <c r="E651" s="17" t="str">
        <f>IF($B651="","",Paramètres!$A$23)</f>
        <v/>
      </c>
      <c r="F651" s="17" t="str">
        <f>IF($B651="","",Paramètres!$B$23)</f>
        <v/>
      </c>
      <c r="G651" s="17" t="str">
        <f>IF('Classe 6e'!$B11="","",IF('Classe 6e'!D11="","",'Classe 6e'!D11))</f>
        <v/>
      </c>
      <c r="H651" s="78" t="str">
        <f>IF('Classe 6e'!$B11="","",IF('Classe 6e'!E11="","",'Classe 6e'!E11))</f>
        <v/>
      </c>
      <c r="I651" s="16" t="str">
        <f>IF('Classe 6e'!$B11="","",IF('Classe 6e'!F11="","",'Classe 6e'!F11))</f>
        <v/>
      </c>
      <c r="J651" s="16" t="str">
        <f>IF('Classe 6e'!$B11="","",IF('Classe 6e'!G11="","",'Classe 6e'!G11))</f>
        <v/>
      </c>
      <c r="K651" s="18" t="str">
        <f>IF('Classe 6e'!$B11="","",N('Classe 6e'!H11))</f>
        <v/>
      </c>
      <c r="L651" s="18" t="str">
        <f>IF('Classe 6e'!$B11="","",N('Classe 6e'!I11))</f>
        <v/>
      </c>
      <c r="M651" s="18" t="str">
        <f>IF('Classe 6e'!$B11="","",N('Classe 6e'!J11))</f>
        <v/>
      </c>
      <c r="N651" s="18" t="str">
        <f>IF('Classe 6e'!$B11="","",N('Classe 6e'!K11))</f>
        <v/>
      </c>
      <c r="O651" s="18" t="str">
        <f>IF('Classe 6e'!$B11="","",N('Classe 6e'!L11))</f>
        <v/>
      </c>
      <c r="P651" s="18" t="str">
        <f>IF('Classe 6e'!$B11="","",N('Classe 6e'!M11))</f>
        <v/>
      </c>
      <c r="Q651" s="17" t="str">
        <f>IF('Classe 6e'!$B11="","",IF('Classe 6e'!Q11="","",'Classe 6e'!Q11))</f>
        <v/>
      </c>
      <c r="R651" s="18" t="str">
        <f>IF('Classe 6e'!$B11="","",N('Classe 6e'!N11))</f>
        <v/>
      </c>
      <c r="S651" s="18" t="str">
        <f>IF('Classe 6e'!$B11="","",N('Classe 6e'!O11))</f>
        <v/>
      </c>
      <c r="T651" s="18" t="str">
        <f>IF('Classe 6e'!$B11="","",N('Classe 6e'!P11))</f>
        <v/>
      </c>
    </row>
    <row r="652">
      <c r="A652" s="20" t="str">
        <f>IF('Classe 6e'!$B12="","",IF('Classe 6e'!A12="","",'Classe 6e'!A12))</f>
        <v/>
      </c>
      <c r="B652" s="20" t="str">
        <f>IF('Classe 6e'!$B12="","",IF('Classe 6e'!B12="","",'Classe 6e'!B12))</f>
        <v/>
      </c>
      <c r="C652" s="20" t="str">
        <f>IF('Classe 6e'!$B12="","",IF('Classe 6e'!C12="","",'Classe 6e'!C12))</f>
        <v/>
      </c>
      <c r="D652" s="20" t="str">
        <f>IF($B652="","",C652&amp;" "&amp;B652&amp;" - "&amp;E652)</f>
        <v/>
      </c>
      <c r="E652" s="21" t="str">
        <f>IF($B652="","",Paramètres!$A$23)</f>
        <v/>
      </c>
      <c r="F652" s="21" t="str">
        <f>IF($B652="","",Paramètres!$B$23)</f>
        <v/>
      </c>
      <c r="G652" s="21" t="str">
        <f>IF('Classe 6e'!$B12="","",IF('Classe 6e'!D12="","",'Classe 6e'!D12))</f>
        <v/>
      </c>
      <c r="H652" s="77" t="str">
        <f>IF('Classe 6e'!$B12="","",IF('Classe 6e'!E12="","",'Classe 6e'!E12))</f>
        <v/>
      </c>
      <c r="I652" s="20" t="str">
        <f>IF('Classe 6e'!$B12="","",IF('Classe 6e'!F12="","",'Classe 6e'!F12))</f>
        <v/>
      </c>
      <c r="J652" s="20" t="str">
        <f>IF('Classe 6e'!$B12="","",IF('Classe 6e'!G12="","",'Classe 6e'!G12))</f>
        <v/>
      </c>
      <c r="K652" s="51" t="str">
        <f>IF('Classe 6e'!$B12="","",N('Classe 6e'!H12))</f>
        <v/>
      </c>
      <c r="L652" s="51" t="str">
        <f>IF('Classe 6e'!$B12="","",N('Classe 6e'!I12))</f>
        <v/>
      </c>
      <c r="M652" s="51" t="str">
        <f>IF('Classe 6e'!$B12="","",N('Classe 6e'!J12))</f>
        <v/>
      </c>
      <c r="N652" s="51" t="str">
        <f>IF('Classe 6e'!$B12="","",N('Classe 6e'!K12))</f>
        <v/>
      </c>
      <c r="O652" s="51" t="str">
        <f>IF('Classe 6e'!$B12="","",N('Classe 6e'!L12))</f>
        <v/>
      </c>
      <c r="P652" s="51" t="str">
        <f>IF('Classe 6e'!$B12="","",N('Classe 6e'!M12))</f>
        <v/>
      </c>
      <c r="Q652" s="21" t="str">
        <f>IF('Classe 6e'!$B12="","",IF('Classe 6e'!Q12="","",'Classe 6e'!Q12))</f>
        <v/>
      </c>
      <c r="R652" s="51" t="str">
        <f>IF('Classe 6e'!$B12="","",N('Classe 6e'!N12))</f>
        <v/>
      </c>
      <c r="S652" s="51" t="str">
        <f>IF('Classe 6e'!$B12="","",N('Classe 6e'!O12))</f>
        <v/>
      </c>
      <c r="T652" s="51" t="str">
        <f>IF('Classe 6e'!$B12="","",N('Classe 6e'!P12))</f>
        <v/>
      </c>
    </row>
    <row r="653">
      <c r="A653" s="16" t="str">
        <f>IF('Classe 6e'!$B13="","",IF('Classe 6e'!A13="","",'Classe 6e'!A13))</f>
        <v/>
      </c>
      <c r="B653" s="16" t="str">
        <f>IF('Classe 6e'!$B13="","",IF('Classe 6e'!B13="","",'Classe 6e'!B13))</f>
        <v/>
      </c>
      <c r="C653" s="16" t="str">
        <f>IF('Classe 6e'!$B13="","",IF('Classe 6e'!C13="","",'Classe 6e'!C13))</f>
        <v/>
      </c>
      <c r="D653" s="16" t="str">
        <f>IF($B653="","",C653&amp;" "&amp;B653&amp;" - "&amp;E653)</f>
        <v/>
      </c>
      <c r="E653" s="17" t="str">
        <f>IF($B653="","",Paramètres!$A$23)</f>
        <v/>
      </c>
      <c r="F653" s="17" t="str">
        <f>IF($B653="","",Paramètres!$B$23)</f>
        <v/>
      </c>
      <c r="G653" s="17" t="str">
        <f>IF('Classe 6e'!$B13="","",IF('Classe 6e'!D13="","",'Classe 6e'!D13))</f>
        <v/>
      </c>
      <c r="H653" s="78" t="str">
        <f>IF('Classe 6e'!$B13="","",IF('Classe 6e'!E13="","",'Classe 6e'!E13))</f>
        <v/>
      </c>
      <c r="I653" s="16" t="str">
        <f>IF('Classe 6e'!$B13="","",IF('Classe 6e'!F13="","",'Classe 6e'!F13))</f>
        <v/>
      </c>
      <c r="J653" s="16" t="str">
        <f>IF('Classe 6e'!$B13="","",IF('Classe 6e'!G13="","",'Classe 6e'!G13))</f>
        <v/>
      </c>
      <c r="K653" s="18" t="str">
        <f>IF('Classe 6e'!$B13="","",N('Classe 6e'!H13))</f>
        <v/>
      </c>
      <c r="L653" s="18" t="str">
        <f>IF('Classe 6e'!$B13="","",N('Classe 6e'!I13))</f>
        <v/>
      </c>
      <c r="M653" s="18" t="str">
        <f>IF('Classe 6e'!$B13="","",N('Classe 6e'!J13))</f>
        <v/>
      </c>
      <c r="N653" s="18" t="str">
        <f>IF('Classe 6e'!$B13="","",N('Classe 6e'!K13))</f>
        <v/>
      </c>
      <c r="O653" s="18" t="str">
        <f>IF('Classe 6e'!$B13="","",N('Classe 6e'!L13))</f>
        <v/>
      </c>
      <c r="P653" s="18" t="str">
        <f>IF('Classe 6e'!$B13="","",N('Classe 6e'!M13))</f>
        <v/>
      </c>
      <c r="Q653" s="17" t="str">
        <f>IF('Classe 6e'!$B13="","",IF('Classe 6e'!Q13="","",'Classe 6e'!Q13))</f>
        <v/>
      </c>
      <c r="R653" s="18" t="str">
        <f>IF('Classe 6e'!$B13="","",N('Classe 6e'!N13))</f>
        <v/>
      </c>
      <c r="S653" s="18" t="str">
        <f>IF('Classe 6e'!$B13="","",N('Classe 6e'!O13))</f>
        <v/>
      </c>
      <c r="T653" s="18" t="str">
        <f>IF('Classe 6e'!$B13="","",N('Classe 6e'!P13))</f>
        <v/>
      </c>
    </row>
    <row r="654">
      <c r="A654" s="20" t="str">
        <f>IF('Classe 6e'!$B14="","",IF('Classe 6e'!A14="","",'Classe 6e'!A14))</f>
        <v/>
      </c>
      <c r="B654" s="20" t="str">
        <f>IF('Classe 6e'!$B14="","",IF('Classe 6e'!B14="","",'Classe 6e'!B14))</f>
        <v/>
      </c>
      <c r="C654" s="20" t="str">
        <f>IF('Classe 6e'!$B14="","",IF('Classe 6e'!C14="","",'Classe 6e'!C14))</f>
        <v/>
      </c>
      <c r="D654" s="20" t="str">
        <f>IF($B654="","",C654&amp;" "&amp;B654&amp;" - "&amp;E654)</f>
        <v/>
      </c>
      <c r="E654" s="21" t="str">
        <f>IF($B654="","",Paramètres!$A$23)</f>
        <v/>
      </c>
      <c r="F654" s="21" t="str">
        <f>IF($B654="","",Paramètres!$B$23)</f>
        <v/>
      </c>
      <c r="G654" s="21" t="str">
        <f>IF('Classe 6e'!$B14="","",IF('Classe 6e'!D14="","",'Classe 6e'!D14))</f>
        <v/>
      </c>
      <c r="H654" s="77" t="str">
        <f>IF('Classe 6e'!$B14="","",IF('Classe 6e'!E14="","",'Classe 6e'!E14))</f>
        <v/>
      </c>
      <c r="I654" s="20" t="str">
        <f>IF('Classe 6e'!$B14="","",IF('Classe 6e'!F14="","",'Classe 6e'!F14))</f>
        <v/>
      </c>
      <c r="J654" s="20" t="str">
        <f>IF('Classe 6e'!$B14="","",IF('Classe 6e'!G14="","",'Classe 6e'!G14))</f>
        <v/>
      </c>
      <c r="K654" s="51" t="str">
        <f>IF('Classe 6e'!$B14="","",N('Classe 6e'!H14))</f>
        <v/>
      </c>
      <c r="L654" s="51" t="str">
        <f>IF('Classe 6e'!$B14="","",N('Classe 6e'!I14))</f>
        <v/>
      </c>
      <c r="M654" s="51" t="str">
        <f>IF('Classe 6e'!$B14="","",N('Classe 6e'!J14))</f>
        <v/>
      </c>
      <c r="N654" s="51" t="str">
        <f>IF('Classe 6e'!$B14="","",N('Classe 6e'!K14))</f>
        <v/>
      </c>
      <c r="O654" s="51" t="str">
        <f>IF('Classe 6e'!$B14="","",N('Classe 6e'!L14))</f>
        <v/>
      </c>
      <c r="P654" s="51" t="str">
        <f>IF('Classe 6e'!$B14="","",N('Classe 6e'!M14))</f>
        <v/>
      </c>
      <c r="Q654" s="21" t="str">
        <f>IF('Classe 6e'!$B14="","",IF('Classe 6e'!Q14="","",'Classe 6e'!Q14))</f>
        <v/>
      </c>
      <c r="R654" s="51" t="str">
        <f>IF('Classe 6e'!$B14="","",N('Classe 6e'!N14))</f>
        <v/>
      </c>
      <c r="S654" s="51" t="str">
        <f>IF('Classe 6e'!$B14="","",N('Classe 6e'!O14))</f>
        <v/>
      </c>
      <c r="T654" s="51" t="str">
        <f>IF('Classe 6e'!$B14="","",N('Classe 6e'!P14))</f>
        <v/>
      </c>
    </row>
    <row r="655">
      <c r="A655" s="16" t="str">
        <f>IF('Classe 6e'!$B15="","",IF('Classe 6e'!A15="","",'Classe 6e'!A15))</f>
        <v/>
      </c>
      <c r="B655" s="16" t="str">
        <f>IF('Classe 6e'!$B15="","",IF('Classe 6e'!B15="","",'Classe 6e'!B15))</f>
        <v/>
      </c>
      <c r="C655" s="16" t="str">
        <f>IF('Classe 6e'!$B15="","",IF('Classe 6e'!C15="","",'Classe 6e'!C15))</f>
        <v/>
      </c>
      <c r="D655" s="16" t="str">
        <f>IF($B655="","",C655&amp;" "&amp;B655&amp;" - "&amp;E655)</f>
        <v/>
      </c>
      <c r="E655" s="17" t="str">
        <f>IF($B655="","",Paramètres!$A$23)</f>
        <v/>
      </c>
      <c r="F655" s="17" t="str">
        <f>IF($B655="","",Paramètres!$B$23)</f>
        <v/>
      </c>
      <c r="G655" s="17" t="str">
        <f>IF('Classe 6e'!$B15="","",IF('Classe 6e'!D15="","",'Classe 6e'!D15))</f>
        <v/>
      </c>
      <c r="H655" s="78" t="str">
        <f>IF('Classe 6e'!$B15="","",IF('Classe 6e'!E15="","",'Classe 6e'!E15))</f>
        <v/>
      </c>
      <c r="I655" s="16" t="str">
        <f>IF('Classe 6e'!$B15="","",IF('Classe 6e'!F15="","",'Classe 6e'!F15))</f>
        <v/>
      </c>
      <c r="J655" s="16" t="str">
        <f>IF('Classe 6e'!$B15="","",IF('Classe 6e'!G15="","",'Classe 6e'!G15))</f>
        <v/>
      </c>
      <c r="K655" s="18" t="str">
        <f>IF('Classe 6e'!$B15="","",N('Classe 6e'!H15))</f>
        <v/>
      </c>
      <c r="L655" s="18" t="str">
        <f>IF('Classe 6e'!$B15="","",N('Classe 6e'!I15))</f>
        <v/>
      </c>
      <c r="M655" s="18" t="str">
        <f>IF('Classe 6e'!$B15="","",N('Classe 6e'!J15))</f>
        <v/>
      </c>
      <c r="N655" s="18" t="str">
        <f>IF('Classe 6e'!$B15="","",N('Classe 6e'!K15))</f>
        <v/>
      </c>
      <c r="O655" s="18" t="str">
        <f>IF('Classe 6e'!$B15="","",N('Classe 6e'!L15))</f>
        <v/>
      </c>
      <c r="P655" s="18" t="str">
        <f>IF('Classe 6e'!$B15="","",N('Classe 6e'!M15))</f>
        <v/>
      </c>
      <c r="Q655" s="17" t="str">
        <f>IF('Classe 6e'!$B15="","",IF('Classe 6e'!Q15="","",'Classe 6e'!Q15))</f>
        <v/>
      </c>
      <c r="R655" s="18" t="str">
        <f>IF('Classe 6e'!$B15="","",N('Classe 6e'!N15))</f>
        <v/>
      </c>
      <c r="S655" s="18" t="str">
        <f>IF('Classe 6e'!$B15="","",N('Classe 6e'!O15))</f>
        <v/>
      </c>
      <c r="T655" s="18" t="str">
        <f>IF('Classe 6e'!$B15="","",N('Classe 6e'!P15))</f>
        <v/>
      </c>
    </row>
    <row r="656">
      <c r="A656" s="20" t="str">
        <f>IF('Classe 6e'!$B16="","",IF('Classe 6e'!A16="","",'Classe 6e'!A16))</f>
        <v/>
      </c>
      <c r="B656" s="20" t="str">
        <f>IF('Classe 6e'!$B16="","",IF('Classe 6e'!B16="","",'Classe 6e'!B16))</f>
        <v/>
      </c>
      <c r="C656" s="20" t="str">
        <f>IF('Classe 6e'!$B16="","",IF('Classe 6e'!C16="","",'Classe 6e'!C16))</f>
        <v/>
      </c>
      <c r="D656" s="20" t="str">
        <f>IF($B656="","",C656&amp;" "&amp;B656&amp;" - "&amp;E656)</f>
        <v/>
      </c>
      <c r="E656" s="21" t="str">
        <f>IF($B656="","",Paramètres!$A$23)</f>
        <v/>
      </c>
      <c r="F656" s="21" t="str">
        <f>IF($B656="","",Paramètres!$B$23)</f>
        <v/>
      </c>
      <c r="G656" s="21" t="str">
        <f>IF('Classe 6e'!$B16="","",IF('Classe 6e'!D16="","",'Classe 6e'!D16))</f>
        <v/>
      </c>
      <c r="H656" s="77" t="str">
        <f>IF('Classe 6e'!$B16="","",IF('Classe 6e'!E16="","",'Classe 6e'!E16))</f>
        <v/>
      </c>
      <c r="I656" s="20" t="str">
        <f>IF('Classe 6e'!$B16="","",IF('Classe 6e'!F16="","",'Classe 6e'!F16))</f>
        <v/>
      </c>
      <c r="J656" s="20" t="str">
        <f>IF('Classe 6e'!$B16="","",IF('Classe 6e'!G16="","",'Classe 6e'!G16))</f>
        <v/>
      </c>
      <c r="K656" s="51" t="str">
        <f>IF('Classe 6e'!$B16="","",N('Classe 6e'!H16))</f>
        <v/>
      </c>
      <c r="L656" s="51" t="str">
        <f>IF('Classe 6e'!$B16="","",N('Classe 6e'!I16))</f>
        <v/>
      </c>
      <c r="M656" s="51" t="str">
        <f>IF('Classe 6e'!$B16="","",N('Classe 6e'!J16))</f>
        <v/>
      </c>
      <c r="N656" s="51" t="str">
        <f>IF('Classe 6e'!$B16="","",N('Classe 6e'!K16))</f>
        <v/>
      </c>
      <c r="O656" s="51" t="str">
        <f>IF('Classe 6e'!$B16="","",N('Classe 6e'!L16))</f>
        <v/>
      </c>
      <c r="P656" s="51" t="str">
        <f>IF('Classe 6e'!$B16="","",N('Classe 6e'!M16))</f>
        <v/>
      </c>
      <c r="Q656" s="21" t="str">
        <f>IF('Classe 6e'!$B16="","",IF('Classe 6e'!Q16="","",'Classe 6e'!Q16))</f>
        <v/>
      </c>
      <c r="R656" s="51" t="str">
        <f>IF('Classe 6e'!$B16="","",N('Classe 6e'!N16))</f>
        <v/>
      </c>
      <c r="S656" s="51" t="str">
        <f>IF('Classe 6e'!$B16="","",N('Classe 6e'!O16))</f>
        <v/>
      </c>
      <c r="T656" s="51" t="str">
        <f>IF('Classe 6e'!$B16="","",N('Classe 6e'!P16))</f>
        <v/>
      </c>
    </row>
    <row r="657">
      <c r="A657" s="16" t="str">
        <f>IF('Classe 6e'!$B17="","",IF('Classe 6e'!A17="","",'Classe 6e'!A17))</f>
        <v/>
      </c>
      <c r="B657" s="16" t="str">
        <f>IF('Classe 6e'!$B17="","",IF('Classe 6e'!B17="","",'Classe 6e'!B17))</f>
        <v/>
      </c>
      <c r="C657" s="16" t="str">
        <f>IF('Classe 6e'!$B17="","",IF('Classe 6e'!C17="","",'Classe 6e'!C17))</f>
        <v/>
      </c>
      <c r="D657" s="16" t="str">
        <f>IF($B657="","",C657&amp;" "&amp;B657&amp;" - "&amp;E657)</f>
        <v/>
      </c>
      <c r="E657" s="17" t="str">
        <f>IF($B657="","",Paramètres!$A$23)</f>
        <v/>
      </c>
      <c r="F657" s="17" t="str">
        <f>IF($B657="","",Paramètres!$B$23)</f>
        <v/>
      </c>
      <c r="G657" s="17" t="str">
        <f>IF('Classe 6e'!$B17="","",IF('Classe 6e'!D17="","",'Classe 6e'!D17))</f>
        <v/>
      </c>
      <c r="H657" s="78" t="str">
        <f>IF('Classe 6e'!$B17="","",IF('Classe 6e'!E17="","",'Classe 6e'!E17))</f>
        <v/>
      </c>
      <c r="I657" s="16" t="str">
        <f>IF('Classe 6e'!$B17="","",IF('Classe 6e'!F17="","",'Classe 6e'!F17))</f>
        <v/>
      </c>
      <c r="J657" s="16" t="str">
        <f>IF('Classe 6e'!$B17="","",IF('Classe 6e'!G17="","",'Classe 6e'!G17))</f>
        <v/>
      </c>
      <c r="K657" s="18" t="str">
        <f>IF('Classe 6e'!$B17="","",N('Classe 6e'!H17))</f>
        <v/>
      </c>
      <c r="L657" s="18" t="str">
        <f>IF('Classe 6e'!$B17="","",N('Classe 6e'!I17))</f>
        <v/>
      </c>
      <c r="M657" s="18" t="str">
        <f>IF('Classe 6e'!$B17="","",N('Classe 6e'!J17))</f>
        <v/>
      </c>
      <c r="N657" s="18" t="str">
        <f>IF('Classe 6e'!$B17="","",N('Classe 6e'!K17))</f>
        <v/>
      </c>
      <c r="O657" s="18" t="str">
        <f>IF('Classe 6e'!$B17="","",N('Classe 6e'!L17))</f>
        <v/>
      </c>
      <c r="P657" s="18" t="str">
        <f>IF('Classe 6e'!$B17="","",N('Classe 6e'!M17))</f>
        <v/>
      </c>
      <c r="Q657" s="17" t="str">
        <f>IF('Classe 6e'!$B17="","",IF('Classe 6e'!Q17="","",'Classe 6e'!Q17))</f>
        <v/>
      </c>
      <c r="R657" s="18" t="str">
        <f>IF('Classe 6e'!$B17="","",N('Classe 6e'!N17))</f>
        <v/>
      </c>
      <c r="S657" s="18" t="str">
        <f>IF('Classe 6e'!$B17="","",N('Classe 6e'!O17))</f>
        <v/>
      </c>
      <c r="T657" s="18" t="str">
        <f>IF('Classe 6e'!$B17="","",N('Classe 6e'!P17))</f>
        <v/>
      </c>
    </row>
    <row r="658">
      <c r="A658" s="20" t="str">
        <f>IF('Classe 6e'!$B18="","",IF('Classe 6e'!A18="","",'Classe 6e'!A18))</f>
        <v/>
      </c>
      <c r="B658" s="20" t="str">
        <f>IF('Classe 6e'!$B18="","",IF('Classe 6e'!B18="","",'Classe 6e'!B18))</f>
        <v/>
      </c>
      <c r="C658" s="20" t="str">
        <f>IF('Classe 6e'!$B18="","",IF('Classe 6e'!C18="","",'Classe 6e'!C18))</f>
        <v/>
      </c>
      <c r="D658" s="20" t="str">
        <f>IF($B658="","",C658&amp;" "&amp;B658&amp;" - "&amp;E658)</f>
        <v/>
      </c>
      <c r="E658" s="21" t="str">
        <f>IF($B658="","",Paramètres!$A$23)</f>
        <v/>
      </c>
      <c r="F658" s="21" t="str">
        <f>IF($B658="","",Paramètres!$B$23)</f>
        <v/>
      </c>
      <c r="G658" s="21" t="str">
        <f>IF('Classe 6e'!$B18="","",IF('Classe 6e'!D18="","",'Classe 6e'!D18))</f>
        <v/>
      </c>
      <c r="H658" s="77" t="str">
        <f>IF('Classe 6e'!$B18="","",IF('Classe 6e'!E18="","",'Classe 6e'!E18))</f>
        <v/>
      </c>
      <c r="I658" s="20" t="str">
        <f>IF('Classe 6e'!$B18="","",IF('Classe 6e'!F18="","",'Classe 6e'!F18))</f>
        <v/>
      </c>
      <c r="J658" s="20" t="str">
        <f>IF('Classe 6e'!$B18="","",IF('Classe 6e'!G18="","",'Classe 6e'!G18))</f>
        <v/>
      </c>
      <c r="K658" s="51" t="str">
        <f>IF('Classe 6e'!$B18="","",N('Classe 6e'!H18))</f>
        <v/>
      </c>
      <c r="L658" s="51" t="str">
        <f>IF('Classe 6e'!$B18="","",N('Classe 6e'!I18))</f>
        <v/>
      </c>
      <c r="M658" s="51" t="str">
        <f>IF('Classe 6e'!$B18="","",N('Classe 6e'!J18))</f>
        <v/>
      </c>
      <c r="N658" s="51" t="str">
        <f>IF('Classe 6e'!$B18="","",N('Classe 6e'!K18))</f>
        <v/>
      </c>
      <c r="O658" s="51" t="str">
        <f>IF('Classe 6e'!$B18="","",N('Classe 6e'!L18))</f>
        <v/>
      </c>
      <c r="P658" s="51" t="str">
        <f>IF('Classe 6e'!$B18="","",N('Classe 6e'!M18))</f>
        <v/>
      </c>
      <c r="Q658" s="21" t="str">
        <f>IF('Classe 6e'!$B18="","",IF('Classe 6e'!Q18="","",'Classe 6e'!Q18))</f>
        <v/>
      </c>
      <c r="R658" s="51" t="str">
        <f>IF('Classe 6e'!$B18="","",N('Classe 6e'!N18))</f>
        <v/>
      </c>
      <c r="S658" s="51" t="str">
        <f>IF('Classe 6e'!$B18="","",N('Classe 6e'!O18))</f>
        <v/>
      </c>
      <c r="T658" s="51" t="str">
        <f>IF('Classe 6e'!$B18="","",N('Classe 6e'!P18))</f>
        <v/>
      </c>
    </row>
    <row r="659">
      <c r="A659" s="16" t="str">
        <f>IF('Classe 6e'!$B19="","",IF('Classe 6e'!A19="","",'Classe 6e'!A19))</f>
        <v/>
      </c>
      <c r="B659" s="16" t="str">
        <f>IF('Classe 6e'!$B19="","",IF('Classe 6e'!B19="","",'Classe 6e'!B19))</f>
        <v/>
      </c>
      <c r="C659" s="16" t="str">
        <f>IF('Classe 6e'!$B19="","",IF('Classe 6e'!C19="","",'Classe 6e'!C19))</f>
        <v/>
      </c>
      <c r="D659" s="16" t="str">
        <f>IF($B659="","",C659&amp;" "&amp;B659&amp;" - "&amp;E659)</f>
        <v/>
      </c>
      <c r="E659" s="17" t="str">
        <f>IF($B659="","",Paramètres!$A$23)</f>
        <v/>
      </c>
      <c r="F659" s="17" t="str">
        <f>IF($B659="","",Paramètres!$B$23)</f>
        <v/>
      </c>
      <c r="G659" s="17" t="str">
        <f>IF('Classe 6e'!$B19="","",IF('Classe 6e'!D19="","",'Classe 6e'!D19))</f>
        <v/>
      </c>
      <c r="H659" s="78" t="str">
        <f>IF('Classe 6e'!$B19="","",IF('Classe 6e'!E19="","",'Classe 6e'!E19))</f>
        <v/>
      </c>
      <c r="I659" s="16" t="str">
        <f>IF('Classe 6e'!$B19="","",IF('Classe 6e'!F19="","",'Classe 6e'!F19))</f>
        <v/>
      </c>
      <c r="J659" s="16" t="str">
        <f>IF('Classe 6e'!$B19="","",IF('Classe 6e'!G19="","",'Classe 6e'!G19))</f>
        <v/>
      </c>
      <c r="K659" s="18" t="str">
        <f>IF('Classe 6e'!$B19="","",N('Classe 6e'!H19))</f>
        <v/>
      </c>
      <c r="L659" s="18" t="str">
        <f>IF('Classe 6e'!$B19="","",N('Classe 6e'!I19))</f>
        <v/>
      </c>
      <c r="M659" s="18" t="str">
        <f>IF('Classe 6e'!$B19="","",N('Classe 6e'!J19))</f>
        <v/>
      </c>
      <c r="N659" s="18" t="str">
        <f>IF('Classe 6e'!$B19="","",N('Classe 6e'!K19))</f>
        <v/>
      </c>
      <c r="O659" s="18" t="str">
        <f>IF('Classe 6e'!$B19="","",N('Classe 6e'!L19))</f>
        <v/>
      </c>
      <c r="P659" s="18" t="str">
        <f>IF('Classe 6e'!$B19="","",N('Classe 6e'!M19))</f>
        <v/>
      </c>
      <c r="Q659" s="17" t="str">
        <f>IF('Classe 6e'!$B19="","",IF('Classe 6e'!Q19="","",'Classe 6e'!Q19))</f>
        <v/>
      </c>
      <c r="R659" s="18" t="str">
        <f>IF('Classe 6e'!$B19="","",N('Classe 6e'!N19))</f>
        <v/>
      </c>
      <c r="S659" s="18" t="str">
        <f>IF('Classe 6e'!$B19="","",N('Classe 6e'!O19))</f>
        <v/>
      </c>
      <c r="T659" s="18" t="str">
        <f>IF('Classe 6e'!$B19="","",N('Classe 6e'!P19))</f>
        <v/>
      </c>
    </row>
    <row r="660">
      <c r="A660" s="20" t="str">
        <f>IF('Classe 6e'!$B20="","",IF('Classe 6e'!A20="","",'Classe 6e'!A20))</f>
        <v/>
      </c>
      <c r="B660" s="20" t="str">
        <f>IF('Classe 6e'!$B20="","",IF('Classe 6e'!B20="","",'Classe 6e'!B20))</f>
        <v/>
      </c>
      <c r="C660" s="20" t="str">
        <f>IF('Classe 6e'!$B20="","",IF('Classe 6e'!C20="","",'Classe 6e'!C20))</f>
        <v/>
      </c>
      <c r="D660" s="20" t="str">
        <f>IF($B660="","",C660&amp;" "&amp;B660&amp;" - "&amp;E660)</f>
        <v/>
      </c>
      <c r="E660" s="21" t="str">
        <f>IF($B660="","",Paramètres!$A$23)</f>
        <v/>
      </c>
      <c r="F660" s="21" t="str">
        <f>IF($B660="","",Paramètres!$B$23)</f>
        <v/>
      </c>
      <c r="G660" s="21" t="str">
        <f>IF('Classe 6e'!$B20="","",IF('Classe 6e'!D20="","",'Classe 6e'!D20))</f>
        <v/>
      </c>
      <c r="H660" s="77" t="str">
        <f>IF('Classe 6e'!$B20="","",IF('Classe 6e'!E20="","",'Classe 6e'!E20))</f>
        <v/>
      </c>
      <c r="I660" s="20" t="str">
        <f>IF('Classe 6e'!$B20="","",IF('Classe 6e'!F20="","",'Classe 6e'!F20))</f>
        <v/>
      </c>
      <c r="J660" s="20" t="str">
        <f>IF('Classe 6e'!$B20="","",IF('Classe 6e'!G20="","",'Classe 6e'!G20))</f>
        <v/>
      </c>
      <c r="K660" s="51" t="str">
        <f>IF('Classe 6e'!$B20="","",N('Classe 6e'!H20))</f>
        <v/>
      </c>
      <c r="L660" s="51" t="str">
        <f>IF('Classe 6e'!$B20="","",N('Classe 6e'!I20))</f>
        <v/>
      </c>
      <c r="M660" s="51" t="str">
        <f>IF('Classe 6e'!$B20="","",N('Classe 6e'!J20))</f>
        <v/>
      </c>
      <c r="N660" s="51" t="str">
        <f>IF('Classe 6e'!$B20="","",N('Classe 6e'!K20))</f>
        <v/>
      </c>
      <c r="O660" s="51" t="str">
        <f>IF('Classe 6e'!$B20="","",N('Classe 6e'!L20))</f>
        <v/>
      </c>
      <c r="P660" s="51" t="str">
        <f>IF('Classe 6e'!$B20="","",N('Classe 6e'!M20))</f>
        <v/>
      </c>
      <c r="Q660" s="21" t="str">
        <f>IF('Classe 6e'!$B20="","",IF('Classe 6e'!Q20="","",'Classe 6e'!Q20))</f>
        <v/>
      </c>
      <c r="R660" s="51" t="str">
        <f>IF('Classe 6e'!$B20="","",N('Classe 6e'!N20))</f>
        <v/>
      </c>
      <c r="S660" s="51" t="str">
        <f>IF('Classe 6e'!$B20="","",N('Classe 6e'!O20))</f>
        <v/>
      </c>
      <c r="T660" s="51" t="str">
        <f>IF('Classe 6e'!$B20="","",N('Classe 6e'!P20))</f>
        <v/>
      </c>
    </row>
    <row r="661">
      <c r="A661" s="16" t="str">
        <f>IF('Classe 6e'!$B21="","",IF('Classe 6e'!A21="","",'Classe 6e'!A21))</f>
        <v/>
      </c>
      <c r="B661" s="16" t="str">
        <f>IF('Classe 6e'!$B21="","",IF('Classe 6e'!B21="","",'Classe 6e'!B21))</f>
        <v/>
      </c>
      <c r="C661" s="16" t="str">
        <f>IF('Classe 6e'!$B21="","",IF('Classe 6e'!C21="","",'Classe 6e'!C21))</f>
        <v/>
      </c>
      <c r="D661" s="16" t="str">
        <f>IF($B661="","",C661&amp;" "&amp;B661&amp;" - "&amp;E661)</f>
        <v/>
      </c>
      <c r="E661" s="17" t="str">
        <f>IF($B661="","",Paramètres!$A$23)</f>
        <v/>
      </c>
      <c r="F661" s="17" t="str">
        <f>IF($B661="","",Paramètres!$B$23)</f>
        <v/>
      </c>
      <c r="G661" s="17" t="str">
        <f>IF('Classe 6e'!$B21="","",IF('Classe 6e'!D21="","",'Classe 6e'!D21))</f>
        <v/>
      </c>
      <c r="H661" s="78" t="str">
        <f>IF('Classe 6e'!$B21="","",IF('Classe 6e'!E21="","",'Classe 6e'!E21))</f>
        <v/>
      </c>
      <c r="I661" s="16" t="str">
        <f>IF('Classe 6e'!$B21="","",IF('Classe 6e'!F21="","",'Classe 6e'!F21))</f>
        <v/>
      </c>
      <c r="J661" s="16" t="str">
        <f>IF('Classe 6e'!$B21="","",IF('Classe 6e'!G21="","",'Classe 6e'!G21))</f>
        <v/>
      </c>
      <c r="K661" s="18" t="str">
        <f>IF('Classe 6e'!$B21="","",N('Classe 6e'!H21))</f>
        <v/>
      </c>
      <c r="L661" s="18" t="str">
        <f>IF('Classe 6e'!$B21="","",N('Classe 6e'!I21))</f>
        <v/>
      </c>
      <c r="M661" s="18" t="str">
        <f>IF('Classe 6e'!$B21="","",N('Classe 6e'!J21))</f>
        <v/>
      </c>
      <c r="N661" s="18" t="str">
        <f>IF('Classe 6e'!$B21="","",N('Classe 6e'!K21))</f>
        <v/>
      </c>
      <c r="O661" s="18" t="str">
        <f>IF('Classe 6e'!$B21="","",N('Classe 6e'!L21))</f>
        <v/>
      </c>
      <c r="P661" s="18" t="str">
        <f>IF('Classe 6e'!$B21="","",N('Classe 6e'!M21))</f>
        <v/>
      </c>
      <c r="Q661" s="17" t="str">
        <f>IF('Classe 6e'!$B21="","",IF('Classe 6e'!Q21="","",'Classe 6e'!Q21))</f>
        <v/>
      </c>
      <c r="R661" s="18" t="str">
        <f>IF('Classe 6e'!$B21="","",N('Classe 6e'!N21))</f>
        <v/>
      </c>
      <c r="S661" s="18" t="str">
        <f>IF('Classe 6e'!$B21="","",N('Classe 6e'!O21))</f>
        <v/>
      </c>
      <c r="T661" s="18" t="str">
        <f>IF('Classe 6e'!$B21="","",N('Classe 6e'!P21))</f>
        <v/>
      </c>
    </row>
    <row r="662">
      <c r="A662" s="20" t="str">
        <f>IF('Classe 6e'!$B22="","",IF('Classe 6e'!A22="","",'Classe 6e'!A22))</f>
        <v/>
      </c>
      <c r="B662" s="20" t="str">
        <f>IF('Classe 6e'!$B22="","",IF('Classe 6e'!B22="","",'Classe 6e'!B22))</f>
        <v/>
      </c>
      <c r="C662" s="20" t="str">
        <f>IF('Classe 6e'!$B22="","",IF('Classe 6e'!C22="","",'Classe 6e'!C22))</f>
        <v/>
      </c>
      <c r="D662" s="20" t="str">
        <f>IF($B662="","",C662&amp;" "&amp;B662&amp;" - "&amp;E662)</f>
        <v/>
      </c>
      <c r="E662" s="21" t="str">
        <f>IF($B662="","",Paramètres!$A$23)</f>
        <v/>
      </c>
      <c r="F662" s="21" t="str">
        <f>IF($B662="","",Paramètres!$B$23)</f>
        <v/>
      </c>
      <c r="G662" s="21" t="str">
        <f>IF('Classe 6e'!$B22="","",IF('Classe 6e'!D22="","",'Classe 6e'!D22))</f>
        <v/>
      </c>
      <c r="H662" s="77" t="str">
        <f>IF('Classe 6e'!$B22="","",IF('Classe 6e'!E22="","",'Classe 6e'!E22))</f>
        <v/>
      </c>
      <c r="I662" s="20" t="str">
        <f>IF('Classe 6e'!$B22="","",IF('Classe 6e'!F22="","",'Classe 6e'!F22))</f>
        <v/>
      </c>
      <c r="J662" s="20" t="str">
        <f>IF('Classe 6e'!$B22="","",IF('Classe 6e'!G22="","",'Classe 6e'!G22))</f>
        <v/>
      </c>
      <c r="K662" s="51" t="str">
        <f>IF('Classe 6e'!$B22="","",N('Classe 6e'!H22))</f>
        <v/>
      </c>
      <c r="L662" s="51" t="str">
        <f>IF('Classe 6e'!$B22="","",N('Classe 6e'!I22))</f>
        <v/>
      </c>
      <c r="M662" s="51" t="str">
        <f>IF('Classe 6e'!$B22="","",N('Classe 6e'!J22))</f>
        <v/>
      </c>
      <c r="N662" s="51" t="str">
        <f>IF('Classe 6e'!$B22="","",N('Classe 6e'!K22))</f>
        <v/>
      </c>
      <c r="O662" s="51" t="str">
        <f>IF('Classe 6e'!$B22="","",N('Classe 6e'!L22))</f>
        <v/>
      </c>
      <c r="P662" s="51" t="str">
        <f>IF('Classe 6e'!$B22="","",N('Classe 6e'!M22))</f>
        <v/>
      </c>
      <c r="Q662" s="21" t="str">
        <f>IF('Classe 6e'!$B22="","",IF('Classe 6e'!Q22="","",'Classe 6e'!Q22))</f>
        <v/>
      </c>
      <c r="R662" s="51" t="str">
        <f>IF('Classe 6e'!$B22="","",N('Classe 6e'!N22))</f>
        <v/>
      </c>
      <c r="S662" s="51" t="str">
        <f>IF('Classe 6e'!$B22="","",N('Classe 6e'!O22))</f>
        <v/>
      </c>
      <c r="T662" s="51" t="str">
        <f>IF('Classe 6e'!$B22="","",N('Classe 6e'!P22))</f>
        <v/>
      </c>
    </row>
    <row r="663">
      <c r="A663" s="16" t="str">
        <f>IF('Classe 6e'!$B23="","",IF('Classe 6e'!A23="","",'Classe 6e'!A23))</f>
        <v/>
      </c>
      <c r="B663" s="16" t="str">
        <f>IF('Classe 6e'!$B23="","",IF('Classe 6e'!B23="","",'Classe 6e'!B23))</f>
        <v/>
      </c>
      <c r="C663" s="16" t="str">
        <f>IF('Classe 6e'!$B23="","",IF('Classe 6e'!C23="","",'Classe 6e'!C23))</f>
        <v/>
      </c>
      <c r="D663" s="16" t="str">
        <f>IF($B663="","",C663&amp;" "&amp;B663&amp;" - "&amp;E663)</f>
        <v/>
      </c>
      <c r="E663" s="17" t="str">
        <f>IF($B663="","",Paramètres!$A$23)</f>
        <v/>
      </c>
      <c r="F663" s="17" t="str">
        <f>IF($B663="","",Paramètres!$B$23)</f>
        <v/>
      </c>
      <c r="G663" s="17" t="str">
        <f>IF('Classe 6e'!$B23="","",IF('Classe 6e'!D23="","",'Classe 6e'!D23))</f>
        <v/>
      </c>
      <c r="H663" s="78" t="str">
        <f>IF('Classe 6e'!$B23="","",IF('Classe 6e'!E23="","",'Classe 6e'!E23))</f>
        <v/>
      </c>
      <c r="I663" s="16" t="str">
        <f>IF('Classe 6e'!$B23="","",IF('Classe 6e'!F23="","",'Classe 6e'!F23))</f>
        <v/>
      </c>
      <c r="J663" s="16" t="str">
        <f>IF('Classe 6e'!$B23="","",IF('Classe 6e'!G23="","",'Classe 6e'!G23))</f>
        <v/>
      </c>
      <c r="K663" s="18" t="str">
        <f>IF('Classe 6e'!$B23="","",N('Classe 6e'!H23))</f>
        <v/>
      </c>
      <c r="L663" s="18" t="str">
        <f>IF('Classe 6e'!$B23="","",N('Classe 6e'!I23))</f>
        <v/>
      </c>
      <c r="M663" s="18" t="str">
        <f>IF('Classe 6e'!$B23="","",N('Classe 6e'!J23))</f>
        <v/>
      </c>
      <c r="N663" s="18" t="str">
        <f>IF('Classe 6e'!$B23="","",N('Classe 6e'!K23))</f>
        <v/>
      </c>
      <c r="O663" s="18" t="str">
        <f>IF('Classe 6e'!$B23="","",N('Classe 6e'!L23))</f>
        <v/>
      </c>
      <c r="P663" s="18" t="str">
        <f>IF('Classe 6e'!$B23="","",N('Classe 6e'!M23))</f>
        <v/>
      </c>
      <c r="Q663" s="17" t="str">
        <f>IF('Classe 6e'!$B23="","",IF('Classe 6e'!Q23="","",'Classe 6e'!Q23))</f>
        <v/>
      </c>
      <c r="R663" s="18" t="str">
        <f>IF('Classe 6e'!$B23="","",N('Classe 6e'!N23))</f>
        <v/>
      </c>
      <c r="S663" s="18" t="str">
        <f>IF('Classe 6e'!$B23="","",N('Classe 6e'!O23))</f>
        <v/>
      </c>
      <c r="T663" s="18" t="str">
        <f>IF('Classe 6e'!$B23="","",N('Classe 6e'!P23))</f>
        <v/>
      </c>
    </row>
    <row r="664">
      <c r="A664" s="20" t="str">
        <f>IF('Classe 6e'!$B24="","",IF('Classe 6e'!A24="","",'Classe 6e'!A24))</f>
        <v/>
      </c>
      <c r="B664" s="20" t="str">
        <f>IF('Classe 6e'!$B24="","",IF('Classe 6e'!B24="","",'Classe 6e'!B24))</f>
        <v/>
      </c>
      <c r="C664" s="20" t="str">
        <f>IF('Classe 6e'!$B24="","",IF('Classe 6e'!C24="","",'Classe 6e'!C24))</f>
        <v/>
      </c>
      <c r="D664" s="20" t="str">
        <f>IF($B664="","",C664&amp;" "&amp;B664&amp;" - "&amp;E664)</f>
        <v/>
      </c>
      <c r="E664" s="21" t="str">
        <f>IF($B664="","",Paramètres!$A$23)</f>
        <v/>
      </c>
      <c r="F664" s="21" t="str">
        <f>IF($B664="","",Paramètres!$B$23)</f>
        <v/>
      </c>
      <c r="G664" s="21" t="str">
        <f>IF('Classe 6e'!$B24="","",IF('Classe 6e'!D24="","",'Classe 6e'!D24))</f>
        <v/>
      </c>
      <c r="H664" s="77" t="str">
        <f>IF('Classe 6e'!$B24="","",IF('Classe 6e'!E24="","",'Classe 6e'!E24))</f>
        <v/>
      </c>
      <c r="I664" s="20" t="str">
        <f>IF('Classe 6e'!$B24="","",IF('Classe 6e'!F24="","",'Classe 6e'!F24))</f>
        <v/>
      </c>
      <c r="J664" s="20" t="str">
        <f>IF('Classe 6e'!$B24="","",IF('Classe 6e'!G24="","",'Classe 6e'!G24))</f>
        <v/>
      </c>
      <c r="K664" s="51" t="str">
        <f>IF('Classe 6e'!$B24="","",N('Classe 6e'!H24))</f>
        <v/>
      </c>
      <c r="L664" s="51" t="str">
        <f>IF('Classe 6e'!$B24="","",N('Classe 6e'!I24))</f>
        <v/>
      </c>
      <c r="M664" s="51" t="str">
        <f>IF('Classe 6e'!$B24="","",N('Classe 6e'!J24))</f>
        <v/>
      </c>
      <c r="N664" s="51" t="str">
        <f>IF('Classe 6e'!$B24="","",N('Classe 6e'!K24))</f>
        <v/>
      </c>
      <c r="O664" s="51" t="str">
        <f>IF('Classe 6e'!$B24="","",N('Classe 6e'!L24))</f>
        <v/>
      </c>
      <c r="P664" s="51" t="str">
        <f>IF('Classe 6e'!$B24="","",N('Classe 6e'!M24))</f>
        <v/>
      </c>
      <c r="Q664" s="21" t="str">
        <f>IF('Classe 6e'!$B24="","",IF('Classe 6e'!Q24="","",'Classe 6e'!Q24))</f>
        <v/>
      </c>
      <c r="R664" s="51" t="str">
        <f>IF('Classe 6e'!$B24="","",N('Classe 6e'!N24))</f>
        <v/>
      </c>
      <c r="S664" s="51" t="str">
        <f>IF('Classe 6e'!$B24="","",N('Classe 6e'!O24))</f>
        <v/>
      </c>
      <c r="T664" s="51" t="str">
        <f>IF('Classe 6e'!$B24="","",N('Classe 6e'!P24))</f>
        <v/>
      </c>
    </row>
    <row r="665">
      <c r="A665" s="16" t="str">
        <f>IF('Classe 6e'!$B25="","",IF('Classe 6e'!A25="","",'Classe 6e'!A25))</f>
        <v/>
      </c>
      <c r="B665" s="16" t="str">
        <f>IF('Classe 6e'!$B25="","",IF('Classe 6e'!B25="","",'Classe 6e'!B25))</f>
        <v/>
      </c>
      <c r="C665" s="16" t="str">
        <f>IF('Classe 6e'!$B25="","",IF('Classe 6e'!C25="","",'Classe 6e'!C25))</f>
        <v/>
      </c>
      <c r="D665" s="16" t="str">
        <f>IF($B665="","",C665&amp;" "&amp;B665&amp;" - "&amp;E665)</f>
        <v/>
      </c>
      <c r="E665" s="17" t="str">
        <f>IF($B665="","",Paramètres!$A$23)</f>
        <v/>
      </c>
      <c r="F665" s="17" t="str">
        <f>IF($B665="","",Paramètres!$B$23)</f>
        <v/>
      </c>
      <c r="G665" s="17" t="str">
        <f>IF('Classe 6e'!$B25="","",IF('Classe 6e'!D25="","",'Classe 6e'!D25))</f>
        <v/>
      </c>
      <c r="H665" s="78" t="str">
        <f>IF('Classe 6e'!$B25="","",IF('Classe 6e'!E25="","",'Classe 6e'!E25))</f>
        <v/>
      </c>
      <c r="I665" s="16" t="str">
        <f>IF('Classe 6e'!$B25="","",IF('Classe 6e'!F25="","",'Classe 6e'!F25))</f>
        <v/>
      </c>
      <c r="J665" s="16" t="str">
        <f>IF('Classe 6e'!$B25="","",IF('Classe 6e'!G25="","",'Classe 6e'!G25))</f>
        <v/>
      </c>
      <c r="K665" s="18" t="str">
        <f>IF('Classe 6e'!$B25="","",N('Classe 6e'!H25))</f>
        <v/>
      </c>
      <c r="L665" s="18" t="str">
        <f>IF('Classe 6e'!$B25="","",N('Classe 6e'!I25))</f>
        <v/>
      </c>
      <c r="M665" s="18" t="str">
        <f>IF('Classe 6e'!$B25="","",N('Classe 6e'!J25))</f>
        <v/>
      </c>
      <c r="N665" s="18" t="str">
        <f>IF('Classe 6e'!$B25="","",N('Classe 6e'!K25))</f>
        <v/>
      </c>
      <c r="O665" s="18" t="str">
        <f>IF('Classe 6e'!$B25="","",N('Classe 6e'!L25))</f>
        <v/>
      </c>
      <c r="P665" s="18" t="str">
        <f>IF('Classe 6e'!$B25="","",N('Classe 6e'!M25))</f>
        <v/>
      </c>
      <c r="Q665" s="17" t="str">
        <f>IF('Classe 6e'!$B25="","",IF('Classe 6e'!Q25="","",'Classe 6e'!Q25))</f>
        <v/>
      </c>
      <c r="R665" s="18" t="str">
        <f>IF('Classe 6e'!$B25="","",N('Classe 6e'!N25))</f>
        <v/>
      </c>
      <c r="S665" s="18" t="str">
        <f>IF('Classe 6e'!$B25="","",N('Classe 6e'!O25))</f>
        <v/>
      </c>
      <c r="T665" s="18" t="str">
        <f>IF('Classe 6e'!$B25="","",N('Classe 6e'!P25))</f>
        <v/>
      </c>
    </row>
    <row r="666">
      <c r="A666" s="20" t="str">
        <f>IF('Classe 6e'!$B26="","",IF('Classe 6e'!A26="","",'Classe 6e'!A26))</f>
        <v/>
      </c>
      <c r="B666" s="20" t="str">
        <f>IF('Classe 6e'!$B26="","",IF('Classe 6e'!B26="","",'Classe 6e'!B26))</f>
        <v/>
      </c>
      <c r="C666" s="20" t="str">
        <f>IF('Classe 6e'!$B26="","",IF('Classe 6e'!C26="","",'Classe 6e'!C26))</f>
        <v/>
      </c>
      <c r="D666" s="20" t="str">
        <f>IF($B666="","",C666&amp;" "&amp;B666&amp;" - "&amp;E666)</f>
        <v/>
      </c>
      <c r="E666" s="21" t="str">
        <f>IF($B666="","",Paramètres!$A$23)</f>
        <v/>
      </c>
      <c r="F666" s="21" t="str">
        <f>IF($B666="","",Paramètres!$B$23)</f>
        <v/>
      </c>
      <c r="G666" s="21" t="str">
        <f>IF('Classe 6e'!$B26="","",IF('Classe 6e'!D26="","",'Classe 6e'!D26))</f>
        <v/>
      </c>
      <c r="H666" s="77" t="str">
        <f>IF('Classe 6e'!$B26="","",IF('Classe 6e'!E26="","",'Classe 6e'!E26))</f>
        <v/>
      </c>
      <c r="I666" s="20" t="str">
        <f>IF('Classe 6e'!$B26="","",IF('Classe 6e'!F26="","",'Classe 6e'!F26))</f>
        <v/>
      </c>
      <c r="J666" s="20" t="str">
        <f>IF('Classe 6e'!$B26="","",IF('Classe 6e'!G26="","",'Classe 6e'!G26))</f>
        <v/>
      </c>
      <c r="K666" s="51" t="str">
        <f>IF('Classe 6e'!$B26="","",N('Classe 6e'!H26))</f>
        <v/>
      </c>
      <c r="L666" s="51" t="str">
        <f>IF('Classe 6e'!$B26="","",N('Classe 6e'!I26))</f>
        <v/>
      </c>
      <c r="M666" s="51" t="str">
        <f>IF('Classe 6e'!$B26="","",N('Classe 6e'!J26))</f>
        <v/>
      </c>
      <c r="N666" s="51" t="str">
        <f>IF('Classe 6e'!$B26="","",N('Classe 6e'!K26))</f>
        <v/>
      </c>
      <c r="O666" s="51" t="str">
        <f>IF('Classe 6e'!$B26="","",N('Classe 6e'!L26))</f>
        <v/>
      </c>
      <c r="P666" s="51" t="str">
        <f>IF('Classe 6e'!$B26="","",N('Classe 6e'!M26))</f>
        <v/>
      </c>
      <c r="Q666" s="21" t="str">
        <f>IF('Classe 6e'!$B26="","",IF('Classe 6e'!Q26="","",'Classe 6e'!Q26))</f>
        <v/>
      </c>
      <c r="R666" s="51" t="str">
        <f>IF('Classe 6e'!$B26="","",N('Classe 6e'!N26))</f>
        <v/>
      </c>
      <c r="S666" s="51" t="str">
        <f>IF('Classe 6e'!$B26="","",N('Classe 6e'!O26))</f>
        <v/>
      </c>
      <c r="T666" s="51" t="str">
        <f>IF('Classe 6e'!$B26="","",N('Classe 6e'!P26))</f>
        <v/>
      </c>
    </row>
    <row r="667">
      <c r="A667" s="16" t="str">
        <f>IF('Classe 6e'!$B27="","",IF('Classe 6e'!A27="","",'Classe 6e'!A27))</f>
        <v/>
      </c>
      <c r="B667" s="16" t="str">
        <f>IF('Classe 6e'!$B27="","",IF('Classe 6e'!B27="","",'Classe 6e'!B27))</f>
        <v/>
      </c>
      <c r="C667" s="16" t="str">
        <f>IF('Classe 6e'!$B27="","",IF('Classe 6e'!C27="","",'Classe 6e'!C27))</f>
        <v/>
      </c>
      <c r="D667" s="16" t="str">
        <f>IF($B667="","",C667&amp;" "&amp;B667&amp;" - "&amp;E667)</f>
        <v/>
      </c>
      <c r="E667" s="17" t="str">
        <f>IF($B667="","",Paramètres!$A$23)</f>
        <v/>
      </c>
      <c r="F667" s="17" t="str">
        <f>IF($B667="","",Paramètres!$B$23)</f>
        <v/>
      </c>
      <c r="G667" s="17" t="str">
        <f>IF('Classe 6e'!$B27="","",IF('Classe 6e'!D27="","",'Classe 6e'!D27))</f>
        <v/>
      </c>
      <c r="H667" s="78" t="str">
        <f>IF('Classe 6e'!$B27="","",IF('Classe 6e'!E27="","",'Classe 6e'!E27))</f>
        <v/>
      </c>
      <c r="I667" s="16" t="str">
        <f>IF('Classe 6e'!$B27="","",IF('Classe 6e'!F27="","",'Classe 6e'!F27))</f>
        <v/>
      </c>
      <c r="J667" s="16" t="str">
        <f>IF('Classe 6e'!$B27="","",IF('Classe 6e'!G27="","",'Classe 6e'!G27))</f>
        <v/>
      </c>
      <c r="K667" s="18" t="str">
        <f>IF('Classe 6e'!$B27="","",N('Classe 6e'!H27))</f>
        <v/>
      </c>
      <c r="L667" s="18" t="str">
        <f>IF('Classe 6e'!$B27="","",N('Classe 6e'!I27))</f>
        <v/>
      </c>
      <c r="M667" s="18" t="str">
        <f>IF('Classe 6e'!$B27="","",N('Classe 6e'!J27))</f>
        <v/>
      </c>
      <c r="N667" s="18" t="str">
        <f>IF('Classe 6e'!$B27="","",N('Classe 6e'!K27))</f>
        <v/>
      </c>
      <c r="O667" s="18" t="str">
        <f>IF('Classe 6e'!$B27="","",N('Classe 6e'!L27))</f>
        <v/>
      </c>
      <c r="P667" s="18" t="str">
        <f>IF('Classe 6e'!$B27="","",N('Classe 6e'!M27))</f>
        <v/>
      </c>
      <c r="Q667" s="17" t="str">
        <f>IF('Classe 6e'!$B27="","",IF('Classe 6e'!Q27="","",'Classe 6e'!Q27))</f>
        <v/>
      </c>
      <c r="R667" s="18" t="str">
        <f>IF('Classe 6e'!$B27="","",N('Classe 6e'!N27))</f>
        <v/>
      </c>
      <c r="S667" s="18" t="str">
        <f>IF('Classe 6e'!$B27="","",N('Classe 6e'!O27))</f>
        <v/>
      </c>
      <c r="T667" s="18" t="str">
        <f>IF('Classe 6e'!$B27="","",N('Classe 6e'!P27))</f>
        <v/>
      </c>
    </row>
    <row r="668">
      <c r="A668" s="20" t="str">
        <f>IF('Classe 6e'!$B28="","",IF('Classe 6e'!A28="","",'Classe 6e'!A28))</f>
        <v/>
      </c>
      <c r="B668" s="20" t="str">
        <f>IF('Classe 6e'!$B28="","",IF('Classe 6e'!B28="","",'Classe 6e'!B28))</f>
        <v/>
      </c>
      <c r="C668" s="20" t="str">
        <f>IF('Classe 6e'!$B28="","",IF('Classe 6e'!C28="","",'Classe 6e'!C28))</f>
        <v/>
      </c>
      <c r="D668" s="20" t="str">
        <f>IF($B668="","",C668&amp;" "&amp;B668&amp;" - "&amp;E668)</f>
        <v/>
      </c>
      <c r="E668" s="21" t="str">
        <f>IF($B668="","",Paramètres!$A$23)</f>
        <v/>
      </c>
      <c r="F668" s="21" t="str">
        <f>IF($B668="","",Paramètres!$B$23)</f>
        <v/>
      </c>
      <c r="G668" s="21" t="str">
        <f>IF('Classe 6e'!$B28="","",IF('Classe 6e'!D28="","",'Classe 6e'!D28))</f>
        <v/>
      </c>
      <c r="H668" s="77" t="str">
        <f>IF('Classe 6e'!$B28="","",IF('Classe 6e'!E28="","",'Classe 6e'!E28))</f>
        <v/>
      </c>
      <c r="I668" s="20" t="str">
        <f>IF('Classe 6e'!$B28="","",IF('Classe 6e'!F28="","",'Classe 6e'!F28))</f>
        <v/>
      </c>
      <c r="J668" s="20" t="str">
        <f>IF('Classe 6e'!$B28="","",IF('Classe 6e'!G28="","",'Classe 6e'!G28))</f>
        <v/>
      </c>
      <c r="K668" s="51" t="str">
        <f>IF('Classe 6e'!$B28="","",N('Classe 6e'!H28))</f>
        <v/>
      </c>
      <c r="L668" s="51" t="str">
        <f>IF('Classe 6e'!$B28="","",N('Classe 6e'!I28))</f>
        <v/>
      </c>
      <c r="M668" s="51" t="str">
        <f>IF('Classe 6e'!$B28="","",N('Classe 6e'!J28))</f>
        <v/>
      </c>
      <c r="N668" s="51" t="str">
        <f>IF('Classe 6e'!$B28="","",N('Classe 6e'!K28))</f>
        <v/>
      </c>
      <c r="O668" s="51" t="str">
        <f>IF('Classe 6e'!$B28="","",N('Classe 6e'!L28))</f>
        <v/>
      </c>
      <c r="P668" s="51" t="str">
        <f>IF('Classe 6e'!$B28="","",N('Classe 6e'!M28))</f>
        <v/>
      </c>
      <c r="Q668" s="21" t="str">
        <f>IF('Classe 6e'!$B28="","",IF('Classe 6e'!Q28="","",'Classe 6e'!Q28))</f>
        <v/>
      </c>
      <c r="R668" s="51" t="str">
        <f>IF('Classe 6e'!$B28="","",N('Classe 6e'!N28))</f>
        <v/>
      </c>
      <c r="S668" s="51" t="str">
        <f>IF('Classe 6e'!$B28="","",N('Classe 6e'!O28))</f>
        <v/>
      </c>
      <c r="T668" s="51" t="str">
        <f>IF('Classe 6e'!$B28="","",N('Classe 6e'!P28))</f>
        <v/>
      </c>
    </row>
    <row r="669">
      <c r="A669" s="16" t="str">
        <f>IF('Classe 6e'!$B29="","",IF('Classe 6e'!A29="","",'Classe 6e'!A29))</f>
        <v/>
      </c>
      <c r="B669" s="16" t="str">
        <f>IF('Classe 6e'!$B29="","",IF('Classe 6e'!B29="","",'Classe 6e'!B29))</f>
        <v/>
      </c>
      <c r="C669" s="16" t="str">
        <f>IF('Classe 6e'!$B29="","",IF('Classe 6e'!C29="","",'Classe 6e'!C29))</f>
        <v/>
      </c>
      <c r="D669" s="16" t="str">
        <f>IF($B669="","",C669&amp;" "&amp;B669&amp;" - "&amp;E669)</f>
        <v/>
      </c>
      <c r="E669" s="17" t="str">
        <f>IF($B669="","",Paramètres!$A$23)</f>
        <v/>
      </c>
      <c r="F669" s="17" t="str">
        <f>IF($B669="","",Paramètres!$B$23)</f>
        <v/>
      </c>
      <c r="G669" s="17" t="str">
        <f>IF('Classe 6e'!$B29="","",IF('Classe 6e'!D29="","",'Classe 6e'!D29))</f>
        <v/>
      </c>
      <c r="H669" s="78" t="str">
        <f>IF('Classe 6e'!$B29="","",IF('Classe 6e'!E29="","",'Classe 6e'!E29))</f>
        <v/>
      </c>
      <c r="I669" s="16" t="str">
        <f>IF('Classe 6e'!$B29="","",IF('Classe 6e'!F29="","",'Classe 6e'!F29))</f>
        <v/>
      </c>
      <c r="J669" s="16" t="str">
        <f>IF('Classe 6e'!$B29="","",IF('Classe 6e'!G29="","",'Classe 6e'!G29))</f>
        <v/>
      </c>
      <c r="K669" s="18" t="str">
        <f>IF('Classe 6e'!$B29="","",N('Classe 6e'!H29))</f>
        <v/>
      </c>
      <c r="L669" s="18" t="str">
        <f>IF('Classe 6e'!$B29="","",N('Classe 6e'!I29))</f>
        <v/>
      </c>
      <c r="M669" s="18" t="str">
        <f>IF('Classe 6e'!$B29="","",N('Classe 6e'!J29))</f>
        <v/>
      </c>
      <c r="N669" s="18" t="str">
        <f>IF('Classe 6e'!$B29="","",N('Classe 6e'!K29))</f>
        <v/>
      </c>
      <c r="O669" s="18" t="str">
        <f>IF('Classe 6e'!$B29="","",N('Classe 6e'!L29))</f>
        <v/>
      </c>
      <c r="P669" s="18" t="str">
        <f>IF('Classe 6e'!$B29="","",N('Classe 6e'!M29))</f>
        <v/>
      </c>
      <c r="Q669" s="17" t="str">
        <f>IF('Classe 6e'!$B29="","",IF('Classe 6e'!Q29="","",'Classe 6e'!Q29))</f>
        <v/>
      </c>
      <c r="R669" s="18" t="str">
        <f>IF('Classe 6e'!$B29="","",N('Classe 6e'!N29))</f>
        <v/>
      </c>
      <c r="S669" s="18" t="str">
        <f>IF('Classe 6e'!$B29="","",N('Classe 6e'!O29))</f>
        <v/>
      </c>
      <c r="T669" s="18" t="str">
        <f>IF('Classe 6e'!$B29="","",N('Classe 6e'!P29))</f>
        <v/>
      </c>
    </row>
    <row r="670">
      <c r="A670" s="20" t="str">
        <f>IF('Classe 6e'!$B30="","",IF('Classe 6e'!A30="","",'Classe 6e'!A30))</f>
        <v/>
      </c>
      <c r="B670" s="20" t="str">
        <f>IF('Classe 6e'!$B30="","",IF('Classe 6e'!B30="","",'Classe 6e'!B30))</f>
        <v/>
      </c>
      <c r="C670" s="20" t="str">
        <f>IF('Classe 6e'!$B30="","",IF('Classe 6e'!C30="","",'Classe 6e'!C30))</f>
        <v/>
      </c>
      <c r="D670" s="20" t="str">
        <f>IF($B670="","",C670&amp;" "&amp;B670&amp;" - "&amp;E670)</f>
        <v/>
      </c>
      <c r="E670" s="21" t="str">
        <f>IF($B670="","",Paramètres!$A$23)</f>
        <v/>
      </c>
      <c r="F670" s="21" t="str">
        <f>IF($B670="","",Paramètres!$B$23)</f>
        <v/>
      </c>
      <c r="G670" s="21" t="str">
        <f>IF('Classe 6e'!$B30="","",IF('Classe 6e'!D30="","",'Classe 6e'!D30))</f>
        <v/>
      </c>
      <c r="H670" s="77" t="str">
        <f>IF('Classe 6e'!$B30="","",IF('Classe 6e'!E30="","",'Classe 6e'!E30))</f>
        <v/>
      </c>
      <c r="I670" s="20" t="str">
        <f>IF('Classe 6e'!$B30="","",IF('Classe 6e'!F30="","",'Classe 6e'!F30))</f>
        <v/>
      </c>
      <c r="J670" s="20" t="str">
        <f>IF('Classe 6e'!$B30="","",IF('Classe 6e'!G30="","",'Classe 6e'!G30))</f>
        <v/>
      </c>
      <c r="K670" s="51" t="str">
        <f>IF('Classe 6e'!$B30="","",N('Classe 6e'!H30))</f>
        <v/>
      </c>
      <c r="L670" s="51" t="str">
        <f>IF('Classe 6e'!$B30="","",N('Classe 6e'!I30))</f>
        <v/>
      </c>
      <c r="M670" s="51" t="str">
        <f>IF('Classe 6e'!$B30="","",N('Classe 6e'!J30))</f>
        <v/>
      </c>
      <c r="N670" s="51" t="str">
        <f>IF('Classe 6e'!$B30="","",N('Classe 6e'!K30))</f>
        <v/>
      </c>
      <c r="O670" s="51" t="str">
        <f>IF('Classe 6e'!$B30="","",N('Classe 6e'!L30))</f>
        <v/>
      </c>
      <c r="P670" s="51" t="str">
        <f>IF('Classe 6e'!$B30="","",N('Classe 6e'!M30))</f>
        <v/>
      </c>
      <c r="Q670" s="21" t="str">
        <f>IF('Classe 6e'!$B30="","",IF('Classe 6e'!Q30="","",'Classe 6e'!Q30))</f>
        <v/>
      </c>
      <c r="R670" s="51" t="str">
        <f>IF('Classe 6e'!$B30="","",N('Classe 6e'!N30))</f>
        <v/>
      </c>
      <c r="S670" s="51" t="str">
        <f>IF('Classe 6e'!$B30="","",N('Classe 6e'!O30))</f>
        <v/>
      </c>
      <c r="T670" s="51" t="str">
        <f>IF('Classe 6e'!$B30="","",N('Classe 6e'!P30))</f>
        <v/>
      </c>
    </row>
    <row r="671">
      <c r="A671" s="16" t="str">
        <f>IF('Classe 6e'!$B31="","",IF('Classe 6e'!A31="","",'Classe 6e'!A31))</f>
        <v/>
      </c>
      <c r="B671" s="16" t="str">
        <f>IF('Classe 6e'!$B31="","",IF('Classe 6e'!B31="","",'Classe 6e'!B31))</f>
        <v/>
      </c>
      <c r="C671" s="16" t="str">
        <f>IF('Classe 6e'!$B31="","",IF('Classe 6e'!C31="","",'Classe 6e'!C31))</f>
        <v/>
      </c>
      <c r="D671" s="16" t="str">
        <f>IF($B671="","",C671&amp;" "&amp;B671&amp;" - "&amp;E671)</f>
        <v/>
      </c>
      <c r="E671" s="17" t="str">
        <f>IF($B671="","",Paramètres!$A$23)</f>
        <v/>
      </c>
      <c r="F671" s="17" t="str">
        <f>IF($B671="","",Paramètres!$B$23)</f>
        <v/>
      </c>
      <c r="G671" s="17" t="str">
        <f>IF('Classe 6e'!$B31="","",IF('Classe 6e'!D31="","",'Classe 6e'!D31))</f>
        <v/>
      </c>
      <c r="H671" s="78" t="str">
        <f>IF('Classe 6e'!$B31="","",IF('Classe 6e'!E31="","",'Classe 6e'!E31))</f>
        <v/>
      </c>
      <c r="I671" s="16" t="str">
        <f>IF('Classe 6e'!$B31="","",IF('Classe 6e'!F31="","",'Classe 6e'!F31))</f>
        <v/>
      </c>
      <c r="J671" s="16" t="str">
        <f>IF('Classe 6e'!$B31="","",IF('Classe 6e'!G31="","",'Classe 6e'!G31))</f>
        <v/>
      </c>
      <c r="K671" s="18" t="str">
        <f>IF('Classe 6e'!$B31="","",N('Classe 6e'!H31))</f>
        <v/>
      </c>
      <c r="L671" s="18" t="str">
        <f>IF('Classe 6e'!$B31="","",N('Classe 6e'!I31))</f>
        <v/>
      </c>
      <c r="M671" s="18" t="str">
        <f>IF('Classe 6e'!$B31="","",N('Classe 6e'!J31))</f>
        <v/>
      </c>
      <c r="N671" s="18" t="str">
        <f>IF('Classe 6e'!$B31="","",N('Classe 6e'!K31))</f>
        <v/>
      </c>
      <c r="O671" s="18" t="str">
        <f>IF('Classe 6e'!$B31="","",N('Classe 6e'!L31))</f>
        <v/>
      </c>
      <c r="P671" s="18" t="str">
        <f>IF('Classe 6e'!$B31="","",N('Classe 6e'!M31))</f>
        <v/>
      </c>
      <c r="Q671" s="17" t="str">
        <f>IF('Classe 6e'!$B31="","",IF('Classe 6e'!Q31="","",'Classe 6e'!Q31))</f>
        <v/>
      </c>
      <c r="R671" s="18" t="str">
        <f>IF('Classe 6e'!$B31="","",N('Classe 6e'!N31))</f>
        <v/>
      </c>
      <c r="S671" s="18" t="str">
        <f>IF('Classe 6e'!$B31="","",N('Classe 6e'!O31))</f>
        <v/>
      </c>
      <c r="T671" s="18" t="str">
        <f>IF('Classe 6e'!$B31="","",N('Classe 6e'!P31))</f>
        <v/>
      </c>
    </row>
    <row r="672">
      <c r="A672" s="20" t="str">
        <f>IF('Classe 6e'!$B32="","",IF('Classe 6e'!A32="","",'Classe 6e'!A32))</f>
        <v/>
      </c>
      <c r="B672" s="20" t="str">
        <f>IF('Classe 6e'!$B32="","",IF('Classe 6e'!B32="","",'Classe 6e'!B32))</f>
        <v/>
      </c>
      <c r="C672" s="20" t="str">
        <f>IF('Classe 6e'!$B32="","",IF('Classe 6e'!C32="","",'Classe 6e'!C32))</f>
        <v/>
      </c>
      <c r="D672" s="20" t="str">
        <f>IF($B672="","",C672&amp;" "&amp;B672&amp;" - "&amp;E672)</f>
        <v/>
      </c>
      <c r="E672" s="21" t="str">
        <f>IF($B672="","",Paramètres!$A$23)</f>
        <v/>
      </c>
      <c r="F672" s="21" t="str">
        <f>IF($B672="","",Paramètres!$B$23)</f>
        <v/>
      </c>
      <c r="G672" s="21" t="str">
        <f>IF('Classe 6e'!$B32="","",IF('Classe 6e'!D32="","",'Classe 6e'!D32))</f>
        <v/>
      </c>
      <c r="H672" s="77" t="str">
        <f>IF('Classe 6e'!$B32="","",IF('Classe 6e'!E32="","",'Classe 6e'!E32))</f>
        <v/>
      </c>
      <c r="I672" s="20" t="str">
        <f>IF('Classe 6e'!$B32="","",IF('Classe 6e'!F32="","",'Classe 6e'!F32))</f>
        <v/>
      </c>
      <c r="J672" s="20" t="str">
        <f>IF('Classe 6e'!$B32="","",IF('Classe 6e'!G32="","",'Classe 6e'!G32))</f>
        <v/>
      </c>
      <c r="K672" s="51" t="str">
        <f>IF('Classe 6e'!$B32="","",N('Classe 6e'!H32))</f>
        <v/>
      </c>
      <c r="L672" s="51" t="str">
        <f>IF('Classe 6e'!$B32="","",N('Classe 6e'!I32))</f>
        <v/>
      </c>
      <c r="M672" s="51" t="str">
        <f>IF('Classe 6e'!$B32="","",N('Classe 6e'!J32))</f>
        <v/>
      </c>
      <c r="N672" s="51" t="str">
        <f>IF('Classe 6e'!$B32="","",N('Classe 6e'!K32))</f>
        <v/>
      </c>
      <c r="O672" s="51" t="str">
        <f>IF('Classe 6e'!$B32="","",N('Classe 6e'!L32))</f>
        <v/>
      </c>
      <c r="P672" s="51" t="str">
        <f>IF('Classe 6e'!$B32="","",N('Classe 6e'!M32))</f>
        <v/>
      </c>
      <c r="Q672" s="21" t="str">
        <f>IF('Classe 6e'!$B32="","",IF('Classe 6e'!Q32="","",'Classe 6e'!Q32))</f>
        <v/>
      </c>
      <c r="R672" s="51" t="str">
        <f>IF('Classe 6e'!$B32="","",N('Classe 6e'!N32))</f>
        <v/>
      </c>
      <c r="S672" s="51" t="str">
        <f>IF('Classe 6e'!$B32="","",N('Classe 6e'!O32))</f>
        <v/>
      </c>
      <c r="T672" s="51" t="str">
        <f>IF('Classe 6e'!$B32="","",N('Classe 6e'!P32))</f>
        <v/>
      </c>
    </row>
    <row r="673">
      <c r="A673" s="16" t="str">
        <f>IF('Classe 6e'!$B33="","",IF('Classe 6e'!A33="","",'Classe 6e'!A33))</f>
        <v/>
      </c>
      <c r="B673" s="16" t="str">
        <f>IF('Classe 6e'!$B33="","",IF('Classe 6e'!B33="","",'Classe 6e'!B33))</f>
        <v/>
      </c>
      <c r="C673" s="16" t="str">
        <f>IF('Classe 6e'!$B33="","",IF('Classe 6e'!C33="","",'Classe 6e'!C33))</f>
        <v/>
      </c>
      <c r="D673" s="16" t="str">
        <f>IF($B673="","",C673&amp;" "&amp;B673&amp;" - "&amp;E673)</f>
        <v/>
      </c>
      <c r="E673" s="17" t="str">
        <f>IF($B673="","",Paramètres!$A$23)</f>
        <v/>
      </c>
      <c r="F673" s="17" t="str">
        <f>IF($B673="","",Paramètres!$B$23)</f>
        <v/>
      </c>
      <c r="G673" s="17" t="str">
        <f>IF('Classe 6e'!$B33="","",IF('Classe 6e'!D33="","",'Classe 6e'!D33))</f>
        <v/>
      </c>
      <c r="H673" s="78" t="str">
        <f>IF('Classe 6e'!$B33="","",IF('Classe 6e'!E33="","",'Classe 6e'!E33))</f>
        <v/>
      </c>
      <c r="I673" s="16" t="str">
        <f>IF('Classe 6e'!$B33="","",IF('Classe 6e'!F33="","",'Classe 6e'!F33))</f>
        <v/>
      </c>
      <c r="J673" s="16" t="str">
        <f>IF('Classe 6e'!$B33="","",IF('Classe 6e'!G33="","",'Classe 6e'!G33))</f>
        <v/>
      </c>
      <c r="K673" s="18" t="str">
        <f>IF('Classe 6e'!$B33="","",N('Classe 6e'!H33))</f>
        <v/>
      </c>
      <c r="L673" s="18" t="str">
        <f>IF('Classe 6e'!$B33="","",N('Classe 6e'!I33))</f>
        <v/>
      </c>
      <c r="M673" s="18" t="str">
        <f>IF('Classe 6e'!$B33="","",N('Classe 6e'!J33))</f>
        <v/>
      </c>
      <c r="N673" s="18" t="str">
        <f>IF('Classe 6e'!$B33="","",N('Classe 6e'!K33))</f>
        <v/>
      </c>
      <c r="O673" s="18" t="str">
        <f>IF('Classe 6e'!$B33="","",N('Classe 6e'!L33))</f>
        <v/>
      </c>
      <c r="P673" s="18" t="str">
        <f>IF('Classe 6e'!$B33="","",N('Classe 6e'!M33))</f>
        <v/>
      </c>
      <c r="Q673" s="17" t="str">
        <f>IF('Classe 6e'!$B33="","",IF('Classe 6e'!Q33="","",'Classe 6e'!Q33))</f>
        <v/>
      </c>
      <c r="R673" s="18" t="str">
        <f>IF('Classe 6e'!$B33="","",N('Classe 6e'!N33))</f>
        <v/>
      </c>
      <c r="S673" s="18" t="str">
        <f>IF('Classe 6e'!$B33="","",N('Classe 6e'!O33))</f>
        <v/>
      </c>
      <c r="T673" s="18" t="str">
        <f>IF('Classe 6e'!$B33="","",N('Classe 6e'!P33))</f>
        <v/>
      </c>
    </row>
    <row r="674">
      <c r="A674" s="20" t="str">
        <f>IF('Classe 6e'!$B34="","",IF('Classe 6e'!A34="","",'Classe 6e'!A34))</f>
        <v/>
      </c>
      <c r="B674" s="20" t="str">
        <f>IF('Classe 6e'!$B34="","",IF('Classe 6e'!B34="","",'Classe 6e'!B34))</f>
        <v/>
      </c>
      <c r="C674" s="20" t="str">
        <f>IF('Classe 6e'!$B34="","",IF('Classe 6e'!C34="","",'Classe 6e'!C34))</f>
        <v/>
      </c>
      <c r="D674" s="20" t="str">
        <f>IF($B674="","",C674&amp;" "&amp;B674&amp;" - "&amp;E674)</f>
        <v/>
      </c>
      <c r="E674" s="21" t="str">
        <f>IF($B674="","",Paramètres!$A$23)</f>
        <v/>
      </c>
      <c r="F674" s="21" t="str">
        <f>IF($B674="","",Paramètres!$B$23)</f>
        <v/>
      </c>
      <c r="G674" s="21" t="str">
        <f>IF('Classe 6e'!$B34="","",IF('Classe 6e'!D34="","",'Classe 6e'!D34))</f>
        <v/>
      </c>
      <c r="H674" s="77" t="str">
        <f>IF('Classe 6e'!$B34="","",IF('Classe 6e'!E34="","",'Classe 6e'!E34))</f>
        <v/>
      </c>
      <c r="I674" s="20" t="str">
        <f>IF('Classe 6e'!$B34="","",IF('Classe 6e'!F34="","",'Classe 6e'!F34))</f>
        <v/>
      </c>
      <c r="J674" s="20" t="str">
        <f>IF('Classe 6e'!$B34="","",IF('Classe 6e'!G34="","",'Classe 6e'!G34))</f>
        <v/>
      </c>
      <c r="K674" s="51" t="str">
        <f>IF('Classe 6e'!$B34="","",N('Classe 6e'!H34))</f>
        <v/>
      </c>
      <c r="L674" s="51" t="str">
        <f>IF('Classe 6e'!$B34="","",N('Classe 6e'!I34))</f>
        <v/>
      </c>
      <c r="M674" s="51" t="str">
        <f>IF('Classe 6e'!$B34="","",N('Classe 6e'!J34))</f>
        <v/>
      </c>
      <c r="N674" s="51" t="str">
        <f>IF('Classe 6e'!$B34="","",N('Classe 6e'!K34))</f>
        <v/>
      </c>
      <c r="O674" s="51" t="str">
        <f>IF('Classe 6e'!$B34="","",N('Classe 6e'!L34))</f>
        <v/>
      </c>
      <c r="P674" s="51" t="str">
        <f>IF('Classe 6e'!$B34="","",N('Classe 6e'!M34))</f>
        <v/>
      </c>
      <c r="Q674" s="21" t="str">
        <f>IF('Classe 6e'!$B34="","",IF('Classe 6e'!Q34="","",'Classe 6e'!Q34))</f>
        <v/>
      </c>
      <c r="R674" s="51" t="str">
        <f>IF('Classe 6e'!$B34="","",N('Classe 6e'!N34))</f>
        <v/>
      </c>
      <c r="S674" s="51" t="str">
        <f>IF('Classe 6e'!$B34="","",N('Classe 6e'!O34))</f>
        <v/>
      </c>
      <c r="T674" s="51" t="str">
        <f>IF('Classe 6e'!$B34="","",N('Classe 6e'!P34))</f>
        <v/>
      </c>
    </row>
    <row r="675">
      <c r="A675" s="16" t="str">
        <f>IF('Classe 6e'!$B35="","",IF('Classe 6e'!A35="","",'Classe 6e'!A35))</f>
        <v/>
      </c>
      <c r="B675" s="16" t="str">
        <f>IF('Classe 6e'!$B35="","",IF('Classe 6e'!B35="","",'Classe 6e'!B35))</f>
        <v/>
      </c>
      <c r="C675" s="16" t="str">
        <f>IF('Classe 6e'!$B35="","",IF('Classe 6e'!C35="","",'Classe 6e'!C35))</f>
        <v/>
      </c>
      <c r="D675" s="16" t="str">
        <f>IF($B675="","",C675&amp;" "&amp;B675&amp;" - "&amp;E675)</f>
        <v/>
      </c>
      <c r="E675" s="17" t="str">
        <f>IF($B675="","",Paramètres!$A$23)</f>
        <v/>
      </c>
      <c r="F675" s="17" t="str">
        <f>IF($B675="","",Paramètres!$B$23)</f>
        <v/>
      </c>
      <c r="G675" s="17" t="str">
        <f>IF('Classe 6e'!$B35="","",IF('Classe 6e'!D35="","",'Classe 6e'!D35))</f>
        <v/>
      </c>
      <c r="H675" s="78" t="str">
        <f>IF('Classe 6e'!$B35="","",IF('Classe 6e'!E35="","",'Classe 6e'!E35))</f>
        <v/>
      </c>
      <c r="I675" s="16" t="str">
        <f>IF('Classe 6e'!$B35="","",IF('Classe 6e'!F35="","",'Classe 6e'!F35))</f>
        <v/>
      </c>
      <c r="J675" s="16" t="str">
        <f>IF('Classe 6e'!$B35="","",IF('Classe 6e'!G35="","",'Classe 6e'!G35))</f>
        <v/>
      </c>
      <c r="K675" s="18" t="str">
        <f>IF('Classe 6e'!$B35="","",N('Classe 6e'!H35))</f>
        <v/>
      </c>
      <c r="L675" s="18" t="str">
        <f>IF('Classe 6e'!$B35="","",N('Classe 6e'!I35))</f>
        <v/>
      </c>
      <c r="M675" s="18" t="str">
        <f>IF('Classe 6e'!$B35="","",N('Classe 6e'!J35))</f>
        <v/>
      </c>
      <c r="N675" s="18" t="str">
        <f>IF('Classe 6e'!$B35="","",N('Classe 6e'!K35))</f>
        <v/>
      </c>
      <c r="O675" s="18" t="str">
        <f>IF('Classe 6e'!$B35="","",N('Classe 6e'!L35))</f>
        <v/>
      </c>
      <c r="P675" s="18" t="str">
        <f>IF('Classe 6e'!$B35="","",N('Classe 6e'!M35))</f>
        <v/>
      </c>
      <c r="Q675" s="17" t="str">
        <f>IF('Classe 6e'!$B35="","",IF('Classe 6e'!Q35="","",'Classe 6e'!Q35))</f>
        <v/>
      </c>
      <c r="R675" s="18" t="str">
        <f>IF('Classe 6e'!$B35="","",N('Classe 6e'!N35))</f>
        <v/>
      </c>
      <c r="S675" s="18" t="str">
        <f>IF('Classe 6e'!$B35="","",N('Classe 6e'!O35))</f>
        <v/>
      </c>
      <c r="T675" s="18" t="str">
        <f>IF('Classe 6e'!$B35="","",N('Classe 6e'!P35))</f>
        <v/>
      </c>
    </row>
    <row r="676">
      <c r="A676" s="20" t="str">
        <f>IF('Classe 6e'!$B36="","",IF('Classe 6e'!A36="","",'Classe 6e'!A36))</f>
        <v/>
      </c>
      <c r="B676" s="20" t="str">
        <f>IF('Classe 6e'!$B36="","",IF('Classe 6e'!B36="","",'Classe 6e'!B36))</f>
        <v/>
      </c>
      <c r="C676" s="20" t="str">
        <f>IF('Classe 6e'!$B36="","",IF('Classe 6e'!C36="","",'Classe 6e'!C36))</f>
        <v/>
      </c>
      <c r="D676" s="20" t="str">
        <f>IF($B676="","",C676&amp;" "&amp;B676&amp;" - "&amp;E676)</f>
        <v/>
      </c>
      <c r="E676" s="21" t="str">
        <f>IF($B676="","",Paramètres!$A$23)</f>
        <v/>
      </c>
      <c r="F676" s="21" t="str">
        <f>IF($B676="","",Paramètres!$B$23)</f>
        <v/>
      </c>
      <c r="G676" s="21" t="str">
        <f>IF('Classe 6e'!$B36="","",IF('Classe 6e'!D36="","",'Classe 6e'!D36))</f>
        <v/>
      </c>
      <c r="H676" s="77" t="str">
        <f>IF('Classe 6e'!$B36="","",IF('Classe 6e'!E36="","",'Classe 6e'!E36))</f>
        <v/>
      </c>
      <c r="I676" s="20" t="str">
        <f>IF('Classe 6e'!$B36="","",IF('Classe 6e'!F36="","",'Classe 6e'!F36))</f>
        <v/>
      </c>
      <c r="J676" s="20" t="str">
        <f>IF('Classe 6e'!$B36="","",IF('Classe 6e'!G36="","",'Classe 6e'!G36))</f>
        <v/>
      </c>
      <c r="K676" s="51" t="str">
        <f>IF('Classe 6e'!$B36="","",N('Classe 6e'!H36))</f>
        <v/>
      </c>
      <c r="L676" s="51" t="str">
        <f>IF('Classe 6e'!$B36="","",N('Classe 6e'!I36))</f>
        <v/>
      </c>
      <c r="M676" s="51" t="str">
        <f>IF('Classe 6e'!$B36="","",N('Classe 6e'!J36))</f>
        <v/>
      </c>
      <c r="N676" s="51" t="str">
        <f>IF('Classe 6e'!$B36="","",N('Classe 6e'!K36))</f>
        <v/>
      </c>
      <c r="O676" s="51" t="str">
        <f>IF('Classe 6e'!$B36="","",N('Classe 6e'!L36))</f>
        <v/>
      </c>
      <c r="P676" s="51" t="str">
        <f>IF('Classe 6e'!$B36="","",N('Classe 6e'!M36))</f>
        <v/>
      </c>
      <c r="Q676" s="21" t="str">
        <f>IF('Classe 6e'!$B36="","",IF('Classe 6e'!Q36="","",'Classe 6e'!Q36))</f>
        <v/>
      </c>
      <c r="R676" s="51" t="str">
        <f>IF('Classe 6e'!$B36="","",N('Classe 6e'!N36))</f>
        <v/>
      </c>
      <c r="S676" s="51" t="str">
        <f>IF('Classe 6e'!$B36="","",N('Classe 6e'!O36))</f>
        <v/>
      </c>
      <c r="T676" s="51" t="str">
        <f>IF('Classe 6e'!$B36="","",N('Classe 6e'!P36))</f>
        <v/>
      </c>
    </row>
    <row r="677">
      <c r="A677" s="16" t="str">
        <f>IF('Classe 6e'!$B37="","",IF('Classe 6e'!A37="","",'Classe 6e'!A37))</f>
        <v/>
      </c>
      <c r="B677" s="16" t="str">
        <f>IF('Classe 6e'!$B37="","",IF('Classe 6e'!B37="","",'Classe 6e'!B37))</f>
        <v/>
      </c>
      <c r="C677" s="16" t="str">
        <f>IF('Classe 6e'!$B37="","",IF('Classe 6e'!C37="","",'Classe 6e'!C37))</f>
        <v/>
      </c>
      <c r="D677" s="16" t="str">
        <f>IF($B677="","",C677&amp;" "&amp;B677&amp;" - "&amp;E677)</f>
        <v/>
      </c>
      <c r="E677" s="17" t="str">
        <f>IF($B677="","",Paramètres!$A$23)</f>
        <v/>
      </c>
      <c r="F677" s="17" t="str">
        <f>IF($B677="","",Paramètres!$B$23)</f>
        <v/>
      </c>
      <c r="G677" s="17" t="str">
        <f>IF('Classe 6e'!$B37="","",IF('Classe 6e'!D37="","",'Classe 6e'!D37))</f>
        <v/>
      </c>
      <c r="H677" s="78" t="str">
        <f>IF('Classe 6e'!$B37="","",IF('Classe 6e'!E37="","",'Classe 6e'!E37))</f>
        <v/>
      </c>
      <c r="I677" s="16" t="str">
        <f>IF('Classe 6e'!$B37="","",IF('Classe 6e'!F37="","",'Classe 6e'!F37))</f>
        <v/>
      </c>
      <c r="J677" s="16" t="str">
        <f>IF('Classe 6e'!$B37="","",IF('Classe 6e'!G37="","",'Classe 6e'!G37))</f>
        <v/>
      </c>
      <c r="K677" s="18" t="str">
        <f>IF('Classe 6e'!$B37="","",N('Classe 6e'!H37))</f>
        <v/>
      </c>
      <c r="L677" s="18" t="str">
        <f>IF('Classe 6e'!$B37="","",N('Classe 6e'!I37))</f>
        <v/>
      </c>
      <c r="M677" s="18" t="str">
        <f>IF('Classe 6e'!$B37="","",N('Classe 6e'!J37))</f>
        <v/>
      </c>
      <c r="N677" s="18" t="str">
        <f>IF('Classe 6e'!$B37="","",N('Classe 6e'!K37))</f>
        <v/>
      </c>
      <c r="O677" s="18" t="str">
        <f>IF('Classe 6e'!$B37="","",N('Classe 6e'!L37))</f>
        <v/>
      </c>
      <c r="P677" s="18" t="str">
        <f>IF('Classe 6e'!$B37="","",N('Classe 6e'!M37))</f>
        <v/>
      </c>
      <c r="Q677" s="17" t="str">
        <f>IF('Classe 6e'!$B37="","",IF('Classe 6e'!Q37="","",'Classe 6e'!Q37))</f>
        <v/>
      </c>
      <c r="R677" s="18" t="str">
        <f>IF('Classe 6e'!$B37="","",N('Classe 6e'!N37))</f>
        <v/>
      </c>
      <c r="S677" s="18" t="str">
        <f>IF('Classe 6e'!$B37="","",N('Classe 6e'!O37))</f>
        <v/>
      </c>
      <c r="T677" s="18" t="str">
        <f>IF('Classe 6e'!$B37="","",N('Classe 6e'!P37))</f>
        <v/>
      </c>
    </row>
    <row r="678">
      <c r="A678" s="20" t="str">
        <f>IF('Classe 6e'!$B38="","",IF('Classe 6e'!A38="","",'Classe 6e'!A38))</f>
        <v/>
      </c>
      <c r="B678" s="20" t="str">
        <f>IF('Classe 6e'!$B38="","",IF('Classe 6e'!B38="","",'Classe 6e'!B38))</f>
        <v/>
      </c>
      <c r="C678" s="20" t="str">
        <f>IF('Classe 6e'!$B38="","",IF('Classe 6e'!C38="","",'Classe 6e'!C38))</f>
        <v/>
      </c>
      <c r="D678" s="20" t="str">
        <f>IF($B678="","",C678&amp;" "&amp;B678&amp;" - "&amp;E678)</f>
        <v/>
      </c>
      <c r="E678" s="21" t="str">
        <f>IF($B678="","",Paramètres!$A$23)</f>
        <v/>
      </c>
      <c r="F678" s="21" t="str">
        <f>IF($B678="","",Paramètres!$B$23)</f>
        <v/>
      </c>
      <c r="G678" s="21" t="str">
        <f>IF('Classe 6e'!$B38="","",IF('Classe 6e'!D38="","",'Classe 6e'!D38))</f>
        <v/>
      </c>
      <c r="H678" s="77" t="str">
        <f>IF('Classe 6e'!$B38="","",IF('Classe 6e'!E38="","",'Classe 6e'!E38))</f>
        <v/>
      </c>
      <c r="I678" s="20" t="str">
        <f>IF('Classe 6e'!$B38="","",IF('Classe 6e'!F38="","",'Classe 6e'!F38))</f>
        <v/>
      </c>
      <c r="J678" s="20" t="str">
        <f>IF('Classe 6e'!$B38="","",IF('Classe 6e'!G38="","",'Classe 6e'!G38))</f>
        <v/>
      </c>
      <c r="K678" s="51" t="str">
        <f>IF('Classe 6e'!$B38="","",N('Classe 6e'!H38))</f>
        <v/>
      </c>
      <c r="L678" s="51" t="str">
        <f>IF('Classe 6e'!$B38="","",N('Classe 6e'!I38))</f>
        <v/>
      </c>
      <c r="M678" s="51" t="str">
        <f>IF('Classe 6e'!$B38="","",N('Classe 6e'!J38))</f>
        <v/>
      </c>
      <c r="N678" s="51" t="str">
        <f>IF('Classe 6e'!$B38="","",N('Classe 6e'!K38))</f>
        <v/>
      </c>
      <c r="O678" s="51" t="str">
        <f>IF('Classe 6e'!$B38="","",N('Classe 6e'!L38))</f>
        <v/>
      </c>
      <c r="P678" s="51" t="str">
        <f>IF('Classe 6e'!$B38="","",N('Classe 6e'!M38))</f>
        <v/>
      </c>
      <c r="Q678" s="21" t="str">
        <f>IF('Classe 6e'!$B38="","",IF('Classe 6e'!Q38="","",'Classe 6e'!Q38))</f>
        <v/>
      </c>
      <c r="R678" s="51" t="str">
        <f>IF('Classe 6e'!$B38="","",N('Classe 6e'!N38))</f>
        <v/>
      </c>
      <c r="S678" s="51" t="str">
        <f>IF('Classe 6e'!$B38="","",N('Classe 6e'!O38))</f>
        <v/>
      </c>
      <c r="T678" s="51" t="str">
        <f>IF('Classe 6e'!$B38="","",N('Classe 6e'!P38))</f>
        <v/>
      </c>
    </row>
    <row r="679">
      <c r="A679" s="16" t="str">
        <f>IF('Classe 6e'!$B39="","",IF('Classe 6e'!A39="","",'Classe 6e'!A39))</f>
        <v/>
      </c>
      <c r="B679" s="16" t="str">
        <f>IF('Classe 6e'!$B39="","",IF('Classe 6e'!B39="","",'Classe 6e'!B39))</f>
        <v/>
      </c>
      <c r="C679" s="16" t="str">
        <f>IF('Classe 6e'!$B39="","",IF('Classe 6e'!C39="","",'Classe 6e'!C39))</f>
        <v/>
      </c>
      <c r="D679" s="16" t="str">
        <f>IF($B679="","",C679&amp;" "&amp;B679&amp;" - "&amp;E679)</f>
        <v/>
      </c>
      <c r="E679" s="17" t="str">
        <f>IF($B679="","",Paramètres!$A$23)</f>
        <v/>
      </c>
      <c r="F679" s="17" t="str">
        <f>IF($B679="","",Paramètres!$B$23)</f>
        <v/>
      </c>
      <c r="G679" s="17" t="str">
        <f>IF('Classe 6e'!$B39="","",IF('Classe 6e'!D39="","",'Classe 6e'!D39))</f>
        <v/>
      </c>
      <c r="H679" s="78" t="str">
        <f>IF('Classe 6e'!$B39="","",IF('Classe 6e'!E39="","",'Classe 6e'!E39))</f>
        <v/>
      </c>
      <c r="I679" s="16" t="str">
        <f>IF('Classe 6e'!$B39="","",IF('Classe 6e'!F39="","",'Classe 6e'!F39))</f>
        <v/>
      </c>
      <c r="J679" s="16" t="str">
        <f>IF('Classe 6e'!$B39="","",IF('Classe 6e'!G39="","",'Classe 6e'!G39))</f>
        <v/>
      </c>
      <c r="K679" s="18" t="str">
        <f>IF('Classe 6e'!$B39="","",N('Classe 6e'!H39))</f>
        <v/>
      </c>
      <c r="L679" s="18" t="str">
        <f>IF('Classe 6e'!$B39="","",N('Classe 6e'!I39))</f>
        <v/>
      </c>
      <c r="M679" s="18" t="str">
        <f>IF('Classe 6e'!$B39="","",N('Classe 6e'!J39))</f>
        <v/>
      </c>
      <c r="N679" s="18" t="str">
        <f>IF('Classe 6e'!$B39="","",N('Classe 6e'!K39))</f>
        <v/>
      </c>
      <c r="O679" s="18" t="str">
        <f>IF('Classe 6e'!$B39="","",N('Classe 6e'!L39))</f>
        <v/>
      </c>
      <c r="P679" s="18" t="str">
        <f>IF('Classe 6e'!$B39="","",N('Classe 6e'!M39))</f>
        <v/>
      </c>
      <c r="Q679" s="17" t="str">
        <f>IF('Classe 6e'!$B39="","",IF('Classe 6e'!Q39="","",'Classe 6e'!Q39))</f>
        <v/>
      </c>
      <c r="R679" s="18" t="str">
        <f>IF('Classe 6e'!$B39="","",N('Classe 6e'!N39))</f>
        <v/>
      </c>
      <c r="S679" s="18" t="str">
        <f>IF('Classe 6e'!$B39="","",N('Classe 6e'!O39))</f>
        <v/>
      </c>
      <c r="T679" s="18" t="str">
        <f>IF('Classe 6e'!$B39="","",N('Classe 6e'!P39))</f>
        <v/>
      </c>
    </row>
    <row r="680">
      <c r="A680" s="20" t="str">
        <f>IF('Classe 6e'!$B40="","",IF('Classe 6e'!A40="","",'Classe 6e'!A40))</f>
        <v/>
      </c>
      <c r="B680" s="20" t="str">
        <f>IF('Classe 6e'!$B40="","",IF('Classe 6e'!B40="","",'Classe 6e'!B40))</f>
        <v/>
      </c>
      <c r="C680" s="20" t="str">
        <f>IF('Classe 6e'!$B40="","",IF('Classe 6e'!C40="","",'Classe 6e'!C40))</f>
        <v/>
      </c>
      <c r="D680" s="20" t="str">
        <f>IF($B680="","",C680&amp;" "&amp;B680&amp;" - "&amp;E680)</f>
        <v/>
      </c>
      <c r="E680" s="21" t="str">
        <f>IF($B680="","",Paramètres!$A$23)</f>
        <v/>
      </c>
      <c r="F680" s="21" t="str">
        <f>IF($B680="","",Paramètres!$B$23)</f>
        <v/>
      </c>
      <c r="G680" s="21" t="str">
        <f>IF('Classe 6e'!$B40="","",IF('Classe 6e'!D40="","",'Classe 6e'!D40))</f>
        <v/>
      </c>
      <c r="H680" s="77" t="str">
        <f>IF('Classe 6e'!$B40="","",IF('Classe 6e'!E40="","",'Classe 6e'!E40))</f>
        <v/>
      </c>
      <c r="I680" s="20" t="str">
        <f>IF('Classe 6e'!$B40="","",IF('Classe 6e'!F40="","",'Classe 6e'!F40))</f>
        <v/>
      </c>
      <c r="J680" s="20" t="str">
        <f>IF('Classe 6e'!$B40="","",IF('Classe 6e'!G40="","",'Classe 6e'!G40))</f>
        <v/>
      </c>
      <c r="K680" s="51" t="str">
        <f>IF('Classe 6e'!$B40="","",N('Classe 6e'!H40))</f>
        <v/>
      </c>
      <c r="L680" s="51" t="str">
        <f>IF('Classe 6e'!$B40="","",N('Classe 6e'!I40))</f>
        <v/>
      </c>
      <c r="M680" s="51" t="str">
        <f>IF('Classe 6e'!$B40="","",N('Classe 6e'!J40))</f>
        <v/>
      </c>
      <c r="N680" s="51" t="str">
        <f>IF('Classe 6e'!$B40="","",N('Classe 6e'!K40))</f>
        <v/>
      </c>
      <c r="O680" s="51" t="str">
        <f>IF('Classe 6e'!$B40="","",N('Classe 6e'!L40))</f>
        <v/>
      </c>
      <c r="P680" s="51" t="str">
        <f>IF('Classe 6e'!$B40="","",N('Classe 6e'!M40))</f>
        <v/>
      </c>
      <c r="Q680" s="21" t="str">
        <f>IF('Classe 6e'!$B40="","",IF('Classe 6e'!Q40="","",'Classe 6e'!Q40))</f>
        <v/>
      </c>
      <c r="R680" s="51" t="str">
        <f>IF('Classe 6e'!$B40="","",N('Classe 6e'!N40))</f>
        <v/>
      </c>
      <c r="S680" s="51" t="str">
        <f>IF('Classe 6e'!$B40="","",N('Classe 6e'!O40))</f>
        <v/>
      </c>
      <c r="T680" s="51" t="str">
        <f>IF('Classe 6e'!$B40="","",N('Classe 6e'!P40))</f>
        <v/>
      </c>
    </row>
    <row r="681">
      <c r="A681" s="16" t="str">
        <f>IF('Classe 6e'!$B41="","",IF('Classe 6e'!A41="","",'Classe 6e'!A41))</f>
        <v/>
      </c>
      <c r="B681" s="16" t="str">
        <f>IF('Classe 6e'!$B41="","",IF('Classe 6e'!B41="","",'Classe 6e'!B41))</f>
        <v/>
      </c>
      <c r="C681" s="16" t="str">
        <f>IF('Classe 6e'!$B41="","",IF('Classe 6e'!C41="","",'Classe 6e'!C41))</f>
        <v/>
      </c>
      <c r="D681" s="16" t="str">
        <f>IF($B681="","",C681&amp;" "&amp;B681&amp;" - "&amp;E681)</f>
        <v/>
      </c>
      <c r="E681" s="17" t="str">
        <f>IF($B681="","",Paramètres!$A$23)</f>
        <v/>
      </c>
      <c r="F681" s="17" t="str">
        <f>IF($B681="","",Paramètres!$B$23)</f>
        <v/>
      </c>
      <c r="G681" s="17" t="str">
        <f>IF('Classe 6e'!$B41="","",IF('Classe 6e'!D41="","",'Classe 6e'!D41))</f>
        <v/>
      </c>
      <c r="H681" s="78" t="str">
        <f>IF('Classe 6e'!$B41="","",IF('Classe 6e'!E41="","",'Classe 6e'!E41))</f>
        <v/>
      </c>
      <c r="I681" s="16" t="str">
        <f>IF('Classe 6e'!$B41="","",IF('Classe 6e'!F41="","",'Classe 6e'!F41))</f>
        <v/>
      </c>
      <c r="J681" s="16" t="str">
        <f>IF('Classe 6e'!$B41="","",IF('Classe 6e'!G41="","",'Classe 6e'!G41))</f>
        <v/>
      </c>
      <c r="K681" s="18" t="str">
        <f>IF('Classe 6e'!$B41="","",N('Classe 6e'!H41))</f>
        <v/>
      </c>
      <c r="L681" s="18" t="str">
        <f>IF('Classe 6e'!$B41="","",N('Classe 6e'!I41))</f>
        <v/>
      </c>
      <c r="M681" s="18" t="str">
        <f>IF('Classe 6e'!$B41="","",N('Classe 6e'!J41))</f>
        <v/>
      </c>
      <c r="N681" s="18" t="str">
        <f>IF('Classe 6e'!$B41="","",N('Classe 6e'!K41))</f>
        <v/>
      </c>
      <c r="O681" s="18" t="str">
        <f>IF('Classe 6e'!$B41="","",N('Classe 6e'!L41))</f>
        <v/>
      </c>
      <c r="P681" s="18" t="str">
        <f>IF('Classe 6e'!$B41="","",N('Classe 6e'!M41))</f>
        <v/>
      </c>
      <c r="Q681" s="17" t="str">
        <f>IF('Classe 6e'!$B41="","",IF('Classe 6e'!Q41="","",'Classe 6e'!Q41))</f>
        <v/>
      </c>
      <c r="R681" s="18" t="str">
        <f>IF('Classe 6e'!$B41="","",N('Classe 6e'!N41))</f>
        <v/>
      </c>
      <c r="S681" s="18" t="str">
        <f>IF('Classe 6e'!$B41="","",N('Classe 6e'!O41))</f>
        <v/>
      </c>
      <c r="T681" s="18" t="str">
        <f>IF('Classe 6e'!$B41="","",N('Classe 6e'!P41))</f>
        <v/>
      </c>
    </row>
    <row r="682">
      <c r="A682" s="20" t="str">
        <f>IF('Classe 6e'!$B42="","",IF('Classe 6e'!A42="","",'Classe 6e'!A42))</f>
        <v/>
      </c>
      <c r="B682" s="20" t="str">
        <f>IF('Classe 6e'!$B42="","",IF('Classe 6e'!B42="","",'Classe 6e'!B42))</f>
        <v/>
      </c>
      <c r="C682" s="20" t="str">
        <f>IF('Classe 6e'!$B42="","",IF('Classe 6e'!C42="","",'Classe 6e'!C42))</f>
        <v/>
      </c>
      <c r="D682" s="20" t="str">
        <f>IF($B682="","",C682&amp;" "&amp;B682&amp;" - "&amp;E682)</f>
        <v/>
      </c>
      <c r="E682" s="21" t="str">
        <f>IF($B682="","",Paramètres!$A$23)</f>
        <v/>
      </c>
      <c r="F682" s="21" t="str">
        <f>IF($B682="","",Paramètres!$B$23)</f>
        <v/>
      </c>
      <c r="G682" s="21" t="str">
        <f>IF('Classe 6e'!$B42="","",IF('Classe 6e'!D42="","",'Classe 6e'!D42))</f>
        <v/>
      </c>
      <c r="H682" s="77" t="str">
        <f>IF('Classe 6e'!$B42="","",IF('Classe 6e'!E42="","",'Classe 6e'!E42))</f>
        <v/>
      </c>
      <c r="I682" s="20" t="str">
        <f>IF('Classe 6e'!$B42="","",IF('Classe 6e'!F42="","",'Classe 6e'!F42))</f>
        <v/>
      </c>
      <c r="J682" s="20" t="str">
        <f>IF('Classe 6e'!$B42="","",IF('Classe 6e'!G42="","",'Classe 6e'!G42))</f>
        <v/>
      </c>
      <c r="K682" s="51" t="str">
        <f>IF('Classe 6e'!$B42="","",N('Classe 6e'!H42))</f>
        <v/>
      </c>
      <c r="L682" s="51" t="str">
        <f>IF('Classe 6e'!$B42="","",N('Classe 6e'!I42))</f>
        <v/>
      </c>
      <c r="M682" s="51" t="str">
        <f>IF('Classe 6e'!$B42="","",N('Classe 6e'!J42))</f>
        <v/>
      </c>
      <c r="N682" s="51" t="str">
        <f>IF('Classe 6e'!$B42="","",N('Classe 6e'!K42))</f>
        <v/>
      </c>
      <c r="O682" s="51" t="str">
        <f>IF('Classe 6e'!$B42="","",N('Classe 6e'!L42))</f>
        <v/>
      </c>
      <c r="P682" s="51" t="str">
        <f>IF('Classe 6e'!$B42="","",N('Classe 6e'!M42))</f>
        <v/>
      </c>
      <c r="Q682" s="21" t="str">
        <f>IF('Classe 6e'!$B42="","",IF('Classe 6e'!Q42="","",'Classe 6e'!Q42))</f>
        <v/>
      </c>
      <c r="R682" s="51" t="str">
        <f>IF('Classe 6e'!$B42="","",N('Classe 6e'!N42))</f>
        <v/>
      </c>
      <c r="S682" s="51" t="str">
        <f>IF('Classe 6e'!$B42="","",N('Classe 6e'!O42))</f>
        <v/>
      </c>
      <c r="T682" s="51" t="str">
        <f>IF('Classe 6e'!$B42="","",N('Classe 6e'!P42))</f>
        <v/>
      </c>
    </row>
    <row r="683">
      <c r="A683" s="16" t="str">
        <f>IF('Classe 6e'!$B43="","",IF('Classe 6e'!A43="","",'Classe 6e'!A43))</f>
        <v/>
      </c>
      <c r="B683" s="16" t="str">
        <f>IF('Classe 6e'!$B43="","",IF('Classe 6e'!B43="","",'Classe 6e'!B43))</f>
        <v/>
      </c>
      <c r="C683" s="16" t="str">
        <f>IF('Classe 6e'!$B43="","",IF('Classe 6e'!C43="","",'Classe 6e'!C43))</f>
        <v/>
      </c>
      <c r="D683" s="16" t="str">
        <f>IF($B683="","",C683&amp;" "&amp;B683&amp;" - "&amp;E683)</f>
        <v/>
      </c>
      <c r="E683" s="17" t="str">
        <f>IF($B683="","",Paramètres!$A$23)</f>
        <v/>
      </c>
      <c r="F683" s="17" t="str">
        <f>IF($B683="","",Paramètres!$B$23)</f>
        <v/>
      </c>
      <c r="G683" s="17" t="str">
        <f>IF('Classe 6e'!$B43="","",IF('Classe 6e'!D43="","",'Classe 6e'!D43))</f>
        <v/>
      </c>
      <c r="H683" s="78" t="str">
        <f>IF('Classe 6e'!$B43="","",IF('Classe 6e'!E43="","",'Classe 6e'!E43))</f>
        <v/>
      </c>
      <c r="I683" s="16" t="str">
        <f>IF('Classe 6e'!$B43="","",IF('Classe 6e'!F43="","",'Classe 6e'!F43))</f>
        <v/>
      </c>
      <c r="J683" s="16" t="str">
        <f>IF('Classe 6e'!$B43="","",IF('Classe 6e'!G43="","",'Classe 6e'!G43))</f>
        <v/>
      </c>
      <c r="K683" s="18" t="str">
        <f>IF('Classe 6e'!$B43="","",N('Classe 6e'!H43))</f>
        <v/>
      </c>
      <c r="L683" s="18" t="str">
        <f>IF('Classe 6e'!$B43="","",N('Classe 6e'!I43))</f>
        <v/>
      </c>
      <c r="M683" s="18" t="str">
        <f>IF('Classe 6e'!$B43="","",N('Classe 6e'!J43))</f>
        <v/>
      </c>
      <c r="N683" s="18" t="str">
        <f>IF('Classe 6e'!$B43="","",N('Classe 6e'!K43))</f>
        <v/>
      </c>
      <c r="O683" s="18" t="str">
        <f>IF('Classe 6e'!$B43="","",N('Classe 6e'!L43))</f>
        <v/>
      </c>
      <c r="P683" s="18" t="str">
        <f>IF('Classe 6e'!$B43="","",N('Classe 6e'!M43))</f>
        <v/>
      </c>
      <c r="Q683" s="17" t="str">
        <f>IF('Classe 6e'!$B43="","",IF('Classe 6e'!Q43="","",'Classe 6e'!Q43))</f>
        <v/>
      </c>
      <c r="R683" s="18" t="str">
        <f>IF('Classe 6e'!$B43="","",N('Classe 6e'!N43))</f>
        <v/>
      </c>
      <c r="S683" s="18" t="str">
        <f>IF('Classe 6e'!$B43="","",N('Classe 6e'!O43))</f>
        <v/>
      </c>
      <c r="T683" s="18" t="str">
        <f>IF('Classe 6e'!$B43="","",N('Classe 6e'!P43))</f>
        <v/>
      </c>
    </row>
    <row r="684">
      <c r="A684" s="20" t="str">
        <f>IF('Classe 6e'!$B44="","",IF('Classe 6e'!A44="","",'Classe 6e'!A44))</f>
        <v/>
      </c>
      <c r="B684" s="20" t="str">
        <f>IF('Classe 6e'!$B44="","",IF('Classe 6e'!B44="","",'Classe 6e'!B44))</f>
        <v/>
      </c>
      <c r="C684" s="20" t="str">
        <f>IF('Classe 6e'!$B44="","",IF('Classe 6e'!C44="","",'Classe 6e'!C44))</f>
        <v/>
      </c>
      <c r="D684" s="20" t="str">
        <f>IF($B684="","",C684&amp;" "&amp;B684&amp;" - "&amp;E684)</f>
        <v/>
      </c>
      <c r="E684" s="21" t="str">
        <f>IF($B684="","",Paramètres!$A$23)</f>
        <v/>
      </c>
      <c r="F684" s="21" t="str">
        <f>IF($B684="","",Paramètres!$B$23)</f>
        <v/>
      </c>
      <c r="G684" s="21" t="str">
        <f>IF('Classe 6e'!$B44="","",IF('Classe 6e'!D44="","",'Classe 6e'!D44))</f>
        <v/>
      </c>
      <c r="H684" s="77" t="str">
        <f>IF('Classe 6e'!$B44="","",IF('Classe 6e'!E44="","",'Classe 6e'!E44))</f>
        <v/>
      </c>
      <c r="I684" s="20" t="str">
        <f>IF('Classe 6e'!$B44="","",IF('Classe 6e'!F44="","",'Classe 6e'!F44))</f>
        <v/>
      </c>
      <c r="J684" s="20" t="str">
        <f>IF('Classe 6e'!$B44="","",IF('Classe 6e'!G44="","",'Classe 6e'!G44))</f>
        <v/>
      </c>
      <c r="K684" s="51" t="str">
        <f>IF('Classe 6e'!$B44="","",N('Classe 6e'!H44))</f>
        <v/>
      </c>
      <c r="L684" s="51" t="str">
        <f>IF('Classe 6e'!$B44="","",N('Classe 6e'!I44))</f>
        <v/>
      </c>
      <c r="M684" s="51" t="str">
        <f>IF('Classe 6e'!$B44="","",N('Classe 6e'!J44))</f>
        <v/>
      </c>
      <c r="N684" s="51" t="str">
        <f>IF('Classe 6e'!$B44="","",N('Classe 6e'!K44))</f>
        <v/>
      </c>
      <c r="O684" s="51" t="str">
        <f>IF('Classe 6e'!$B44="","",N('Classe 6e'!L44))</f>
        <v/>
      </c>
      <c r="P684" s="51" t="str">
        <f>IF('Classe 6e'!$B44="","",N('Classe 6e'!M44))</f>
        <v/>
      </c>
      <c r="Q684" s="21" t="str">
        <f>IF('Classe 6e'!$B44="","",IF('Classe 6e'!Q44="","",'Classe 6e'!Q44))</f>
        <v/>
      </c>
      <c r="R684" s="51" t="str">
        <f>IF('Classe 6e'!$B44="","",N('Classe 6e'!N44))</f>
        <v/>
      </c>
      <c r="S684" s="51" t="str">
        <f>IF('Classe 6e'!$B44="","",N('Classe 6e'!O44))</f>
        <v/>
      </c>
      <c r="T684" s="51" t="str">
        <f>IF('Classe 6e'!$B44="","",N('Classe 6e'!P44))</f>
        <v/>
      </c>
    </row>
    <row r="685">
      <c r="A685" s="16" t="str">
        <f>IF('Classe 6e'!$B45="","",IF('Classe 6e'!A45="","",'Classe 6e'!A45))</f>
        <v/>
      </c>
      <c r="B685" s="16" t="str">
        <f>IF('Classe 6e'!$B45="","",IF('Classe 6e'!B45="","",'Classe 6e'!B45))</f>
        <v/>
      </c>
      <c r="C685" s="16" t="str">
        <f>IF('Classe 6e'!$B45="","",IF('Classe 6e'!C45="","",'Classe 6e'!C45))</f>
        <v/>
      </c>
      <c r="D685" s="16" t="str">
        <f>IF($B685="","",C685&amp;" "&amp;B685&amp;" - "&amp;E685)</f>
        <v/>
      </c>
      <c r="E685" s="17" t="str">
        <f>IF($B685="","",Paramètres!$A$23)</f>
        <v/>
      </c>
      <c r="F685" s="17" t="str">
        <f>IF($B685="","",Paramètres!$B$23)</f>
        <v/>
      </c>
      <c r="G685" s="17" t="str">
        <f>IF('Classe 6e'!$B45="","",IF('Classe 6e'!D45="","",'Classe 6e'!D45))</f>
        <v/>
      </c>
      <c r="H685" s="78" t="str">
        <f>IF('Classe 6e'!$B45="","",IF('Classe 6e'!E45="","",'Classe 6e'!E45))</f>
        <v/>
      </c>
      <c r="I685" s="16" t="str">
        <f>IF('Classe 6e'!$B45="","",IF('Classe 6e'!F45="","",'Classe 6e'!F45))</f>
        <v/>
      </c>
      <c r="J685" s="16" t="str">
        <f>IF('Classe 6e'!$B45="","",IF('Classe 6e'!G45="","",'Classe 6e'!G45))</f>
        <v/>
      </c>
      <c r="K685" s="18" t="str">
        <f>IF('Classe 6e'!$B45="","",N('Classe 6e'!H45))</f>
        <v/>
      </c>
      <c r="L685" s="18" t="str">
        <f>IF('Classe 6e'!$B45="","",N('Classe 6e'!I45))</f>
        <v/>
      </c>
      <c r="M685" s="18" t="str">
        <f>IF('Classe 6e'!$B45="","",N('Classe 6e'!J45))</f>
        <v/>
      </c>
      <c r="N685" s="18" t="str">
        <f>IF('Classe 6e'!$B45="","",N('Classe 6e'!K45))</f>
        <v/>
      </c>
      <c r="O685" s="18" t="str">
        <f>IF('Classe 6e'!$B45="","",N('Classe 6e'!L45))</f>
        <v/>
      </c>
      <c r="P685" s="18" t="str">
        <f>IF('Classe 6e'!$B45="","",N('Classe 6e'!M45))</f>
        <v/>
      </c>
      <c r="Q685" s="17" t="str">
        <f>IF('Classe 6e'!$B45="","",IF('Classe 6e'!Q45="","",'Classe 6e'!Q45))</f>
        <v/>
      </c>
      <c r="R685" s="18" t="str">
        <f>IF('Classe 6e'!$B45="","",N('Classe 6e'!N45))</f>
        <v/>
      </c>
      <c r="S685" s="18" t="str">
        <f>IF('Classe 6e'!$B45="","",N('Classe 6e'!O45))</f>
        <v/>
      </c>
      <c r="T685" s="18" t="str">
        <f>IF('Classe 6e'!$B45="","",N('Classe 6e'!P45))</f>
        <v/>
      </c>
    </row>
    <row r="686">
      <c r="A686" s="20" t="str">
        <f>IF('Classe 6e'!$B46="","",IF('Classe 6e'!A46="","",'Classe 6e'!A46))</f>
        <v/>
      </c>
      <c r="B686" s="20" t="str">
        <f>IF('Classe 6e'!$B46="","",IF('Classe 6e'!B46="","",'Classe 6e'!B46))</f>
        <v/>
      </c>
      <c r="C686" s="20" t="str">
        <f>IF('Classe 6e'!$B46="","",IF('Classe 6e'!C46="","",'Classe 6e'!C46))</f>
        <v/>
      </c>
      <c r="D686" s="20" t="str">
        <f>IF($B686="","",C686&amp;" "&amp;B686&amp;" - "&amp;E686)</f>
        <v/>
      </c>
      <c r="E686" s="21" t="str">
        <f>IF($B686="","",Paramètres!$A$23)</f>
        <v/>
      </c>
      <c r="F686" s="21" t="str">
        <f>IF($B686="","",Paramètres!$B$23)</f>
        <v/>
      </c>
      <c r="G686" s="21" t="str">
        <f>IF('Classe 6e'!$B46="","",IF('Classe 6e'!D46="","",'Classe 6e'!D46))</f>
        <v/>
      </c>
      <c r="H686" s="77" t="str">
        <f>IF('Classe 6e'!$B46="","",IF('Classe 6e'!E46="","",'Classe 6e'!E46))</f>
        <v/>
      </c>
      <c r="I686" s="20" t="str">
        <f>IF('Classe 6e'!$B46="","",IF('Classe 6e'!F46="","",'Classe 6e'!F46))</f>
        <v/>
      </c>
      <c r="J686" s="20" t="str">
        <f>IF('Classe 6e'!$B46="","",IF('Classe 6e'!G46="","",'Classe 6e'!G46))</f>
        <v/>
      </c>
      <c r="K686" s="51" t="str">
        <f>IF('Classe 6e'!$B46="","",N('Classe 6e'!H46))</f>
        <v/>
      </c>
      <c r="L686" s="51" t="str">
        <f>IF('Classe 6e'!$B46="","",N('Classe 6e'!I46))</f>
        <v/>
      </c>
      <c r="M686" s="51" t="str">
        <f>IF('Classe 6e'!$B46="","",N('Classe 6e'!J46))</f>
        <v/>
      </c>
      <c r="N686" s="51" t="str">
        <f>IF('Classe 6e'!$B46="","",N('Classe 6e'!K46))</f>
        <v/>
      </c>
      <c r="O686" s="51" t="str">
        <f>IF('Classe 6e'!$B46="","",N('Classe 6e'!L46))</f>
        <v/>
      </c>
      <c r="P686" s="51" t="str">
        <f>IF('Classe 6e'!$B46="","",N('Classe 6e'!M46))</f>
        <v/>
      </c>
      <c r="Q686" s="21" t="str">
        <f>IF('Classe 6e'!$B46="","",IF('Classe 6e'!Q46="","",'Classe 6e'!Q46))</f>
        <v/>
      </c>
      <c r="R686" s="51" t="str">
        <f>IF('Classe 6e'!$B46="","",N('Classe 6e'!N46))</f>
        <v/>
      </c>
      <c r="S686" s="51" t="str">
        <f>IF('Classe 6e'!$B46="","",N('Classe 6e'!O46))</f>
        <v/>
      </c>
      <c r="T686" s="51" t="str">
        <f>IF('Classe 6e'!$B46="","",N('Classe 6e'!P46))</f>
        <v/>
      </c>
    </row>
    <row r="687">
      <c r="A687" s="16" t="str">
        <f>IF('Classe 6e'!$B47="","",IF('Classe 6e'!A47="","",'Classe 6e'!A47))</f>
        <v/>
      </c>
      <c r="B687" s="16" t="str">
        <f>IF('Classe 6e'!$B47="","",IF('Classe 6e'!B47="","",'Classe 6e'!B47))</f>
        <v/>
      </c>
      <c r="C687" s="16" t="str">
        <f>IF('Classe 6e'!$B47="","",IF('Classe 6e'!C47="","",'Classe 6e'!C47))</f>
        <v/>
      </c>
      <c r="D687" s="16" t="str">
        <f>IF($B687="","",C687&amp;" "&amp;B687&amp;" - "&amp;E687)</f>
        <v/>
      </c>
      <c r="E687" s="17" t="str">
        <f>IF($B687="","",Paramètres!$A$23)</f>
        <v/>
      </c>
      <c r="F687" s="17" t="str">
        <f>IF($B687="","",Paramètres!$B$23)</f>
        <v/>
      </c>
      <c r="G687" s="17" t="str">
        <f>IF('Classe 6e'!$B47="","",IF('Classe 6e'!D47="","",'Classe 6e'!D47))</f>
        <v/>
      </c>
      <c r="H687" s="78" t="str">
        <f>IF('Classe 6e'!$B47="","",IF('Classe 6e'!E47="","",'Classe 6e'!E47))</f>
        <v/>
      </c>
      <c r="I687" s="16" t="str">
        <f>IF('Classe 6e'!$B47="","",IF('Classe 6e'!F47="","",'Classe 6e'!F47))</f>
        <v/>
      </c>
      <c r="J687" s="16" t="str">
        <f>IF('Classe 6e'!$B47="","",IF('Classe 6e'!G47="","",'Classe 6e'!G47))</f>
        <v/>
      </c>
      <c r="K687" s="18" t="str">
        <f>IF('Classe 6e'!$B47="","",N('Classe 6e'!H47))</f>
        <v/>
      </c>
      <c r="L687" s="18" t="str">
        <f>IF('Classe 6e'!$B47="","",N('Classe 6e'!I47))</f>
        <v/>
      </c>
      <c r="M687" s="18" t="str">
        <f>IF('Classe 6e'!$B47="","",N('Classe 6e'!J47))</f>
        <v/>
      </c>
      <c r="N687" s="18" t="str">
        <f>IF('Classe 6e'!$B47="","",N('Classe 6e'!K47))</f>
        <v/>
      </c>
      <c r="O687" s="18" t="str">
        <f>IF('Classe 6e'!$B47="","",N('Classe 6e'!L47))</f>
        <v/>
      </c>
      <c r="P687" s="18" t="str">
        <f>IF('Classe 6e'!$B47="","",N('Classe 6e'!M47))</f>
        <v/>
      </c>
      <c r="Q687" s="17" t="str">
        <f>IF('Classe 6e'!$B47="","",IF('Classe 6e'!Q47="","",'Classe 6e'!Q47))</f>
        <v/>
      </c>
      <c r="R687" s="18" t="str">
        <f>IF('Classe 6e'!$B47="","",N('Classe 6e'!N47))</f>
        <v/>
      </c>
      <c r="S687" s="18" t="str">
        <f>IF('Classe 6e'!$B47="","",N('Classe 6e'!O47))</f>
        <v/>
      </c>
      <c r="T687" s="18" t="str">
        <f>IF('Classe 6e'!$B47="","",N('Classe 6e'!P47))</f>
        <v/>
      </c>
    </row>
    <row r="688">
      <c r="A688" s="20" t="str">
        <f>IF('Classe 6e'!$B48="","",IF('Classe 6e'!A48="","",'Classe 6e'!A48))</f>
        <v/>
      </c>
      <c r="B688" s="20" t="str">
        <f>IF('Classe 6e'!$B48="","",IF('Classe 6e'!B48="","",'Classe 6e'!B48))</f>
        <v/>
      </c>
      <c r="C688" s="20" t="str">
        <f>IF('Classe 6e'!$B48="","",IF('Classe 6e'!C48="","",'Classe 6e'!C48))</f>
        <v/>
      </c>
      <c r="D688" s="20" t="str">
        <f>IF($B688="","",C688&amp;" "&amp;B688&amp;" - "&amp;E688)</f>
        <v/>
      </c>
      <c r="E688" s="21" t="str">
        <f>IF($B688="","",Paramètres!$A$23)</f>
        <v/>
      </c>
      <c r="F688" s="21" t="str">
        <f>IF($B688="","",Paramètres!$B$23)</f>
        <v/>
      </c>
      <c r="G688" s="21" t="str">
        <f>IF('Classe 6e'!$B48="","",IF('Classe 6e'!D48="","",'Classe 6e'!D48))</f>
        <v/>
      </c>
      <c r="H688" s="77" t="str">
        <f>IF('Classe 6e'!$B48="","",IF('Classe 6e'!E48="","",'Classe 6e'!E48))</f>
        <v/>
      </c>
      <c r="I688" s="20" t="str">
        <f>IF('Classe 6e'!$B48="","",IF('Classe 6e'!F48="","",'Classe 6e'!F48))</f>
        <v/>
      </c>
      <c r="J688" s="20" t="str">
        <f>IF('Classe 6e'!$B48="","",IF('Classe 6e'!G48="","",'Classe 6e'!G48))</f>
        <v/>
      </c>
      <c r="K688" s="51" t="str">
        <f>IF('Classe 6e'!$B48="","",N('Classe 6e'!H48))</f>
        <v/>
      </c>
      <c r="L688" s="51" t="str">
        <f>IF('Classe 6e'!$B48="","",N('Classe 6e'!I48))</f>
        <v/>
      </c>
      <c r="M688" s="51" t="str">
        <f>IF('Classe 6e'!$B48="","",N('Classe 6e'!J48))</f>
        <v/>
      </c>
      <c r="N688" s="51" t="str">
        <f>IF('Classe 6e'!$B48="","",N('Classe 6e'!K48))</f>
        <v/>
      </c>
      <c r="O688" s="51" t="str">
        <f>IF('Classe 6e'!$B48="","",N('Classe 6e'!L48))</f>
        <v/>
      </c>
      <c r="P688" s="51" t="str">
        <f>IF('Classe 6e'!$B48="","",N('Classe 6e'!M48))</f>
        <v/>
      </c>
      <c r="Q688" s="21" t="str">
        <f>IF('Classe 6e'!$B48="","",IF('Classe 6e'!Q48="","",'Classe 6e'!Q48))</f>
        <v/>
      </c>
      <c r="R688" s="51" t="str">
        <f>IF('Classe 6e'!$B48="","",N('Classe 6e'!N48))</f>
        <v/>
      </c>
      <c r="S688" s="51" t="str">
        <f>IF('Classe 6e'!$B48="","",N('Classe 6e'!O48))</f>
        <v/>
      </c>
      <c r="T688" s="51" t="str">
        <f>IF('Classe 6e'!$B48="","",N('Classe 6e'!P48))</f>
        <v/>
      </c>
    </row>
    <row r="689">
      <c r="A689" s="16" t="str">
        <f>IF('Classe 6e'!$B49="","",IF('Classe 6e'!A49="","",'Classe 6e'!A49))</f>
        <v/>
      </c>
      <c r="B689" s="16" t="str">
        <f>IF('Classe 6e'!$B49="","",IF('Classe 6e'!B49="","",'Classe 6e'!B49))</f>
        <v/>
      </c>
      <c r="C689" s="16" t="str">
        <f>IF('Classe 6e'!$B49="","",IF('Classe 6e'!C49="","",'Classe 6e'!C49))</f>
        <v/>
      </c>
      <c r="D689" s="16" t="str">
        <f>IF($B689="","",C689&amp;" "&amp;B689&amp;" - "&amp;E689)</f>
        <v/>
      </c>
      <c r="E689" s="17" t="str">
        <f>IF($B689="","",Paramètres!$A$23)</f>
        <v/>
      </c>
      <c r="F689" s="17" t="str">
        <f>IF($B689="","",Paramètres!$B$23)</f>
        <v/>
      </c>
      <c r="G689" s="17" t="str">
        <f>IF('Classe 6e'!$B49="","",IF('Classe 6e'!D49="","",'Classe 6e'!D49))</f>
        <v/>
      </c>
      <c r="H689" s="78" t="str">
        <f>IF('Classe 6e'!$B49="","",IF('Classe 6e'!E49="","",'Classe 6e'!E49))</f>
        <v/>
      </c>
      <c r="I689" s="16" t="str">
        <f>IF('Classe 6e'!$B49="","",IF('Classe 6e'!F49="","",'Classe 6e'!F49))</f>
        <v/>
      </c>
      <c r="J689" s="16" t="str">
        <f>IF('Classe 6e'!$B49="","",IF('Classe 6e'!G49="","",'Classe 6e'!G49))</f>
        <v/>
      </c>
      <c r="K689" s="18" t="str">
        <f>IF('Classe 6e'!$B49="","",N('Classe 6e'!H49))</f>
        <v/>
      </c>
      <c r="L689" s="18" t="str">
        <f>IF('Classe 6e'!$B49="","",N('Classe 6e'!I49))</f>
        <v/>
      </c>
      <c r="M689" s="18" t="str">
        <f>IF('Classe 6e'!$B49="","",N('Classe 6e'!J49))</f>
        <v/>
      </c>
      <c r="N689" s="18" t="str">
        <f>IF('Classe 6e'!$B49="","",N('Classe 6e'!K49))</f>
        <v/>
      </c>
      <c r="O689" s="18" t="str">
        <f>IF('Classe 6e'!$B49="","",N('Classe 6e'!L49))</f>
        <v/>
      </c>
      <c r="P689" s="18" t="str">
        <f>IF('Classe 6e'!$B49="","",N('Classe 6e'!M49))</f>
        <v/>
      </c>
      <c r="Q689" s="17" t="str">
        <f>IF('Classe 6e'!$B49="","",IF('Classe 6e'!Q49="","",'Classe 6e'!Q49))</f>
        <v/>
      </c>
      <c r="R689" s="18" t="str">
        <f>IF('Classe 6e'!$B49="","",N('Classe 6e'!N49))</f>
        <v/>
      </c>
      <c r="S689" s="18" t="str">
        <f>IF('Classe 6e'!$B49="","",N('Classe 6e'!O49))</f>
        <v/>
      </c>
      <c r="T689" s="18" t="str">
        <f>IF('Classe 6e'!$B49="","",N('Classe 6e'!P49))</f>
        <v/>
      </c>
    </row>
    <row r="690">
      <c r="A690" s="20" t="str">
        <f>IF('Classe 6e'!$B50="","",IF('Classe 6e'!A50="","",'Classe 6e'!A50))</f>
        <v/>
      </c>
      <c r="B690" s="20" t="str">
        <f>IF('Classe 6e'!$B50="","",IF('Classe 6e'!B50="","",'Classe 6e'!B50))</f>
        <v/>
      </c>
      <c r="C690" s="20" t="str">
        <f>IF('Classe 6e'!$B50="","",IF('Classe 6e'!C50="","",'Classe 6e'!C50))</f>
        <v/>
      </c>
      <c r="D690" s="20" t="str">
        <f>IF($B690="","",C690&amp;" "&amp;B690&amp;" - "&amp;E690)</f>
        <v/>
      </c>
      <c r="E690" s="21" t="str">
        <f>IF($B690="","",Paramètres!$A$23)</f>
        <v/>
      </c>
      <c r="F690" s="21" t="str">
        <f>IF($B690="","",Paramètres!$B$23)</f>
        <v/>
      </c>
      <c r="G690" s="21" t="str">
        <f>IF('Classe 6e'!$B50="","",IF('Classe 6e'!D50="","",'Classe 6e'!D50))</f>
        <v/>
      </c>
      <c r="H690" s="77" t="str">
        <f>IF('Classe 6e'!$B50="","",IF('Classe 6e'!E50="","",'Classe 6e'!E50))</f>
        <v/>
      </c>
      <c r="I690" s="20" t="str">
        <f>IF('Classe 6e'!$B50="","",IF('Classe 6e'!F50="","",'Classe 6e'!F50))</f>
        <v/>
      </c>
      <c r="J690" s="20" t="str">
        <f>IF('Classe 6e'!$B50="","",IF('Classe 6e'!G50="","",'Classe 6e'!G50))</f>
        <v/>
      </c>
      <c r="K690" s="51" t="str">
        <f>IF('Classe 6e'!$B50="","",N('Classe 6e'!H50))</f>
        <v/>
      </c>
      <c r="L690" s="51" t="str">
        <f>IF('Classe 6e'!$B50="","",N('Classe 6e'!I50))</f>
        <v/>
      </c>
      <c r="M690" s="51" t="str">
        <f>IF('Classe 6e'!$B50="","",N('Classe 6e'!J50))</f>
        <v/>
      </c>
      <c r="N690" s="51" t="str">
        <f>IF('Classe 6e'!$B50="","",N('Classe 6e'!K50))</f>
        <v/>
      </c>
      <c r="O690" s="51" t="str">
        <f>IF('Classe 6e'!$B50="","",N('Classe 6e'!L50))</f>
        <v/>
      </c>
      <c r="P690" s="51" t="str">
        <f>IF('Classe 6e'!$B50="","",N('Classe 6e'!M50))</f>
        <v/>
      </c>
      <c r="Q690" s="21" t="str">
        <f>IF('Classe 6e'!$B50="","",IF('Classe 6e'!Q50="","",'Classe 6e'!Q50))</f>
        <v/>
      </c>
      <c r="R690" s="51" t="str">
        <f>IF('Classe 6e'!$B50="","",N('Classe 6e'!N50))</f>
        <v/>
      </c>
      <c r="S690" s="51" t="str">
        <f>IF('Classe 6e'!$B50="","",N('Classe 6e'!O50))</f>
        <v/>
      </c>
      <c r="T690" s="51" t="str">
        <f>IF('Classe 6e'!$B50="","",N('Classe 6e'!P50))</f>
        <v/>
      </c>
    </row>
    <row r="691">
      <c r="A691" s="16" t="str">
        <f>IF('Classe 6e'!$B51="","",IF('Classe 6e'!A51="","",'Classe 6e'!A51))</f>
        <v/>
      </c>
      <c r="B691" s="16" t="str">
        <f>IF('Classe 6e'!$B51="","",IF('Classe 6e'!B51="","",'Classe 6e'!B51))</f>
        <v/>
      </c>
      <c r="C691" s="16" t="str">
        <f>IF('Classe 6e'!$B51="","",IF('Classe 6e'!C51="","",'Classe 6e'!C51))</f>
        <v/>
      </c>
      <c r="D691" s="16" t="str">
        <f>IF($B691="","",C691&amp;" "&amp;B691&amp;" - "&amp;E691)</f>
        <v/>
      </c>
      <c r="E691" s="17" t="str">
        <f>IF($B691="","",Paramètres!$A$23)</f>
        <v/>
      </c>
      <c r="F691" s="17" t="str">
        <f>IF($B691="","",Paramètres!$B$23)</f>
        <v/>
      </c>
      <c r="G691" s="17" t="str">
        <f>IF('Classe 6e'!$B51="","",IF('Classe 6e'!D51="","",'Classe 6e'!D51))</f>
        <v/>
      </c>
      <c r="H691" s="78" t="str">
        <f>IF('Classe 6e'!$B51="","",IF('Classe 6e'!E51="","",'Classe 6e'!E51))</f>
        <v/>
      </c>
      <c r="I691" s="16" t="str">
        <f>IF('Classe 6e'!$B51="","",IF('Classe 6e'!F51="","",'Classe 6e'!F51))</f>
        <v/>
      </c>
      <c r="J691" s="16" t="str">
        <f>IF('Classe 6e'!$B51="","",IF('Classe 6e'!G51="","",'Classe 6e'!G51))</f>
        <v/>
      </c>
      <c r="K691" s="18" t="str">
        <f>IF('Classe 6e'!$B51="","",N('Classe 6e'!H51))</f>
        <v/>
      </c>
      <c r="L691" s="18" t="str">
        <f>IF('Classe 6e'!$B51="","",N('Classe 6e'!I51))</f>
        <v/>
      </c>
      <c r="M691" s="18" t="str">
        <f>IF('Classe 6e'!$B51="","",N('Classe 6e'!J51))</f>
        <v/>
      </c>
      <c r="N691" s="18" t="str">
        <f>IF('Classe 6e'!$B51="","",N('Classe 6e'!K51))</f>
        <v/>
      </c>
      <c r="O691" s="18" t="str">
        <f>IF('Classe 6e'!$B51="","",N('Classe 6e'!L51))</f>
        <v/>
      </c>
      <c r="P691" s="18" t="str">
        <f>IF('Classe 6e'!$B51="","",N('Classe 6e'!M51))</f>
        <v/>
      </c>
      <c r="Q691" s="17" t="str">
        <f>IF('Classe 6e'!$B51="","",IF('Classe 6e'!Q51="","",'Classe 6e'!Q51))</f>
        <v/>
      </c>
      <c r="R691" s="18" t="str">
        <f>IF('Classe 6e'!$B51="","",N('Classe 6e'!N51))</f>
        <v/>
      </c>
      <c r="S691" s="18" t="str">
        <f>IF('Classe 6e'!$B51="","",N('Classe 6e'!O51))</f>
        <v/>
      </c>
      <c r="T691" s="18" t="str">
        <f>IF('Classe 6e'!$B51="","",N('Classe 6e'!P51))</f>
        <v/>
      </c>
    </row>
    <row r="692">
      <c r="A692" s="20" t="str">
        <f>IF('Classe 6e'!$B52="","",IF('Classe 6e'!A52="","",'Classe 6e'!A52))</f>
        <v/>
      </c>
      <c r="B692" s="20" t="str">
        <f>IF('Classe 6e'!$B52="","",IF('Classe 6e'!B52="","",'Classe 6e'!B52))</f>
        <v/>
      </c>
      <c r="C692" s="20" t="str">
        <f>IF('Classe 6e'!$B52="","",IF('Classe 6e'!C52="","",'Classe 6e'!C52))</f>
        <v/>
      </c>
      <c r="D692" s="20" t="str">
        <f>IF($B692="","",C692&amp;" "&amp;B692&amp;" - "&amp;E692)</f>
        <v/>
      </c>
      <c r="E692" s="21" t="str">
        <f>IF($B692="","",Paramètres!$A$23)</f>
        <v/>
      </c>
      <c r="F692" s="21" t="str">
        <f>IF($B692="","",Paramètres!$B$23)</f>
        <v/>
      </c>
      <c r="G692" s="21" t="str">
        <f>IF('Classe 6e'!$B52="","",IF('Classe 6e'!D52="","",'Classe 6e'!D52))</f>
        <v/>
      </c>
      <c r="H692" s="77" t="str">
        <f>IF('Classe 6e'!$B52="","",IF('Classe 6e'!E52="","",'Classe 6e'!E52))</f>
        <v/>
      </c>
      <c r="I692" s="20" t="str">
        <f>IF('Classe 6e'!$B52="","",IF('Classe 6e'!F52="","",'Classe 6e'!F52))</f>
        <v/>
      </c>
      <c r="J692" s="20" t="str">
        <f>IF('Classe 6e'!$B52="","",IF('Classe 6e'!G52="","",'Classe 6e'!G52))</f>
        <v/>
      </c>
      <c r="K692" s="51" t="str">
        <f>IF('Classe 6e'!$B52="","",N('Classe 6e'!H52))</f>
        <v/>
      </c>
      <c r="L692" s="51" t="str">
        <f>IF('Classe 6e'!$B52="","",N('Classe 6e'!I52))</f>
        <v/>
      </c>
      <c r="M692" s="51" t="str">
        <f>IF('Classe 6e'!$B52="","",N('Classe 6e'!J52))</f>
        <v/>
      </c>
      <c r="N692" s="51" t="str">
        <f>IF('Classe 6e'!$B52="","",N('Classe 6e'!K52))</f>
        <v/>
      </c>
      <c r="O692" s="51" t="str">
        <f>IF('Classe 6e'!$B52="","",N('Classe 6e'!L52))</f>
        <v/>
      </c>
      <c r="P692" s="51" t="str">
        <f>IF('Classe 6e'!$B52="","",N('Classe 6e'!M52))</f>
        <v/>
      </c>
      <c r="Q692" s="21" t="str">
        <f>IF('Classe 6e'!$B52="","",IF('Classe 6e'!Q52="","",'Classe 6e'!Q52))</f>
        <v/>
      </c>
      <c r="R692" s="51" t="str">
        <f>IF('Classe 6e'!$B52="","",N('Classe 6e'!N52))</f>
        <v/>
      </c>
      <c r="S692" s="51" t="str">
        <f>IF('Classe 6e'!$B52="","",N('Classe 6e'!O52))</f>
        <v/>
      </c>
      <c r="T692" s="51" t="str">
        <f>IF('Classe 6e'!$B52="","",N('Classe 6e'!P52))</f>
        <v/>
      </c>
    </row>
    <row r="693">
      <c r="A693" s="16" t="str">
        <f>IF('Classe 6e'!$B53="","",IF('Classe 6e'!A53="","",'Classe 6e'!A53))</f>
        <v/>
      </c>
      <c r="B693" s="16" t="str">
        <f>IF('Classe 6e'!$B53="","",IF('Classe 6e'!B53="","",'Classe 6e'!B53))</f>
        <v/>
      </c>
      <c r="C693" s="16" t="str">
        <f>IF('Classe 6e'!$B53="","",IF('Classe 6e'!C53="","",'Classe 6e'!C53))</f>
        <v/>
      </c>
      <c r="D693" s="16" t="str">
        <f>IF($B693="","",C693&amp;" "&amp;B693&amp;" - "&amp;E693)</f>
        <v/>
      </c>
      <c r="E693" s="17" t="str">
        <f>IF($B693="","",Paramètres!$A$23)</f>
        <v/>
      </c>
      <c r="F693" s="17" t="str">
        <f>IF($B693="","",Paramètres!$B$23)</f>
        <v/>
      </c>
      <c r="G693" s="17" t="str">
        <f>IF('Classe 6e'!$B53="","",IF('Classe 6e'!D53="","",'Classe 6e'!D53))</f>
        <v/>
      </c>
      <c r="H693" s="78" t="str">
        <f>IF('Classe 6e'!$B53="","",IF('Classe 6e'!E53="","",'Classe 6e'!E53))</f>
        <v/>
      </c>
      <c r="I693" s="16" t="str">
        <f>IF('Classe 6e'!$B53="","",IF('Classe 6e'!F53="","",'Classe 6e'!F53))</f>
        <v/>
      </c>
      <c r="J693" s="16" t="str">
        <f>IF('Classe 6e'!$B53="","",IF('Classe 6e'!G53="","",'Classe 6e'!G53))</f>
        <v/>
      </c>
      <c r="K693" s="18" t="str">
        <f>IF('Classe 6e'!$B53="","",N('Classe 6e'!H53))</f>
        <v/>
      </c>
      <c r="L693" s="18" t="str">
        <f>IF('Classe 6e'!$B53="","",N('Classe 6e'!I53))</f>
        <v/>
      </c>
      <c r="M693" s="18" t="str">
        <f>IF('Classe 6e'!$B53="","",N('Classe 6e'!J53))</f>
        <v/>
      </c>
      <c r="N693" s="18" t="str">
        <f>IF('Classe 6e'!$B53="","",N('Classe 6e'!K53))</f>
        <v/>
      </c>
      <c r="O693" s="18" t="str">
        <f>IF('Classe 6e'!$B53="","",N('Classe 6e'!L53))</f>
        <v/>
      </c>
      <c r="P693" s="18" t="str">
        <f>IF('Classe 6e'!$B53="","",N('Classe 6e'!M53))</f>
        <v/>
      </c>
      <c r="Q693" s="17" t="str">
        <f>IF('Classe 6e'!$B53="","",IF('Classe 6e'!Q53="","",'Classe 6e'!Q53))</f>
        <v/>
      </c>
      <c r="R693" s="18" t="str">
        <f>IF('Classe 6e'!$B53="","",N('Classe 6e'!N53))</f>
        <v/>
      </c>
      <c r="S693" s="18" t="str">
        <f>IF('Classe 6e'!$B53="","",N('Classe 6e'!O53))</f>
        <v/>
      </c>
      <c r="T693" s="18" t="str">
        <f>IF('Classe 6e'!$B53="","",N('Classe 6e'!P53))</f>
        <v/>
      </c>
    </row>
    <row r="694">
      <c r="A694" s="20" t="str">
        <f>IF('Classe 6e'!$B54="","",IF('Classe 6e'!A54="","",'Classe 6e'!A54))</f>
        <v/>
      </c>
      <c r="B694" s="20" t="str">
        <f>IF('Classe 6e'!$B54="","",IF('Classe 6e'!B54="","",'Classe 6e'!B54))</f>
        <v/>
      </c>
      <c r="C694" s="20" t="str">
        <f>IF('Classe 6e'!$B54="","",IF('Classe 6e'!C54="","",'Classe 6e'!C54))</f>
        <v/>
      </c>
      <c r="D694" s="20" t="str">
        <f>IF($B694="","",C694&amp;" "&amp;B694&amp;" - "&amp;E694)</f>
        <v/>
      </c>
      <c r="E694" s="21" t="str">
        <f>IF($B694="","",Paramètres!$A$23)</f>
        <v/>
      </c>
      <c r="F694" s="21" t="str">
        <f>IF($B694="","",Paramètres!$B$23)</f>
        <v/>
      </c>
      <c r="G694" s="21" t="str">
        <f>IF('Classe 6e'!$B54="","",IF('Classe 6e'!D54="","",'Classe 6e'!D54))</f>
        <v/>
      </c>
      <c r="H694" s="77" t="str">
        <f>IF('Classe 6e'!$B54="","",IF('Classe 6e'!E54="","",'Classe 6e'!E54))</f>
        <v/>
      </c>
      <c r="I694" s="20" t="str">
        <f>IF('Classe 6e'!$B54="","",IF('Classe 6e'!F54="","",'Classe 6e'!F54))</f>
        <v/>
      </c>
      <c r="J694" s="20" t="str">
        <f>IF('Classe 6e'!$B54="","",IF('Classe 6e'!G54="","",'Classe 6e'!G54))</f>
        <v/>
      </c>
      <c r="K694" s="51" t="str">
        <f>IF('Classe 6e'!$B54="","",N('Classe 6e'!H54))</f>
        <v/>
      </c>
      <c r="L694" s="51" t="str">
        <f>IF('Classe 6e'!$B54="","",N('Classe 6e'!I54))</f>
        <v/>
      </c>
      <c r="M694" s="51" t="str">
        <f>IF('Classe 6e'!$B54="","",N('Classe 6e'!J54))</f>
        <v/>
      </c>
      <c r="N694" s="51" t="str">
        <f>IF('Classe 6e'!$B54="","",N('Classe 6e'!K54))</f>
        <v/>
      </c>
      <c r="O694" s="51" t="str">
        <f>IF('Classe 6e'!$B54="","",N('Classe 6e'!L54))</f>
        <v/>
      </c>
      <c r="P694" s="51" t="str">
        <f>IF('Classe 6e'!$B54="","",N('Classe 6e'!M54))</f>
        <v/>
      </c>
      <c r="Q694" s="21" t="str">
        <f>IF('Classe 6e'!$B54="","",IF('Classe 6e'!Q54="","",'Classe 6e'!Q54))</f>
        <v/>
      </c>
      <c r="R694" s="51" t="str">
        <f>IF('Classe 6e'!$B54="","",N('Classe 6e'!N54))</f>
        <v/>
      </c>
      <c r="S694" s="51" t="str">
        <f>IF('Classe 6e'!$B54="","",N('Classe 6e'!O54))</f>
        <v/>
      </c>
      <c r="T694" s="51" t="str">
        <f>IF('Classe 6e'!$B54="","",N('Classe 6e'!P54))</f>
        <v/>
      </c>
    </row>
    <row r="695">
      <c r="A695" s="16" t="str">
        <f>IF('Classe 6e'!$B55="","",IF('Classe 6e'!A55="","",'Classe 6e'!A55))</f>
        <v/>
      </c>
      <c r="B695" s="16" t="str">
        <f>IF('Classe 6e'!$B55="","",IF('Classe 6e'!B55="","",'Classe 6e'!B55))</f>
        <v/>
      </c>
      <c r="C695" s="16" t="str">
        <f>IF('Classe 6e'!$B55="","",IF('Classe 6e'!C55="","",'Classe 6e'!C55))</f>
        <v/>
      </c>
      <c r="D695" s="16" t="str">
        <f>IF($B695="","",C695&amp;" "&amp;B695&amp;" - "&amp;E695)</f>
        <v/>
      </c>
      <c r="E695" s="17" t="str">
        <f>IF($B695="","",Paramètres!$A$23)</f>
        <v/>
      </c>
      <c r="F695" s="17" t="str">
        <f>IF($B695="","",Paramètres!$B$23)</f>
        <v/>
      </c>
      <c r="G695" s="17" t="str">
        <f>IF('Classe 6e'!$B55="","",IF('Classe 6e'!D55="","",'Classe 6e'!D55))</f>
        <v/>
      </c>
      <c r="H695" s="78" t="str">
        <f>IF('Classe 6e'!$B55="","",IF('Classe 6e'!E55="","",'Classe 6e'!E55))</f>
        <v/>
      </c>
      <c r="I695" s="16" t="str">
        <f>IF('Classe 6e'!$B55="","",IF('Classe 6e'!F55="","",'Classe 6e'!F55))</f>
        <v/>
      </c>
      <c r="J695" s="16" t="str">
        <f>IF('Classe 6e'!$B55="","",IF('Classe 6e'!G55="","",'Classe 6e'!G55))</f>
        <v/>
      </c>
      <c r="K695" s="18" t="str">
        <f>IF('Classe 6e'!$B55="","",N('Classe 6e'!H55))</f>
        <v/>
      </c>
      <c r="L695" s="18" t="str">
        <f>IF('Classe 6e'!$B55="","",N('Classe 6e'!I55))</f>
        <v/>
      </c>
      <c r="M695" s="18" t="str">
        <f>IF('Classe 6e'!$B55="","",N('Classe 6e'!J55))</f>
        <v/>
      </c>
      <c r="N695" s="18" t="str">
        <f>IF('Classe 6e'!$B55="","",N('Classe 6e'!K55))</f>
        <v/>
      </c>
      <c r="O695" s="18" t="str">
        <f>IF('Classe 6e'!$B55="","",N('Classe 6e'!L55))</f>
        <v/>
      </c>
      <c r="P695" s="18" t="str">
        <f>IF('Classe 6e'!$B55="","",N('Classe 6e'!M55))</f>
        <v/>
      </c>
      <c r="Q695" s="17" t="str">
        <f>IF('Classe 6e'!$B55="","",IF('Classe 6e'!Q55="","",'Classe 6e'!Q55))</f>
        <v/>
      </c>
      <c r="R695" s="18" t="str">
        <f>IF('Classe 6e'!$B55="","",N('Classe 6e'!N55))</f>
        <v/>
      </c>
      <c r="S695" s="18" t="str">
        <f>IF('Classe 6e'!$B55="","",N('Classe 6e'!O55))</f>
        <v/>
      </c>
      <c r="T695" s="18" t="str">
        <f>IF('Classe 6e'!$B55="","",N('Classe 6e'!P55))</f>
        <v/>
      </c>
    </row>
    <row r="696">
      <c r="A696" s="20" t="str">
        <f>IF('Classe 6e'!$B56="","",IF('Classe 6e'!A56="","",'Classe 6e'!A56))</f>
        <v/>
      </c>
      <c r="B696" s="20" t="str">
        <f>IF('Classe 6e'!$B56="","",IF('Classe 6e'!B56="","",'Classe 6e'!B56))</f>
        <v/>
      </c>
      <c r="C696" s="20" t="str">
        <f>IF('Classe 6e'!$B56="","",IF('Classe 6e'!C56="","",'Classe 6e'!C56))</f>
        <v/>
      </c>
      <c r="D696" s="20" t="str">
        <f>IF($B696="","",C696&amp;" "&amp;B696&amp;" - "&amp;E696)</f>
        <v/>
      </c>
      <c r="E696" s="21" t="str">
        <f>IF($B696="","",Paramètres!$A$23)</f>
        <v/>
      </c>
      <c r="F696" s="21" t="str">
        <f>IF($B696="","",Paramètres!$B$23)</f>
        <v/>
      </c>
      <c r="G696" s="21" t="str">
        <f>IF('Classe 6e'!$B56="","",IF('Classe 6e'!D56="","",'Classe 6e'!D56))</f>
        <v/>
      </c>
      <c r="H696" s="77" t="str">
        <f>IF('Classe 6e'!$B56="","",IF('Classe 6e'!E56="","",'Classe 6e'!E56))</f>
        <v/>
      </c>
      <c r="I696" s="20" t="str">
        <f>IF('Classe 6e'!$B56="","",IF('Classe 6e'!F56="","",'Classe 6e'!F56))</f>
        <v/>
      </c>
      <c r="J696" s="20" t="str">
        <f>IF('Classe 6e'!$B56="","",IF('Classe 6e'!G56="","",'Classe 6e'!G56))</f>
        <v/>
      </c>
      <c r="K696" s="51" t="str">
        <f>IF('Classe 6e'!$B56="","",N('Classe 6e'!H56))</f>
        <v/>
      </c>
      <c r="L696" s="51" t="str">
        <f>IF('Classe 6e'!$B56="","",N('Classe 6e'!I56))</f>
        <v/>
      </c>
      <c r="M696" s="51" t="str">
        <f>IF('Classe 6e'!$B56="","",N('Classe 6e'!J56))</f>
        <v/>
      </c>
      <c r="N696" s="51" t="str">
        <f>IF('Classe 6e'!$B56="","",N('Classe 6e'!K56))</f>
        <v/>
      </c>
      <c r="O696" s="51" t="str">
        <f>IF('Classe 6e'!$B56="","",N('Classe 6e'!L56))</f>
        <v/>
      </c>
      <c r="P696" s="51" t="str">
        <f>IF('Classe 6e'!$B56="","",N('Classe 6e'!M56))</f>
        <v/>
      </c>
      <c r="Q696" s="21" t="str">
        <f>IF('Classe 6e'!$B56="","",IF('Classe 6e'!Q56="","",'Classe 6e'!Q56))</f>
        <v/>
      </c>
      <c r="R696" s="51" t="str">
        <f>IF('Classe 6e'!$B56="","",N('Classe 6e'!N56))</f>
        <v/>
      </c>
      <c r="S696" s="51" t="str">
        <f>IF('Classe 6e'!$B56="","",N('Classe 6e'!O56))</f>
        <v/>
      </c>
      <c r="T696" s="51" t="str">
        <f>IF('Classe 6e'!$B56="","",N('Classe 6e'!P56))</f>
        <v/>
      </c>
    </row>
    <row r="697">
      <c r="A697" s="16" t="str">
        <f>IF('Classe 6e'!$B57="","",IF('Classe 6e'!A57="","",'Classe 6e'!A57))</f>
        <v/>
      </c>
      <c r="B697" s="16" t="str">
        <f>IF('Classe 6e'!$B57="","",IF('Classe 6e'!B57="","",'Classe 6e'!B57))</f>
        <v/>
      </c>
      <c r="C697" s="16" t="str">
        <f>IF('Classe 6e'!$B57="","",IF('Classe 6e'!C57="","",'Classe 6e'!C57))</f>
        <v/>
      </c>
      <c r="D697" s="16" t="str">
        <f>IF($B697="","",C697&amp;" "&amp;B697&amp;" - "&amp;E697)</f>
        <v/>
      </c>
      <c r="E697" s="17" t="str">
        <f>IF($B697="","",Paramètres!$A$23)</f>
        <v/>
      </c>
      <c r="F697" s="17" t="str">
        <f>IF($B697="","",Paramètres!$B$23)</f>
        <v/>
      </c>
      <c r="G697" s="17" t="str">
        <f>IF('Classe 6e'!$B57="","",IF('Classe 6e'!D57="","",'Classe 6e'!D57))</f>
        <v/>
      </c>
      <c r="H697" s="78" t="str">
        <f>IF('Classe 6e'!$B57="","",IF('Classe 6e'!E57="","",'Classe 6e'!E57))</f>
        <v/>
      </c>
      <c r="I697" s="16" t="str">
        <f>IF('Classe 6e'!$B57="","",IF('Classe 6e'!F57="","",'Classe 6e'!F57))</f>
        <v/>
      </c>
      <c r="J697" s="16" t="str">
        <f>IF('Classe 6e'!$B57="","",IF('Classe 6e'!G57="","",'Classe 6e'!G57))</f>
        <v/>
      </c>
      <c r="K697" s="18" t="str">
        <f>IF('Classe 6e'!$B57="","",N('Classe 6e'!H57))</f>
        <v/>
      </c>
      <c r="L697" s="18" t="str">
        <f>IF('Classe 6e'!$B57="","",N('Classe 6e'!I57))</f>
        <v/>
      </c>
      <c r="M697" s="18" t="str">
        <f>IF('Classe 6e'!$B57="","",N('Classe 6e'!J57))</f>
        <v/>
      </c>
      <c r="N697" s="18" t="str">
        <f>IF('Classe 6e'!$B57="","",N('Classe 6e'!K57))</f>
        <v/>
      </c>
      <c r="O697" s="18" t="str">
        <f>IF('Classe 6e'!$B57="","",N('Classe 6e'!L57))</f>
        <v/>
      </c>
      <c r="P697" s="18" t="str">
        <f>IF('Classe 6e'!$B57="","",N('Classe 6e'!M57))</f>
        <v/>
      </c>
      <c r="Q697" s="17" t="str">
        <f>IF('Classe 6e'!$B57="","",IF('Classe 6e'!Q57="","",'Classe 6e'!Q57))</f>
        <v/>
      </c>
      <c r="R697" s="18" t="str">
        <f>IF('Classe 6e'!$B57="","",N('Classe 6e'!N57))</f>
        <v/>
      </c>
      <c r="S697" s="18" t="str">
        <f>IF('Classe 6e'!$B57="","",N('Classe 6e'!O57))</f>
        <v/>
      </c>
      <c r="T697" s="18" t="str">
        <f>IF('Classe 6e'!$B57="","",N('Classe 6e'!P57))</f>
        <v/>
      </c>
    </row>
    <row r="698">
      <c r="A698" s="20" t="str">
        <f>IF('Classe 6e'!$B58="","",IF('Classe 6e'!A58="","",'Classe 6e'!A58))</f>
        <v/>
      </c>
      <c r="B698" s="20" t="str">
        <f>IF('Classe 6e'!$B58="","",IF('Classe 6e'!B58="","",'Classe 6e'!B58))</f>
        <v/>
      </c>
      <c r="C698" s="20" t="str">
        <f>IF('Classe 6e'!$B58="","",IF('Classe 6e'!C58="","",'Classe 6e'!C58))</f>
        <v/>
      </c>
      <c r="D698" s="20" t="str">
        <f>IF($B698="","",C698&amp;" "&amp;B698&amp;" - "&amp;E698)</f>
        <v/>
      </c>
      <c r="E698" s="21" t="str">
        <f>IF($B698="","",Paramètres!$A$23)</f>
        <v/>
      </c>
      <c r="F698" s="21" t="str">
        <f>IF($B698="","",Paramètres!$B$23)</f>
        <v/>
      </c>
      <c r="G698" s="21" t="str">
        <f>IF('Classe 6e'!$B58="","",IF('Classe 6e'!D58="","",'Classe 6e'!D58))</f>
        <v/>
      </c>
      <c r="H698" s="77" t="str">
        <f>IF('Classe 6e'!$B58="","",IF('Classe 6e'!E58="","",'Classe 6e'!E58))</f>
        <v/>
      </c>
      <c r="I698" s="20" t="str">
        <f>IF('Classe 6e'!$B58="","",IF('Classe 6e'!F58="","",'Classe 6e'!F58))</f>
        <v/>
      </c>
      <c r="J698" s="20" t="str">
        <f>IF('Classe 6e'!$B58="","",IF('Classe 6e'!G58="","",'Classe 6e'!G58))</f>
        <v/>
      </c>
      <c r="K698" s="51" t="str">
        <f>IF('Classe 6e'!$B58="","",N('Classe 6e'!H58))</f>
        <v/>
      </c>
      <c r="L698" s="51" t="str">
        <f>IF('Classe 6e'!$B58="","",N('Classe 6e'!I58))</f>
        <v/>
      </c>
      <c r="M698" s="51" t="str">
        <f>IF('Classe 6e'!$B58="","",N('Classe 6e'!J58))</f>
        <v/>
      </c>
      <c r="N698" s="51" t="str">
        <f>IF('Classe 6e'!$B58="","",N('Classe 6e'!K58))</f>
        <v/>
      </c>
      <c r="O698" s="51" t="str">
        <f>IF('Classe 6e'!$B58="","",N('Classe 6e'!L58))</f>
        <v/>
      </c>
      <c r="P698" s="51" t="str">
        <f>IF('Classe 6e'!$B58="","",N('Classe 6e'!M58))</f>
        <v/>
      </c>
      <c r="Q698" s="21" t="str">
        <f>IF('Classe 6e'!$B58="","",IF('Classe 6e'!Q58="","",'Classe 6e'!Q58))</f>
        <v/>
      </c>
      <c r="R698" s="51" t="str">
        <f>IF('Classe 6e'!$B58="","",N('Classe 6e'!N58))</f>
        <v/>
      </c>
      <c r="S698" s="51" t="str">
        <f>IF('Classe 6e'!$B58="","",N('Classe 6e'!O58))</f>
        <v/>
      </c>
      <c r="T698" s="51" t="str">
        <f>IF('Classe 6e'!$B58="","",N('Classe 6e'!P58))</f>
        <v/>
      </c>
    </row>
    <row r="699">
      <c r="A699" s="16" t="str">
        <f>IF('Classe 6e'!$B59="","",IF('Classe 6e'!A59="","",'Classe 6e'!A59))</f>
        <v/>
      </c>
      <c r="B699" s="16" t="str">
        <f>IF('Classe 6e'!$B59="","",IF('Classe 6e'!B59="","",'Classe 6e'!B59))</f>
        <v/>
      </c>
      <c r="C699" s="16" t="str">
        <f>IF('Classe 6e'!$B59="","",IF('Classe 6e'!C59="","",'Classe 6e'!C59))</f>
        <v/>
      </c>
      <c r="D699" s="16" t="str">
        <f>IF($B699="","",C699&amp;" "&amp;B699&amp;" - "&amp;E699)</f>
        <v/>
      </c>
      <c r="E699" s="17" t="str">
        <f>IF($B699="","",Paramètres!$A$23)</f>
        <v/>
      </c>
      <c r="F699" s="17" t="str">
        <f>IF($B699="","",Paramètres!$B$23)</f>
        <v/>
      </c>
      <c r="G699" s="17" t="str">
        <f>IF('Classe 6e'!$B59="","",IF('Classe 6e'!D59="","",'Classe 6e'!D59))</f>
        <v/>
      </c>
      <c r="H699" s="78" t="str">
        <f>IF('Classe 6e'!$B59="","",IF('Classe 6e'!E59="","",'Classe 6e'!E59))</f>
        <v/>
      </c>
      <c r="I699" s="16" t="str">
        <f>IF('Classe 6e'!$B59="","",IF('Classe 6e'!F59="","",'Classe 6e'!F59))</f>
        <v/>
      </c>
      <c r="J699" s="16" t="str">
        <f>IF('Classe 6e'!$B59="","",IF('Classe 6e'!G59="","",'Classe 6e'!G59))</f>
        <v/>
      </c>
      <c r="K699" s="18" t="str">
        <f>IF('Classe 6e'!$B59="","",N('Classe 6e'!H59))</f>
        <v/>
      </c>
      <c r="L699" s="18" t="str">
        <f>IF('Classe 6e'!$B59="","",N('Classe 6e'!I59))</f>
        <v/>
      </c>
      <c r="M699" s="18" t="str">
        <f>IF('Classe 6e'!$B59="","",N('Classe 6e'!J59))</f>
        <v/>
      </c>
      <c r="N699" s="18" t="str">
        <f>IF('Classe 6e'!$B59="","",N('Classe 6e'!K59))</f>
        <v/>
      </c>
      <c r="O699" s="18" t="str">
        <f>IF('Classe 6e'!$B59="","",N('Classe 6e'!L59))</f>
        <v/>
      </c>
      <c r="P699" s="18" t="str">
        <f>IF('Classe 6e'!$B59="","",N('Classe 6e'!M59))</f>
        <v/>
      </c>
      <c r="Q699" s="17" t="str">
        <f>IF('Classe 6e'!$B59="","",IF('Classe 6e'!Q59="","",'Classe 6e'!Q59))</f>
        <v/>
      </c>
      <c r="R699" s="18" t="str">
        <f>IF('Classe 6e'!$B59="","",N('Classe 6e'!N59))</f>
        <v/>
      </c>
      <c r="S699" s="18" t="str">
        <f>IF('Classe 6e'!$B59="","",N('Classe 6e'!O59))</f>
        <v/>
      </c>
      <c r="T699" s="18" t="str">
        <f>IF('Classe 6e'!$B59="","",N('Classe 6e'!P59))</f>
        <v/>
      </c>
    </row>
    <row r="700">
      <c r="A700" s="20" t="str">
        <f>IF('Classe 6e'!$B60="","",IF('Classe 6e'!A60="","",'Classe 6e'!A60))</f>
        <v/>
      </c>
      <c r="B700" s="20" t="str">
        <f>IF('Classe 6e'!$B60="","",IF('Classe 6e'!B60="","",'Classe 6e'!B60))</f>
        <v/>
      </c>
      <c r="C700" s="20" t="str">
        <f>IF('Classe 6e'!$B60="","",IF('Classe 6e'!C60="","",'Classe 6e'!C60))</f>
        <v/>
      </c>
      <c r="D700" s="20" t="str">
        <f>IF($B700="","",C700&amp;" "&amp;B700&amp;" - "&amp;E700)</f>
        <v/>
      </c>
      <c r="E700" s="21" t="str">
        <f>IF($B700="","",Paramètres!$A$23)</f>
        <v/>
      </c>
      <c r="F700" s="21" t="str">
        <f>IF($B700="","",Paramètres!$B$23)</f>
        <v/>
      </c>
      <c r="G700" s="21" t="str">
        <f>IF('Classe 6e'!$B60="","",IF('Classe 6e'!D60="","",'Classe 6e'!D60))</f>
        <v/>
      </c>
      <c r="H700" s="77" t="str">
        <f>IF('Classe 6e'!$B60="","",IF('Classe 6e'!E60="","",'Classe 6e'!E60))</f>
        <v/>
      </c>
      <c r="I700" s="20" t="str">
        <f>IF('Classe 6e'!$B60="","",IF('Classe 6e'!F60="","",'Classe 6e'!F60))</f>
        <v/>
      </c>
      <c r="J700" s="20" t="str">
        <f>IF('Classe 6e'!$B60="","",IF('Classe 6e'!G60="","",'Classe 6e'!G60))</f>
        <v/>
      </c>
      <c r="K700" s="51" t="str">
        <f>IF('Classe 6e'!$B60="","",N('Classe 6e'!H60))</f>
        <v/>
      </c>
      <c r="L700" s="51" t="str">
        <f>IF('Classe 6e'!$B60="","",N('Classe 6e'!I60))</f>
        <v/>
      </c>
      <c r="M700" s="51" t="str">
        <f>IF('Classe 6e'!$B60="","",N('Classe 6e'!J60))</f>
        <v/>
      </c>
      <c r="N700" s="51" t="str">
        <f>IF('Classe 6e'!$B60="","",N('Classe 6e'!K60))</f>
        <v/>
      </c>
      <c r="O700" s="51" t="str">
        <f>IF('Classe 6e'!$B60="","",N('Classe 6e'!L60))</f>
        <v/>
      </c>
      <c r="P700" s="51" t="str">
        <f>IF('Classe 6e'!$B60="","",N('Classe 6e'!M60))</f>
        <v/>
      </c>
      <c r="Q700" s="21" t="str">
        <f>IF('Classe 6e'!$B60="","",IF('Classe 6e'!Q60="","",'Classe 6e'!Q60))</f>
        <v/>
      </c>
      <c r="R700" s="51" t="str">
        <f>IF('Classe 6e'!$B60="","",N('Classe 6e'!N60))</f>
        <v/>
      </c>
      <c r="S700" s="51" t="str">
        <f>IF('Classe 6e'!$B60="","",N('Classe 6e'!O60))</f>
        <v/>
      </c>
      <c r="T700" s="51" t="str">
        <f>IF('Classe 6e'!$B60="","",N('Classe 6e'!P60))</f>
        <v/>
      </c>
    </row>
    <row r="701">
      <c r="A701" s="16" t="str">
        <f>IF('Classe 6e'!$B61="","",IF('Classe 6e'!A61="","",'Classe 6e'!A61))</f>
        <v/>
      </c>
      <c r="B701" s="16" t="str">
        <f>IF('Classe 6e'!$B61="","",IF('Classe 6e'!B61="","",'Classe 6e'!B61))</f>
        <v/>
      </c>
      <c r="C701" s="16" t="str">
        <f>IF('Classe 6e'!$B61="","",IF('Classe 6e'!C61="","",'Classe 6e'!C61))</f>
        <v/>
      </c>
      <c r="D701" s="16" t="str">
        <f>IF($B701="","",C701&amp;" "&amp;B701&amp;" - "&amp;E701)</f>
        <v/>
      </c>
      <c r="E701" s="17" t="str">
        <f>IF($B701="","",Paramètres!$A$23)</f>
        <v/>
      </c>
      <c r="F701" s="17" t="str">
        <f>IF($B701="","",Paramètres!$B$23)</f>
        <v/>
      </c>
      <c r="G701" s="17" t="str">
        <f>IF('Classe 6e'!$B61="","",IF('Classe 6e'!D61="","",'Classe 6e'!D61))</f>
        <v/>
      </c>
      <c r="H701" s="78" t="str">
        <f>IF('Classe 6e'!$B61="","",IF('Classe 6e'!E61="","",'Classe 6e'!E61))</f>
        <v/>
      </c>
      <c r="I701" s="16" t="str">
        <f>IF('Classe 6e'!$B61="","",IF('Classe 6e'!F61="","",'Classe 6e'!F61))</f>
        <v/>
      </c>
      <c r="J701" s="16" t="str">
        <f>IF('Classe 6e'!$B61="","",IF('Classe 6e'!G61="","",'Classe 6e'!G61))</f>
        <v/>
      </c>
      <c r="K701" s="18" t="str">
        <f>IF('Classe 6e'!$B61="","",N('Classe 6e'!H61))</f>
        <v/>
      </c>
      <c r="L701" s="18" t="str">
        <f>IF('Classe 6e'!$B61="","",N('Classe 6e'!I61))</f>
        <v/>
      </c>
      <c r="M701" s="18" t="str">
        <f>IF('Classe 6e'!$B61="","",N('Classe 6e'!J61))</f>
        <v/>
      </c>
      <c r="N701" s="18" t="str">
        <f>IF('Classe 6e'!$B61="","",N('Classe 6e'!K61))</f>
        <v/>
      </c>
      <c r="O701" s="18" t="str">
        <f>IF('Classe 6e'!$B61="","",N('Classe 6e'!L61))</f>
        <v/>
      </c>
      <c r="P701" s="18" t="str">
        <f>IF('Classe 6e'!$B61="","",N('Classe 6e'!M61))</f>
        <v/>
      </c>
      <c r="Q701" s="17" t="str">
        <f>IF('Classe 6e'!$B61="","",IF('Classe 6e'!Q61="","",'Classe 6e'!Q61))</f>
        <v/>
      </c>
      <c r="R701" s="18" t="str">
        <f>IF('Classe 6e'!$B61="","",N('Classe 6e'!N61))</f>
        <v/>
      </c>
      <c r="S701" s="18" t="str">
        <f>IF('Classe 6e'!$B61="","",N('Classe 6e'!O61))</f>
        <v/>
      </c>
      <c r="T701" s="18" t="str">
        <f>IF('Classe 6e'!$B61="","",N('Classe 6e'!P61))</f>
        <v/>
      </c>
    </row>
    <row r="702">
      <c r="A702" s="20" t="str">
        <f>IF('Classe 6e'!$B62="","",IF('Classe 6e'!A62="","",'Classe 6e'!A62))</f>
        <v/>
      </c>
      <c r="B702" s="20" t="str">
        <f>IF('Classe 6e'!$B62="","",IF('Classe 6e'!B62="","",'Classe 6e'!B62))</f>
        <v/>
      </c>
      <c r="C702" s="20" t="str">
        <f>IF('Classe 6e'!$B62="","",IF('Classe 6e'!C62="","",'Classe 6e'!C62))</f>
        <v/>
      </c>
      <c r="D702" s="20" t="str">
        <f>IF($B702="","",C702&amp;" "&amp;B702&amp;" - "&amp;E702)</f>
        <v/>
      </c>
      <c r="E702" s="21" t="str">
        <f>IF($B702="","",Paramètres!$A$23)</f>
        <v/>
      </c>
      <c r="F702" s="21" t="str">
        <f>IF($B702="","",Paramètres!$B$23)</f>
        <v/>
      </c>
      <c r="G702" s="21" t="str">
        <f>IF('Classe 6e'!$B62="","",IF('Classe 6e'!D62="","",'Classe 6e'!D62))</f>
        <v/>
      </c>
      <c r="H702" s="77" t="str">
        <f>IF('Classe 6e'!$B62="","",IF('Classe 6e'!E62="","",'Classe 6e'!E62))</f>
        <v/>
      </c>
      <c r="I702" s="20" t="str">
        <f>IF('Classe 6e'!$B62="","",IF('Classe 6e'!F62="","",'Classe 6e'!F62))</f>
        <v/>
      </c>
      <c r="J702" s="20" t="str">
        <f>IF('Classe 6e'!$B62="","",IF('Classe 6e'!G62="","",'Classe 6e'!G62))</f>
        <v/>
      </c>
      <c r="K702" s="51" t="str">
        <f>IF('Classe 6e'!$B62="","",N('Classe 6e'!H62))</f>
        <v/>
      </c>
      <c r="L702" s="51" t="str">
        <f>IF('Classe 6e'!$B62="","",N('Classe 6e'!I62))</f>
        <v/>
      </c>
      <c r="M702" s="51" t="str">
        <f>IF('Classe 6e'!$B62="","",N('Classe 6e'!J62))</f>
        <v/>
      </c>
      <c r="N702" s="51" t="str">
        <f>IF('Classe 6e'!$B62="","",N('Classe 6e'!K62))</f>
        <v/>
      </c>
      <c r="O702" s="51" t="str">
        <f>IF('Classe 6e'!$B62="","",N('Classe 6e'!L62))</f>
        <v/>
      </c>
      <c r="P702" s="51" t="str">
        <f>IF('Classe 6e'!$B62="","",N('Classe 6e'!M62))</f>
        <v/>
      </c>
      <c r="Q702" s="21" t="str">
        <f>IF('Classe 6e'!$B62="","",IF('Classe 6e'!Q62="","",'Classe 6e'!Q62))</f>
        <v/>
      </c>
      <c r="R702" s="51" t="str">
        <f>IF('Classe 6e'!$B62="","",N('Classe 6e'!N62))</f>
        <v/>
      </c>
      <c r="S702" s="51" t="str">
        <f>IF('Classe 6e'!$B62="","",N('Classe 6e'!O62))</f>
        <v/>
      </c>
      <c r="T702" s="51" t="str">
        <f>IF('Classe 6e'!$B62="","",N('Classe 6e'!P62))</f>
        <v/>
      </c>
    </row>
    <row r="703">
      <c r="A703" s="16" t="str">
        <f>IF('Classe 6e'!$B63="","",IF('Classe 6e'!A63="","",'Classe 6e'!A63))</f>
        <v/>
      </c>
      <c r="B703" s="16" t="str">
        <f>IF('Classe 6e'!$B63="","",IF('Classe 6e'!B63="","",'Classe 6e'!B63))</f>
        <v/>
      </c>
      <c r="C703" s="16" t="str">
        <f>IF('Classe 6e'!$B63="","",IF('Classe 6e'!C63="","",'Classe 6e'!C63))</f>
        <v/>
      </c>
      <c r="D703" s="16" t="str">
        <f>IF($B703="","",C703&amp;" "&amp;B703&amp;" - "&amp;E703)</f>
        <v/>
      </c>
      <c r="E703" s="17" t="str">
        <f>IF($B703="","",Paramètres!$A$23)</f>
        <v/>
      </c>
      <c r="F703" s="17" t="str">
        <f>IF($B703="","",Paramètres!$B$23)</f>
        <v/>
      </c>
      <c r="G703" s="17" t="str">
        <f>IF('Classe 6e'!$B63="","",IF('Classe 6e'!D63="","",'Classe 6e'!D63))</f>
        <v/>
      </c>
      <c r="H703" s="78" t="str">
        <f>IF('Classe 6e'!$B63="","",IF('Classe 6e'!E63="","",'Classe 6e'!E63))</f>
        <v/>
      </c>
      <c r="I703" s="16" t="str">
        <f>IF('Classe 6e'!$B63="","",IF('Classe 6e'!F63="","",'Classe 6e'!F63))</f>
        <v/>
      </c>
      <c r="J703" s="16" t="str">
        <f>IF('Classe 6e'!$B63="","",IF('Classe 6e'!G63="","",'Classe 6e'!G63))</f>
        <v/>
      </c>
      <c r="K703" s="18" t="str">
        <f>IF('Classe 6e'!$B63="","",N('Classe 6e'!H63))</f>
        <v/>
      </c>
      <c r="L703" s="18" t="str">
        <f>IF('Classe 6e'!$B63="","",N('Classe 6e'!I63))</f>
        <v/>
      </c>
      <c r="M703" s="18" t="str">
        <f>IF('Classe 6e'!$B63="","",N('Classe 6e'!J63))</f>
        <v/>
      </c>
      <c r="N703" s="18" t="str">
        <f>IF('Classe 6e'!$B63="","",N('Classe 6e'!K63))</f>
        <v/>
      </c>
      <c r="O703" s="18" t="str">
        <f>IF('Classe 6e'!$B63="","",N('Classe 6e'!L63))</f>
        <v/>
      </c>
      <c r="P703" s="18" t="str">
        <f>IF('Classe 6e'!$B63="","",N('Classe 6e'!M63))</f>
        <v/>
      </c>
      <c r="Q703" s="17" t="str">
        <f>IF('Classe 6e'!$B63="","",IF('Classe 6e'!Q63="","",'Classe 6e'!Q63))</f>
        <v/>
      </c>
      <c r="R703" s="18" t="str">
        <f>IF('Classe 6e'!$B63="","",N('Classe 6e'!N63))</f>
        <v/>
      </c>
      <c r="S703" s="18" t="str">
        <f>IF('Classe 6e'!$B63="","",N('Classe 6e'!O63))</f>
        <v/>
      </c>
      <c r="T703" s="18" t="str">
        <f>IF('Classe 6e'!$B63="","",N('Classe 6e'!P63))</f>
        <v/>
      </c>
    </row>
    <row r="704">
      <c r="A704" s="20" t="str">
        <f>IF('Classe 6e'!$B64="","",IF('Classe 6e'!A64="","",'Classe 6e'!A64))</f>
        <v/>
      </c>
      <c r="B704" s="20" t="str">
        <f>IF('Classe 6e'!$B64="","",IF('Classe 6e'!B64="","",'Classe 6e'!B64))</f>
        <v/>
      </c>
      <c r="C704" s="20" t="str">
        <f>IF('Classe 6e'!$B64="","",IF('Classe 6e'!C64="","",'Classe 6e'!C64))</f>
        <v/>
      </c>
      <c r="D704" s="20" t="str">
        <f>IF($B704="","",C704&amp;" "&amp;B704&amp;" - "&amp;E704)</f>
        <v/>
      </c>
      <c r="E704" s="21" t="str">
        <f>IF($B704="","",Paramètres!$A$23)</f>
        <v/>
      </c>
      <c r="F704" s="21" t="str">
        <f>IF($B704="","",Paramètres!$B$23)</f>
        <v/>
      </c>
      <c r="G704" s="21" t="str">
        <f>IF('Classe 6e'!$B64="","",IF('Classe 6e'!D64="","",'Classe 6e'!D64))</f>
        <v/>
      </c>
      <c r="H704" s="77" t="str">
        <f>IF('Classe 6e'!$B64="","",IF('Classe 6e'!E64="","",'Classe 6e'!E64))</f>
        <v/>
      </c>
      <c r="I704" s="20" t="str">
        <f>IF('Classe 6e'!$B64="","",IF('Classe 6e'!F64="","",'Classe 6e'!F64))</f>
        <v/>
      </c>
      <c r="J704" s="20" t="str">
        <f>IF('Classe 6e'!$B64="","",IF('Classe 6e'!G64="","",'Classe 6e'!G64))</f>
        <v/>
      </c>
      <c r="K704" s="51" t="str">
        <f>IF('Classe 6e'!$B64="","",N('Classe 6e'!H64))</f>
        <v/>
      </c>
      <c r="L704" s="51" t="str">
        <f>IF('Classe 6e'!$B64="","",N('Classe 6e'!I64))</f>
        <v/>
      </c>
      <c r="M704" s="51" t="str">
        <f>IF('Classe 6e'!$B64="","",N('Classe 6e'!J64))</f>
        <v/>
      </c>
      <c r="N704" s="51" t="str">
        <f>IF('Classe 6e'!$B64="","",N('Classe 6e'!K64))</f>
        <v/>
      </c>
      <c r="O704" s="51" t="str">
        <f>IF('Classe 6e'!$B64="","",N('Classe 6e'!L64))</f>
        <v/>
      </c>
      <c r="P704" s="51" t="str">
        <f>IF('Classe 6e'!$B64="","",N('Classe 6e'!M64))</f>
        <v/>
      </c>
      <c r="Q704" s="21" t="str">
        <f>IF('Classe 6e'!$B64="","",IF('Classe 6e'!Q64="","",'Classe 6e'!Q64))</f>
        <v/>
      </c>
      <c r="R704" s="51" t="str">
        <f>IF('Classe 6e'!$B64="","",N('Classe 6e'!N64))</f>
        <v/>
      </c>
      <c r="S704" s="51" t="str">
        <f>IF('Classe 6e'!$B64="","",N('Classe 6e'!O64))</f>
        <v/>
      </c>
      <c r="T704" s="51" t="str">
        <f>IF('Classe 6e'!$B64="","",N('Classe 6e'!P64))</f>
        <v/>
      </c>
    </row>
    <row r="705">
      <c r="A705" s="16" t="str">
        <f>IF('Classe 6e'!$B65="","",IF('Classe 6e'!A65="","",'Classe 6e'!A65))</f>
        <v/>
      </c>
      <c r="B705" s="16" t="str">
        <f>IF('Classe 6e'!$B65="","",IF('Classe 6e'!B65="","",'Classe 6e'!B65))</f>
        <v/>
      </c>
      <c r="C705" s="16" t="str">
        <f>IF('Classe 6e'!$B65="","",IF('Classe 6e'!C65="","",'Classe 6e'!C65))</f>
        <v/>
      </c>
      <c r="D705" s="16" t="str">
        <f>IF($B705="","",C705&amp;" "&amp;B705&amp;" - "&amp;E705)</f>
        <v/>
      </c>
      <c r="E705" s="17" t="str">
        <f>IF($B705="","",Paramètres!$A$23)</f>
        <v/>
      </c>
      <c r="F705" s="17" t="str">
        <f>IF($B705="","",Paramètres!$B$23)</f>
        <v/>
      </c>
      <c r="G705" s="17" t="str">
        <f>IF('Classe 6e'!$B65="","",IF('Classe 6e'!D65="","",'Classe 6e'!D65))</f>
        <v/>
      </c>
      <c r="H705" s="78" t="str">
        <f>IF('Classe 6e'!$B65="","",IF('Classe 6e'!E65="","",'Classe 6e'!E65))</f>
        <v/>
      </c>
      <c r="I705" s="16" t="str">
        <f>IF('Classe 6e'!$B65="","",IF('Classe 6e'!F65="","",'Classe 6e'!F65))</f>
        <v/>
      </c>
      <c r="J705" s="16" t="str">
        <f>IF('Classe 6e'!$B65="","",IF('Classe 6e'!G65="","",'Classe 6e'!G65))</f>
        <v/>
      </c>
      <c r="K705" s="18" t="str">
        <f>IF('Classe 6e'!$B65="","",N('Classe 6e'!H65))</f>
        <v/>
      </c>
      <c r="L705" s="18" t="str">
        <f>IF('Classe 6e'!$B65="","",N('Classe 6e'!I65))</f>
        <v/>
      </c>
      <c r="M705" s="18" t="str">
        <f>IF('Classe 6e'!$B65="","",N('Classe 6e'!J65))</f>
        <v/>
      </c>
      <c r="N705" s="18" t="str">
        <f>IF('Classe 6e'!$B65="","",N('Classe 6e'!K65))</f>
        <v/>
      </c>
      <c r="O705" s="18" t="str">
        <f>IF('Classe 6e'!$B65="","",N('Classe 6e'!L65))</f>
        <v/>
      </c>
      <c r="P705" s="18" t="str">
        <f>IF('Classe 6e'!$B65="","",N('Classe 6e'!M65))</f>
        <v/>
      </c>
      <c r="Q705" s="17" t="str">
        <f>IF('Classe 6e'!$B65="","",IF('Classe 6e'!Q65="","",'Classe 6e'!Q65))</f>
        <v/>
      </c>
      <c r="R705" s="18" t="str">
        <f>IF('Classe 6e'!$B65="","",N('Classe 6e'!N65))</f>
        <v/>
      </c>
      <c r="S705" s="18" t="str">
        <f>IF('Classe 6e'!$B65="","",N('Classe 6e'!O65))</f>
        <v/>
      </c>
      <c r="T705" s="18" t="str">
        <f>IF('Classe 6e'!$B65="","",N('Classe 6e'!P65))</f>
        <v/>
      </c>
    </row>
    <row r="706">
      <c r="A706" s="20" t="str">
        <f>IF('Classe 6e'!$B66="","",IF('Classe 6e'!A66="","",'Classe 6e'!A66))</f>
        <v/>
      </c>
      <c r="B706" s="20" t="str">
        <f>IF('Classe 6e'!$B66="","",IF('Classe 6e'!B66="","",'Classe 6e'!B66))</f>
        <v/>
      </c>
      <c r="C706" s="20" t="str">
        <f>IF('Classe 6e'!$B66="","",IF('Classe 6e'!C66="","",'Classe 6e'!C66))</f>
        <v/>
      </c>
      <c r="D706" s="20" t="str">
        <f>IF($B706="","",C706&amp;" "&amp;B706&amp;" - "&amp;E706)</f>
        <v/>
      </c>
      <c r="E706" s="21" t="str">
        <f>IF($B706="","",Paramètres!$A$23)</f>
        <v/>
      </c>
      <c r="F706" s="21" t="str">
        <f>IF($B706="","",Paramètres!$B$23)</f>
        <v/>
      </c>
      <c r="G706" s="21" t="str">
        <f>IF('Classe 6e'!$B66="","",IF('Classe 6e'!D66="","",'Classe 6e'!D66))</f>
        <v/>
      </c>
      <c r="H706" s="77" t="str">
        <f>IF('Classe 6e'!$B66="","",IF('Classe 6e'!E66="","",'Classe 6e'!E66))</f>
        <v/>
      </c>
      <c r="I706" s="20" t="str">
        <f>IF('Classe 6e'!$B66="","",IF('Classe 6e'!F66="","",'Classe 6e'!F66))</f>
        <v/>
      </c>
      <c r="J706" s="20" t="str">
        <f>IF('Classe 6e'!$B66="","",IF('Classe 6e'!G66="","",'Classe 6e'!G66))</f>
        <v/>
      </c>
      <c r="K706" s="51" t="str">
        <f>IF('Classe 6e'!$B66="","",N('Classe 6e'!H66))</f>
        <v/>
      </c>
      <c r="L706" s="51" t="str">
        <f>IF('Classe 6e'!$B66="","",N('Classe 6e'!I66))</f>
        <v/>
      </c>
      <c r="M706" s="51" t="str">
        <f>IF('Classe 6e'!$B66="","",N('Classe 6e'!J66))</f>
        <v/>
      </c>
      <c r="N706" s="51" t="str">
        <f>IF('Classe 6e'!$B66="","",N('Classe 6e'!K66))</f>
        <v/>
      </c>
      <c r="O706" s="51" t="str">
        <f>IF('Classe 6e'!$B66="","",N('Classe 6e'!L66))</f>
        <v/>
      </c>
      <c r="P706" s="51" t="str">
        <f>IF('Classe 6e'!$B66="","",N('Classe 6e'!M66))</f>
        <v/>
      </c>
      <c r="Q706" s="21" t="str">
        <f>IF('Classe 6e'!$B66="","",IF('Classe 6e'!Q66="","",'Classe 6e'!Q66))</f>
        <v/>
      </c>
      <c r="R706" s="51" t="str">
        <f>IF('Classe 6e'!$B66="","",N('Classe 6e'!N66))</f>
        <v/>
      </c>
      <c r="S706" s="51" t="str">
        <f>IF('Classe 6e'!$B66="","",N('Classe 6e'!O66))</f>
        <v/>
      </c>
      <c r="T706" s="51" t="str">
        <f>IF('Classe 6e'!$B66="","",N('Classe 6e'!P66))</f>
        <v/>
      </c>
    </row>
    <row r="707">
      <c r="A707" s="16" t="str">
        <f>IF('Classe 6e'!$B67="","",IF('Classe 6e'!A67="","",'Classe 6e'!A67))</f>
        <v/>
      </c>
      <c r="B707" s="16" t="str">
        <f>IF('Classe 6e'!$B67="","",IF('Classe 6e'!B67="","",'Classe 6e'!B67))</f>
        <v/>
      </c>
      <c r="C707" s="16" t="str">
        <f>IF('Classe 6e'!$B67="","",IF('Classe 6e'!C67="","",'Classe 6e'!C67))</f>
        <v/>
      </c>
      <c r="D707" s="16" t="str">
        <f>IF($B707="","",C707&amp;" "&amp;B707&amp;" - "&amp;E707)</f>
        <v/>
      </c>
      <c r="E707" s="17" t="str">
        <f>IF($B707="","",Paramètres!$A$23)</f>
        <v/>
      </c>
      <c r="F707" s="17" t="str">
        <f>IF($B707="","",Paramètres!$B$23)</f>
        <v/>
      </c>
      <c r="G707" s="17" t="str">
        <f>IF('Classe 6e'!$B67="","",IF('Classe 6e'!D67="","",'Classe 6e'!D67))</f>
        <v/>
      </c>
      <c r="H707" s="78" t="str">
        <f>IF('Classe 6e'!$B67="","",IF('Classe 6e'!E67="","",'Classe 6e'!E67))</f>
        <v/>
      </c>
      <c r="I707" s="16" t="str">
        <f>IF('Classe 6e'!$B67="","",IF('Classe 6e'!F67="","",'Classe 6e'!F67))</f>
        <v/>
      </c>
      <c r="J707" s="16" t="str">
        <f>IF('Classe 6e'!$B67="","",IF('Classe 6e'!G67="","",'Classe 6e'!G67))</f>
        <v/>
      </c>
      <c r="K707" s="18" t="str">
        <f>IF('Classe 6e'!$B67="","",N('Classe 6e'!H67))</f>
        <v/>
      </c>
      <c r="L707" s="18" t="str">
        <f>IF('Classe 6e'!$B67="","",N('Classe 6e'!I67))</f>
        <v/>
      </c>
      <c r="M707" s="18" t="str">
        <f>IF('Classe 6e'!$B67="","",N('Classe 6e'!J67))</f>
        <v/>
      </c>
      <c r="N707" s="18" t="str">
        <f>IF('Classe 6e'!$B67="","",N('Classe 6e'!K67))</f>
        <v/>
      </c>
      <c r="O707" s="18" t="str">
        <f>IF('Classe 6e'!$B67="","",N('Classe 6e'!L67))</f>
        <v/>
      </c>
      <c r="P707" s="18" t="str">
        <f>IF('Classe 6e'!$B67="","",N('Classe 6e'!M67))</f>
        <v/>
      </c>
      <c r="Q707" s="17" t="str">
        <f>IF('Classe 6e'!$B67="","",IF('Classe 6e'!Q67="","",'Classe 6e'!Q67))</f>
        <v/>
      </c>
      <c r="R707" s="18" t="str">
        <f>IF('Classe 6e'!$B67="","",N('Classe 6e'!N67))</f>
        <v/>
      </c>
      <c r="S707" s="18" t="str">
        <f>IF('Classe 6e'!$B67="","",N('Classe 6e'!O67))</f>
        <v/>
      </c>
      <c r="T707" s="18" t="str">
        <f>IF('Classe 6e'!$B67="","",N('Classe 6e'!P67))</f>
        <v/>
      </c>
    </row>
    <row r="708">
      <c r="A708" s="20" t="str">
        <f>IF('Classe 6e'!$B68="","",IF('Classe 6e'!A68="","",'Classe 6e'!A68))</f>
        <v/>
      </c>
      <c r="B708" s="20" t="str">
        <f>IF('Classe 6e'!$B68="","",IF('Classe 6e'!B68="","",'Classe 6e'!B68))</f>
        <v/>
      </c>
      <c r="C708" s="20" t="str">
        <f>IF('Classe 6e'!$B68="","",IF('Classe 6e'!C68="","",'Classe 6e'!C68))</f>
        <v/>
      </c>
      <c r="D708" s="20" t="str">
        <f>IF($B708="","",C708&amp;" "&amp;B708&amp;" - "&amp;E708)</f>
        <v/>
      </c>
      <c r="E708" s="21" t="str">
        <f>IF($B708="","",Paramètres!$A$23)</f>
        <v/>
      </c>
      <c r="F708" s="21" t="str">
        <f>IF($B708="","",Paramètres!$B$23)</f>
        <v/>
      </c>
      <c r="G708" s="21" t="str">
        <f>IF('Classe 6e'!$B68="","",IF('Classe 6e'!D68="","",'Classe 6e'!D68))</f>
        <v/>
      </c>
      <c r="H708" s="77" t="str">
        <f>IF('Classe 6e'!$B68="","",IF('Classe 6e'!E68="","",'Classe 6e'!E68))</f>
        <v/>
      </c>
      <c r="I708" s="20" t="str">
        <f>IF('Classe 6e'!$B68="","",IF('Classe 6e'!F68="","",'Classe 6e'!F68))</f>
        <v/>
      </c>
      <c r="J708" s="20" t="str">
        <f>IF('Classe 6e'!$B68="","",IF('Classe 6e'!G68="","",'Classe 6e'!G68))</f>
        <v/>
      </c>
      <c r="K708" s="51" t="str">
        <f>IF('Classe 6e'!$B68="","",N('Classe 6e'!H68))</f>
        <v/>
      </c>
      <c r="L708" s="51" t="str">
        <f>IF('Classe 6e'!$B68="","",N('Classe 6e'!I68))</f>
        <v/>
      </c>
      <c r="M708" s="51" t="str">
        <f>IF('Classe 6e'!$B68="","",N('Classe 6e'!J68))</f>
        <v/>
      </c>
      <c r="N708" s="51" t="str">
        <f>IF('Classe 6e'!$B68="","",N('Classe 6e'!K68))</f>
        <v/>
      </c>
      <c r="O708" s="51" t="str">
        <f>IF('Classe 6e'!$B68="","",N('Classe 6e'!L68))</f>
        <v/>
      </c>
      <c r="P708" s="51" t="str">
        <f>IF('Classe 6e'!$B68="","",N('Classe 6e'!M68))</f>
        <v/>
      </c>
      <c r="Q708" s="21" t="str">
        <f>IF('Classe 6e'!$B68="","",IF('Classe 6e'!Q68="","",'Classe 6e'!Q68))</f>
        <v/>
      </c>
      <c r="R708" s="51" t="str">
        <f>IF('Classe 6e'!$B68="","",N('Classe 6e'!N68))</f>
        <v/>
      </c>
      <c r="S708" s="51" t="str">
        <f>IF('Classe 6e'!$B68="","",N('Classe 6e'!O68))</f>
        <v/>
      </c>
      <c r="T708" s="51" t="str">
        <f>IF('Classe 6e'!$B68="","",N('Classe 6e'!P68))</f>
        <v/>
      </c>
    </row>
    <row r="709">
      <c r="A709" s="16" t="str">
        <f>IF('Classe 6e'!$B69="","",IF('Classe 6e'!A69="","",'Classe 6e'!A69))</f>
        <v/>
      </c>
      <c r="B709" s="16" t="str">
        <f>IF('Classe 6e'!$B69="","",IF('Classe 6e'!B69="","",'Classe 6e'!B69))</f>
        <v/>
      </c>
      <c r="C709" s="16" t="str">
        <f>IF('Classe 6e'!$B69="","",IF('Classe 6e'!C69="","",'Classe 6e'!C69))</f>
        <v/>
      </c>
      <c r="D709" s="16" t="str">
        <f>IF($B709="","",C709&amp;" "&amp;B709&amp;" - "&amp;E709)</f>
        <v/>
      </c>
      <c r="E709" s="17" t="str">
        <f>IF($B709="","",Paramètres!$A$23)</f>
        <v/>
      </c>
      <c r="F709" s="17" t="str">
        <f>IF($B709="","",Paramètres!$B$23)</f>
        <v/>
      </c>
      <c r="G709" s="17" t="str">
        <f>IF('Classe 6e'!$B69="","",IF('Classe 6e'!D69="","",'Classe 6e'!D69))</f>
        <v/>
      </c>
      <c r="H709" s="78" t="str">
        <f>IF('Classe 6e'!$B69="","",IF('Classe 6e'!E69="","",'Classe 6e'!E69))</f>
        <v/>
      </c>
      <c r="I709" s="16" t="str">
        <f>IF('Classe 6e'!$B69="","",IF('Classe 6e'!F69="","",'Classe 6e'!F69))</f>
        <v/>
      </c>
      <c r="J709" s="16" t="str">
        <f>IF('Classe 6e'!$B69="","",IF('Classe 6e'!G69="","",'Classe 6e'!G69))</f>
        <v/>
      </c>
      <c r="K709" s="18" t="str">
        <f>IF('Classe 6e'!$B69="","",N('Classe 6e'!H69))</f>
        <v/>
      </c>
      <c r="L709" s="18" t="str">
        <f>IF('Classe 6e'!$B69="","",N('Classe 6e'!I69))</f>
        <v/>
      </c>
      <c r="M709" s="18" t="str">
        <f>IF('Classe 6e'!$B69="","",N('Classe 6e'!J69))</f>
        <v/>
      </c>
      <c r="N709" s="18" t="str">
        <f>IF('Classe 6e'!$B69="","",N('Classe 6e'!K69))</f>
        <v/>
      </c>
      <c r="O709" s="18" t="str">
        <f>IF('Classe 6e'!$B69="","",N('Classe 6e'!L69))</f>
        <v/>
      </c>
      <c r="P709" s="18" t="str">
        <f>IF('Classe 6e'!$B69="","",N('Classe 6e'!M69))</f>
        <v/>
      </c>
      <c r="Q709" s="17" t="str">
        <f>IF('Classe 6e'!$B69="","",IF('Classe 6e'!Q69="","",'Classe 6e'!Q69))</f>
        <v/>
      </c>
      <c r="R709" s="18" t="str">
        <f>IF('Classe 6e'!$B69="","",N('Classe 6e'!N69))</f>
        <v/>
      </c>
      <c r="S709" s="18" t="str">
        <f>IF('Classe 6e'!$B69="","",N('Classe 6e'!O69))</f>
        <v/>
      </c>
      <c r="T709" s="18" t="str">
        <f>IF('Classe 6e'!$B69="","",N('Classe 6e'!P69))</f>
        <v/>
      </c>
    </row>
    <row r="710">
      <c r="A710" s="20" t="str">
        <f>IF('Classe 6e'!$B70="","",IF('Classe 6e'!A70="","",'Classe 6e'!A70))</f>
        <v/>
      </c>
      <c r="B710" s="20" t="str">
        <f>IF('Classe 6e'!$B70="","",IF('Classe 6e'!B70="","",'Classe 6e'!B70))</f>
        <v/>
      </c>
      <c r="C710" s="20" t="str">
        <f>IF('Classe 6e'!$B70="","",IF('Classe 6e'!C70="","",'Classe 6e'!C70))</f>
        <v/>
      </c>
      <c r="D710" s="20" t="str">
        <f>IF($B710="","",C710&amp;" "&amp;B710&amp;" - "&amp;E710)</f>
        <v/>
      </c>
      <c r="E710" s="21" t="str">
        <f>IF($B710="","",Paramètres!$A$23)</f>
        <v/>
      </c>
      <c r="F710" s="21" t="str">
        <f>IF($B710="","",Paramètres!$B$23)</f>
        <v/>
      </c>
      <c r="G710" s="21" t="str">
        <f>IF('Classe 6e'!$B70="","",IF('Classe 6e'!D70="","",'Classe 6e'!D70))</f>
        <v/>
      </c>
      <c r="H710" s="77" t="str">
        <f>IF('Classe 6e'!$B70="","",IF('Classe 6e'!E70="","",'Classe 6e'!E70))</f>
        <v/>
      </c>
      <c r="I710" s="20" t="str">
        <f>IF('Classe 6e'!$B70="","",IF('Classe 6e'!F70="","",'Classe 6e'!F70))</f>
        <v/>
      </c>
      <c r="J710" s="20" t="str">
        <f>IF('Classe 6e'!$B70="","",IF('Classe 6e'!G70="","",'Classe 6e'!G70))</f>
        <v/>
      </c>
      <c r="K710" s="51" t="str">
        <f>IF('Classe 6e'!$B70="","",N('Classe 6e'!H70))</f>
        <v/>
      </c>
      <c r="L710" s="51" t="str">
        <f>IF('Classe 6e'!$B70="","",N('Classe 6e'!I70))</f>
        <v/>
      </c>
      <c r="M710" s="51" t="str">
        <f>IF('Classe 6e'!$B70="","",N('Classe 6e'!J70))</f>
        <v/>
      </c>
      <c r="N710" s="51" t="str">
        <f>IF('Classe 6e'!$B70="","",N('Classe 6e'!K70))</f>
        <v/>
      </c>
      <c r="O710" s="51" t="str">
        <f>IF('Classe 6e'!$B70="","",N('Classe 6e'!L70))</f>
        <v/>
      </c>
      <c r="P710" s="51" t="str">
        <f>IF('Classe 6e'!$B70="","",N('Classe 6e'!M70))</f>
        <v/>
      </c>
      <c r="Q710" s="21" t="str">
        <f>IF('Classe 6e'!$B70="","",IF('Classe 6e'!Q70="","",'Classe 6e'!Q70))</f>
        <v/>
      </c>
      <c r="R710" s="51" t="str">
        <f>IF('Classe 6e'!$B70="","",N('Classe 6e'!N70))</f>
        <v/>
      </c>
      <c r="S710" s="51" t="str">
        <f>IF('Classe 6e'!$B70="","",N('Classe 6e'!O70))</f>
        <v/>
      </c>
      <c r="T710" s="51" t="str">
        <f>IF('Classe 6e'!$B70="","",N('Classe 6e'!P70))</f>
        <v/>
      </c>
    </row>
    <row r="711">
      <c r="A711" s="16" t="str">
        <f>IF('Classe 6e'!$B71="","",IF('Classe 6e'!A71="","",'Classe 6e'!A71))</f>
        <v/>
      </c>
      <c r="B711" s="16" t="str">
        <f>IF('Classe 6e'!$B71="","",IF('Classe 6e'!B71="","",'Classe 6e'!B71))</f>
        <v/>
      </c>
      <c r="C711" s="16" t="str">
        <f>IF('Classe 6e'!$B71="","",IF('Classe 6e'!C71="","",'Classe 6e'!C71))</f>
        <v/>
      </c>
      <c r="D711" s="16" t="str">
        <f>IF($B711="","",C711&amp;" "&amp;B711&amp;" - "&amp;E711)</f>
        <v/>
      </c>
      <c r="E711" s="17" t="str">
        <f>IF($B711="","",Paramètres!$A$23)</f>
        <v/>
      </c>
      <c r="F711" s="17" t="str">
        <f>IF($B711="","",Paramètres!$B$23)</f>
        <v/>
      </c>
      <c r="G711" s="17" t="str">
        <f>IF('Classe 6e'!$B71="","",IF('Classe 6e'!D71="","",'Classe 6e'!D71))</f>
        <v/>
      </c>
      <c r="H711" s="78" t="str">
        <f>IF('Classe 6e'!$B71="","",IF('Classe 6e'!E71="","",'Classe 6e'!E71))</f>
        <v/>
      </c>
      <c r="I711" s="16" t="str">
        <f>IF('Classe 6e'!$B71="","",IF('Classe 6e'!F71="","",'Classe 6e'!F71))</f>
        <v/>
      </c>
      <c r="J711" s="16" t="str">
        <f>IF('Classe 6e'!$B71="","",IF('Classe 6e'!G71="","",'Classe 6e'!G71))</f>
        <v/>
      </c>
      <c r="K711" s="18" t="str">
        <f>IF('Classe 6e'!$B71="","",N('Classe 6e'!H71))</f>
        <v/>
      </c>
      <c r="L711" s="18" t="str">
        <f>IF('Classe 6e'!$B71="","",N('Classe 6e'!I71))</f>
        <v/>
      </c>
      <c r="M711" s="18" t="str">
        <f>IF('Classe 6e'!$B71="","",N('Classe 6e'!J71))</f>
        <v/>
      </c>
      <c r="N711" s="18" t="str">
        <f>IF('Classe 6e'!$B71="","",N('Classe 6e'!K71))</f>
        <v/>
      </c>
      <c r="O711" s="18" t="str">
        <f>IF('Classe 6e'!$B71="","",N('Classe 6e'!L71))</f>
        <v/>
      </c>
      <c r="P711" s="18" t="str">
        <f>IF('Classe 6e'!$B71="","",N('Classe 6e'!M71))</f>
        <v/>
      </c>
      <c r="Q711" s="17" t="str">
        <f>IF('Classe 6e'!$B71="","",IF('Classe 6e'!Q71="","",'Classe 6e'!Q71))</f>
        <v/>
      </c>
      <c r="R711" s="18" t="str">
        <f>IF('Classe 6e'!$B71="","",N('Classe 6e'!N71))</f>
        <v/>
      </c>
      <c r="S711" s="18" t="str">
        <f>IF('Classe 6e'!$B71="","",N('Classe 6e'!O71))</f>
        <v/>
      </c>
      <c r="T711" s="18" t="str">
        <f>IF('Classe 6e'!$B71="","",N('Classe 6e'!P71))</f>
        <v/>
      </c>
    </row>
    <row r="712">
      <c r="A712" s="20" t="str">
        <f>IF('Classe 6e'!$B72="","",IF('Classe 6e'!A72="","",'Classe 6e'!A72))</f>
        <v/>
      </c>
      <c r="B712" s="20" t="str">
        <f>IF('Classe 6e'!$B72="","",IF('Classe 6e'!B72="","",'Classe 6e'!B72))</f>
        <v/>
      </c>
      <c r="C712" s="20" t="str">
        <f>IF('Classe 6e'!$B72="","",IF('Classe 6e'!C72="","",'Classe 6e'!C72))</f>
        <v/>
      </c>
      <c r="D712" s="20" t="str">
        <f>IF($B712="","",C712&amp;" "&amp;B712&amp;" - "&amp;E712)</f>
        <v/>
      </c>
      <c r="E712" s="21" t="str">
        <f>IF($B712="","",Paramètres!$A$23)</f>
        <v/>
      </c>
      <c r="F712" s="21" t="str">
        <f>IF($B712="","",Paramètres!$B$23)</f>
        <v/>
      </c>
      <c r="G712" s="21" t="str">
        <f>IF('Classe 6e'!$B72="","",IF('Classe 6e'!D72="","",'Classe 6e'!D72))</f>
        <v/>
      </c>
      <c r="H712" s="77" t="str">
        <f>IF('Classe 6e'!$B72="","",IF('Classe 6e'!E72="","",'Classe 6e'!E72))</f>
        <v/>
      </c>
      <c r="I712" s="20" t="str">
        <f>IF('Classe 6e'!$B72="","",IF('Classe 6e'!F72="","",'Classe 6e'!F72))</f>
        <v/>
      </c>
      <c r="J712" s="20" t="str">
        <f>IF('Classe 6e'!$B72="","",IF('Classe 6e'!G72="","",'Classe 6e'!G72))</f>
        <v/>
      </c>
      <c r="K712" s="51" t="str">
        <f>IF('Classe 6e'!$B72="","",N('Classe 6e'!H72))</f>
        <v/>
      </c>
      <c r="L712" s="51" t="str">
        <f>IF('Classe 6e'!$B72="","",N('Classe 6e'!I72))</f>
        <v/>
      </c>
      <c r="M712" s="51" t="str">
        <f>IF('Classe 6e'!$B72="","",N('Classe 6e'!J72))</f>
        <v/>
      </c>
      <c r="N712" s="51" t="str">
        <f>IF('Classe 6e'!$B72="","",N('Classe 6e'!K72))</f>
        <v/>
      </c>
      <c r="O712" s="51" t="str">
        <f>IF('Classe 6e'!$B72="","",N('Classe 6e'!L72))</f>
        <v/>
      </c>
      <c r="P712" s="51" t="str">
        <f>IF('Classe 6e'!$B72="","",N('Classe 6e'!M72))</f>
        <v/>
      </c>
      <c r="Q712" s="21" t="str">
        <f>IF('Classe 6e'!$B72="","",IF('Classe 6e'!Q72="","",'Classe 6e'!Q72))</f>
        <v/>
      </c>
      <c r="R712" s="51" t="str">
        <f>IF('Classe 6e'!$B72="","",N('Classe 6e'!N72))</f>
        <v/>
      </c>
      <c r="S712" s="51" t="str">
        <f>IF('Classe 6e'!$B72="","",N('Classe 6e'!O72))</f>
        <v/>
      </c>
      <c r="T712" s="51" t="str">
        <f>IF('Classe 6e'!$B72="","",N('Classe 6e'!P72))</f>
        <v/>
      </c>
    </row>
    <row r="713">
      <c r="A713" s="16" t="str">
        <f>IF('Classe 6e'!$B73="","",IF('Classe 6e'!A73="","",'Classe 6e'!A73))</f>
        <v/>
      </c>
      <c r="B713" s="16" t="str">
        <f>IF('Classe 6e'!$B73="","",IF('Classe 6e'!B73="","",'Classe 6e'!B73))</f>
        <v/>
      </c>
      <c r="C713" s="16" t="str">
        <f>IF('Classe 6e'!$B73="","",IF('Classe 6e'!C73="","",'Classe 6e'!C73))</f>
        <v/>
      </c>
      <c r="D713" s="16" t="str">
        <f>IF($B713="","",C713&amp;" "&amp;B713&amp;" - "&amp;E713)</f>
        <v/>
      </c>
      <c r="E713" s="17" t="str">
        <f>IF($B713="","",Paramètres!$A$23)</f>
        <v/>
      </c>
      <c r="F713" s="17" t="str">
        <f>IF($B713="","",Paramètres!$B$23)</f>
        <v/>
      </c>
      <c r="G713" s="17" t="str">
        <f>IF('Classe 6e'!$B73="","",IF('Classe 6e'!D73="","",'Classe 6e'!D73))</f>
        <v/>
      </c>
      <c r="H713" s="78" t="str">
        <f>IF('Classe 6e'!$B73="","",IF('Classe 6e'!E73="","",'Classe 6e'!E73))</f>
        <v/>
      </c>
      <c r="I713" s="16" t="str">
        <f>IF('Classe 6e'!$B73="","",IF('Classe 6e'!F73="","",'Classe 6e'!F73))</f>
        <v/>
      </c>
      <c r="J713" s="16" t="str">
        <f>IF('Classe 6e'!$B73="","",IF('Classe 6e'!G73="","",'Classe 6e'!G73))</f>
        <v/>
      </c>
      <c r="K713" s="18" t="str">
        <f>IF('Classe 6e'!$B73="","",N('Classe 6e'!H73))</f>
        <v/>
      </c>
      <c r="L713" s="18" t="str">
        <f>IF('Classe 6e'!$B73="","",N('Classe 6e'!I73))</f>
        <v/>
      </c>
      <c r="M713" s="18" t="str">
        <f>IF('Classe 6e'!$B73="","",N('Classe 6e'!J73))</f>
        <v/>
      </c>
      <c r="N713" s="18" t="str">
        <f>IF('Classe 6e'!$B73="","",N('Classe 6e'!K73))</f>
        <v/>
      </c>
      <c r="O713" s="18" t="str">
        <f>IF('Classe 6e'!$B73="","",N('Classe 6e'!L73))</f>
        <v/>
      </c>
      <c r="P713" s="18" t="str">
        <f>IF('Classe 6e'!$B73="","",N('Classe 6e'!M73))</f>
        <v/>
      </c>
      <c r="Q713" s="17" t="str">
        <f>IF('Classe 6e'!$B73="","",IF('Classe 6e'!Q73="","",'Classe 6e'!Q73))</f>
        <v/>
      </c>
      <c r="R713" s="18" t="str">
        <f>IF('Classe 6e'!$B73="","",N('Classe 6e'!N73))</f>
        <v/>
      </c>
      <c r="S713" s="18" t="str">
        <f>IF('Classe 6e'!$B73="","",N('Classe 6e'!O73))</f>
        <v/>
      </c>
      <c r="T713" s="18" t="str">
        <f>IF('Classe 6e'!$B73="","",N('Classe 6e'!P73))</f>
        <v/>
      </c>
    </row>
    <row r="714">
      <c r="A714" s="20" t="str">
        <f>IF('Classe 6e'!$B74="","",IF('Classe 6e'!A74="","",'Classe 6e'!A74))</f>
        <v/>
      </c>
      <c r="B714" s="20" t="str">
        <f>IF('Classe 6e'!$B74="","",IF('Classe 6e'!B74="","",'Classe 6e'!B74))</f>
        <v/>
      </c>
      <c r="C714" s="20" t="str">
        <f>IF('Classe 6e'!$B74="","",IF('Classe 6e'!C74="","",'Classe 6e'!C74))</f>
        <v/>
      </c>
      <c r="D714" s="20" t="str">
        <f>IF($B714="","",C714&amp;" "&amp;B714&amp;" - "&amp;E714)</f>
        <v/>
      </c>
      <c r="E714" s="21" t="str">
        <f>IF($B714="","",Paramètres!$A$23)</f>
        <v/>
      </c>
      <c r="F714" s="21" t="str">
        <f>IF($B714="","",Paramètres!$B$23)</f>
        <v/>
      </c>
      <c r="G714" s="21" t="str">
        <f>IF('Classe 6e'!$B74="","",IF('Classe 6e'!D74="","",'Classe 6e'!D74))</f>
        <v/>
      </c>
      <c r="H714" s="77" t="str">
        <f>IF('Classe 6e'!$B74="","",IF('Classe 6e'!E74="","",'Classe 6e'!E74))</f>
        <v/>
      </c>
      <c r="I714" s="20" t="str">
        <f>IF('Classe 6e'!$B74="","",IF('Classe 6e'!F74="","",'Classe 6e'!F74))</f>
        <v/>
      </c>
      <c r="J714" s="20" t="str">
        <f>IF('Classe 6e'!$B74="","",IF('Classe 6e'!G74="","",'Classe 6e'!G74))</f>
        <v/>
      </c>
      <c r="K714" s="51" t="str">
        <f>IF('Classe 6e'!$B74="","",N('Classe 6e'!H74))</f>
        <v/>
      </c>
      <c r="L714" s="51" t="str">
        <f>IF('Classe 6e'!$B74="","",N('Classe 6e'!I74))</f>
        <v/>
      </c>
      <c r="M714" s="51" t="str">
        <f>IF('Classe 6e'!$B74="","",N('Classe 6e'!J74))</f>
        <v/>
      </c>
      <c r="N714" s="51" t="str">
        <f>IF('Classe 6e'!$B74="","",N('Classe 6e'!K74))</f>
        <v/>
      </c>
      <c r="O714" s="51" t="str">
        <f>IF('Classe 6e'!$B74="","",N('Classe 6e'!L74))</f>
        <v/>
      </c>
      <c r="P714" s="51" t="str">
        <f>IF('Classe 6e'!$B74="","",N('Classe 6e'!M74))</f>
        <v/>
      </c>
      <c r="Q714" s="21" t="str">
        <f>IF('Classe 6e'!$B74="","",IF('Classe 6e'!Q74="","",'Classe 6e'!Q74))</f>
        <v/>
      </c>
      <c r="R714" s="51" t="str">
        <f>IF('Classe 6e'!$B74="","",N('Classe 6e'!N74))</f>
        <v/>
      </c>
      <c r="S714" s="51" t="str">
        <f>IF('Classe 6e'!$B74="","",N('Classe 6e'!O74))</f>
        <v/>
      </c>
      <c r="T714" s="51" t="str">
        <f>IF('Classe 6e'!$B74="","",N('Classe 6e'!P74))</f>
        <v/>
      </c>
    </row>
    <row r="715">
      <c r="A715" s="16" t="str">
        <f>IF('Classe 6e'!$B75="","",IF('Classe 6e'!A75="","",'Classe 6e'!A75))</f>
        <v/>
      </c>
      <c r="B715" s="16" t="str">
        <f>IF('Classe 6e'!$B75="","",IF('Classe 6e'!B75="","",'Classe 6e'!B75))</f>
        <v/>
      </c>
      <c r="C715" s="16" t="str">
        <f>IF('Classe 6e'!$B75="","",IF('Classe 6e'!C75="","",'Classe 6e'!C75))</f>
        <v/>
      </c>
      <c r="D715" s="16" t="str">
        <f>IF($B715="","",C715&amp;" "&amp;B715&amp;" - "&amp;E715)</f>
        <v/>
      </c>
      <c r="E715" s="17" t="str">
        <f>IF($B715="","",Paramètres!$A$23)</f>
        <v/>
      </c>
      <c r="F715" s="17" t="str">
        <f>IF($B715="","",Paramètres!$B$23)</f>
        <v/>
      </c>
      <c r="G715" s="17" t="str">
        <f>IF('Classe 6e'!$B75="","",IF('Classe 6e'!D75="","",'Classe 6e'!D75))</f>
        <v/>
      </c>
      <c r="H715" s="78" t="str">
        <f>IF('Classe 6e'!$B75="","",IF('Classe 6e'!E75="","",'Classe 6e'!E75))</f>
        <v/>
      </c>
      <c r="I715" s="16" t="str">
        <f>IF('Classe 6e'!$B75="","",IF('Classe 6e'!F75="","",'Classe 6e'!F75))</f>
        <v/>
      </c>
      <c r="J715" s="16" t="str">
        <f>IF('Classe 6e'!$B75="","",IF('Classe 6e'!G75="","",'Classe 6e'!G75))</f>
        <v/>
      </c>
      <c r="K715" s="18" t="str">
        <f>IF('Classe 6e'!$B75="","",N('Classe 6e'!H75))</f>
        <v/>
      </c>
      <c r="L715" s="18" t="str">
        <f>IF('Classe 6e'!$B75="","",N('Classe 6e'!I75))</f>
        <v/>
      </c>
      <c r="M715" s="18" t="str">
        <f>IF('Classe 6e'!$B75="","",N('Classe 6e'!J75))</f>
        <v/>
      </c>
      <c r="N715" s="18" t="str">
        <f>IF('Classe 6e'!$B75="","",N('Classe 6e'!K75))</f>
        <v/>
      </c>
      <c r="O715" s="18" t="str">
        <f>IF('Classe 6e'!$B75="","",N('Classe 6e'!L75))</f>
        <v/>
      </c>
      <c r="P715" s="18" t="str">
        <f>IF('Classe 6e'!$B75="","",N('Classe 6e'!M75))</f>
        <v/>
      </c>
      <c r="Q715" s="17" t="str">
        <f>IF('Classe 6e'!$B75="","",IF('Classe 6e'!Q75="","",'Classe 6e'!Q75))</f>
        <v/>
      </c>
      <c r="R715" s="18" t="str">
        <f>IF('Classe 6e'!$B75="","",N('Classe 6e'!N75))</f>
        <v/>
      </c>
      <c r="S715" s="18" t="str">
        <f>IF('Classe 6e'!$B75="","",N('Classe 6e'!O75))</f>
        <v/>
      </c>
      <c r="T715" s="18" t="str">
        <f>IF('Classe 6e'!$B75="","",N('Classe 6e'!P75))</f>
        <v/>
      </c>
    </row>
    <row r="716">
      <c r="A716" s="20" t="str">
        <f>IF('Classe 6e'!$B76="","",IF('Classe 6e'!A76="","",'Classe 6e'!A76))</f>
        <v/>
      </c>
      <c r="B716" s="20" t="str">
        <f>IF('Classe 6e'!$B76="","",IF('Classe 6e'!B76="","",'Classe 6e'!B76))</f>
        <v/>
      </c>
      <c r="C716" s="20" t="str">
        <f>IF('Classe 6e'!$B76="","",IF('Classe 6e'!C76="","",'Classe 6e'!C76))</f>
        <v/>
      </c>
      <c r="D716" s="20" t="str">
        <f>IF($B716="","",C716&amp;" "&amp;B716&amp;" - "&amp;E716)</f>
        <v/>
      </c>
      <c r="E716" s="21" t="str">
        <f>IF($B716="","",Paramètres!$A$23)</f>
        <v/>
      </c>
      <c r="F716" s="21" t="str">
        <f>IF($B716="","",Paramètres!$B$23)</f>
        <v/>
      </c>
      <c r="G716" s="21" t="str">
        <f>IF('Classe 6e'!$B76="","",IF('Classe 6e'!D76="","",'Classe 6e'!D76))</f>
        <v/>
      </c>
      <c r="H716" s="77" t="str">
        <f>IF('Classe 6e'!$B76="","",IF('Classe 6e'!E76="","",'Classe 6e'!E76))</f>
        <v/>
      </c>
      <c r="I716" s="20" t="str">
        <f>IF('Classe 6e'!$B76="","",IF('Classe 6e'!F76="","",'Classe 6e'!F76))</f>
        <v/>
      </c>
      <c r="J716" s="20" t="str">
        <f>IF('Classe 6e'!$B76="","",IF('Classe 6e'!G76="","",'Classe 6e'!G76))</f>
        <v/>
      </c>
      <c r="K716" s="51" t="str">
        <f>IF('Classe 6e'!$B76="","",N('Classe 6e'!H76))</f>
        <v/>
      </c>
      <c r="L716" s="51" t="str">
        <f>IF('Classe 6e'!$B76="","",N('Classe 6e'!I76))</f>
        <v/>
      </c>
      <c r="M716" s="51" t="str">
        <f>IF('Classe 6e'!$B76="","",N('Classe 6e'!J76))</f>
        <v/>
      </c>
      <c r="N716" s="51" t="str">
        <f>IF('Classe 6e'!$B76="","",N('Classe 6e'!K76))</f>
        <v/>
      </c>
      <c r="O716" s="51" t="str">
        <f>IF('Classe 6e'!$B76="","",N('Classe 6e'!L76))</f>
        <v/>
      </c>
      <c r="P716" s="51" t="str">
        <f>IF('Classe 6e'!$B76="","",N('Classe 6e'!M76))</f>
        <v/>
      </c>
      <c r="Q716" s="21" t="str">
        <f>IF('Classe 6e'!$B76="","",IF('Classe 6e'!Q76="","",'Classe 6e'!Q76))</f>
        <v/>
      </c>
      <c r="R716" s="51" t="str">
        <f>IF('Classe 6e'!$B76="","",N('Classe 6e'!N76))</f>
        <v/>
      </c>
      <c r="S716" s="51" t="str">
        <f>IF('Classe 6e'!$B76="","",N('Classe 6e'!O76))</f>
        <v/>
      </c>
      <c r="T716" s="51" t="str">
        <f>IF('Classe 6e'!$B76="","",N('Classe 6e'!P76))</f>
        <v/>
      </c>
    </row>
    <row r="717">
      <c r="A717" s="16" t="str">
        <f>IF('Classe 6e'!$B77="","",IF('Classe 6e'!A77="","",'Classe 6e'!A77))</f>
        <v/>
      </c>
      <c r="B717" s="16" t="str">
        <f>IF('Classe 6e'!$B77="","",IF('Classe 6e'!B77="","",'Classe 6e'!B77))</f>
        <v/>
      </c>
      <c r="C717" s="16" t="str">
        <f>IF('Classe 6e'!$B77="","",IF('Classe 6e'!C77="","",'Classe 6e'!C77))</f>
        <v/>
      </c>
      <c r="D717" s="16" t="str">
        <f>IF($B717="","",C717&amp;" "&amp;B717&amp;" - "&amp;E717)</f>
        <v/>
      </c>
      <c r="E717" s="17" t="str">
        <f>IF($B717="","",Paramètres!$A$23)</f>
        <v/>
      </c>
      <c r="F717" s="17" t="str">
        <f>IF($B717="","",Paramètres!$B$23)</f>
        <v/>
      </c>
      <c r="G717" s="17" t="str">
        <f>IF('Classe 6e'!$B77="","",IF('Classe 6e'!D77="","",'Classe 6e'!D77))</f>
        <v/>
      </c>
      <c r="H717" s="78" t="str">
        <f>IF('Classe 6e'!$B77="","",IF('Classe 6e'!E77="","",'Classe 6e'!E77))</f>
        <v/>
      </c>
      <c r="I717" s="16" t="str">
        <f>IF('Classe 6e'!$B77="","",IF('Classe 6e'!F77="","",'Classe 6e'!F77))</f>
        <v/>
      </c>
      <c r="J717" s="16" t="str">
        <f>IF('Classe 6e'!$B77="","",IF('Classe 6e'!G77="","",'Classe 6e'!G77))</f>
        <v/>
      </c>
      <c r="K717" s="18" t="str">
        <f>IF('Classe 6e'!$B77="","",N('Classe 6e'!H77))</f>
        <v/>
      </c>
      <c r="L717" s="18" t="str">
        <f>IF('Classe 6e'!$B77="","",N('Classe 6e'!I77))</f>
        <v/>
      </c>
      <c r="M717" s="18" t="str">
        <f>IF('Classe 6e'!$B77="","",N('Classe 6e'!J77))</f>
        <v/>
      </c>
      <c r="N717" s="18" t="str">
        <f>IF('Classe 6e'!$B77="","",N('Classe 6e'!K77))</f>
        <v/>
      </c>
      <c r="O717" s="18" t="str">
        <f>IF('Classe 6e'!$B77="","",N('Classe 6e'!L77))</f>
        <v/>
      </c>
      <c r="P717" s="18" t="str">
        <f>IF('Classe 6e'!$B77="","",N('Classe 6e'!M77))</f>
        <v/>
      </c>
      <c r="Q717" s="17" t="str">
        <f>IF('Classe 6e'!$B77="","",IF('Classe 6e'!Q77="","",'Classe 6e'!Q77))</f>
        <v/>
      </c>
      <c r="R717" s="18" t="str">
        <f>IF('Classe 6e'!$B77="","",N('Classe 6e'!N77))</f>
        <v/>
      </c>
      <c r="S717" s="18" t="str">
        <f>IF('Classe 6e'!$B77="","",N('Classe 6e'!O77))</f>
        <v/>
      </c>
      <c r="T717" s="18" t="str">
        <f>IF('Classe 6e'!$B77="","",N('Classe 6e'!P77))</f>
        <v/>
      </c>
    </row>
    <row r="718">
      <c r="A718" s="20" t="str">
        <f>IF('Classe 6e'!$B78="","",IF('Classe 6e'!A78="","",'Classe 6e'!A78))</f>
        <v/>
      </c>
      <c r="B718" s="20" t="str">
        <f>IF('Classe 6e'!$B78="","",IF('Classe 6e'!B78="","",'Classe 6e'!B78))</f>
        <v/>
      </c>
      <c r="C718" s="20" t="str">
        <f>IF('Classe 6e'!$B78="","",IF('Classe 6e'!C78="","",'Classe 6e'!C78))</f>
        <v/>
      </c>
      <c r="D718" s="20" t="str">
        <f>IF($B718="","",C718&amp;" "&amp;B718&amp;" - "&amp;E718)</f>
        <v/>
      </c>
      <c r="E718" s="21" t="str">
        <f>IF($B718="","",Paramètres!$A$23)</f>
        <v/>
      </c>
      <c r="F718" s="21" t="str">
        <f>IF($B718="","",Paramètres!$B$23)</f>
        <v/>
      </c>
      <c r="G718" s="21" t="str">
        <f>IF('Classe 6e'!$B78="","",IF('Classe 6e'!D78="","",'Classe 6e'!D78))</f>
        <v/>
      </c>
      <c r="H718" s="77" t="str">
        <f>IF('Classe 6e'!$B78="","",IF('Classe 6e'!E78="","",'Classe 6e'!E78))</f>
        <v/>
      </c>
      <c r="I718" s="20" t="str">
        <f>IF('Classe 6e'!$B78="","",IF('Classe 6e'!F78="","",'Classe 6e'!F78))</f>
        <v/>
      </c>
      <c r="J718" s="20" t="str">
        <f>IF('Classe 6e'!$B78="","",IF('Classe 6e'!G78="","",'Classe 6e'!G78))</f>
        <v/>
      </c>
      <c r="K718" s="51" t="str">
        <f>IF('Classe 6e'!$B78="","",N('Classe 6e'!H78))</f>
        <v/>
      </c>
      <c r="L718" s="51" t="str">
        <f>IF('Classe 6e'!$B78="","",N('Classe 6e'!I78))</f>
        <v/>
      </c>
      <c r="M718" s="51" t="str">
        <f>IF('Classe 6e'!$B78="","",N('Classe 6e'!J78))</f>
        <v/>
      </c>
      <c r="N718" s="51" t="str">
        <f>IF('Classe 6e'!$B78="","",N('Classe 6e'!K78))</f>
        <v/>
      </c>
      <c r="O718" s="51" t="str">
        <f>IF('Classe 6e'!$B78="","",N('Classe 6e'!L78))</f>
        <v/>
      </c>
      <c r="P718" s="51" t="str">
        <f>IF('Classe 6e'!$B78="","",N('Classe 6e'!M78))</f>
        <v/>
      </c>
      <c r="Q718" s="21" t="str">
        <f>IF('Classe 6e'!$B78="","",IF('Classe 6e'!Q78="","",'Classe 6e'!Q78))</f>
        <v/>
      </c>
      <c r="R718" s="51" t="str">
        <f>IF('Classe 6e'!$B78="","",N('Classe 6e'!N78))</f>
        <v/>
      </c>
      <c r="S718" s="51" t="str">
        <f>IF('Classe 6e'!$B78="","",N('Classe 6e'!O78))</f>
        <v/>
      </c>
      <c r="T718" s="51" t="str">
        <f>IF('Classe 6e'!$B78="","",N('Classe 6e'!P78))</f>
        <v/>
      </c>
    </row>
    <row r="719">
      <c r="A719" s="16" t="str">
        <f>IF('Classe 6e'!$B79="","",IF('Classe 6e'!A79="","",'Classe 6e'!A79))</f>
        <v/>
      </c>
      <c r="B719" s="16" t="str">
        <f>IF('Classe 6e'!$B79="","",IF('Classe 6e'!B79="","",'Classe 6e'!B79))</f>
        <v/>
      </c>
      <c r="C719" s="16" t="str">
        <f>IF('Classe 6e'!$B79="","",IF('Classe 6e'!C79="","",'Classe 6e'!C79))</f>
        <v/>
      </c>
      <c r="D719" s="16" t="str">
        <f>IF($B719="","",C719&amp;" "&amp;B719&amp;" - "&amp;E719)</f>
        <v/>
      </c>
      <c r="E719" s="17" t="str">
        <f>IF($B719="","",Paramètres!$A$23)</f>
        <v/>
      </c>
      <c r="F719" s="17" t="str">
        <f>IF($B719="","",Paramètres!$B$23)</f>
        <v/>
      </c>
      <c r="G719" s="17" t="str">
        <f>IF('Classe 6e'!$B79="","",IF('Classe 6e'!D79="","",'Classe 6e'!D79))</f>
        <v/>
      </c>
      <c r="H719" s="78" t="str">
        <f>IF('Classe 6e'!$B79="","",IF('Classe 6e'!E79="","",'Classe 6e'!E79))</f>
        <v/>
      </c>
      <c r="I719" s="16" t="str">
        <f>IF('Classe 6e'!$B79="","",IF('Classe 6e'!F79="","",'Classe 6e'!F79))</f>
        <v/>
      </c>
      <c r="J719" s="16" t="str">
        <f>IF('Classe 6e'!$B79="","",IF('Classe 6e'!G79="","",'Classe 6e'!G79))</f>
        <v/>
      </c>
      <c r="K719" s="18" t="str">
        <f>IF('Classe 6e'!$B79="","",N('Classe 6e'!H79))</f>
        <v/>
      </c>
      <c r="L719" s="18" t="str">
        <f>IF('Classe 6e'!$B79="","",N('Classe 6e'!I79))</f>
        <v/>
      </c>
      <c r="M719" s="18" t="str">
        <f>IF('Classe 6e'!$B79="","",N('Classe 6e'!J79))</f>
        <v/>
      </c>
      <c r="N719" s="18" t="str">
        <f>IF('Classe 6e'!$B79="","",N('Classe 6e'!K79))</f>
        <v/>
      </c>
      <c r="O719" s="18" t="str">
        <f>IF('Classe 6e'!$B79="","",N('Classe 6e'!L79))</f>
        <v/>
      </c>
      <c r="P719" s="18" t="str">
        <f>IF('Classe 6e'!$B79="","",N('Classe 6e'!M79))</f>
        <v/>
      </c>
      <c r="Q719" s="17" t="str">
        <f>IF('Classe 6e'!$B79="","",IF('Classe 6e'!Q79="","",'Classe 6e'!Q79))</f>
        <v/>
      </c>
      <c r="R719" s="18" t="str">
        <f>IF('Classe 6e'!$B79="","",N('Classe 6e'!N79))</f>
        <v/>
      </c>
      <c r="S719" s="18" t="str">
        <f>IF('Classe 6e'!$B79="","",N('Classe 6e'!O79))</f>
        <v/>
      </c>
      <c r="T719" s="18" t="str">
        <f>IF('Classe 6e'!$B79="","",N('Classe 6e'!P79))</f>
        <v/>
      </c>
    </row>
    <row r="720">
      <c r="A720" s="20" t="str">
        <f>IF('Classe 6e'!$B80="","",IF('Classe 6e'!A80="","",'Classe 6e'!A80))</f>
        <v/>
      </c>
      <c r="B720" s="20" t="str">
        <f>IF('Classe 6e'!$B80="","",IF('Classe 6e'!B80="","",'Classe 6e'!B80))</f>
        <v/>
      </c>
      <c r="C720" s="20" t="str">
        <f>IF('Classe 6e'!$B80="","",IF('Classe 6e'!C80="","",'Classe 6e'!C80))</f>
        <v/>
      </c>
      <c r="D720" s="20" t="str">
        <f>IF($B720="","",C720&amp;" "&amp;B720&amp;" - "&amp;E720)</f>
        <v/>
      </c>
      <c r="E720" s="21" t="str">
        <f>IF($B720="","",Paramètres!$A$23)</f>
        <v/>
      </c>
      <c r="F720" s="21" t="str">
        <f>IF($B720="","",Paramètres!$B$23)</f>
        <v/>
      </c>
      <c r="G720" s="21" t="str">
        <f>IF('Classe 6e'!$B80="","",IF('Classe 6e'!D80="","",'Classe 6e'!D80))</f>
        <v/>
      </c>
      <c r="H720" s="77" t="str">
        <f>IF('Classe 6e'!$B80="","",IF('Classe 6e'!E80="","",'Classe 6e'!E80))</f>
        <v/>
      </c>
      <c r="I720" s="20" t="str">
        <f>IF('Classe 6e'!$B80="","",IF('Classe 6e'!F80="","",'Classe 6e'!F80))</f>
        <v/>
      </c>
      <c r="J720" s="20" t="str">
        <f>IF('Classe 6e'!$B80="","",IF('Classe 6e'!G80="","",'Classe 6e'!G80))</f>
        <v/>
      </c>
      <c r="K720" s="51" t="str">
        <f>IF('Classe 6e'!$B80="","",N('Classe 6e'!H80))</f>
        <v/>
      </c>
      <c r="L720" s="51" t="str">
        <f>IF('Classe 6e'!$B80="","",N('Classe 6e'!I80))</f>
        <v/>
      </c>
      <c r="M720" s="51" t="str">
        <f>IF('Classe 6e'!$B80="","",N('Classe 6e'!J80))</f>
        <v/>
      </c>
      <c r="N720" s="51" t="str">
        <f>IF('Classe 6e'!$B80="","",N('Classe 6e'!K80))</f>
        <v/>
      </c>
      <c r="O720" s="51" t="str">
        <f>IF('Classe 6e'!$B80="","",N('Classe 6e'!L80))</f>
        <v/>
      </c>
      <c r="P720" s="51" t="str">
        <f>IF('Classe 6e'!$B80="","",N('Classe 6e'!M80))</f>
        <v/>
      </c>
      <c r="Q720" s="21" t="str">
        <f>IF('Classe 6e'!$B80="","",IF('Classe 6e'!Q80="","",'Classe 6e'!Q80))</f>
        <v/>
      </c>
      <c r="R720" s="51" t="str">
        <f>IF('Classe 6e'!$B80="","",N('Classe 6e'!N80))</f>
        <v/>
      </c>
      <c r="S720" s="51" t="str">
        <f>IF('Classe 6e'!$B80="","",N('Classe 6e'!O80))</f>
        <v/>
      </c>
      <c r="T720" s="51" t="str">
        <f>IF('Classe 6e'!$B80="","",N('Classe 6e'!P80))</f>
        <v/>
      </c>
    </row>
    <row r="721">
      <c r="A721" s="16" t="str">
        <f>IF('Classe 6e'!$B81="","",IF('Classe 6e'!A81="","",'Classe 6e'!A81))</f>
        <v/>
      </c>
      <c r="B721" s="16" t="str">
        <f>IF('Classe 6e'!$B81="","",IF('Classe 6e'!B81="","",'Classe 6e'!B81))</f>
        <v/>
      </c>
      <c r="C721" s="16" t="str">
        <f>IF('Classe 6e'!$B81="","",IF('Classe 6e'!C81="","",'Classe 6e'!C81))</f>
        <v/>
      </c>
      <c r="D721" s="16" t="str">
        <f>IF($B721="","",C721&amp;" "&amp;B721&amp;" - "&amp;E721)</f>
        <v/>
      </c>
      <c r="E721" s="17" t="str">
        <f>IF($B721="","",Paramètres!$A$23)</f>
        <v/>
      </c>
      <c r="F721" s="17" t="str">
        <f>IF($B721="","",Paramètres!$B$23)</f>
        <v/>
      </c>
      <c r="G721" s="17" t="str">
        <f>IF('Classe 6e'!$B81="","",IF('Classe 6e'!D81="","",'Classe 6e'!D81))</f>
        <v/>
      </c>
      <c r="H721" s="78" t="str">
        <f>IF('Classe 6e'!$B81="","",IF('Classe 6e'!E81="","",'Classe 6e'!E81))</f>
        <v/>
      </c>
      <c r="I721" s="16" t="str">
        <f>IF('Classe 6e'!$B81="","",IF('Classe 6e'!F81="","",'Classe 6e'!F81))</f>
        <v/>
      </c>
      <c r="J721" s="16" t="str">
        <f>IF('Classe 6e'!$B81="","",IF('Classe 6e'!G81="","",'Classe 6e'!G81))</f>
        <v/>
      </c>
      <c r="K721" s="18" t="str">
        <f>IF('Classe 6e'!$B81="","",N('Classe 6e'!H81))</f>
        <v/>
      </c>
      <c r="L721" s="18" t="str">
        <f>IF('Classe 6e'!$B81="","",N('Classe 6e'!I81))</f>
        <v/>
      </c>
      <c r="M721" s="18" t="str">
        <f>IF('Classe 6e'!$B81="","",N('Classe 6e'!J81))</f>
        <v/>
      </c>
      <c r="N721" s="18" t="str">
        <f>IF('Classe 6e'!$B81="","",N('Classe 6e'!K81))</f>
        <v/>
      </c>
      <c r="O721" s="18" t="str">
        <f>IF('Classe 6e'!$B81="","",N('Classe 6e'!L81))</f>
        <v/>
      </c>
      <c r="P721" s="18" t="str">
        <f>IF('Classe 6e'!$B81="","",N('Classe 6e'!M81))</f>
        <v/>
      </c>
      <c r="Q721" s="17" t="str">
        <f>IF('Classe 6e'!$B81="","",IF('Classe 6e'!Q81="","",'Classe 6e'!Q81))</f>
        <v/>
      </c>
      <c r="R721" s="18" t="str">
        <f>IF('Classe 6e'!$B81="","",N('Classe 6e'!N81))</f>
        <v/>
      </c>
      <c r="S721" s="18" t="str">
        <f>IF('Classe 6e'!$B81="","",N('Classe 6e'!O81))</f>
        <v/>
      </c>
      <c r="T721" s="18" t="str">
        <f>IF('Classe 6e'!$B81="","",N('Classe 6e'!P81))</f>
        <v/>
      </c>
    </row>
    <row r="722">
      <c r="A722" s="20" t="str">
        <f>IF('Classe 6e'!$B82="","",IF('Classe 6e'!A82="","",'Classe 6e'!A82))</f>
        <v/>
      </c>
      <c r="B722" s="20" t="str">
        <f>IF('Classe 6e'!$B82="","",IF('Classe 6e'!B82="","",'Classe 6e'!B82))</f>
        <v/>
      </c>
      <c r="C722" s="20" t="str">
        <f>IF('Classe 6e'!$B82="","",IF('Classe 6e'!C82="","",'Classe 6e'!C82))</f>
        <v/>
      </c>
      <c r="D722" s="20" t="str">
        <f>IF($B722="","",C722&amp;" "&amp;B722&amp;" - "&amp;E722)</f>
        <v/>
      </c>
      <c r="E722" s="21" t="str">
        <f>IF($B722="","",Paramètres!$A$23)</f>
        <v/>
      </c>
      <c r="F722" s="21" t="str">
        <f>IF($B722="","",Paramètres!$B$23)</f>
        <v/>
      </c>
      <c r="G722" s="21" t="str">
        <f>IF('Classe 6e'!$B82="","",IF('Classe 6e'!D82="","",'Classe 6e'!D82))</f>
        <v/>
      </c>
      <c r="H722" s="77" t="str">
        <f>IF('Classe 6e'!$B82="","",IF('Classe 6e'!E82="","",'Classe 6e'!E82))</f>
        <v/>
      </c>
      <c r="I722" s="20" t="str">
        <f>IF('Classe 6e'!$B82="","",IF('Classe 6e'!F82="","",'Classe 6e'!F82))</f>
        <v/>
      </c>
      <c r="J722" s="20" t="str">
        <f>IF('Classe 6e'!$B82="","",IF('Classe 6e'!G82="","",'Classe 6e'!G82))</f>
        <v/>
      </c>
      <c r="K722" s="51" t="str">
        <f>IF('Classe 6e'!$B82="","",N('Classe 6e'!H82))</f>
        <v/>
      </c>
      <c r="L722" s="51" t="str">
        <f>IF('Classe 6e'!$B82="","",N('Classe 6e'!I82))</f>
        <v/>
      </c>
      <c r="M722" s="51" t="str">
        <f>IF('Classe 6e'!$B82="","",N('Classe 6e'!J82))</f>
        <v/>
      </c>
      <c r="N722" s="51" t="str">
        <f>IF('Classe 6e'!$B82="","",N('Classe 6e'!K82))</f>
        <v/>
      </c>
      <c r="O722" s="51" t="str">
        <f>IF('Classe 6e'!$B82="","",N('Classe 6e'!L82))</f>
        <v/>
      </c>
      <c r="P722" s="51" t="str">
        <f>IF('Classe 6e'!$B82="","",N('Classe 6e'!M82))</f>
        <v/>
      </c>
      <c r="Q722" s="21" t="str">
        <f>IF('Classe 6e'!$B82="","",IF('Classe 6e'!Q82="","",'Classe 6e'!Q82))</f>
        <v/>
      </c>
      <c r="R722" s="51" t="str">
        <f>IF('Classe 6e'!$B82="","",N('Classe 6e'!N82))</f>
        <v/>
      </c>
      <c r="S722" s="51" t="str">
        <f>IF('Classe 6e'!$B82="","",N('Classe 6e'!O82))</f>
        <v/>
      </c>
      <c r="T722" s="51" t="str">
        <f>IF('Classe 6e'!$B82="","",N('Classe 6e'!P82))</f>
        <v/>
      </c>
    </row>
    <row r="723">
      <c r="A723" s="16" t="str">
        <f>IF('Classe 6e'!$B83="","",IF('Classe 6e'!A83="","",'Classe 6e'!A83))</f>
        <v/>
      </c>
      <c r="B723" s="16" t="str">
        <f>IF('Classe 6e'!$B83="","",IF('Classe 6e'!B83="","",'Classe 6e'!B83))</f>
        <v/>
      </c>
      <c r="C723" s="16" t="str">
        <f>IF('Classe 6e'!$B83="","",IF('Classe 6e'!C83="","",'Classe 6e'!C83))</f>
        <v/>
      </c>
      <c r="D723" s="16" t="str">
        <f>IF($B723="","",C723&amp;" "&amp;B723&amp;" - "&amp;E723)</f>
        <v/>
      </c>
      <c r="E723" s="17" t="str">
        <f>IF($B723="","",Paramètres!$A$23)</f>
        <v/>
      </c>
      <c r="F723" s="17" t="str">
        <f>IF($B723="","",Paramètres!$B$23)</f>
        <v/>
      </c>
      <c r="G723" s="17" t="str">
        <f>IF('Classe 6e'!$B83="","",IF('Classe 6e'!D83="","",'Classe 6e'!D83))</f>
        <v/>
      </c>
      <c r="H723" s="78" t="str">
        <f>IF('Classe 6e'!$B83="","",IF('Classe 6e'!E83="","",'Classe 6e'!E83))</f>
        <v/>
      </c>
      <c r="I723" s="16" t="str">
        <f>IF('Classe 6e'!$B83="","",IF('Classe 6e'!F83="","",'Classe 6e'!F83))</f>
        <v/>
      </c>
      <c r="J723" s="16" t="str">
        <f>IF('Classe 6e'!$B83="","",IF('Classe 6e'!G83="","",'Classe 6e'!G83))</f>
        <v/>
      </c>
      <c r="K723" s="18" t="str">
        <f>IF('Classe 6e'!$B83="","",N('Classe 6e'!H83))</f>
        <v/>
      </c>
      <c r="L723" s="18" t="str">
        <f>IF('Classe 6e'!$B83="","",N('Classe 6e'!I83))</f>
        <v/>
      </c>
      <c r="M723" s="18" t="str">
        <f>IF('Classe 6e'!$B83="","",N('Classe 6e'!J83))</f>
        <v/>
      </c>
      <c r="N723" s="18" t="str">
        <f>IF('Classe 6e'!$B83="","",N('Classe 6e'!K83))</f>
        <v/>
      </c>
      <c r="O723" s="18" t="str">
        <f>IF('Classe 6e'!$B83="","",N('Classe 6e'!L83))</f>
        <v/>
      </c>
      <c r="P723" s="18" t="str">
        <f>IF('Classe 6e'!$B83="","",N('Classe 6e'!M83))</f>
        <v/>
      </c>
      <c r="Q723" s="17" t="str">
        <f>IF('Classe 6e'!$B83="","",IF('Classe 6e'!Q83="","",'Classe 6e'!Q83))</f>
        <v/>
      </c>
      <c r="R723" s="18" t="str">
        <f>IF('Classe 6e'!$B83="","",N('Classe 6e'!N83))</f>
        <v/>
      </c>
      <c r="S723" s="18" t="str">
        <f>IF('Classe 6e'!$B83="","",N('Classe 6e'!O83))</f>
        <v/>
      </c>
      <c r="T723" s="18" t="str">
        <f>IF('Classe 6e'!$B83="","",N('Classe 6e'!P83))</f>
        <v/>
      </c>
    </row>
    <row r="724">
      <c r="A724" s="20" t="str">
        <f>IF('Classe 5e'!$B4="","",IF('Classe 5e'!A4="","",'Classe 5e'!A4))</f>
        <v/>
      </c>
      <c r="B724" s="20" t="str">
        <f>IF('Classe 5e'!$B4="","",IF('Classe 5e'!B4="","",'Classe 5e'!B4))</f>
        <v/>
      </c>
      <c r="C724" s="20" t="str">
        <f>IF('Classe 5e'!$B4="","",IF('Classe 5e'!C4="","",'Classe 5e'!C4))</f>
        <v/>
      </c>
      <c r="D724" s="20" t="str">
        <f>IF($B724="","",C724&amp;" "&amp;B724&amp;" - "&amp;E724)</f>
        <v/>
      </c>
      <c r="E724" s="21" t="str">
        <f>IF($B724="","",Paramètres!$A$24)</f>
        <v/>
      </c>
      <c r="F724" s="21" t="str">
        <f>IF($B724="","",Paramètres!$B$24)</f>
        <v/>
      </c>
      <c r="G724" s="21" t="str">
        <f>IF('Classe 5e'!$B4="","",IF('Classe 5e'!D4="","",'Classe 5e'!D4))</f>
        <v/>
      </c>
      <c r="H724" s="77" t="str">
        <f>IF('Classe 5e'!$B4="","",IF('Classe 5e'!E4="","",'Classe 5e'!E4))</f>
        <v/>
      </c>
      <c r="I724" s="20" t="str">
        <f>IF('Classe 5e'!$B4="","",IF('Classe 5e'!F4="","",'Classe 5e'!F4))</f>
        <v/>
      </c>
      <c r="J724" s="20" t="str">
        <f>IF('Classe 5e'!$B4="","",IF('Classe 5e'!G4="","",'Classe 5e'!G4))</f>
        <v/>
      </c>
      <c r="K724" s="51" t="str">
        <f>IF('Classe 5e'!$B4="","",N('Classe 5e'!H4))</f>
        <v/>
      </c>
      <c r="L724" s="51" t="str">
        <f>IF('Classe 5e'!$B4="","",N('Classe 5e'!I4))</f>
        <v/>
      </c>
      <c r="M724" s="51" t="str">
        <f>IF('Classe 5e'!$B4="","",N('Classe 5e'!J4))</f>
        <v/>
      </c>
      <c r="N724" s="51" t="str">
        <f>IF('Classe 5e'!$B4="","",N('Classe 5e'!K4))</f>
        <v/>
      </c>
      <c r="O724" s="51" t="str">
        <f>IF('Classe 5e'!$B4="","",N('Classe 5e'!L4))</f>
        <v/>
      </c>
      <c r="P724" s="51" t="str">
        <f>IF('Classe 5e'!$B4="","",N('Classe 5e'!M4))</f>
        <v/>
      </c>
      <c r="Q724" s="21" t="str">
        <f>IF('Classe 5e'!$B4="","",IF('Classe 5e'!Q4="","",'Classe 5e'!Q4))</f>
        <v/>
      </c>
      <c r="R724" s="51" t="str">
        <f>IF('Classe 5e'!$B4="","",N('Classe 5e'!N4))</f>
        <v/>
      </c>
      <c r="S724" s="51" t="str">
        <f>IF('Classe 5e'!$B4="","",N('Classe 5e'!O4))</f>
        <v/>
      </c>
      <c r="T724" s="51" t="str">
        <f>IF('Classe 5e'!$B4="","",N('Classe 5e'!P4))</f>
        <v/>
      </c>
    </row>
    <row r="725">
      <c r="A725" s="16" t="str">
        <f>IF('Classe 5e'!$B5="","",IF('Classe 5e'!A5="","",'Classe 5e'!A5))</f>
        <v/>
      </c>
      <c r="B725" s="16" t="str">
        <f>IF('Classe 5e'!$B5="","",IF('Classe 5e'!B5="","",'Classe 5e'!B5))</f>
        <v/>
      </c>
      <c r="C725" s="16" t="str">
        <f>IF('Classe 5e'!$B5="","",IF('Classe 5e'!C5="","",'Classe 5e'!C5))</f>
        <v/>
      </c>
      <c r="D725" s="16" t="str">
        <f>IF($B725="","",C725&amp;" "&amp;B725&amp;" - "&amp;E725)</f>
        <v/>
      </c>
      <c r="E725" s="17" t="str">
        <f>IF($B725="","",Paramètres!$A$24)</f>
        <v/>
      </c>
      <c r="F725" s="17" t="str">
        <f>IF($B725="","",Paramètres!$B$24)</f>
        <v/>
      </c>
      <c r="G725" s="17" t="str">
        <f>IF('Classe 5e'!$B5="","",IF('Classe 5e'!D5="","",'Classe 5e'!D5))</f>
        <v/>
      </c>
      <c r="H725" s="78" t="str">
        <f>IF('Classe 5e'!$B5="","",IF('Classe 5e'!E5="","",'Classe 5e'!E5))</f>
        <v/>
      </c>
      <c r="I725" s="16" t="str">
        <f>IF('Classe 5e'!$B5="","",IF('Classe 5e'!F5="","",'Classe 5e'!F5))</f>
        <v/>
      </c>
      <c r="J725" s="16" t="str">
        <f>IF('Classe 5e'!$B5="","",IF('Classe 5e'!G5="","",'Classe 5e'!G5))</f>
        <v/>
      </c>
      <c r="K725" s="18" t="str">
        <f>IF('Classe 5e'!$B5="","",N('Classe 5e'!H5))</f>
        <v/>
      </c>
      <c r="L725" s="18" t="str">
        <f>IF('Classe 5e'!$B5="","",N('Classe 5e'!I5))</f>
        <v/>
      </c>
      <c r="M725" s="18" t="str">
        <f>IF('Classe 5e'!$B5="","",N('Classe 5e'!J5))</f>
        <v/>
      </c>
      <c r="N725" s="18" t="str">
        <f>IF('Classe 5e'!$B5="","",N('Classe 5e'!K5))</f>
        <v/>
      </c>
      <c r="O725" s="18" t="str">
        <f>IF('Classe 5e'!$B5="","",N('Classe 5e'!L5))</f>
        <v/>
      </c>
      <c r="P725" s="18" t="str">
        <f>IF('Classe 5e'!$B5="","",N('Classe 5e'!M5))</f>
        <v/>
      </c>
      <c r="Q725" s="17" t="str">
        <f>IF('Classe 5e'!$B5="","",IF('Classe 5e'!Q5="","",'Classe 5e'!Q5))</f>
        <v/>
      </c>
      <c r="R725" s="18" t="str">
        <f>IF('Classe 5e'!$B5="","",N('Classe 5e'!N5))</f>
        <v/>
      </c>
      <c r="S725" s="18" t="str">
        <f>IF('Classe 5e'!$B5="","",N('Classe 5e'!O5))</f>
        <v/>
      </c>
      <c r="T725" s="18" t="str">
        <f>IF('Classe 5e'!$B5="","",N('Classe 5e'!P5))</f>
        <v/>
      </c>
    </row>
    <row r="726">
      <c r="A726" s="20" t="str">
        <f>IF('Classe 5e'!$B6="","",IF('Classe 5e'!A6="","",'Classe 5e'!A6))</f>
        <v/>
      </c>
      <c r="B726" s="20" t="str">
        <f>IF('Classe 5e'!$B6="","",IF('Classe 5e'!B6="","",'Classe 5e'!B6))</f>
        <v/>
      </c>
      <c r="C726" s="20" t="str">
        <f>IF('Classe 5e'!$B6="","",IF('Classe 5e'!C6="","",'Classe 5e'!C6))</f>
        <v/>
      </c>
      <c r="D726" s="20" t="str">
        <f>IF($B726="","",C726&amp;" "&amp;B726&amp;" - "&amp;E726)</f>
        <v/>
      </c>
      <c r="E726" s="21" t="str">
        <f>IF($B726="","",Paramètres!$A$24)</f>
        <v/>
      </c>
      <c r="F726" s="21" t="str">
        <f>IF($B726="","",Paramètres!$B$24)</f>
        <v/>
      </c>
      <c r="G726" s="21" t="str">
        <f>IF('Classe 5e'!$B6="","",IF('Classe 5e'!D6="","",'Classe 5e'!D6))</f>
        <v/>
      </c>
      <c r="H726" s="77" t="str">
        <f>IF('Classe 5e'!$B6="","",IF('Classe 5e'!E6="","",'Classe 5e'!E6))</f>
        <v/>
      </c>
      <c r="I726" s="20" t="str">
        <f>IF('Classe 5e'!$B6="","",IF('Classe 5e'!F6="","",'Classe 5e'!F6))</f>
        <v/>
      </c>
      <c r="J726" s="20" t="str">
        <f>IF('Classe 5e'!$B6="","",IF('Classe 5e'!G6="","",'Classe 5e'!G6))</f>
        <v/>
      </c>
      <c r="K726" s="51" t="str">
        <f>IF('Classe 5e'!$B6="","",N('Classe 5e'!H6))</f>
        <v/>
      </c>
      <c r="L726" s="51" t="str">
        <f>IF('Classe 5e'!$B6="","",N('Classe 5e'!I6))</f>
        <v/>
      </c>
      <c r="M726" s="51" t="str">
        <f>IF('Classe 5e'!$B6="","",N('Classe 5e'!J6))</f>
        <v/>
      </c>
      <c r="N726" s="51" t="str">
        <f>IF('Classe 5e'!$B6="","",N('Classe 5e'!K6))</f>
        <v/>
      </c>
      <c r="O726" s="51" t="str">
        <f>IF('Classe 5e'!$B6="","",N('Classe 5e'!L6))</f>
        <v/>
      </c>
      <c r="P726" s="51" t="str">
        <f>IF('Classe 5e'!$B6="","",N('Classe 5e'!M6))</f>
        <v/>
      </c>
      <c r="Q726" s="21" t="str">
        <f>IF('Classe 5e'!$B6="","",IF('Classe 5e'!Q6="","",'Classe 5e'!Q6))</f>
        <v/>
      </c>
      <c r="R726" s="51" t="str">
        <f>IF('Classe 5e'!$B6="","",N('Classe 5e'!N6))</f>
        <v/>
      </c>
      <c r="S726" s="51" t="str">
        <f>IF('Classe 5e'!$B6="","",N('Classe 5e'!O6))</f>
        <v/>
      </c>
      <c r="T726" s="51" t="str">
        <f>IF('Classe 5e'!$B6="","",N('Classe 5e'!P6))</f>
        <v/>
      </c>
    </row>
    <row r="727">
      <c r="A727" s="16" t="str">
        <f>IF('Classe 5e'!$B7="","",IF('Classe 5e'!A7="","",'Classe 5e'!A7))</f>
        <v/>
      </c>
      <c r="B727" s="16" t="str">
        <f>IF('Classe 5e'!$B7="","",IF('Classe 5e'!B7="","",'Classe 5e'!B7))</f>
        <v/>
      </c>
      <c r="C727" s="16" t="str">
        <f>IF('Classe 5e'!$B7="","",IF('Classe 5e'!C7="","",'Classe 5e'!C7))</f>
        <v/>
      </c>
      <c r="D727" s="16" t="str">
        <f>IF($B727="","",C727&amp;" "&amp;B727&amp;" - "&amp;E727)</f>
        <v/>
      </c>
      <c r="E727" s="17" t="str">
        <f>IF($B727="","",Paramètres!$A$24)</f>
        <v/>
      </c>
      <c r="F727" s="17" t="str">
        <f>IF($B727="","",Paramètres!$B$24)</f>
        <v/>
      </c>
      <c r="G727" s="17" t="str">
        <f>IF('Classe 5e'!$B7="","",IF('Classe 5e'!D7="","",'Classe 5e'!D7))</f>
        <v/>
      </c>
      <c r="H727" s="78" t="str">
        <f>IF('Classe 5e'!$B7="","",IF('Classe 5e'!E7="","",'Classe 5e'!E7))</f>
        <v/>
      </c>
      <c r="I727" s="16" t="str">
        <f>IF('Classe 5e'!$B7="","",IF('Classe 5e'!F7="","",'Classe 5e'!F7))</f>
        <v/>
      </c>
      <c r="J727" s="16" t="str">
        <f>IF('Classe 5e'!$B7="","",IF('Classe 5e'!G7="","",'Classe 5e'!G7))</f>
        <v/>
      </c>
      <c r="K727" s="18" t="str">
        <f>IF('Classe 5e'!$B7="","",N('Classe 5e'!H7))</f>
        <v/>
      </c>
      <c r="L727" s="18" t="str">
        <f>IF('Classe 5e'!$B7="","",N('Classe 5e'!I7))</f>
        <v/>
      </c>
      <c r="M727" s="18" t="str">
        <f>IF('Classe 5e'!$B7="","",N('Classe 5e'!J7))</f>
        <v/>
      </c>
      <c r="N727" s="18" t="str">
        <f>IF('Classe 5e'!$B7="","",N('Classe 5e'!K7))</f>
        <v/>
      </c>
      <c r="O727" s="18" t="str">
        <f>IF('Classe 5e'!$B7="","",N('Classe 5e'!L7))</f>
        <v/>
      </c>
      <c r="P727" s="18" t="str">
        <f>IF('Classe 5e'!$B7="","",N('Classe 5e'!M7))</f>
        <v/>
      </c>
      <c r="Q727" s="17" t="str">
        <f>IF('Classe 5e'!$B7="","",IF('Classe 5e'!Q7="","",'Classe 5e'!Q7))</f>
        <v/>
      </c>
      <c r="R727" s="18" t="str">
        <f>IF('Classe 5e'!$B7="","",N('Classe 5e'!N7))</f>
        <v/>
      </c>
      <c r="S727" s="18" t="str">
        <f>IF('Classe 5e'!$B7="","",N('Classe 5e'!O7))</f>
        <v/>
      </c>
      <c r="T727" s="18" t="str">
        <f>IF('Classe 5e'!$B7="","",N('Classe 5e'!P7))</f>
        <v/>
      </c>
    </row>
    <row r="728">
      <c r="A728" s="20" t="str">
        <f>IF('Classe 5e'!$B8="","",IF('Classe 5e'!A8="","",'Classe 5e'!A8))</f>
        <v/>
      </c>
      <c r="B728" s="20" t="str">
        <f>IF('Classe 5e'!$B8="","",IF('Classe 5e'!B8="","",'Classe 5e'!B8))</f>
        <v/>
      </c>
      <c r="C728" s="20" t="str">
        <f>IF('Classe 5e'!$B8="","",IF('Classe 5e'!C8="","",'Classe 5e'!C8))</f>
        <v/>
      </c>
      <c r="D728" s="20" t="str">
        <f>IF($B728="","",C728&amp;" "&amp;B728&amp;" - "&amp;E728)</f>
        <v/>
      </c>
      <c r="E728" s="21" t="str">
        <f>IF($B728="","",Paramètres!$A$24)</f>
        <v/>
      </c>
      <c r="F728" s="21" t="str">
        <f>IF($B728="","",Paramètres!$B$24)</f>
        <v/>
      </c>
      <c r="G728" s="21" t="str">
        <f>IF('Classe 5e'!$B8="","",IF('Classe 5e'!D8="","",'Classe 5e'!D8))</f>
        <v/>
      </c>
      <c r="H728" s="77" t="str">
        <f>IF('Classe 5e'!$B8="","",IF('Classe 5e'!E8="","",'Classe 5e'!E8))</f>
        <v/>
      </c>
      <c r="I728" s="20" t="str">
        <f>IF('Classe 5e'!$B8="","",IF('Classe 5e'!F8="","",'Classe 5e'!F8))</f>
        <v/>
      </c>
      <c r="J728" s="20" t="str">
        <f>IF('Classe 5e'!$B8="","",IF('Classe 5e'!G8="","",'Classe 5e'!G8))</f>
        <v/>
      </c>
      <c r="K728" s="51" t="str">
        <f>IF('Classe 5e'!$B8="","",N('Classe 5e'!H8))</f>
        <v/>
      </c>
      <c r="L728" s="51" t="str">
        <f>IF('Classe 5e'!$B8="","",N('Classe 5e'!I8))</f>
        <v/>
      </c>
      <c r="M728" s="51" t="str">
        <f>IF('Classe 5e'!$B8="","",N('Classe 5e'!J8))</f>
        <v/>
      </c>
      <c r="N728" s="51" t="str">
        <f>IF('Classe 5e'!$B8="","",N('Classe 5e'!K8))</f>
        <v/>
      </c>
      <c r="O728" s="51" t="str">
        <f>IF('Classe 5e'!$B8="","",N('Classe 5e'!L8))</f>
        <v/>
      </c>
      <c r="P728" s="51" t="str">
        <f>IF('Classe 5e'!$B8="","",N('Classe 5e'!M8))</f>
        <v/>
      </c>
      <c r="Q728" s="21" t="str">
        <f>IF('Classe 5e'!$B8="","",IF('Classe 5e'!Q8="","",'Classe 5e'!Q8))</f>
        <v/>
      </c>
      <c r="R728" s="51" t="str">
        <f>IF('Classe 5e'!$B8="","",N('Classe 5e'!N8))</f>
        <v/>
      </c>
      <c r="S728" s="51" t="str">
        <f>IF('Classe 5e'!$B8="","",N('Classe 5e'!O8))</f>
        <v/>
      </c>
      <c r="T728" s="51" t="str">
        <f>IF('Classe 5e'!$B8="","",N('Classe 5e'!P8))</f>
        <v/>
      </c>
    </row>
    <row r="729">
      <c r="A729" s="16" t="str">
        <f>IF('Classe 5e'!$B9="","",IF('Classe 5e'!A9="","",'Classe 5e'!A9))</f>
        <v/>
      </c>
      <c r="B729" s="16" t="str">
        <f>IF('Classe 5e'!$B9="","",IF('Classe 5e'!B9="","",'Classe 5e'!B9))</f>
        <v/>
      </c>
      <c r="C729" s="16" t="str">
        <f>IF('Classe 5e'!$B9="","",IF('Classe 5e'!C9="","",'Classe 5e'!C9))</f>
        <v/>
      </c>
      <c r="D729" s="16" t="str">
        <f>IF($B729="","",C729&amp;" "&amp;B729&amp;" - "&amp;E729)</f>
        <v/>
      </c>
      <c r="E729" s="17" t="str">
        <f>IF($B729="","",Paramètres!$A$24)</f>
        <v/>
      </c>
      <c r="F729" s="17" t="str">
        <f>IF($B729="","",Paramètres!$B$24)</f>
        <v/>
      </c>
      <c r="G729" s="17" t="str">
        <f>IF('Classe 5e'!$B9="","",IF('Classe 5e'!D9="","",'Classe 5e'!D9))</f>
        <v/>
      </c>
      <c r="H729" s="78" t="str">
        <f>IF('Classe 5e'!$B9="","",IF('Classe 5e'!E9="","",'Classe 5e'!E9))</f>
        <v/>
      </c>
      <c r="I729" s="16" t="str">
        <f>IF('Classe 5e'!$B9="","",IF('Classe 5e'!F9="","",'Classe 5e'!F9))</f>
        <v/>
      </c>
      <c r="J729" s="16" t="str">
        <f>IF('Classe 5e'!$B9="","",IF('Classe 5e'!G9="","",'Classe 5e'!G9))</f>
        <v/>
      </c>
      <c r="K729" s="18" t="str">
        <f>IF('Classe 5e'!$B9="","",N('Classe 5e'!H9))</f>
        <v/>
      </c>
      <c r="L729" s="18" t="str">
        <f>IF('Classe 5e'!$B9="","",N('Classe 5e'!I9))</f>
        <v/>
      </c>
      <c r="M729" s="18" t="str">
        <f>IF('Classe 5e'!$B9="","",N('Classe 5e'!J9))</f>
        <v/>
      </c>
      <c r="N729" s="18" t="str">
        <f>IF('Classe 5e'!$B9="","",N('Classe 5e'!K9))</f>
        <v/>
      </c>
      <c r="O729" s="18" t="str">
        <f>IF('Classe 5e'!$B9="","",N('Classe 5e'!L9))</f>
        <v/>
      </c>
      <c r="P729" s="18" t="str">
        <f>IF('Classe 5e'!$B9="","",N('Classe 5e'!M9))</f>
        <v/>
      </c>
      <c r="Q729" s="17" t="str">
        <f>IF('Classe 5e'!$B9="","",IF('Classe 5e'!Q9="","",'Classe 5e'!Q9))</f>
        <v/>
      </c>
      <c r="R729" s="18" t="str">
        <f>IF('Classe 5e'!$B9="","",N('Classe 5e'!N9))</f>
        <v/>
      </c>
      <c r="S729" s="18" t="str">
        <f>IF('Classe 5e'!$B9="","",N('Classe 5e'!O9))</f>
        <v/>
      </c>
      <c r="T729" s="18" t="str">
        <f>IF('Classe 5e'!$B9="","",N('Classe 5e'!P9))</f>
        <v/>
      </c>
    </row>
    <row r="730">
      <c r="A730" s="20" t="str">
        <f>IF('Classe 5e'!$B10="","",IF('Classe 5e'!A10="","",'Classe 5e'!A10))</f>
        <v/>
      </c>
      <c r="B730" s="20" t="str">
        <f>IF('Classe 5e'!$B10="","",IF('Classe 5e'!B10="","",'Classe 5e'!B10))</f>
        <v/>
      </c>
      <c r="C730" s="20" t="str">
        <f>IF('Classe 5e'!$B10="","",IF('Classe 5e'!C10="","",'Classe 5e'!C10))</f>
        <v/>
      </c>
      <c r="D730" s="20" t="str">
        <f>IF($B730="","",C730&amp;" "&amp;B730&amp;" - "&amp;E730)</f>
        <v/>
      </c>
      <c r="E730" s="21" t="str">
        <f>IF($B730="","",Paramètres!$A$24)</f>
        <v/>
      </c>
      <c r="F730" s="21" t="str">
        <f>IF($B730="","",Paramètres!$B$24)</f>
        <v/>
      </c>
      <c r="G730" s="21" t="str">
        <f>IF('Classe 5e'!$B10="","",IF('Classe 5e'!D10="","",'Classe 5e'!D10))</f>
        <v/>
      </c>
      <c r="H730" s="77" t="str">
        <f>IF('Classe 5e'!$B10="","",IF('Classe 5e'!E10="","",'Classe 5e'!E10))</f>
        <v/>
      </c>
      <c r="I730" s="20" t="str">
        <f>IF('Classe 5e'!$B10="","",IF('Classe 5e'!F10="","",'Classe 5e'!F10))</f>
        <v/>
      </c>
      <c r="J730" s="20" t="str">
        <f>IF('Classe 5e'!$B10="","",IF('Classe 5e'!G10="","",'Classe 5e'!G10))</f>
        <v/>
      </c>
      <c r="K730" s="51" t="str">
        <f>IF('Classe 5e'!$B10="","",N('Classe 5e'!H10))</f>
        <v/>
      </c>
      <c r="L730" s="51" t="str">
        <f>IF('Classe 5e'!$B10="","",N('Classe 5e'!I10))</f>
        <v/>
      </c>
      <c r="M730" s="51" t="str">
        <f>IF('Classe 5e'!$B10="","",N('Classe 5e'!J10))</f>
        <v/>
      </c>
      <c r="N730" s="51" t="str">
        <f>IF('Classe 5e'!$B10="","",N('Classe 5e'!K10))</f>
        <v/>
      </c>
      <c r="O730" s="51" t="str">
        <f>IF('Classe 5e'!$B10="","",N('Classe 5e'!L10))</f>
        <v/>
      </c>
      <c r="P730" s="51" t="str">
        <f>IF('Classe 5e'!$B10="","",N('Classe 5e'!M10))</f>
        <v/>
      </c>
      <c r="Q730" s="21" t="str">
        <f>IF('Classe 5e'!$B10="","",IF('Classe 5e'!Q10="","",'Classe 5e'!Q10))</f>
        <v/>
      </c>
      <c r="R730" s="51" t="str">
        <f>IF('Classe 5e'!$B10="","",N('Classe 5e'!N10))</f>
        <v/>
      </c>
      <c r="S730" s="51" t="str">
        <f>IF('Classe 5e'!$B10="","",N('Classe 5e'!O10))</f>
        <v/>
      </c>
      <c r="T730" s="51" t="str">
        <f>IF('Classe 5e'!$B10="","",N('Classe 5e'!P10))</f>
        <v/>
      </c>
    </row>
    <row r="731">
      <c r="A731" s="16" t="str">
        <f>IF('Classe 5e'!$B11="","",IF('Classe 5e'!A11="","",'Classe 5e'!A11))</f>
        <v/>
      </c>
      <c r="B731" s="16" t="str">
        <f>IF('Classe 5e'!$B11="","",IF('Classe 5e'!B11="","",'Classe 5e'!B11))</f>
        <v/>
      </c>
      <c r="C731" s="16" t="str">
        <f>IF('Classe 5e'!$B11="","",IF('Classe 5e'!C11="","",'Classe 5e'!C11))</f>
        <v/>
      </c>
      <c r="D731" s="16" t="str">
        <f>IF($B731="","",C731&amp;" "&amp;B731&amp;" - "&amp;E731)</f>
        <v/>
      </c>
      <c r="E731" s="17" t="str">
        <f>IF($B731="","",Paramètres!$A$24)</f>
        <v/>
      </c>
      <c r="F731" s="17" t="str">
        <f>IF($B731="","",Paramètres!$B$24)</f>
        <v/>
      </c>
      <c r="G731" s="17" t="str">
        <f>IF('Classe 5e'!$B11="","",IF('Classe 5e'!D11="","",'Classe 5e'!D11))</f>
        <v/>
      </c>
      <c r="H731" s="78" t="str">
        <f>IF('Classe 5e'!$B11="","",IF('Classe 5e'!E11="","",'Classe 5e'!E11))</f>
        <v/>
      </c>
      <c r="I731" s="16" t="str">
        <f>IF('Classe 5e'!$B11="","",IF('Classe 5e'!F11="","",'Classe 5e'!F11))</f>
        <v/>
      </c>
      <c r="J731" s="16" t="str">
        <f>IF('Classe 5e'!$B11="","",IF('Classe 5e'!G11="","",'Classe 5e'!G11))</f>
        <v/>
      </c>
      <c r="K731" s="18" t="str">
        <f>IF('Classe 5e'!$B11="","",N('Classe 5e'!H11))</f>
        <v/>
      </c>
      <c r="L731" s="18" t="str">
        <f>IF('Classe 5e'!$B11="","",N('Classe 5e'!I11))</f>
        <v/>
      </c>
      <c r="M731" s="18" t="str">
        <f>IF('Classe 5e'!$B11="","",N('Classe 5e'!J11))</f>
        <v/>
      </c>
      <c r="N731" s="18" t="str">
        <f>IF('Classe 5e'!$B11="","",N('Classe 5e'!K11))</f>
        <v/>
      </c>
      <c r="O731" s="18" t="str">
        <f>IF('Classe 5e'!$B11="","",N('Classe 5e'!L11))</f>
        <v/>
      </c>
      <c r="P731" s="18" t="str">
        <f>IF('Classe 5e'!$B11="","",N('Classe 5e'!M11))</f>
        <v/>
      </c>
      <c r="Q731" s="17" t="str">
        <f>IF('Classe 5e'!$B11="","",IF('Classe 5e'!Q11="","",'Classe 5e'!Q11))</f>
        <v/>
      </c>
      <c r="R731" s="18" t="str">
        <f>IF('Classe 5e'!$B11="","",N('Classe 5e'!N11))</f>
        <v/>
      </c>
      <c r="S731" s="18" t="str">
        <f>IF('Classe 5e'!$B11="","",N('Classe 5e'!O11))</f>
        <v/>
      </c>
      <c r="T731" s="18" t="str">
        <f>IF('Classe 5e'!$B11="","",N('Classe 5e'!P11))</f>
        <v/>
      </c>
    </row>
    <row r="732">
      <c r="A732" s="20" t="str">
        <f>IF('Classe 5e'!$B12="","",IF('Classe 5e'!A12="","",'Classe 5e'!A12))</f>
        <v/>
      </c>
      <c r="B732" s="20" t="str">
        <f>IF('Classe 5e'!$B12="","",IF('Classe 5e'!B12="","",'Classe 5e'!B12))</f>
        <v/>
      </c>
      <c r="C732" s="20" t="str">
        <f>IF('Classe 5e'!$B12="","",IF('Classe 5e'!C12="","",'Classe 5e'!C12))</f>
        <v/>
      </c>
      <c r="D732" s="20" t="str">
        <f>IF($B732="","",C732&amp;" "&amp;B732&amp;" - "&amp;E732)</f>
        <v/>
      </c>
      <c r="E732" s="21" t="str">
        <f>IF($B732="","",Paramètres!$A$24)</f>
        <v/>
      </c>
      <c r="F732" s="21" t="str">
        <f>IF($B732="","",Paramètres!$B$24)</f>
        <v/>
      </c>
      <c r="G732" s="21" t="str">
        <f>IF('Classe 5e'!$B12="","",IF('Classe 5e'!D12="","",'Classe 5e'!D12))</f>
        <v/>
      </c>
      <c r="H732" s="77" t="str">
        <f>IF('Classe 5e'!$B12="","",IF('Classe 5e'!E12="","",'Classe 5e'!E12))</f>
        <v/>
      </c>
      <c r="I732" s="20" t="str">
        <f>IF('Classe 5e'!$B12="","",IF('Classe 5e'!F12="","",'Classe 5e'!F12))</f>
        <v/>
      </c>
      <c r="J732" s="20" t="str">
        <f>IF('Classe 5e'!$B12="","",IF('Classe 5e'!G12="","",'Classe 5e'!G12))</f>
        <v/>
      </c>
      <c r="K732" s="51" t="str">
        <f>IF('Classe 5e'!$B12="","",N('Classe 5e'!H12))</f>
        <v/>
      </c>
      <c r="L732" s="51" t="str">
        <f>IF('Classe 5e'!$B12="","",N('Classe 5e'!I12))</f>
        <v/>
      </c>
      <c r="M732" s="51" t="str">
        <f>IF('Classe 5e'!$B12="","",N('Classe 5e'!J12))</f>
        <v/>
      </c>
      <c r="N732" s="51" t="str">
        <f>IF('Classe 5e'!$B12="","",N('Classe 5e'!K12))</f>
        <v/>
      </c>
      <c r="O732" s="51" t="str">
        <f>IF('Classe 5e'!$B12="","",N('Classe 5e'!L12))</f>
        <v/>
      </c>
      <c r="P732" s="51" t="str">
        <f>IF('Classe 5e'!$B12="","",N('Classe 5e'!M12))</f>
        <v/>
      </c>
      <c r="Q732" s="21" t="str">
        <f>IF('Classe 5e'!$B12="","",IF('Classe 5e'!Q12="","",'Classe 5e'!Q12))</f>
        <v/>
      </c>
      <c r="R732" s="51" t="str">
        <f>IF('Classe 5e'!$B12="","",N('Classe 5e'!N12))</f>
        <v/>
      </c>
      <c r="S732" s="51" t="str">
        <f>IF('Classe 5e'!$B12="","",N('Classe 5e'!O12))</f>
        <v/>
      </c>
      <c r="T732" s="51" t="str">
        <f>IF('Classe 5e'!$B12="","",N('Classe 5e'!P12))</f>
        <v/>
      </c>
    </row>
    <row r="733">
      <c r="A733" s="16" t="str">
        <f>IF('Classe 5e'!$B13="","",IF('Classe 5e'!A13="","",'Classe 5e'!A13))</f>
        <v/>
      </c>
      <c r="B733" s="16" t="str">
        <f>IF('Classe 5e'!$B13="","",IF('Classe 5e'!B13="","",'Classe 5e'!B13))</f>
        <v/>
      </c>
      <c r="C733" s="16" t="str">
        <f>IF('Classe 5e'!$B13="","",IF('Classe 5e'!C13="","",'Classe 5e'!C13))</f>
        <v/>
      </c>
      <c r="D733" s="16" t="str">
        <f>IF($B733="","",C733&amp;" "&amp;B733&amp;" - "&amp;E733)</f>
        <v/>
      </c>
      <c r="E733" s="17" t="str">
        <f>IF($B733="","",Paramètres!$A$24)</f>
        <v/>
      </c>
      <c r="F733" s="17" t="str">
        <f>IF($B733="","",Paramètres!$B$24)</f>
        <v/>
      </c>
      <c r="G733" s="17" t="str">
        <f>IF('Classe 5e'!$B13="","",IF('Classe 5e'!D13="","",'Classe 5e'!D13))</f>
        <v/>
      </c>
      <c r="H733" s="78" t="str">
        <f>IF('Classe 5e'!$B13="","",IF('Classe 5e'!E13="","",'Classe 5e'!E13))</f>
        <v/>
      </c>
      <c r="I733" s="16" t="str">
        <f>IF('Classe 5e'!$B13="","",IF('Classe 5e'!F13="","",'Classe 5e'!F13))</f>
        <v/>
      </c>
      <c r="J733" s="16" t="str">
        <f>IF('Classe 5e'!$B13="","",IF('Classe 5e'!G13="","",'Classe 5e'!G13))</f>
        <v/>
      </c>
      <c r="K733" s="18" t="str">
        <f>IF('Classe 5e'!$B13="","",N('Classe 5e'!H13))</f>
        <v/>
      </c>
      <c r="L733" s="18" t="str">
        <f>IF('Classe 5e'!$B13="","",N('Classe 5e'!I13))</f>
        <v/>
      </c>
      <c r="M733" s="18" t="str">
        <f>IF('Classe 5e'!$B13="","",N('Classe 5e'!J13))</f>
        <v/>
      </c>
      <c r="N733" s="18" t="str">
        <f>IF('Classe 5e'!$B13="","",N('Classe 5e'!K13))</f>
        <v/>
      </c>
      <c r="O733" s="18" t="str">
        <f>IF('Classe 5e'!$B13="","",N('Classe 5e'!L13))</f>
        <v/>
      </c>
      <c r="P733" s="18" t="str">
        <f>IF('Classe 5e'!$B13="","",N('Classe 5e'!M13))</f>
        <v/>
      </c>
      <c r="Q733" s="17" t="str">
        <f>IF('Classe 5e'!$B13="","",IF('Classe 5e'!Q13="","",'Classe 5e'!Q13))</f>
        <v/>
      </c>
      <c r="R733" s="18" t="str">
        <f>IF('Classe 5e'!$B13="","",N('Classe 5e'!N13))</f>
        <v/>
      </c>
      <c r="S733" s="18" t="str">
        <f>IF('Classe 5e'!$B13="","",N('Classe 5e'!O13))</f>
        <v/>
      </c>
      <c r="T733" s="18" t="str">
        <f>IF('Classe 5e'!$B13="","",N('Classe 5e'!P13))</f>
        <v/>
      </c>
    </row>
    <row r="734">
      <c r="A734" s="20" t="str">
        <f>IF('Classe 5e'!$B14="","",IF('Classe 5e'!A14="","",'Classe 5e'!A14))</f>
        <v/>
      </c>
      <c r="B734" s="20" t="str">
        <f>IF('Classe 5e'!$B14="","",IF('Classe 5e'!B14="","",'Classe 5e'!B14))</f>
        <v/>
      </c>
      <c r="C734" s="20" t="str">
        <f>IF('Classe 5e'!$B14="","",IF('Classe 5e'!C14="","",'Classe 5e'!C14))</f>
        <v/>
      </c>
      <c r="D734" s="20" t="str">
        <f>IF($B734="","",C734&amp;" "&amp;B734&amp;" - "&amp;E734)</f>
        <v/>
      </c>
      <c r="E734" s="21" t="str">
        <f>IF($B734="","",Paramètres!$A$24)</f>
        <v/>
      </c>
      <c r="F734" s="21" t="str">
        <f>IF($B734="","",Paramètres!$B$24)</f>
        <v/>
      </c>
      <c r="G734" s="21" t="str">
        <f>IF('Classe 5e'!$B14="","",IF('Classe 5e'!D14="","",'Classe 5e'!D14))</f>
        <v/>
      </c>
      <c r="H734" s="77" t="str">
        <f>IF('Classe 5e'!$B14="","",IF('Classe 5e'!E14="","",'Classe 5e'!E14))</f>
        <v/>
      </c>
      <c r="I734" s="20" t="str">
        <f>IF('Classe 5e'!$B14="","",IF('Classe 5e'!F14="","",'Classe 5e'!F14))</f>
        <v/>
      </c>
      <c r="J734" s="20" t="str">
        <f>IF('Classe 5e'!$B14="","",IF('Classe 5e'!G14="","",'Classe 5e'!G14))</f>
        <v/>
      </c>
      <c r="K734" s="51" t="str">
        <f>IF('Classe 5e'!$B14="","",N('Classe 5e'!H14))</f>
        <v/>
      </c>
      <c r="L734" s="51" t="str">
        <f>IF('Classe 5e'!$B14="","",N('Classe 5e'!I14))</f>
        <v/>
      </c>
      <c r="M734" s="51" t="str">
        <f>IF('Classe 5e'!$B14="","",N('Classe 5e'!J14))</f>
        <v/>
      </c>
      <c r="N734" s="51" t="str">
        <f>IF('Classe 5e'!$B14="","",N('Classe 5e'!K14))</f>
        <v/>
      </c>
      <c r="O734" s="51" t="str">
        <f>IF('Classe 5e'!$B14="","",N('Classe 5e'!L14))</f>
        <v/>
      </c>
      <c r="P734" s="51" t="str">
        <f>IF('Classe 5e'!$B14="","",N('Classe 5e'!M14))</f>
        <v/>
      </c>
      <c r="Q734" s="21" t="str">
        <f>IF('Classe 5e'!$B14="","",IF('Classe 5e'!Q14="","",'Classe 5e'!Q14))</f>
        <v/>
      </c>
      <c r="R734" s="51" t="str">
        <f>IF('Classe 5e'!$B14="","",N('Classe 5e'!N14))</f>
        <v/>
      </c>
      <c r="S734" s="51" t="str">
        <f>IF('Classe 5e'!$B14="","",N('Classe 5e'!O14))</f>
        <v/>
      </c>
      <c r="T734" s="51" t="str">
        <f>IF('Classe 5e'!$B14="","",N('Classe 5e'!P14))</f>
        <v/>
      </c>
    </row>
    <row r="735">
      <c r="A735" s="16" t="str">
        <f>IF('Classe 5e'!$B15="","",IF('Classe 5e'!A15="","",'Classe 5e'!A15))</f>
        <v/>
      </c>
      <c r="B735" s="16" t="str">
        <f>IF('Classe 5e'!$B15="","",IF('Classe 5e'!B15="","",'Classe 5e'!B15))</f>
        <v/>
      </c>
      <c r="C735" s="16" t="str">
        <f>IF('Classe 5e'!$B15="","",IF('Classe 5e'!C15="","",'Classe 5e'!C15))</f>
        <v/>
      </c>
      <c r="D735" s="16" t="str">
        <f>IF($B735="","",C735&amp;" "&amp;B735&amp;" - "&amp;E735)</f>
        <v/>
      </c>
      <c r="E735" s="17" t="str">
        <f>IF($B735="","",Paramètres!$A$24)</f>
        <v/>
      </c>
      <c r="F735" s="17" t="str">
        <f>IF($B735="","",Paramètres!$B$24)</f>
        <v/>
      </c>
      <c r="G735" s="17" t="str">
        <f>IF('Classe 5e'!$B15="","",IF('Classe 5e'!D15="","",'Classe 5e'!D15))</f>
        <v/>
      </c>
      <c r="H735" s="78" t="str">
        <f>IF('Classe 5e'!$B15="","",IF('Classe 5e'!E15="","",'Classe 5e'!E15))</f>
        <v/>
      </c>
      <c r="I735" s="16" t="str">
        <f>IF('Classe 5e'!$B15="","",IF('Classe 5e'!F15="","",'Classe 5e'!F15))</f>
        <v/>
      </c>
      <c r="J735" s="16" t="str">
        <f>IF('Classe 5e'!$B15="","",IF('Classe 5e'!G15="","",'Classe 5e'!G15))</f>
        <v/>
      </c>
      <c r="K735" s="18" t="str">
        <f>IF('Classe 5e'!$B15="","",N('Classe 5e'!H15))</f>
        <v/>
      </c>
      <c r="L735" s="18" t="str">
        <f>IF('Classe 5e'!$B15="","",N('Classe 5e'!I15))</f>
        <v/>
      </c>
      <c r="M735" s="18" t="str">
        <f>IF('Classe 5e'!$B15="","",N('Classe 5e'!J15))</f>
        <v/>
      </c>
      <c r="N735" s="18" t="str">
        <f>IF('Classe 5e'!$B15="","",N('Classe 5e'!K15))</f>
        <v/>
      </c>
      <c r="O735" s="18" t="str">
        <f>IF('Classe 5e'!$B15="","",N('Classe 5e'!L15))</f>
        <v/>
      </c>
      <c r="P735" s="18" t="str">
        <f>IF('Classe 5e'!$B15="","",N('Classe 5e'!M15))</f>
        <v/>
      </c>
      <c r="Q735" s="17" t="str">
        <f>IF('Classe 5e'!$B15="","",IF('Classe 5e'!Q15="","",'Classe 5e'!Q15))</f>
        <v/>
      </c>
      <c r="R735" s="18" t="str">
        <f>IF('Classe 5e'!$B15="","",N('Classe 5e'!N15))</f>
        <v/>
      </c>
      <c r="S735" s="18" t="str">
        <f>IF('Classe 5e'!$B15="","",N('Classe 5e'!O15))</f>
        <v/>
      </c>
      <c r="T735" s="18" t="str">
        <f>IF('Classe 5e'!$B15="","",N('Classe 5e'!P15))</f>
        <v/>
      </c>
    </row>
    <row r="736">
      <c r="A736" s="20" t="str">
        <f>IF('Classe 5e'!$B16="","",IF('Classe 5e'!A16="","",'Classe 5e'!A16))</f>
        <v/>
      </c>
      <c r="B736" s="20" t="str">
        <f>IF('Classe 5e'!$B16="","",IF('Classe 5e'!B16="","",'Classe 5e'!B16))</f>
        <v/>
      </c>
      <c r="C736" s="20" t="str">
        <f>IF('Classe 5e'!$B16="","",IF('Classe 5e'!C16="","",'Classe 5e'!C16))</f>
        <v/>
      </c>
      <c r="D736" s="20" t="str">
        <f>IF($B736="","",C736&amp;" "&amp;B736&amp;" - "&amp;E736)</f>
        <v/>
      </c>
      <c r="E736" s="21" t="str">
        <f>IF($B736="","",Paramètres!$A$24)</f>
        <v/>
      </c>
      <c r="F736" s="21" t="str">
        <f>IF($B736="","",Paramètres!$B$24)</f>
        <v/>
      </c>
      <c r="G736" s="21" t="str">
        <f>IF('Classe 5e'!$B16="","",IF('Classe 5e'!D16="","",'Classe 5e'!D16))</f>
        <v/>
      </c>
      <c r="H736" s="77" t="str">
        <f>IF('Classe 5e'!$B16="","",IF('Classe 5e'!E16="","",'Classe 5e'!E16))</f>
        <v/>
      </c>
      <c r="I736" s="20" t="str">
        <f>IF('Classe 5e'!$B16="","",IF('Classe 5e'!F16="","",'Classe 5e'!F16))</f>
        <v/>
      </c>
      <c r="J736" s="20" t="str">
        <f>IF('Classe 5e'!$B16="","",IF('Classe 5e'!G16="","",'Classe 5e'!G16))</f>
        <v/>
      </c>
      <c r="K736" s="51" t="str">
        <f>IF('Classe 5e'!$B16="","",N('Classe 5e'!H16))</f>
        <v/>
      </c>
      <c r="L736" s="51" t="str">
        <f>IF('Classe 5e'!$B16="","",N('Classe 5e'!I16))</f>
        <v/>
      </c>
      <c r="M736" s="51" t="str">
        <f>IF('Classe 5e'!$B16="","",N('Classe 5e'!J16))</f>
        <v/>
      </c>
      <c r="N736" s="51" t="str">
        <f>IF('Classe 5e'!$B16="","",N('Classe 5e'!K16))</f>
        <v/>
      </c>
      <c r="O736" s="51" t="str">
        <f>IF('Classe 5e'!$B16="","",N('Classe 5e'!L16))</f>
        <v/>
      </c>
      <c r="P736" s="51" t="str">
        <f>IF('Classe 5e'!$B16="","",N('Classe 5e'!M16))</f>
        <v/>
      </c>
      <c r="Q736" s="21" t="str">
        <f>IF('Classe 5e'!$B16="","",IF('Classe 5e'!Q16="","",'Classe 5e'!Q16))</f>
        <v/>
      </c>
      <c r="R736" s="51" t="str">
        <f>IF('Classe 5e'!$B16="","",N('Classe 5e'!N16))</f>
        <v/>
      </c>
      <c r="S736" s="51" t="str">
        <f>IF('Classe 5e'!$B16="","",N('Classe 5e'!O16))</f>
        <v/>
      </c>
      <c r="T736" s="51" t="str">
        <f>IF('Classe 5e'!$B16="","",N('Classe 5e'!P16))</f>
        <v/>
      </c>
    </row>
    <row r="737">
      <c r="A737" s="16" t="str">
        <f>IF('Classe 5e'!$B17="","",IF('Classe 5e'!A17="","",'Classe 5e'!A17))</f>
        <v/>
      </c>
      <c r="B737" s="16" t="str">
        <f>IF('Classe 5e'!$B17="","",IF('Classe 5e'!B17="","",'Classe 5e'!B17))</f>
        <v/>
      </c>
      <c r="C737" s="16" t="str">
        <f>IF('Classe 5e'!$B17="","",IF('Classe 5e'!C17="","",'Classe 5e'!C17))</f>
        <v/>
      </c>
      <c r="D737" s="16" t="str">
        <f>IF($B737="","",C737&amp;" "&amp;B737&amp;" - "&amp;E737)</f>
        <v/>
      </c>
      <c r="E737" s="17" t="str">
        <f>IF($B737="","",Paramètres!$A$24)</f>
        <v/>
      </c>
      <c r="F737" s="17" t="str">
        <f>IF($B737="","",Paramètres!$B$24)</f>
        <v/>
      </c>
      <c r="G737" s="17" t="str">
        <f>IF('Classe 5e'!$B17="","",IF('Classe 5e'!D17="","",'Classe 5e'!D17))</f>
        <v/>
      </c>
      <c r="H737" s="78" t="str">
        <f>IF('Classe 5e'!$B17="","",IF('Classe 5e'!E17="","",'Classe 5e'!E17))</f>
        <v/>
      </c>
      <c r="I737" s="16" t="str">
        <f>IF('Classe 5e'!$B17="","",IF('Classe 5e'!F17="","",'Classe 5e'!F17))</f>
        <v/>
      </c>
      <c r="J737" s="16" t="str">
        <f>IF('Classe 5e'!$B17="","",IF('Classe 5e'!G17="","",'Classe 5e'!G17))</f>
        <v/>
      </c>
      <c r="K737" s="18" t="str">
        <f>IF('Classe 5e'!$B17="","",N('Classe 5e'!H17))</f>
        <v/>
      </c>
      <c r="L737" s="18" t="str">
        <f>IF('Classe 5e'!$B17="","",N('Classe 5e'!I17))</f>
        <v/>
      </c>
      <c r="M737" s="18" t="str">
        <f>IF('Classe 5e'!$B17="","",N('Classe 5e'!J17))</f>
        <v/>
      </c>
      <c r="N737" s="18" t="str">
        <f>IF('Classe 5e'!$B17="","",N('Classe 5e'!K17))</f>
        <v/>
      </c>
      <c r="O737" s="18" t="str">
        <f>IF('Classe 5e'!$B17="","",N('Classe 5e'!L17))</f>
        <v/>
      </c>
      <c r="P737" s="18" t="str">
        <f>IF('Classe 5e'!$B17="","",N('Classe 5e'!M17))</f>
        <v/>
      </c>
      <c r="Q737" s="17" t="str">
        <f>IF('Classe 5e'!$B17="","",IF('Classe 5e'!Q17="","",'Classe 5e'!Q17))</f>
        <v/>
      </c>
      <c r="R737" s="18" t="str">
        <f>IF('Classe 5e'!$B17="","",N('Classe 5e'!N17))</f>
        <v/>
      </c>
      <c r="S737" s="18" t="str">
        <f>IF('Classe 5e'!$B17="","",N('Classe 5e'!O17))</f>
        <v/>
      </c>
      <c r="T737" s="18" t="str">
        <f>IF('Classe 5e'!$B17="","",N('Classe 5e'!P17))</f>
        <v/>
      </c>
    </row>
    <row r="738">
      <c r="A738" s="20" t="str">
        <f>IF('Classe 5e'!$B18="","",IF('Classe 5e'!A18="","",'Classe 5e'!A18))</f>
        <v/>
      </c>
      <c r="B738" s="20" t="str">
        <f>IF('Classe 5e'!$B18="","",IF('Classe 5e'!B18="","",'Classe 5e'!B18))</f>
        <v/>
      </c>
      <c r="C738" s="20" t="str">
        <f>IF('Classe 5e'!$B18="","",IF('Classe 5e'!C18="","",'Classe 5e'!C18))</f>
        <v/>
      </c>
      <c r="D738" s="20" t="str">
        <f>IF($B738="","",C738&amp;" "&amp;B738&amp;" - "&amp;E738)</f>
        <v/>
      </c>
      <c r="E738" s="21" t="str">
        <f>IF($B738="","",Paramètres!$A$24)</f>
        <v/>
      </c>
      <c r="F738" s="21" t="str">
        <f>IF($B738="","",Paramètres!$B$24)</f>
        <v/>
      </c>
      <c r="G738" s="21" t="str">
        <f>IF('Classe 5e'!$B18="","",IF('Classe 5e'!D18="","",'Classe 5e'!D18))</f>
        <v/>
      </c>
      <c r="H738" s="77" t="str">
        <f>IF('Classe 5e'!$B18="","",IF('Classe 5e'!E18="","",'Classe 5e'!E18))</f>
        <v/>
      </c>
      <c r="I738" s="20" t="str">
        <f>IF('Classe 5e'!$B18="","",IF('Classe 5e'!F18="","",'Classe 5e'!F18))</f>
        <v/>
      </c>
      <c r="J738" s="20" t="str">
        <f>IF('Classe 5e'!$B18="","",IF('Classe 5e'!G18="","",'Classe 5e'!G18))</f>
        <v/>
      </c>
      <c r="K738" s="51" t="str">
        <f>IF('Classe 5e'!$B18="","",N('Classe 5e'!H18))</f>
        <v/>
      </c>
      <c r="L738" s="51" t="str">
        <f>IF('Classe 5e'!$B18="","",N('Classe 5e'!I18))</f>
        <v/>
      </c>
      <c r="M738" s="51" t="str">
        <f>IF('Classe 5e'!$B18="","",N('Classe 5e'!J18))</f>
        <v/>
      </c>
      <c r="N738" s="51" t="str">
        <f>IF('Classe 5e'!$B18="","",N('Classe 5e'!K18))</f>
        <v/>
      </c>
      <c r="O738" s="51" t="str">
        <f>IF('Classe 5e'!$B18="","",N('Classe 5e'!L18))</f>
        <v/>
      </c>
      <c r="P738" s="51" t="str">
        <f>IF('Classe 5e'!$B18="","",N('Classe 5e'!M18))</f>
        <v/>
      </c>
      <c r="Q738" s="21" t="str">
        <f>IF('Classe 5e'!$B18="","",IF('Classe 5e'!Q18="","",'Classe 5e'!Q18))</f>
        <v/>
      </c>
      <c r="R738" s="51" t="str">
        <f>IF('Classe 5e'!$B18="","",N('Classe 5e'!N18))</f>
        <v/>
      </c>
      <c r="S738" s="51" t="str">
        <f>IF('Classe 5e'!$B18="","",N('Classe 5e'!O18))</f>
        <v/>
      </c>
      <c r="T738" s="51" t="str">
        <f>IF('Classe 5e'!$B18="","",N('Classe 5e'!P18))</f>
        <v/>
      </c>
    </row>
    <row r="739">
      <c r="A739" s="16" t="str">
        <f>IF('Classe 5e'!$B19="","",IF('Classe 5e'!A19="","",'Classe 5e'!A19))</f>
        <v/>
      </c>
      <c r="B739" s="16" t="str">
        <f>IF('Classe 5e'!$B19="","",IF('Classe 5e'!B19="","",'Classe 5e'!B19))</f>
        <v/>
      </c>
      <c r="C739" s="16" t="str">
        <f>IF('Classe 5e'!$B19="","",IF('Classe 5e'!C19="","",'Classe 5e'!C19))</f>
        <v/>
      </c>
      <c r="D739" s="16" t="str">
        <f>IF($B739="","",C739&amp;" "&amp;B739&amp;" - "&amp;E739)</f>
        <v/>
      </c>
      <c r="E739" s="17" t="str">
        <f>IF($B739="","",Paramètres!$A$24)</f>
        <v/>
      </c>
      <c r="F739" s="17" t="str">
        <f>IF($B739="","",Paramètres!$B$24)</f>
        <v/>
      </c>
      <c r="G739" s="17" t="str">
        <f>IF('Classe 5e'!$B19="","",IF('Classe 5e'!D19="","",'Classe 5e'!D19))</f>
        <v/>
      </c>
      <c r="H739" s="78" t="str">
        <f>IF('Classe 5e'!$B19="","",IF('Classe 5e'!E19="","",'Classe 5e'!E19))</f>
        <v/>
      </c>
      <c r="I739" s="16" t="str">
        <f>IF('Classe 5e'!$B19="","",IF('Classe 5e'!F19="","",'Classe 5e'!F19))</f>
        <v/>
      </c>
      <c r="J739" s="16" t="str">
        <f>IF('Classe 5e'!$B19="","",IF('Classe 5e'!G19="","",'Classe 5e'!G19))</f>
        <v/>
      </c>
      <c r="K739" s="18" t="str">
        <f>IF('Classe 5e'!$B19="","",N('Classe 5e'!H19))</f>
        <v/>
      </c>
      <c r="L739" s="18" t="str">
        <f>IF('Classe 5e'!$B19="","",N('Classe 5e'!I19))</f>
        <v/>
      </c>
      <c r="M739" s="18" t="str">
        <f>IF('Classe 5e'!$B19="","",N('Classe 5e'!J19))</f>
        <v/>
      </c>
      <c r="N739" s="18" t="str">
        <f>IF('Classe 5e'!$B19="","",N('Classe 5e'!K19))</f>
        <v/>
      </c>
      <c r="O739" s="18" t="str">
        <f>IF('Classe 5e'!$B19="","",N('Classe 5e'!L19))</f>
        <v/>
      </c>
      <c r="P739" s="18" t="str">
        <f>IF('Classe 5e'!$B19="","",N('Classe 5e'!M19))</f>
        <v/>
      </c>
      <c r="Q739" s="17" t="str">
        <f>IF('Classe 5e'!$B19="","",IF('Classe 5e'!Q19="","",'Classe 5e'!Q19))</f>
        <v/>
      </c>
      <c r="R739" s="18" t="str">
        <f>IF('Classe 5e'!$B19="","",N('Classe 5e'!N19))</f>
        <v/>
      </c>
      <c r="S739" s="18" t="str">
        <f>IF('Classe 5e'!$B19="","",N('Classe 5e'!O19))</f>
        <v/>
      </c>
      <c r="T739" s="18" t="str">
        <f>IF('Classe 5e'!$B19="","",N('Classe 5e'!P19))</f>
        <v/>
      </c>
    </row>
    <row r="740">
      <c r="A740" s="20" t="str">
        <f>IF('Classe 5e'!$B20="","",IF('Classe 5e'!A20="","",'Classe 5e'!A20))</f>
        <v/>
      </c>
      <c r="B740" s="20" t="str">
        <f>IF('Classe 5e'!$B20="","",IF('Classe 5e'!B20="","",'Classe 5e'!B20))</f>
        <v/>
      </c>
      <c r="C740" s="20" t="str">
        <f>IF('Classe 5e'!$B20="","",IF('Classe 5e'!C20="","",'Classe 5e'!C20))</f>
        <v/>
      </c>
      <c r="D740" s="20" t="str">
        <f>IF($B740="","",C740&amp;" "&amp;B740&amp;" - "&amp;E740)</f>
        <v/>
      </c>
      <c r="E740" s="21" t="str">
        <f>IF($B740="","",Paramètres!$A$24)</f>
        <v/>
      </c>
      <c r="F740" s="21" t="str">
        <f>IF($B740="","",Paramètres!$B$24)</f>
        <v/>
      </c>
      <c r="G740" s="21" t="str">
        <f>IF('Classe 5e'!$B20="","",IF('Classe 5e'!D20="","",'Classe 5e'!D20))</f>
        <v/>
      </c>
      <c r="H740" s="77" t="str">
        <f>IF('Classe 5e'!$B20="","",IF('Classe 5e'!E20="","",'Classe 5e'!E20))</f>
        <v/>
      </c>
      <c r="I740" s="20" t="str">
        <f>IF('Classe 5e'!$B20="","",IF('Classe 5e'!F20="","",'Classe 5e'!F20))</f>
        <v/>
      </c>
      <c r="J740" s="20" t="str">
        <f>IF('Classe 5e'!$B20="","",IF('Classe 5e'!G20="","",'Classe 5e'!G20))</f>
        <v/>
      </c>
      <c r="K740" s="51" t="str">
        <f>IF('Classe 5e'!$B20="","",N('Classe 5e'!H20))</f>
        <v/>
      </c>
      <c r="L740" s="51" t="str">
        <f>IF('Classe 5e'!$B20="","",N('Classe 5e'!I20))</f>
        <v/>
      </c>
      <c r="M740" s="51" t="str">
        <f>IF('Classe 5e'!$B20="","",N('Classe 5e'!J20))</f>
        <v/>
      </c>
      <c r="N740" s="51" t="str">
        <f>IF('Classe 5e'!$B20="","",N('Classe 5e'!K20))</f>
        <v/>
      </c>
      <c r="O740" s="51" t="str">
        <f>IF('Classe 5e'!$B20="","",N('Classe 5e'!L20))</f>
        <v/>
      </c>
      <c r="P740" s="51" t="str">
        <f>IF('Classe 5e'!$B20="","",N('Classe 5e'!M20))</f>
        <v/>
      </c>
      <c r="Q740" s="21" t="str">
        <f>IF('Classe 5e'!$B20="","",IF('Classe 5e'!Q20="","",'Classe 5e'!Q20))</f>
        <v/>
      </c>
      <c r="R740" s="51" t="str">
        <f>IF('Classe 5e'!$B20="","",N('Classe 5e'!N20))</f>
        <v/>
      </c>
      <c r="S740" s="51" t="str">
        <f>IF('Classe 5e'!$B20="","",N('Classe 5e'!O20))</f>
        <v/>
      </c>
      <c r="T740" s="51" t="str">
        <f>IF('Classe 5e'!$B20="","",N('Classe 5e'!P20))</f>
        <v/>
      </c>
    </row>
    <row r="741">
      <c r="A741" s="16" t="str">
        <f>IF('Classe 5e'!$B21="","",IF('Classe 5e'!A21="","",'Classe 5e'!A21))</f>
        <v/>
      </c>
      <c r="B741" s="16" t="str">
        <f>IF('Classe 5e'!$B21="","",IF('Classe 5e'!B21="","",'Classe 5e'!B21))</f>
        <v/>
      </c>
      <c r="C741" s="16" t="str">
        <f>IF('Classe 5e'!$B21="","",IF('Classe 5e'!C21="","",'Classe 5e'!C21))</f>
        <v/>
      </c>
      <c r="D741" s="16" t="str">
        <f>IF($B741="","",C741&amp;" "&amp;B741&amp;" - "&amp;E741)</f>
        <v/>
      </c>
      <c r="E741" s="17" t="str">
        <f>IF($B741="","",Paramètres!$A$24)</f>
        <v/>
      </c>
      <c r="F741" s="17" t="str">
        <f>IF($B741="","",Paramètres!$B$24)</f>
        <v/>
      </c>
      <c r="G741" s="17" t="str">
        <f>IF('Classe 5e'!$B21="","",IF('Classe 5e'!D21="","",'Classe 5e'!D21))</f>
        <v/>
      </c>
      <c r="H741" s="78" t="str">
        <f>IF('Classe 5e'!$B21="","",IF('Classe 5e'!E21="","",'Classe 5e'!E21))</f>
        <v/>
      </c>
      <c r="I741" s="16" t="str">
        <f>IF('Classe 5e'!$B21="","",IF('Classe 5e'!F21="","",'Classe 5e'!F21))</f>
        <v/>
      </c>
      <c r="J741" s="16" t="str">
        <f>IF('Classe 5e'!$B21="","",IF('Classe 5e'!G21="","",'Classe 5e'!G21))</f>
        <v/>
      </c>
      <c r="K741" s="18" t="str">
        <f>IF('Classe 5e'!$B21="","",N('Classe 5e'!H21))</f>
        <v/>
      </c>
      <c r="L741" s="18" t="str">
        <f>IF('Classe 5e'!$B21="","",N('Classe 5e'!I21))</f>
        <v/>
      </c>
      <c r="M741" s="18" t="str">
        <f>IF('Classe 5e'!$B21="","",N('Classe 5e'!J21))</f>
        <v/>
      </c>
      <c r="N741" s="18" t="str">
        <f>IF('Classe 5e'!$B21="","",N('Classe 5e'!K21))</f>
        <v/>
      </c>
      <c r="O741" s="18" t="str">
        <f>IF('Classe 5e'!$B21="","",N('Classe 5e'!L21))</f>
        <v/>
      </c>
      <c r="P741" s="18" t="str">
        <f>IF('Classe 5e'!$B21="","",N('Classe 5e'!M21))</f>
        <v/>
      </c>
      <c r="Q741" s="17" t="str">
        <f>IF('Classe 5e'!$B21="","",IF('Classe 5e'!Q21="","",'Classe 5e'!Q21))</f>
        <v/>
      </c>
      <c r="R741" s="18" t="str">
        <f>IF('Classe 5e'!$B21="","",N('Classe 5e'!N21))</f>
        <v/>
      </c>
      <c r="S741" s="18" t="str">
        <f>IF('Classe 5e'!$B21="","",N('Classe 5e'!O21))</f>
        <v/>
      </c>
      <c r="T741" s="18" t="str">
        <f>IF('Classe 5e'!$B21="","",N('Classe 5e'!P21))</f>
        <v/>
      </c>
    </row>
    <row r="742">
      <c r="A742" s="20" t="str">
        <f>IF('Classe 5e'!$B22="","",IF('Classe 5e'!A22="","",'Classe 5e'!A22))</f>
        <v/>
      </c>
      <c r="B742" s="20" t="str">
        <f>IF('Classe 5e'!$B22="","",IF('Classe 5e'!B22="","",'Classe 5e'!B22))</f>
        <v/>
      </c>
      <c r="C742" s="20" t="str">
        <f>IF('Classe 5e'!$B22="","",IF('Classe 5e'!C22="","",'Classe 5e'!C22))</f>
        <v/>
      </c>
      <c r="D742" s="20" t="str">
        <f>IF($B742="","",C742&amp;" "&amp;B742&amp;" - "&amp;E742)</f>
        <v/>
      </c>
      <c r="E742" s="21" t="str">
        <f>IF($B742="","",Paramètres!$A$24)</f>
        <v/>
      </c>
      <c r="F742" s="21" t="str">
        <f>IF($B742="","",Paramètres!$B$24)</f>
        <v/>
      </c>
      <c r="G742" s="21" t="str">
        <f>IF('Classe 5e'!$B22="","",IF('Classe 5e'!D22="","",'Classe 5e'!D22))</f>
        <v/>
      </c>
      <c r="H742" s="77" t="str">
        <f>IF('Classe 5e'!$B22="","",IF('Classe 5e'!E22="","",'Classe 5e'!E22))</f>
        <v/>
      </c>
      <c r="I742" s="20" t="str">
        <f>IF('Classe 5e'!$B22="","",IF('Classe 5e'!F22="","",'Classe 5e'!F22))</f>
        <v/>
      </c>
      <c r="J742" s="20" t="str">
        <f>IF('Classe 5e'!$B22="","",IF('Classe 5e'!G22="","",'Classe 5e'!G22))</f>
        <v/>
      </c>
      <c r="K742" s="51" t="str">
        <f>IF('Classe 5e'!$B22="","",N('Classe 5e'!H22))</f>
        <v/>
      </c>
      <c r="L742" s="51" t="str">
        <f>IF('Classe 5e'!$B22="","",N('Classe 5e'!I22))</f>
        <v/>
      </c>
      <c r="M742" s="51" t="str">
        <f>IF('Classe 5e'!$B22="","",N('Classe 5e'!J22))</f>
        <v/>
      </c>
      <c r="N742" s="51" t="str">
        <f>IF('Classe 5e'!$B22="","",N('Classe 5e'!K22))</f>
        <v/>
      </c>
      <c r="O742" s="51" t="str">
        <f>IF('Classe 5e'!$B22="","",N('Classe 5e'!L22))</f>
        <v/>
      </c>
      <c r="P742" s="51" t="str">
        <f>IF('Classe 5e'!$B22="","",N('Classe 5e'!M22))</f>
        <v/>
      </c>
      <c r="Q742" s="21" t="str">
        <f>IF('Classe 5e'!$B22="","",IF('Classe 5e'!Q22="","",'Classe 5e'!Q22))</f>
        <v/>
      </c>
      <c r="R742" s="51" t="str">
        <f>IF('Classe 5e'!$B22="","",N('Classe 5e'!N22))</f>
        <v/>
      </c>
      <c r="S742" s="51" t="str">
        <f>IF('Classe 5e'!$B22="","",N('Classe 5e'!O22))</f>
        <v/>
      </c>
      <c r="T742" s="51" t="str">
        <f>IF('Classe 5e'!$B22="","",N('Classe 5e'!P22))</f>
        <v/>
      </c>
    </row>
    <row r="743">
      <c r="A743" s="16" t="str">
        <f>IF('Classe 5e'!$B23="","",IF('Classe 5e'!A23="","",'Classe 5e'!A23))</f>
        <v/>
      </c>
      <c r="B743" s="16" t="str">
        <f>IF('Classe 5e'!$B23="","",IF('Classe 5e'!B23="","",'Classe 5e'!B23))</f>
        <v/>
      </c>
      <c r="C743" s="16" t="str">
        <f>IF('Classe 5e'!$B23="","",IF('Classe 5e'!C23="","",'Classe 5e'!C23))</f>
        <v/>
      </c>
      <c r="D743" s="16" t="str">
        <f>IF($B743="","",C743&amp;" "&amp;B743&amp;" - "&amp;E743)</f>
        <v/>
      </c>
      <c r="E743" s="17" t="str">
        <f>IF($B743="","",Paramètres!$A$24)</f>
        <v/>
      </c>
      <c r="F743" s="17" t="str">
        <f>IF($B743="","",Paramètres!$B$24)</f>
        <v/>
      </c>
      <c r="G743" s="17" t="str">
        <f>IF('Classe 5e'!$B23="","",IF('Classe 5e'!D23="","",'Classe 5e'!D23))</f>
        <v/>
      </c>
      <c r="H743" s="78" t="str">
        <f>IF('Classe 5e'!$B23="","",IF('Classe 5e'!E23="","",'Classe 5e'!E23))</f>
        <v/>
      </c>
      <c r="I743" s="16" t="str">
        <f>IF('Classe 5e'!$B23="","",IF('Classe 5e'!F23="","",'Classe 5e'!F23))</f>
        <v/>
      </c>
      <c r="J743" s="16" t="str">
        <f>IF('Classe 5e'!$B23="","",IF('Classe 5e'!G23="","",'Classe 5e'!G23))</f>
        <v/>
      </c>
      <c r="K743" s="18" t="str">
        <f>IF('Classe 5e'!$B23="","",N('Classe 5e'!H23))</f>
        <v/>
      </c>
      <c r="L743" s="18" t="str">
        <f>IF('Classe 5e'!$B23="","",N('Classe 5e'!I23))</f>
        <v/>
      </c>
      <c r="M743" s="18" t="str">
        <f>IF('Classe 5e'!$B23="","",N('Classe 5e'!J23))</f>
        <v/>
      </c>
      <c r="N743" s="18" t="str">
        <f>IF('Classe 5e'!$B23="","",N('Classe 5e'!K23))</f>
        <v/>
      </c>
      <c r="O743" s="18" t="str">
        <f>IF('Classe 5e'!$B23="","",N('Classe 5e'!L23))</f>
        <v/>
      </c>
      <c r="P743" s="18" t="str">
        <f>IF('Classe 5e'!$B23="","",N('Classe 5e'!M23))</f>
        <v/>
      </c>
      <c r="Q743" s="17" t="str">
        <f>IF('Classe 5e'!$B23="","",IF('Classe 5e'!Q23="","",'Classe 5e'!Q23))</f>
        <v/>
      </c>
      <c r="R743" s="18" t="str">
        <f>IF('Classe 5e'!$B23="","",N('Classe 5e'!N23))</f>
        <v/>
      </c>
      <c r="S743" s="18" t="str">
        <f>IF('Classe 5e'!$B23="","",N('Classe 5e'!O23))</f>
        <v/>
      </c>
      <c r="T743" s="18" t="str">
        <f>IF('Classe 5e'!$B23="","",N('Classe 5e'!P23))</f>
        <v/>
      </c>
    </row>
    <row r="744">
      <c r="A744" s="20" t="str">
        <f>IF('Classe 5e'!$B24="","",IF('Classe 5e'!A24="","",'Classe 5e'!A24))</f>
        <v/>
      </c>
      <c r="B744" s="20" t="str">
        <f>IF('Classe 5e'!$B24="","",IF('Classe 5e'!B24="","",'Classe 5e'!B24))</f>
        <v/>
      </c>
      <c r="C744" s="20" t="str">
        <f>IF('Classe 5e'!$B24="","",IF('Classe 5e'!C24="","",'Classe 5e'!C24))</f>
        <v/>
      </c>
      <c r="D744" s="20" t="str">
        <f>IF($B744="","",C744&amp;" "&amp;B744&amp;" - "&amp;E744)</f>
        <v/>
      </c>
      <c r="E744" s="21" t="str">
        <f>IF($B744="","",Paramètres!$A$24)</f>
        <v/>
      </c>
      <c r="F744" s="21" t="str">
        <f>IF($B744="","",Paramètres!$B$24)</f>
        <v/>
      </c>
      <c r="G744" s="21" t="str">
        <f>IF('Classe 5e'!$B24="","",IF('Classe 5e'!D24="","",'Classe 5e'!D24))</f>
        <v/>
      </c>
      <c r="H744" s="77" t="str">
        <f>IF('Classe 5e'!$B24="","",IF('Classe 5e'!E24="","",'Classe 5e'!E24))</f>
        <v/>
      </c>
      <c r="I744" s="20" t="str">
        <f>IF('Classe 5e'!$B24="","",IF('Classe 5e'!F24="","",'Classe 5e'!F24))</f>
        <v/>
      </c>
      <c r="J744" s="20" t="str">
        <f>IF('Classe 5e'!$B24="","",IF('Classe 5e'!G24="","",'Classe 5e'!G24))</f>
        <v/>
      </c>
      <c r="K744" s="51" t="str">
        <f>IF('Classe 5e'!$B24="","",N('Classe 5e'!H24))</f>
        <v/>
      </c>
      <c r="L744" s="51" t="str">
        <f>IF('Classe 5e'!$B24="","",N('Classe 5e'!I24))</f>
        <v/>
      </c>
      <c r="M744" s="51" t="str">
        <f>IF('Classe 5e'!$B24="","",N('Classe 5e'!J24))</f>
        <v/>
      </c>
      <c r="N744" s="51" t="str">
        <f>IF('Classe 5e'!$B24="","",N('Classe 5e'!K24))</f>
        <v/>
      </c>
      <c r="O744" s="51" t="str">
        <f>IF('Classe 5e'!$B24="","",N('Classe 5e'!L24))</f>
        <v/>
      </c>
      <c r="P744" s="51" t="str">
        <f>IF('Classe 5e'!$B24="","",N('Classe 5e'!M24))</f>
        <v/>
      </c>
      <c r="Q744" s="21" t="str">
        <f>IF('Classe 5e'!$B24="","",IF('Classe 5e'!Q24="","",'Classe 5e'!Q24))</f>
        <v/>
      </c>
      <c r="R744" s="51" t="str">
        <f>IF('Classe 5e'!$B24="","",N('Classe 5e'!N24))</f>
        <v/>
      </c>
      <c r="S744" s="51" t="str">
        <f>IF('Classe 5e'!$B24="","",N('Classe 5e'!O24))</f>
        <v/>
      </c>
      <c r="T744" s="51" t="str">
        <f>IF('Classe 5e'!$B24="","",N('Classe 5e'!P24))</f>
        <v/>
      </c>
    </row>
    <row r="745">
      <c r="A745" s="16" t="str">
        <f>IF('Classe 5e'!$B25="","",IF('Classe 5e'!A25="","",'Classe 5e'!A25))</f>
        <v/>
      </c>
      <c r="B745" s="16" t="str">
        <f>IF('Classe 5e'!$B25="","",IF('Classe 5e'!B25="","",'Classe 5e'!B25))</f>
        <v/>
      </c>
      <c r="C745" s="16" t="str">
        <f>IF('Classe 5e'!$B25="","",IF('Classe 5e'!C25="","",'Classe 5e'!C25))</f>
        <v/>
      </c>
      <c r="D745" s="16" t="str">
        <f>IF($B745="","",C745&amp;" "&amp;B745&amp;" - "&amp;E745)</f>
        <v/>
      </c>
      <c r="E745" s="17" t="str">
        <f>IF($B745="","",Paramètres!$A$24)</f>
        <v/>
      </c>
      <c r="F745" s="17" t="str">
        <f>IF($B745="","",Paramètres!$B$24)</f>
        <v/>
      </c>
      <c r="G745" s="17" t="str">
        <f>IF('Classe 5e'!$B25="","",IF('Classe 5e'!D25="","",'Classe 5e'!D25))</f>
        <v/>
      </c>
      <c r="H745" s="78" t="str">
        <f>IF('Classe 5e'!$B25="","",IF('Classe 5e'!E25="","",'Classe 5e'!E25))</f>
        <v/>
      </c>
      <c r="I745" s="16" t="str">
        <f>IF('Classe 5e'!$B25="","",IF('Classe 5e'!F25="","",'Classe 5e'!F25))</f>
        <v/>
      </c>
      <c r="J745" s="16" t="str">
        <f>IF('Classe 5e'!$B25="","",IF('Classe 5e'!G25="","",'Classe 5e'!G25))</f>
        <v/>
      </c>
      <c r="K745" s="18" t="str">
        <f>IF('Classe 5e'!$B25="","",N('Classe 5e'!H25))</f>
        <v/>
      </c>
      <c r="L745" s="18" t="str">
        <f>IF('Classe 5e'!$B25="","",N('Classe 5e'!I25))</f>
        <v/>
      </c>
      <c r="M745" s="18" t="str">
        <f>IF('Classe 5e'!$B25="","",N('Classe 5e'!J25))</f>
        <v/>
      </c>
      <c r="N745" s="18" t="str">
        <f>IF('Classe 5e'!$B25="","",N('Classe 5e'!K25))</f>
        <v/>
      </c>
      <c r="O745" s="18" t="str">
        <f>IF('Classe 5e'!$B25="","",N('Classe 5e'!L25))</f>
        <v/>
      </c>
      <c r="P745" s="18" t="str">
        <f>IF('Classe 5e'!$B25="","",N('Classe 5e'!M25))</f>
        <v/>
      </c>
      <c r="Q745" s="17" t="str">
        <f>IF('Classe 5e'!$B25="","",IF('Classe 5e'!Q25="","",'Classe 5e'!Q25))</f>
        <v/>
      </c>
      <c r="R745" s="18" t="str">
        <f>IF('Classe 5e'!$B25="","",N('Classe 5e'!N25))</f>
        <v/>
      </c>
      <c r="S745" s="18" t="str">
        <f>IF('Classe 5e'!$B25="","",N('Classe 5e'!O25))</f>
        <v/>
      </c>
      <c r="T745" s="18" t="str">
        <f>IF('Classe 5e'!$B25="","",N('Classe 5e'!P25))</f>
        <v/>
      </c>
    </row>
    <row r="746">
      <c r="A746" s="20" t="str">
        <f>IF('Classe 5e'!$B26="","",IF('Classe 5e'!A26="","",'Classe 5e'!A26))</f>
        <v/>
      </c>
      <c r="B746" s="20" t="str">
        <f>IF('Classe 5e'!$B26="","",IF('Classe 5e'!B26="","",'Classe 5e'!B26))</f>
        <v/>
      </c>
      <c r="C746" s="20" t="str">
        <f>IF('Classe 5e'!$B26="","",IF('Classe 5e'!C26="","",'Classe 5e'!C26))</f>
        <v/>
      </c>
      <c r="D746" s="20" t="str">
        <f>IF($B746="","",C746&amp;" "&amp;B746&amp;" - "&amp;E746)</f>
        <v/>
      </c>
      <c r="E746" s="21" t="str">
        <f>IF($B746="","",Paramètres!$A$24)</f>
        <v/>
      </c>
      <c r="F746" s="21" t="str">
        <f>IF($B746="","",Paramètres!$B$24)</f>
        <v/>
      </c>
      <c r="G746" s="21" t="str">
        <f>IF('Classe 5e'!$B26="","",IF('Classe 5e'!D26="","",'Classe 5e'!D26))</f>
        <v/>
      </c>
      <c r="H746" s="77" t="str">
        <f>IF('Classe 5e'!$B26="","",IF('Classe 5e'!E26="","",'Classe 5e'!E26))</f>
        <v/>
      </c>
      <c r="I746" s="20" t="str">
        <f>IF('Classe 5e'!$B26="","",IF('Classe 5e'!F26="","",'Classe 5e'!F26))</f>
        <v/>
      </c>
      <c r="J746" s="20" t="str">
        <f>IF('Classe 5e'!$B26="","",IF('Classe 5e'!G26="","",'Classe 5e'!G26))</f>
        <v/>
      </c>
      <c r="K746" s="51" t="str">
        <f>IF('Classe 5e'!$B26="","",N('Classe 5e'!H26))</f>
        <v/>
      </c>
      <c r="L746" s="51" t="str">
        <f>IF('Classe 5e'!$B26="","",N('Classe 5e'!I26))</f>
        <v/>
      </c>
      <c r="M746" s="51" t="str">
        <f>IF('Classe 5e'!$B26="","",N('Classe 5e'!J26))</f>
        <v/>
      </c>
      <c r="N746" s="51" t="str">
        <f>IF('Classe 5e'!$B26="","",N('Classe 5e'!K26))</f>
        <v/>
      </c>
      <c r="O746" s="51" t="str">
        <f>IF('Classe 5e'!$B26="","",N('Classe 5e'!L26))</f>
        <v/>
      </c>
      <c r="P746" s="51" t="str">
        <f>IF('Classe 5e'!$B26="","",N('Classe 5e'!M26))</f>
        <v/>
      </c>
      <c r="Q746" s="21" t="str">
        <f>IF('Classe 5e'!$B26="","",IF('Classe 5e'!Q26="","",'Classe 5e'!Q26))</f>
        <v/>
      </c>
      <c r="R746" s="51" t="str">
        <f>IF('Classe 5e'!$B26="","",N('Classe 5e'!N26))</f>
        <v/>
      </c>
      <c r="S746" s="51" t="str">
        <f>IF('Classe 5e'!$B26="","",N('Classe 5e'!O26))</f>
        <v/>
      </c>
      <c r="T746" s="51" t="str">
        <f>IF('Classe 5e'!$B26="","",N('Classe 5e'!P26))</f>
        <v/>
      </c>
    </row>
    <row r="747">
      <c r="A747" s="16" t="str">
        <f>IF('Classe 5e'!$B27="","",IF('Classe 5e'!A27="","",'Classe 5e'!A27))</f>
        <v/>
      </c>
      <c r="B747" s="16" t="str">
        <f>IF('Classe 5e'!$B27="","",IF('Classe 5e'!B27="","",'Classe 5e'!B27))</f>
        <v/>
      </c>
      <c r="C747" s="16" t="str">
        <f>IF('Classe 5e'!$B27="","",IF('Classe 5e'!C27="","",'Classe 5e'!C27))</f>
        <v/>
      </c>
      <c r="D747" s="16" t="str">
        <f>IF($B747="","",C747&amp;" "&amp;B747&amp;" - "&amp;E747)</f>
        <v/>
      </c>
      <c r="E747" s="17" t="str">
        <f>IF($B747="","",Paramètres!$A$24)</f>
        <v/>
      </c>
      <c r="F747" s="17" t="str">
        <f>IF($B747="","",Paramètres!$B$24)</f>
        <v/>
      </c>
      <c r="G747" s="17" t="str">
        <f>IF('Classe 5e'!$B27="","",IF('Classe 5e'!D27="","",'Classe 5e'!D27))</f>
        <v/>
      </c>
      <c r="H747" s="78" t="str">
        <f>IF('Classe 5e'!$B27="","",IF('Classe 5e'!E27="","",'Classe 5e'!E27))</f>
        <v/>
      </c>
      <c r="I747" s="16" t="str">
        <f>IF('Classe 5e'!$B27="","",IF('Classe 5e'!F27="","",'Classe 5e'!F27))</f>
        <v/>
      </c>
      <c r="J747" s="16" t="str">
        <f>IF('Classe 5e'!$B27="","",IF('Classe 5e'!G27="","",'Classe 5e'!G27))</f>
        <v/>
      </c>
      <c r="K747" s="18" t="str">
        <f>IF('Classe 5e'!$B27="","",N('Classe 5e'!H27))</f>
        <v/>
      </c>
      <c r="L747" s="18" t="str">
        <f>IF('Classe 5e'!$B27="","",N('Classe 5e'!I27))</f>
        <v/>
      </c>
      <c r="M747" s="18" t="str">
        <f>IF('Classe 5e'!$B27="","",N('Classe 5e'!J27))</f>
        <v/>
      </c>
      <c r="N747" s="18" t="str">
        <f>IF('Classe 5e'!$B27="","",N('Classe 5e'!K27))</f>
        <v/>
      </c>
      <c r="O747" s="18" t="str">
        <f>IF('Classe 5e'!$B27="","",N('Classe 5e'!L27))</f>
        <v/>
      </c>
      <c r="P747" s="18" t="str">
        <f>IF('Classe 5e'!$B27="","",N('Classe 5e'!M27))</f>
        <v/>
      </c>
      <c r="Q747" s="17" t="str">
        <f>IF('Classe 5e'!$B27="","",IF('Classe 5e'!Q27="","",'Classe 5e'!Q27))</f>
        <v/>
      </c>
      <c r="R747" s="18" t="str">
        <f>IF('Classe 5e'!$B27="","",N('Classe 5e'!N27))</f>
        <v/>
      </c>
      <c r="S747" s="18" t="str">
        <f>IF('Classe 5e'!$B27="","",N('Classe 5e'!O27))</f>
        <v/>
      </c>
      <c r="T747" s="18" t="str">
        <f>IF('Classe 5e'!$B27="","",N('Classe 5e'!P27))</f>
        <v/>
      </c>
    </row>
    <row r="748">
      <c r="A748" s="20" t="str">
        <f>IF('Classe 5e'!$B28="","",IF('Classe 5e'!A28="","",'Classe 5e'!A28))</f>
        <v/>
      </c>
      <c r="B748" s="20" t="str">
        <f>IF('Classe 5e'!$B28="","",IF('Classe 5e'!B28="","",'Classe 5e'!B28))</f>
        <v/>
      </c>
      <c r="C748" s="20" t="str">
        <f>IF('Classe 5e'!$B28="","",IF('Classe 5e'!C28="","",'Classe 5e'!C28))</f>
        <v/>
      </c>
      <c r="D748" s="20" t="str">
        <f>IF($B748="","",C748&amp;" "&amp;B748&amp;" - "&amp;E748)</f>
        <v/>
      </c>
      <c r="E748" s="21" t="str">
        <f>IF($B748="","",Paramètres!$A$24)</f>
        <v/>
      </c>
      <c r="F748" s="21" t="str">
        <f>IF($B748="","",Paramètres!$B$24)</f>
        <v/>
      </c>
      <c r="G748" s="21" t="str">
        <f>IF('Classe 5e'!$B28="","",IF('Classe 5e'!D28="","",'Classe 5e'!D28))</f>
        <v/>
      </c>
      <c r="H748" s="77" t="str">
        <f>IF('Classe 5e'!$B28="","",IF('Classe 5e'!E28="","",'Classe 5e'!E28))</f>
        <v/>
      </c>
      <c r="I748" s="20" t="str">
        <f>IF('Classe 5e'!$B28="","",IF('Classe 5e'!F28="","",'Classe 5e'!F28))</f>
        <v/>
      </c>
      <c r="J748" s="20" t="str">
        <f>IF('Classe 5e'!$B28="","",IF('Classe 5e'!G28="","",'Classe 5e'!G28))</f>
        <v/>
      </c>
      <c r="K748" s="51" t="str">
        <f>IF('Classe 5e'!$B28="","",N('Classe 5e'!H28))</f>
        <v/>
      </c>
      <c r="L748" s="51" t="str">
        <f>IF('Classe 5e'!$B28="","",N('Classe 5e'!I28))</f>
        <v/>
      </c>
      <c r="M748" s="51" t="str">
        <f>IF('Classe 5e'!$B28="","",N('Classe 5e'!J28))</f>
        <v/>
      </c>
      <c r="N748" s="51" t="str">
        <f>IF('Classe 5e'!$B28="","",N('Classe 5e'!K28))</f>
        <v/>
      </c>
      <c r="O748" s="51" t="str">
        <f>IF('Classe 5e'!$B28="","",N('Classe 5e'!L28))</f>
        <v/>
      </c>
      <c r="P748" s="51" t="str">
        <f>IF('Classe 5e'!$B28="","",N('Classe 5e'!M28))</f>
        <v/>
      </c>
      <c r="Q748" s="21" t="str">
        <f>IF('Classe 5e'!$B28="","",IF('Classe 5e'!Q28="","",'Classe 5e'!Q28))</f>
        <v/>
      </c>
      <c r="R748" s="51" t="str">
        <f>IF('Classe 5e'!$B28="","",N('Classe 5e'!N28))</f>
        <v/>
      </c>
      <c r="S748" s="51" t="str">
        <f>IF('Classe 5e'!$B28="","",N('Classe 5e'!O28))</f>
        <v/>
      </c>
      <c r="T748" s="51" t="str">
        <f>IF('Classe 5e'!$B28="","",N('Classe 5e'!P28))</f>
        <v/>
      </c>
    </row>
    <row r="749">
      <c r="A749" s="16" t="str">
        <f>IF('Classe 5e'!$B29="","",IF('Classe 5e'!A29="","",'Classe 5e'!A29))</f>
        <v/>
      </c>
      <c r="B749" s="16" t="str">
        <f>IF('Classe 5e'!$B29="","",IF('Classe 5e'!B29="","",'Classe 5e'!B29))</f>
        <v/>
      </c>
      <c r="C749" s="16" t="str">
        <f>IF('Classe 5e'!$B29="","",IF('Classe 5e'!C29="","",'Classe 5e'!C29))</f>
        <v/>
      </c>
      <c r="D749" s="16" t="str">
        <f>IF($B749="","",C749&amp;" "&amp;B749&amp;" - "&amp;E749)</f>
        <v/>
      </c>
      <c r="E749" s="17" t="str">
        <f>IF($B749="","",Paramètres!$A$24)</f>
        <v/>
      </c>
      <c r="F749" s="17" t="str">
        <f>IF($B749="","",Paramètres!$B$24)</f>
        <v/>
      </c>
      <c r="G749" s="17" t="str">
        <f>IF('Classe 5e'!$B29="","",IF('Classe 5e'!D29="","",'Classe 5e'!D29))</f>
        <v/>
      </c>
      <c r="H749" s="78" t="str">
        <f>IF('Classe 5e'!$B29="","",IF('Classe 5e'!E29="","",'Classe 5e'!E29))</f>
        <v/>
      </c>
      <c r="I749" s="16" t="str">
        <f>IF('Classe 5e'!$B29="","",IF('Classe 5e'!F29="","",'Classe 5e'!F29))</f>
        <v/>
      </c>
      <c r="J749" s="16" t="str">
        <f>IF('Classe 5e'!$B29="","",IF('Classe 5e'!G29="","",'Classe 5e'!G29))</f>
        <v/>
      </c>
      <c r="K749" s="18" t="str">
        <f>IF('Classe 5e'!$B29="","",N('Classe 5e'!H29))</f>
        <v/>
      </c>
      <c r="L749" s="18" t="str">
        <f>IF('Classe 5e'!$B29="","",N('Classe 5e'!I29))</f>
        <v/>
      </c>
      <c r="M749" s="18" t="str">
        <f>IF('Classe 5e'!$B29="","",N('Classe 5e'!J29))</f>
        <v/>
      </c>
      <c r="N749" s="18" t="str">
        <f>IF('Classe 5e'!$B29="","",N('Classe 5e'!K29))</f>
        <v/>
      </c>
      <c r="O749" s="18" t="str">
        <f>IF('Classe 5e'!$B29="","",N('Classe 5e'!L29))</f>
        <v/>
      </c>
      <c r="P749" s="18" t="str">
        <f>IF('Classe 5e'!$B29="","",N('Classe 5e'!M29))</f>
        <v/>
      </c>
      <c r="Q749" s="17" t="str">
        <f>IF('Classe 5e'!$B29="","",IF('Classe 5e'!Q29="","",'Classe 5e'!Q29))</f>
        <v/>
      </c>
      <c r="R749" s="18" t="str">
        <f>IF('Classe 5e'!$B29="","",N('Classe 5e'!N29))</f>
        <v/>
      </c>
      <c r="S749" s="18" t="str">
        <f>IF('Classe 5e'!$B29="","",N('Classe 5e'!O29))</f>
        <v/>
      </c>
      <c r="T749" s="18" t="str">
        <f>IF('Classe 5e'!$B29="","",N('Classe 5e'!P29))</f>
        <v/>
      </c>
    </row>
    <row r="750">
      <c r="A750" s="20" t="str">
        <f>IF('Classe 5e'!$B30="","",IF('Classe 5e'!A30="","",'Classe 5e'!A30))</f>
        <v/>
      </c>
      <c r="B750" s="20" t="str">
        <f>IF('Classe 5e'!$B30="","",IF('Classe 5e'!B30="","",'Classe 5e'!B30))</f>
        <v/>
      </c>
      <c r="C750" s="20" t="str">
        <f>IF('Classe 5e'!$B30="","",IF('Classe 5e'!C30="","",'Classe 5e'!C30))</f>
        <v/>
      </c>
      <c r="D750" s="20" t="str">
        <f>IF($B750="","",C750&amp;" "&amp;B750&amp;" - "&amp;E750)</f>
        <v/>
      </c>
      <c r="E750" s="21" t="str">
        <f>IF($B750="","",Paramètres!$A$24)</f>
        <v/>
      </c>
      <c r="F750" s="21" t="str">
        <f>IF($B750="","",Paramètres!$B$24)</f>
        <v/>
      </c>
      <c r="G750" s="21" t="str">
        <f>IF('Classe 5e'!$B30="","",IF('Classe 5e'!D30="","",'Classe 5e'!D30))</f>
        <v/>
      </c>
      <c r="H750" s="77" t="str">
        <f>IF('Classe 5e'!$B30="","",IF('Classe 5e'!E30="","",'Classe 5e'!E30))</f>
        <v/>
      </c>
      <c r="I750" s="20" t="str">
        <f>IF('Classe 5e'!$B30="","",IF('Classe 5e'!F30="","",'Classe 5e'!F30))</f>
        <v/>
      </c>
      <c r="J750" s="20" t="str">
        <f>IF('Classe 5e'!$B30="","",IF('Classe 5e'!G30="","",'Classe 5e'!G30))</f>
        <v/>
      </c>
      <c r="K750" s="51" t="str">
        <f>IF('Classe 5e'!$B30="","",N('Classe 5e'!H30))</f>
        <v/>
      </c>
      <c r="L750" s="51" t="str">
        <f>IF('Classe 5e'!$B30="","",N('Classe 5e'!I30))</f>
        <v/>
      </c>
      <c r="M750" s="51" t="str">
        <f>IF('Classe 5e'!$B30="","",N('Classe 5e'!J30))</f>
        <v/>
      </c>
      <c r="N750" s="51" t="str">
        <f>IF('Classe 5e'!$B30="","",N('Classe 5e'!K30))</f>
        <v/>
      </c>
      <c r="O750" s="51" t="str">
        <f>IF('Classe 5e'!$B30="","",N('Classe 5e'!L30))</f>
        <v/>
      </c>
      <c r="P750" s="51" t="str">
        <f>IF('Classe 5e'!$B30="","",N('Classe 5e'!M30))</f>
        <v/>
      </c>
      <c r="Q750" s="21" t="str">
        <f>IF('Classe 5e'!$B30="","",IF('Classe 5e'!Q30="","",'Classe 5e'!Q30))</f>
        <v/>
      </c>
      <c r="R750" s="51" t="str">
        <f>IF('Classe 5e'!$B30="","",N('Classe 5e'!N30))</f>
        <v/>
      </c>
      <c r="S750" s="51" t="str">
        <f>IF('Classe 5e'!$B30="","",N('Classe 5e'!O30))</f>
        <v/>
      </c>
      <c r="T750" s="51" t="str">
        <f>IF('Classe 5e'!$B30="","",N('Classe 5e'!P30))</f>
        <v/>
      </c>
    </row>
    <row r="751">
      <c r="A751" s="16" t="str">
        <f>IF('Classe 5e'!$B31="","",IF('Classe 5e'!A31="","",'Classe 5e'!A31))</f>
        <v/>
      </c>
      <c r="B751" s="16" t="str">
        <f>IF('Classe 5e'!$B31="","",IF('Classe 5e'!B31="","",'Classe 5e'!B31))</f>
        <v/>
      </c>
      <c r="C751" s="16" t="str">
        <f>IF('Classe 5e'!$B31="","",IF('Classe 5e'!C31="","",'Classe 5e'!C31))</f>
        <v/>
      </c>
      <c r="D751" s="16" t="str">
        <f>IF($B751="","",C751&amp;" "&amp;B751&amp;" - "&amp;E751)</f>
        <v/>
      </c>
      <c r="E751" s="17" t="str">
        <f>IF($B751="","",Paramètres!$A$24)</f>
        <v/>
      </c>
      <c r="F751" s="17" t="str">
        <f>IF($B751="","",Paramètres!$B$24)</f>
        <v/>
      </c>
      <c r="G751" s="17" t="str">
        <f>IF('Classe 5e'!$B31="","",IF('Classe 5e'!D31="","",'Classe 5e'!D31))</f>
        <v/>
      </c>
      <c r="H751" s="78" t="str">
        <f>IF('Classe 5e'!$B31="","",IF('Classe 5e'!E31="","",'Classe 5e'!E31))</f>
        <v/>
      </c>
      <c r="I751" s="16" t="str">
        <f>IF('Classe 5e'!$B31="","",IF('Classe 5e'!F31="","",'Classe 5e'!F31))</f>
        <v/>
      </c>
      <c r="J751" s="16" t="str">
        <f>IF('Classe 5e'!$B31="","",IF('Classe 5e'!G31="","",'Classe 5e'!G31))</f>
        <v/>
      </c>
      <c r="K751" s="18" t="str">
        <f>IF('Classe 5e'!$B31="","",N('Classe 5e'!H31))</f>
        <v/>
      </c>
      <c r="L751" s="18" t="str">
        <f>IF('Classe 5e'!$B31="","",N('Classe 5e'!I31))</f>
        <v/>
      </c>
      <c r="M751" s="18" t="str">
        <f>IF('Classe 5e'!$B31="","",N('Classe 5e'!J31))</f>
        <v/>
      </c>
      <c r="N751" s="18" t="str">
        <f>IF('Classe 5e'!$B31="","",N('Classe 5e'!K31))</f>
        <v/>
      </c>
      <c r="O751" s="18" t="str">
        <f>IF('Classe 5e'!$B31="","",N('Classe 5e'!L31))</f>
        <v/>
      </c>
      <c r="P751" s="18" t="str">
        <f>IF('Classe 5e'!$B31="","",N('Classe 5e'!M31))</f>
        <v/>
      </c>
      <c r="Q751" s="17" t="str">
        <f>IF('Classe 5e'!$B31="","",IF('Classe 5e'!Q31="","",'Classe 5e'!Q31))</f>
        <v/>
      </c>
      <c r="R751" s="18" t="str">
        <f>IF('Classe 5e'!$B31="","",N('Classe 5e'!N31))</f>
        <v/>
      </c>
      <c r="S751" s="18" t="str">
        <f>IF('Classe 5e'!$B31="","",N('Classe 5e'!O31))</f>
        <v/>
      </c>
      <c r="T751" s="18" t="str">
        <f>IF('Classe 5e'!$B31="","",N('Classe 5e'!P31))</f>
        <v/>
      </c>
    </row>
    <row r="752">
      <c r="A752" s="20" t="str">
        <f>IF('Classe 5e'!$B32="","",IF('Classe 5e'!A32="","",'Classe 5e'!A32))</f>
        <v/>
      </c>
      <c r="B752" s="20" t="str">
        <f>IF('Classe 5e'!$B32="","",IF('Classe 5e'!B32="","",'Classe 5e'!B32))</f>
        <v/>
      </c>
      <c r="C752" s="20" t="str">
        <f>IF('Classe 5e'!$B32="","",IF('Classe 5e'!C32="","",'Classe 5e'!C32))</f>
        <v/>
      </c>
      <c r="D752" s="20" t="str">
        <f>IF($B752="","",C752&amp;" "&amp;B752&amp;" - "&amp;E752)</f>
        <v/>
      </c>
      <c r="E752" s="21" t="str">
        <f>IF($B752="","",Paramètres!$A$24)</f>
        <v/>
      </c>
      <c r="F752" s="21" t="str">
        <f>IF($B752="","",Paramètres!$B$24)</f>
        <v/>
      </c>
      <c r="G752" s="21" t="str">
        <f>IF('Classe 5e'!$B32="","",IF('Classe 5e'!D32="","",'Classe 5e'!D32))</f>
        <v/>
      </c>
      <c r="H752" s="77" t="str">
        <f>IF('Classe 5e'!$B32="","",IF('Classe 5e'!E32="","",'Classe 5e'!E32))</f>
        <v/>
      </c>
      <c r="I752" s="20" t="str">
        <f>IF('Classe 5e'!$B32="","",IF('Classe 5e'!F32="","",'Classe 5e'!F32))</f>
        <v/>
      </c>
      <c r="J752" s="20" t="str">
        <f>IF('Classe 5e'!$B32="","",IF('Classe 5e'!G32="","",'Classe 5e'!G32))</f>
        <v/>
      </c>
      <c r="K752" s="51" t="str">
        <f>IF('Classe 5e'!$B32="","",N('Classe 5e'!H32))</f>
        <v/>
      </c>
      <c r="L752" s="51" t="str">
        <f>IF('Classe 5e'!$B32="","",N('Classe 5e'!I32))</f>
        <v/>
      </c>
      <c r="M752" s="51" t="str">
        <f>IF('Classe 5e'!$B32="","",N('Classe 5e'!J32))</f>
        <v/>
      </c>
      <c r="N752" s="51" t="str">
        <f>IF('Classe 5e'!$B32="","",N('Classe 5e'!K32))</f>
        <v/>
      </c>
      <c r="O752" s="51" t="str">
        <f>IF('Classe 5e'!$B32="","",N('Classe 5e'!L32))</f>
        <v/>
      </c>
      <c r="P752" s="51" t="str">
        <f>IF('Classe 5e'!$B32="","",N('Classe 5e'!M32))</f>
        <v/>
      </c>
      <c r="Q752" s="21" t="str">
        <f>IF('Classe 5e'!$B32="","",IF('Classe 5e'!Q32="","",'Classe 5e'!Q32))</f>
        <v/>
      </c>
      <c r="R752" s="51" t="str">
        <f>IF('Classe 5e'!$B32="","",N('Classe 5e'!N32))</f>
        <v/>
      </c>
      <c r="S752" s="51" t="str">
        <f>IF('Classe 5e'!$B32="","",N('Classe 5e'!O32))</f>
        <v/>
      </c>
      <c r="T752" s="51" t="str">
        <f>IF('Classe 5e'!$B32="","",N('Classe 5e'!P32))</f>
        <v/>
      </c>
    </row>
    <row r="753">
      <c r="A753" s="16" t="str">
        <f>IF('Classe 5e'!$B33="","",IF('Classe 5e'!A33="","",'Classe 5e'!A33))</f>
        <v/>
      </c>
      <c r="B753" s="16" t="str">
        <f>IF('Classe 5e'!$B33="","",IF('Classe 5e'!B33="","",'Classe 5e'!B33))</f>
        <v/>
      </c>
      <c r="C753" s="16" t="str">
        <f>IF('Classe 5e'!$B33="","",IF('Classe 5e'!C33="","",'Classe 5e'!C33))</f>
        <v/>
      </c>
      <c r="D753" s="16" t="str">
        <f>IF($B753="","",C753&amp;" "&amp;B753&amp;" - "&amp;E753)</f>
        <v/>
      </c>
      <c r="E753" s="17" t="str">
        <f>IF($B753="","",Paramètres!$A$24)</f>
        <v/>
      </c>
      <c r="F753" s="17" t="str">
        <f>IF($B753="","",Paramètres!$B$24)</f>
        <v/>
      </c>
      <c r="G753" s="17" t="str">
        <f>IF('Classe 5e'!$B33="","",IF('Classe 5e'!D33="","",'Classe 5e'!D33))</f>
        <v/>
      </c>
      <c r="H753" s="78" t="str">
        <f>IF('Classe 5e'!$B33="","",IF('Classe 5e'!E33="","",'Classe 5e'!E33))</f>
        <v/>
      </c>
      <c r="I753" s="16" t="str">
        <f>IF('Classe 5e'!$B33="","",IF('Classe 5e'!F33="","",'Classe 5e'!F33))</f>
        <v/>
      </c>
      <c r="J753" s="16" t="str">
        <f>IF('Classe 5e'!$B33="","",IF('Classe 5e'!G33="","",'Classe 5e'!G33))</f>
        <v/>
      </c>
      <c r="K753" s="18" t="str">
        <f>IF('Classe 5e'!$B33="","",N('Classe 5e'!H33))</f>
        <v/>
      </c>
      <c r="L753" s="18" t="str">
        <f>IF('Classe 5e'!$B33="","",N('Classe 5e'!I33))</f>
        <v/>
      </c>
      <c r="M753" s="18" t="str">
        <f>IF('Classe 5e'!$B33="","",N('Classe 5e'!J33))</f>
        <v/>
      </c>
      <c r="N753" s="18" t="str">
        <f>IF('Classe 5e'!$B33="","",N('Classe 5e'!K33))</f>
        <v/>
      </c>
      <c r="O753" s="18" t="str">
        <f>IF('Classe 5e'!$B33="","",N('Classe 5e'!L33))</f>
        <v/>
      </c>
      <c r="P753" s="18" t="str">
        <f>IF('Classe 5e'!$B33="","",N('Classe 5e'!M33))</f>
        <v/>
      </c>
      <c r="Q753" s="17" t="str">
        <f>IF('Classe 5e'!$B33="","",IF('Classe 5e'!Q33="","",'Classe 5e'!Q33))</f>
        <v/>
      </c>
      <c r="R753" s="18" t="str">
        <f>IF('Classe 5e'!$B33="","",N('Classe 5e'!N33))</f>
        <v/>
      </c>
      <c r="S753" s="18" t="str">
        <f>IF('Classe 5e'!$B33="","",N('Classe 5e'!O33))</f>
        <v/>
      </c>
      <c r="T753" s="18" t="str">
        <f>IF('Classe 5e'!$B33="","",N('Classe 5e'!P33))</f>
        <v/>
      </c>
    </row>
    <row r="754">
      <c r="A754" s="20" t="str">
        <f>IF('Classe 5e'!$B34="","",IF('Classe 5e'!A34="","",'Classe 5e'!A34))</f>
        <v/>
      </c>
      <c r="B754" s="20" t="str">
        <f>IF('Classe 5e'!$B34="","",IF('Classe 5e'!B34="","",'Classe 5e'!B34))</f>
        <v/>
      </c>
      <c r="C754" s="20" t="str">
        <f>IF('Classe 5e'!$B34="","",IF('Classe 5e'!C34="","",'Classe 5e'!C34))</f>
        <v/>
      </c>
      <c r="D754" s="20" t="str">
        <f>IF($B754="","",C754&amp;" "&amp;B754&amp;" - "&amp;E754)</f>
        <v/>
      </c>
      <c r="E754" s="21" t="str">
        <f>IF($B754="","",Paramètres!$A$24)</f>
        <v/>
      </c>
      <c r="F754" s="21" t="str">
        <f>IF($B754="","",Paramètres!$B$24)</f>
        <v/>
      </c>
      <c r="G754" s="21" t="str">
        <f>IF('Classe 5e'!$B34="","",IF('Classe 5e'!D34="","",'Classe 5e'!D34))</f>
        <v/>
      </c>
      <c r="H754" s="77" t="str">
        <f>IF('Classe 5e'!$B34="","",IF('Classe 5e'!E34="","",'Classe 5e'!E34))</f>
        <v/>
      </c>
      <c r="I754" s="20" t="str">
        <f>IF('Classe 5e'!$B34="","",IF('Classe 5e'!F34="","",'Classe 5e'!F34))</f>
        <v/>
      </c>
      <c r="J754" s="20" t="str">
        <f>IF('Classe 5e'!$B34="","",IF('Classe 5e'!G34="","",'Classe 5e'!G34))</f>
        <v/>
      </c>
      <c r="K754" s="51" t="str">
        <f>IF('Classe 5e'!$B34="","",N('Classe 5e'!H34))</f>
        <v/>
      </c>
      <c r="L754" s="51" t="str">
        <f>IF('Classe 5e'!$B34="","",N('Classe 5e'!I34))</f>
        <v/>
      </c>
      <c r="M754" s="51" t="str">
        <f>IF('Classe 5e'!$B34="","",N('Classe 5e'!J34))</f>
        <v/>
      </c>
      <c r="N754" s="51" t="str">
        <f>IF('Classe 5e'!$B34="","",N('Classe 5e'!K34))</f>
        <v/>
      </c>
      <c r="O754" s="51" t="str">
        <f>IF('Classe 5e'!$B34="","",N('Classe 5e'!L34))</f>
        <v/>
      </c>
      <c r="P754" s="51" t="str">
        <f>IF('Classe 5e'!$B34="","",N('Classe 5e'!M34))</f>
        <v/>
      </c>
      <c r="Q754" s="21" t="str">
        <f>IF('Classe 5e'!$B34="","",IF('Classe 5e'!Q34="","",'Classe 5e'!Q34))</f>
        <v/>
      </c>
      <c r="R754" s="51" t="str">
        <f>IF('Classe 5e'!$B34="","",N('Classe 5e'!N34))</f>
        <v/>
      </c>
      <c r="S754" s="51" t="str">
        <f>IF('Classe 5e'!$B34="","",N('Classe 5e'!O34))</f>
        <v/>
      </c>
      <c r="T754" s="51" t="str">
        <f>IF('Classe 5e'!$B34="","",N('Classe 5e'!P34))</f>
        <v/>
      </c>
    </row>
    <row r="755">
      <c r="A755" s="16" t="str">
        <f>IF('Classe 5e'!$B35="","",IF('Classe 5e'!A35="","",'Classe 5e'!A35))</f>
        <v/>
      </c>
      <c r="B755" s="16" t="str">
        <f>IF('Classe 5e'!$B35="","",IF('Classe 5e'!B35="","",'Classe 5e'!B35))</f>
        <v/>
      </c>
      <c r="C755" s="16" t="str">
        <f>IF('Classe 5e'!$B35="","",IF('Classe 5e'!C35="","",'Classe 5e'!C35))</f>
        <v/>
      </c>
      <c r="D755" s="16" t="str">
        <f>IF($B755="","",C755&amp;" "&amp;B755&amp;" - "&amp;E755)</f>
        <v/>
      </c>
      <c r="E755" s="17" t="str">
        <f>IF($B755="","",Paramètres!$A$24)</f>
        <v/>
      </c>
      <c r="F755" s="17" t="str">
        <f>IF($B755="","",Paramètres!$B$24)</f>
        <v/>
      </c>
      <c r="G755" s="17" t="str">
        <f>IF('Classe 5e'!$B35="","",IF('Classe 5e'!D35="","",'Classe 5e'!D35))</f>
        <v/>
      </c>
      <c r="H755" s="78" t="str">
        <f>IF('Classe 5e'!$B35="","",IF('Classe 5e'!E35="","",'Classe 5e'!E35))</f>
        <v/>
      </c>
      <c r="I755" s="16" t="str">
        <f>IF('Classe 5e'!$B35="","",IF('Classe 5e'!F35="","",'Classe 5e'!F35))</f>
        <v/>
      </c>
      <c r="J755" s="16" t="str">
        <f>IF('Classe 5e'!$B35="","",IF('Classe 5e'!G35="","",'Classe 5e'!G35))</f>
        <v/>
      </c>
      <c r="K755" s="18" t="str">
        <f>IF('Classe 5e'!$B35="","",N('Classe 5e'!H35))</f>
        <v/>
      </c>
      <c r="L755" s="18" t="str">
        <f>IF('Classe 5e'!$B35="","",N('Classe 5e'!I35))</f>
        <v/>
      </c>
      <c r="M755" s="18" t="str">
        <f>IF('Classe 5e'!$B35="","",N('Classe 5e'!J35))</f>
        <v/>
      </c>
      <c r="N755" s="18" t="str">
        <f>IF('Classe 5e'!$B35="","",N('Classe 5e'!K35))</f>
        <v/>
      </c>
      <c r="O755" s="18" t="str">
        <f>IF('Classe 5e'!$B35="","",N('Classe 5e'!L35))</f>
        <v/>
      </c>
      <c r="P755" s="18" t="str">
        <f>IF('Classe 5e'!$B35="","",N('Classe 5e'!M35))</f>
        <v/>
      </c>
      <c r="Q755" s="17" t="str">
        <f>IF('Classe 5e'!$B35="","",IF('Classe 5e'!Q35="","",'Classe 5e'!Q35))</f>
        <v/>
      </c>
      <c r="R755" s="18" t="str">
        <f>IF('Classe 5e'!$B35="","",N('Classe 5e'!N35))</f>
        <v/>
      </c>
      <c r="S755" s="18" t="str">
        <f>IF('Classe 5e'!$B35="","",N('Classe 5e'!O35))</f>
        <v/>
      </c>
      <c r="T755" s="18" t="str">
        <f>IF('Classe 5e'!$B35="","",N('Classe 5e'!P35))</f>
        <v/>
      </c>
    </row>
    <row r="756">
      <c r="A756" s="20" t="str">
        <f>IF('Classe 5e'!$B36="","",IF('Classe 5e'!A36="","",'Classe 5e'!A36))</f>
        <v/>
      </c>
      <c r="B756" s="20" t="str">
        <f>IF('Classe 5e'!$B36="","",IF('Classe 5e'!B36="","",'Classe 5e'!B36))</f>
        <v/>
      </c>
      <c r="C756" s="20" t="str">
        <f>IF('Classe 5e'!$B36="","",IF('Classe 5e'!C36="","",'Classe 5e'!C36))</f>
        <v/>
      </c>
      <c r="D756" s="20" t="str">
        <f>IF($B756="","",C756&amp;" "&amp;B756&amp;" - "&amp;E756)</f>
        <v/>
      </c>
      <c r="E756" s="21" t="str">
        <f>IF($B756="","",Paramètres!$A$24)</f>
        <v/>
      </c>
      <c r="F756" s="21" t="str">
        <f>IF($B756="","",Paramètres!$B$24)</f>
        <v/>
      </c>
      <c r="G756" s="21" t="str">
        <f>IF('Classe 5e'!$B36="","",IF('Classe 5e'!D36="","",'Classe 5e'!D36))</f>
        <v/>
      </c>
      <c r="H756" s="77" t="str">
        <f>IF('Classe 5e'!$B36="","",IF('Classe 5e'!E36="","",'Classe 5e'!E36))</f>
        <v/>
      </c>
      <c r="I756" s="20" t="str">
        <f>IF('Classe 5e'!$B36="","",IF('Classe 5e'!F36="","",'Classe 5e'!F36))</f>
        <v/>
      </c>
      <c r="J756" s="20" t="str">
        <f>IF('Classe 5e'!$B36="","",IF('Classe 5e'!G36="","",'Classe 5e'!G36))</f>
        <v/>
      </c>
      <c r="K756" s="51" t="str">
        <f>IF('Classe 5e'!$B36="","",N('Classe 5e'!H36))</f>
        <v/>
      </c>
      <c r="L756" s="51" t="str">
        <f>IF('Classe 5e'!$B36="","",N('Classe 5e'!I36))</f>
        <v/>
      </c>
      <c r="M756" s="51" t="str">
        <f>IF('Classe 5e'!$B36="","",N('Classe 5e'!J36))</f>
        <v/>
      </c>
      <c r="N756" s="51" t="str">
        <f>IF('Classe 5e'!$B36="","",N('Classe 5e'!K36))</f>
        <v/>
      </c>
      <c r="O756" s="51" t="str">
        <f>IF('Classe 5e'!$B36="","",N('Classe 5e'!L36))</f>
        <v/>
      </c>
      <c r="P756" s="51" t="str">
        <f>IF('Classe 5e'!$B36="","",N('Classe 5e'!M36))</f>
        <v/>
      </c>
      <c r="Q756" s="21" t="str">
        <f>IF('Classe 5e'!$B36="","",IF('Classe 5e'!Q36="","",'Classe 5e'!Q36))</f>
        <v/>
      </c>
      <c r="R756" s="51" t="str">
        <f>IF('Classe 5e'!$B36="","",N('Classe 5e'!N36))</f>
        <v/>
      </c>
      <c r="S756" s="51" t="str">
        <f>IF('Classe 5e'!$B36="","",N('Classe 5e'!O36))</f>
        <v/>
      </c>
      <c r="T756" s="51" t="str">
        <f>IF('Classe 5e'!$B36="","",N('Classe 5e'!P36))</f>
        <v/>
      </c>
    </row>
    <row r="757">
      <c r="A757" s="16" t="str">
        <f>IF('Classe 5e'!$B37="","",IF('Classe 5e'!A37="","",'Classe 5e'!A37))</f>
        <v/>
      </c>
      <c r="B757" s="16" t="str">
        <f>IF('Classe 5e'!$B37="","",IF('Classe 5e'!B37="","",'Classe 5e'!B37))</f>
        <v/>
      </c>
      <c r="C757" s="16" t="str">
        <f>IF('Classe 5e'!$B37="","",IF('Classe 5e'!C37="","",'Classe 5e'!C37))</f>
        <v/>
      </c>
      <c r="D757" s="16" t="str">
        <f>IF($B757="","",C757&amp;" "&amp;B757&amp;" - "&amp;E757)</f>
        <v/>
      </c>
      <c r="E757" s="17" t="str">
        <f>IF($B757="","",Paramètres!$A$24)</f>
        <v/>
      </c>
      <c r="F757" s="17" t="str">
        <f>IF($B757="","",Paramètres!$B$24)</f>
        <v/>
      </c>
      <c r="G757" s="17" t="str">
        <f>IF('Classe 5e'!$B37="","",IF('Classe 5e'!D37="","",'Classe 5e'!D37))</f>
        <v/>
      </c>
      <c r="H757" s="78" t="str">
        <f>IF('Classe 5e'!$B37="","",IF('Classe 5e'!E37="","",'Classe 5e'!E37))</f>
        <v/>
      </c>
      <c r="I757" s="16" t="str">
        <f>IF('Classe 5e'!$B37="","",IF('Classe 5e'!F37="","",'Classe 5e'!F37))</f>
        <v/>
      </c>
      <c r="J757" s="16" t="str">
        <f>IF('Classe 5e'!$B37="","",IF('Classe 5e'!G37="","",'Classe 5e'!G37))</f>
        <v/>
      </c>
      <c r="K757" s="18" t="str">
        <f>IF('Classe 5e'!$B37="","",N('Classe 5e'!H37))</f>
        <v/>
      </c>
      <c r="L757" s="18" t="str">
        <f>IF('Classe 5e'!$B37="","",N('Classe 5e'!I37))</f>
        <v/>
      </c>
      <c r="M757" s="18" t="str">
        <f>IF('Classe 5e'!$B37="","",N('Classe 5e'!J37))</f>
        <v/>
      </c>
      <c r="N757" s="18" t="str">
        <f>IF('Classe 5e'!$B37="","",N('Classe 5e'!K37))</f>
        <v/>
      </c>
      <c r="O757" s="18" t="str">
        <f>IF('Classe 5e'!$B37="","",N('Classe 5e'!L37))</f>
        <v/>
      </c>
      <c r="P757" s="18" t="str">
        <f>IF('Classe 5e'!$B37="","",N('Classe 5e'!M37))</f>
        <v/>
      </c>
      <c r="Q757" s="17" t="str">
        <f>IF('Classe 5e'!$B37="","",IF('Classe 5e'!Q37="","",'Classe 5e'!Q37))</f>
        <v/>
      </c>
      <c r="R757" s="18" t="str">
        <f>IF('Classe 5e'!$B37="","",N('Classe 5e'!N37))</f>
        <v/>
      </c>
      <c r="S757" s="18" t="str">
        <f>IF('Classe 5e'!$B37="","",N('Classe 5e'!O37))</f>
        <v/>
      </c>
      <c r="T757" s="18" t="str">
        <f>IF('Classe 5e'!$B37="","",N('Classe 5e'!P37))</f>
        <v/>
      </c>
    </row>
    <row r="758">
      <c r="A758" s="20" t="str">
        <f>IF('Classe 5e'!$B38="","",IF('Classe 5e'!A38="","",'Classe 5e'!A38))</f>
        <v/>
      </c>
      <c r="B758" s="20" t="str">
        <f>IF('Classe 5e'!$B38="","",IF('Classe 5e'!B38="","",'Classe 5e'!B38))</f>
        <v/>
      </c>
      <c r="C758" s="20" t="str">
        <f>IF('Classe 5e'!$B38="","",IF('Classe 5e'!C38="","",'Classe 5e'!C38))</f>
        <v/>
      </c>
      <c r="D758" s="20" t="str">
        <f>IF($B758="","",C758&amp;" "&amp;B758&amp;" - "&amp;E758)</f>
        <v/>
      </c>
      <c r="E758" s="21" t="str">
        <f>IF($B758="","",Paramètres!$A$24)</f>
        <v/>
      </c>
      <c r="F758" s="21" t="str">
        <f>IF($B758="","",Paramètres!$B$24)</f>
        <v/>
      </c>
      <c r="G758" s="21" t="str">
        <f>IF('Classe 5e'!$B38="","",IF('Classe 5e'!D38="","",'Classe 5e'!D38))</f>
        <v/>
      </c>
      <c r="H758" s="77" t="str">
        <f>IF('Classe 5e'!$B38="","",IF('Classe 5e'!E38="","",'Classe 5e'!E38))</f>
        <v/>
      </c>
      <c r="I758" s="20" t="str">
        <f>IF('Classe 5e'!$B38="","",IF('Classe 5e'!F38="","",'Classe 5e'!F38))</f>
        <v/>
      </c>
      <c r="J758" s="20" t="str">
        <f>IF('Classe 5e'!$B38="","",IF('Classe 5e'!G38="","",'Classe 5e'!G38))</f>
        <v/>
      </c>
      <c r="K758" s="51" t="str">
        <f>IF('Classe 5e'!$B38="","",N('Classe 5e'!H38))</f>
        <v/>
      </c>
      <c r="L758" s="51" t="str">
        <f>IF('Classe 5e'!$B38="","",N('Classe 5e'!I38))</f>
        <v/>
      </c>
      <c r="M758" s="51" t="str">
        <f>IF('Classe 5e'!$B38="","",N('Classe 5e'!J38))</f>
        <v/>
      </c>
      <c r="N758" s="51" t="str">
        <f>IF('Classe 5e'!$B38="","",N('Classe 5e'!K38))</f>
        <v/>
      </c>
      <c r="O758" s="51" t="str">
        <f>IF('Classe 5e'!$B38="","",N('Classe 5e'!L38))</f>
        <v/>
      </c>
      <c r="P758" s="51" t="str">
        <f>IF('Classe 5e'!$B38="","",N('Classe 5e'!M38))</f>
        <v/>
      </c>
      <c r="Q758" s="21" t="str">
        <f>IF('Classe 5e'!$B38="","",IF('Classe 5e'!Q38="","",'Classe 5e'!Q38))</f>
        <v/>
      </c>
      <c r="R758" s="51" t="str">
        <f>IF('Classe 5e'!$B38="","",N('Classe 5e'!N38))</f>
        <v/>
      </c>
      <c r="S758" s="51" t="str">
        <f>IF('Classe 5e'!$B38="","",N('Classe 5e'!O38))</f>
        <v/>
      </c>
      <c r="T758" s="51" t="str">
        <f>IF('Classe 5e'!$B38="","",N('Classe 5e'!P38))</f>
        <v/>
      </c>
    </row>
    <row r="759">
      <c r="A759" s="16" t="str">
        <f>IF('Classe 5e'!$B39="","",IF('Classe 5e'!A39="","",'Classe 5e'!A39))</f>
        <v/>
      </c>
      <c r="B759" s="16" t="str">
        <f>IF('Classe 5e'!$B39="","",IF('Classe 5e'!B39="","",'Classe 5e'!B39))</f>
        <v/>
      </c>
      <c r="C759" s="16" t="str">
        <f>IF('Classe 5e'!$B39="","",IF('Classe 5e'!C39="","",'Classe 5e'!C39))</f>
        <v/>
      </c>
      <c r="D759" s="16" t="str">
        <f>IF($B759="","",C759&amp;" "&amp;B759&amp;" - "&amp;E759)</f>
        <v/>
      </c>
      <c r="E759" s="17" t="str">
        <f>IF($B759="","",Paramètres!$A$24)</f>
        <v/>
      </c>
      <c r="F759" s="17" t="str">
        <f>IF($B759="","",Paramètres!$B$24)</f>
        <v/>
      </c>
      <c r="G759" s="17" t="str">
        <f>IF('Classe 5e'!$B39="","",IF('Classe 5e'!D39="","",'Classe 5e'!D39))</f>
        <v/>
      </c>
      <c r="H759" s="78" t="str">
        <f>IF('Classe 5e'!$B39="","",IF('Classe 5e'!E39="","",'Classe 5e'!E39))</f>
        <v/>
      </c>
      <c r="I759" s="16" t="str">
        <f>IF('Classe 5e'!$B39="","",IF('Classe 5e'!F39="","",'Classe 5e'!F39))</f>
        <v/>
      </c>
      <c r="J759" s="16" t="str">
        <f>IF('Classe 5e'!$B39="","",IF('Classe 5e'!G39="","",'Classe 5e'!G39))</f>
        <v/>
      </c>
      <c r="K759" s="18" t="str">
        <f>IF('Classe 5e'!$B39="","",N('Classe 5e'!H39))</f>
        <v/>
      </c>
      <c r="L759" s="18" t="str">
        <f>IF('Classe 5e'!$B39="","",N('Classe 5e'!I39))</f>
        <v/>
      </c>
      <c r="M759" s="18" t="str">
        <f>IF('Classe 5e'!$B39="","",N('Classe 5e'!J39))</f>
        <v/>
      </c>
      <c r="N759" s="18" t="str">
        <f>IF('Classe 5e'!$B39="","",N('Classe 5e'!K39))</f>
        <v/>
      </c>
      <c r="O759" s="18" t="str">
        <f>IF('Classe 5e'!$B39="","",N('Classe 5e'!L39))</f>
        <v/>
      </c>
      <c r="P759" s="18" t="str">
        <f>IF('Classe 5e'!$B39="","",N('Classe 5e'!M39))</f>
        <v/>
      </c>
      <c r="Q759" s="17" t="str">
        <f>IF('Classe 5e'!$B39="","",IF('Classe 5e'!Q39="","",'Classe 5e'!Q39))</f>
        <v/>
      </c>
      <c r="R759" s="18" t="str">
        <f>IF('Classe 5e'!$B39="","",N('Classe 5e'!N39))</f>
        <v/>
      </c>
      <c r="S759" s="18" t="str">
        <f>IF('Classe 5e'!$B39="","",N('Classe 5e'!O39))</f>
        <v/>
      </c>
      <c r="T759" s="18" t="str">
        <f>IF('Classe 5e'!$B39="","",N('Classe 5e'!P39))</f>
        <v/>
      </c>
    </row>
    <row r="760">
      <c r="A760" s="20" t="str">
        <f>IF('Classe 5e'!$B40="","",IF('Classe 5e'!A40="","",'Classe 5e'!A40))</f>
        <v/>
      </c>
      <c r="B760" s="20" t="str">
        <f>IF('Classe 5e'!$B40="","",IF('Classe 5e'!B40="","",'Classe 5e'!B40))</f>
        <v/>
      </c>
      <c r="C760" s="20" t="str">
        <f>IF('Classe 5e'!$B40="","",IF('Classe 5e'!C40="","",'Classe 5e'!C40))</f>
        <v/>
      </c>
      <c r="D760" s="20" t="str">
        <f>IF($B760="","",C760&amp;" "&amp;B760&amp;" - "&amp;E760)</f>
        <v/>
      </c>
      <c r="E760" s="21" t="str">
        <f>IF($B760="","",Paramètres!$A$24)</f>
        <v/>
      </c>
      <c r="F760" s="21" t="str">
        <f>IF($B760="","",Paramètres!$B$24)</f>
        <v/>
      </c>
      <c r="G760" s="21" t="str">
        <f>IF('Classe 5e'!$B40="","",IF('Classe 5e'!D40="","",'Classe 5e'!D40))</f>
        <v/>
      </c>
      <c r="H760" s="77" t="str">
        <f>IF('Classe 5e'!$B40="","",IF('Classe 5e'!E40="","",'Classe 5e'!E40))</f>
        <v/>
      </c>
      <c r="I760" s="20" t="str">
        <f>IF('Classe 5e'!$B40="","",IF('Classe 5e'!F40="","",'Classe 5e'!F40))</f>
        <v/>
      </c>
      <c r="J760" s="20" t="str">
        <f>IF('Classe 5e'!$B40="","",IF('Classe 5e'!G40="","",'Classe 5e'!G40))</f>
        <v/>
      </c>
      <c r="K760" s="51" t="str">
        <f>IF('Classe 5e'!$B40="","",N('Classe 5e'!H40))</f>
        <v/>
      </c>
      <c r="L760" s="51" t="str">
        <f>IF('Classe 5e'!$B40="","",N('Classe 5e'!I40))</f>
        <v/>
      </c>
      <c r="M760" s="51" t="str">
        <f>IF('Classe 5e'!$B40="","",N('Classe 5e'!J40))</f>
        <v/>
      </c>
      <c r="N760" s="51" t="str">
        <f>IF('Classe 5e'!$B40="","",N('Classe 5e'!K40))</f>
        <v/>
      </c>
      <c r="O760" s="51" t="str">
        <f>IF('Classe 5e'!$B40="","",N('Classe 5e'!L40))</f>
        <v/>
      </c>
      <c r="P760" s="51" t="str">
        <f>IF('Classe 5e'!$B40="","",N('Classe 5e'!M40))</f>
        <v/>
      </c>
      <c r="Q760" s="21" t="str">
        <f>IF('Classe 5e'!$B40="","",IF('Classe 5e'!Q40="","",'Classe 5e'!Q40))</f>
        <v/>
      </c>
      <c r="R760" s="51" t="str">
        <f>IF('Classe 5e'!$B40="","",N('Classe 5e'!N40))</f>
        <v/>
      </c>
      <c r="S760" s="51" t="str">
        <f>IF('Classe 5e'!$B40="","",N('Classe 5e'!O40))</f>
        <v/>
      </c>
      <c r="T760" s="51" t="str">
        <f>IF('Classe 5e'!$B40="","",N('Classe 5e'!P40))</f>
        <v/>
      </c>
    </row>
    <row r="761">
      <c r="A761" s="16" t="str">
        <f>IF('Classe 5e'!$B41="","",IF('Classe 5e'!A41="","",'Classe 5e'!A41))</f>
        <v/>
      </c>
      <c r="B761" s="16" t="str">
        <f>IF('Classe 5e'!$B41="","",IF('Classe 5e'!B41="","",'Classe 5e'!B41))</f>
        <v/>
      </c>
      <c r="C761" s="16" t="str">
        <f>IF('Classe 5e'!$B41="","",IF('Classe 5e'!C41="","",'Classe 5e'!C41))</f>
        <v/>
      </c>
      <c r="D761" s="16" t="str">
        <f>IF($B761="","",C761&amp;" "&amp;B761&amp;" - "&amp;E761)</f>
        <v/>
      </c>
      <c r="E761" s="17" t="str">
        <f>IF($B761="","",Paramètres!$A$24)</f>
        <v/>
      </c>
      <c r="F761" s="17" t="str">
        <f>IF($B761="","",Paramètres!$B$24)</f>
        <v/>
      </c>
      <c r="G761" s="17" t="str">
        <f>IF('Classe 5e'!$B41="","",IF('Classe 5e'!D41="","",'Classe 5e'!D41))</f>
        <v/>
      </c>
      <c r="H761" s="78" t="str">
        <f>IF('Classe 5e'!$B41="","",IF('Classe 5e'!E41="","",'Classe 5e'!E41))</f>
        <v/>
      </c>
      <c r="I761" s="16" t="str">
        <f>IF('Classe 5e'!$B41="","",IF('Classe 5e'!F41="","",'Classe 5e'!F41))</f>
        <v/>
      </c>
      <c r="J761" s="16" t="str">
        <f>IF('Classe 5e'!$B41="","",IF('Classe 5e'!G41="","",'Classe 5e'!G41))</f>
        <v/>
      </c>
      <c r="K761" s="18" t="str">
        <f>IF('Classe 5e'!$B41="","",N('Classe 5e'!H41))</f>
        <v/>
      </c>
      <c r="L761" s="18" t="str">
        <f>IF('Classe 5e'!$B41="","",N('Classe 5e'!I41))</f>
        <v/>
      </c>
      <c r="M761" s="18" t="str">
        <f>IF('Classe 5e'!$B41="","",N('Classe 5e'!J41))</f>
        <v/>
      </c>
      <c r="N761" s="18" t="str">
        <f>IF('Classe 5e'!$B41="","",N('Classe 5e'!K41))</f>
        <v/>
      </c>
      <c r="O761" s="18" t="str">
        <f>IF('Classe 5e'!$B41="","",N('Classe 5e'!L41))</f>
        <v/>
      </c>
      <c r="P761" s="18" t="str">
        <f>IF('Classe 5e'!$B41="","",N('Classe 5e'!M41))</f>
        <v/>
      </c>
      <c r="Q761" s="17" t="str">
        <f>IF('Classe 5e'!$B41="","",IF('Classe 5e'!Q41="","",'Classe 5e'!Q41))</f>
        <v/>
      </c>
      <c r="R761" s="18" t="str">
        <f>IF('Classe 5e'!$B41="","",N('Classe 5e'!N41))</f>
        <v/>
      </c>
      <c r="S761" s="18" t="str">
        <f>IF('Classe 5e'!$B41="","",N('Classe 5e'!O41))</f>
        <v/>
      </c>
      <c r="T761" s="18" t="str">
        <f>IF('Classe 5e'!$B41="","",N('Classe 5e'!P41))</f>
        <v/>
      </c>
    </row>
    <row r="762">
      <c r="A762" s="20" t="str">
        <f>IF('Classe 5e'!$B42="","",IF('Classe 5e'!A42="","",'Classe 5e'!A42))</f>
        <v/>
      </c>
      <c r="B762" s="20" t="str">
        <f>IF('Classe 5e'!$B42="","",IF('Classe 5e'!B42="","",'Classe 5e'!B42))</f>
        <v/>
      </c>
      <c r="C762" s="20" t="str">
        <f>IF('Classe 5e'!$B42="","",IF('Classe 5e'!C42="","",'Classe 5e'!C42))</f>
        <v/>
      </c>
      <c r="D762" s="20" t="str">
        <f>IF($B762="","",C762&amp;" "&amp;B762&amp;" - "&amp;E762)</f>
        <v/>
      </c>
      <c r="E762" s="21" t="str">
        <f>IF($B762="","",Paramètres!$A$24)</f>
        <v/>
      </c>
      <c r="F762" s="21" t="str">
        <f>IF($B762="","",Paramètres!$B$24)</f>
        <v/>
      </c>
      <c r="G762" s="21" t="str">
        <f>IF('Classe 5e'!$B42="","",IF('Classe 5e'!D42="","",'Classe 5e'!D42))</f>
        <v/>
      </c>
      <c r="H762" s="77" t="str">
        <f>IF('Classe 5e'!$B42="","",IF('Classe 5e'!E42="","",'Classe 5e'!E42))</f>
        <v/>
      </c>
      <c r="I762" s="20" t="str">
        <f>IF('Classe 5e'!$B42="","",IF('Classe 5e'!F42="","",'Classe 5e'!F42))</f>
        <v/>
      </c>
      <c r="J762" s="20" t="str">
        <f>IF('Classe 5e'!$B42="","",IF('Classe 5e'!G42="","",'Classe 5e'!G42))</f>
        <v/>
      </c>
      <c r="K762" s="51" t="str">
        <f>IF('Classe 5e'!$B42="","",N('Classe 5e'!H42))</f>
        <v/>
      </c>
      <c r="L762" s="51" t="str">
        <f>IF('Classe 5e'!$B42="","",N('Classe 5e'!I42))</f>
        <v/>
      </c>
      <c r="M762" s="51" t="str">
        <f>IF('Classe 5e'!$B42="","",N('Classe 5e'!J42))</f>
        <v/>
      </c>
      <c r="N762" s="51" t="str">
        <f>IF('Classe 5e'!$B42="","",N('Classe 5e'!K42))</f>
        <v/>
      </c>
      <c r="O762" s="51" t="str">
        <f>IF('Classe 5e'!$B42="","",N('Classe 5e'!L42))</f>
        <v/>
      </c>
      <c r="P762" s="51" t="str">
        <f>IF('Classe 5e'!$B42="","",N('Classe 5e'!M42))</f>
        <v/>
      </c>
      <c r="Q762" s="21" t="str">
        <f>IF('Classe 5e'!$B42="","",IF('Classe 5e'!Q42="","",'Classe 5e'!Q42))</f>
        <v/>
      </c>
      <c r="R762" s="51" t="str">
        <f>IF('Classe 5e'!$B42="","",N('Classe 5e'!N42))</f>
        <v/>
      </c>
      <c r="S762" s="51" t="str">
        <f>IF('Classe 5e'!$B42="","",N('Classe 5e'!O42))</f>
        <v/>
      </c>
      <c r="T762" s="51" t="str">
        <f>IF('Classe 5e'!$B42="","",N('Classe 5e'!P42))</f>
        <v/>
      </c>
    </row>
    <row r="763">
      <c r="A763" s="16" t="str">
        <f>IF('Classe 5e'!$B43="","",IF('Classe 5e'!A43="","",'Classe 5e'!A43))</f>
        <v/>
      </c>
      <c r="B763" s="16" t="str">
        <f>IF('Classe 5e'!$B43="","",IF('Classe 5e'!B43="","",'Classe 5e'!B43))</f>
        <v/>
      </c>
      <c r="C763" s="16" t="str">
        <f>IF('Classe 5e'!$B43="","",IF('Classe 5e'!C43="","",'Classe 5e'!C43))</f>
        <v/>
      </c>
      <c r="D763" s="16" t="str">
        <f>IF($B763="","",C763&amp;" "&amp;B763&amp;" - "&amp;E763)</f>
        <v/>
      </c>
      <c r="E763" s="17" t="str">
        <f>IF($B763="","",Paramètres!$A$24)</f>
        <v/>
      </c>
      <c r="F763" s="17" t="str">
        <f>IF($B763="","",Paramètres!$B$24)</f>
        <v/>
      </c>
      <c r="G763" s="17" t="str">
        <f>IF('Classe 5e'!$B43="","",IF('Classe 5e'!D43="","",'Classe 5e'!D43))</f>
        <v/>
      </c>
      <c r="H763" s="78" t="str">
        <f>IF('Classe 5e'!$B43="","",IF('Classe 5e'!E43="","",'Classe 5e'!E43))</f>
        <v/>
      </c>
      <c r="I763" s="16" t="str">
        <f>IF('Classe 5e'!$B43="","",IF('Classe 5e'!F43="","",'Classe 5e'!F43))</f>
        <v/>
      </c>
      <c r="J763" s="16" t="str">
        <f>IF('Classe 5e'!$B43="","",IF('Classe 5e'!G43="","",'Classe 5e'!G43))</f>
        <v/>
      </c>
      <c r="K763" s="18" t="str">
        <f>IF('Classe 5e'!$B43="","",N('Classe 5e'!H43))</f>
        <v/>
      </c>
      <c r="L763" s="18" t="str">
        <f>IF('Classe 5e'!$B43="","",N('Classe 5e'!I43))</f>
        <v/>
      </c>
      <c r="M763" s="18" t="str">
        <f>IF('Classe 5e'!$B43="","",N('Classe 5e'!J43))</f>
        <v/>
      </c>
      <c r="N763" s="18" t="str">
        <f>IF('Classe 5e'!$B43="","",N('Classe 5e'!K43))</f>
        <v/>
      </c>
      <c r="O763" s="18" t="str">
        <f>IF('Classe 5e'!$B43="","",N('Classe 5e'!L43))</f>
        <v/>
      </c>
      <c r="P763" s="18" t="str">
        <f>IF('Classe 5e'!$B43="","",N('Classe 5e'!M43))</f>
        <v/>
      </c>
      <c r="Q763" s="17" t="str">
        <f>IF('Classe 5e'!$B43="","",IF('Classe 5e'!Q43="","",'Classe 5e'!Q43))</f>
        <v/>
      </c>
      <c r="R763" s="18" t="str">
        <f>IF('Classe 5e'!$B43="","",N('Classe 5e'!N43))</f>
        <v/>
      </c>
      <c r="S763" s="18" t="str">
        <f>IF('Classe 5e'!$B43="","",N('Classe 5e'!O43))</f>
        <v/>
      </c>
      <c r="T763" s="18" t="str">
        <f>IF('Classe 5e'!$B43="","",N('Classe 5e'!P43))</f>
        <v/>
      </c>
    </row>
    <row r="764">
      <c r="A764" s="20" t="str">
        <f>IF('Classe 5e'!$B44="","",IF('Classe 5e'!A44="","",'Classe 5e'!A44))</f>
        <v/>
      </c>
      <c r="B764" s="20" t="str">
        <f>IF('Classe 5e'!$B44="","",IF('Classe 5e'!B44="","",'Classe 5e'!B44))</f>
        <v/>
      </c>
      <c r="C764" s="20" t="str">
        <f>IF('Classe 5e'!$B44="","",IF('Classe 5e'!C44="","",'Classe 5e'!C44))</f>
        <v/>
      </c>
      <c r="D764" s="20" t="str">
        <f>IF($B764="","",C764&amp;" "&amp;B764&amp;" - "&amp;E764)</f>
        <v/>
      </c>
      <c r="E764" s="21" t="str">
        <f>IF($B764="","",Paramètres!$A$24)</f>
        <v/>
      </c>
      <c r="F764" s="21" t="str">
        <f>IF($B764="","",Paramètres!$B$24)</f>
        <v/>
      </c>
      <c r="G764" s="21" t="str">
        <f>IF('Classe 5e'!$B44="","",IF('Classe 5e'!D44="","",'Classe 5e'!D44))</f>
        <v/>
      </c>
      <c r="H764" s="77" t="str">
        <f>IF('Classe 5e'!$B44="","",IF('Classe 5e'!E44="","",'Classe 5e'!E44))</f>
        <v/>
      </c>
      <c r="I764" s="20" t="str">
        <f>IF('Classe 5e'!$B44="","",IF('Classe 5e'!F44="","",'Classe 5e'!F44))</f>
        <v/>
      </c>
      <c r="J764" s="20" t="str">
        <f>IF('Classe 5e'!$B44="","",IF('Classe 5e'!G44="","",'Classe 5e'!G44))</f>
        <v/>
      </c>
      <c r="K764" s="51" t="str">
        <f>IF('Classe 5e'!$B44="","",N('Classe 5e'!H44))</f>
        <v/>
      </c>
      <c r="L764" s="51" t="str">
        <f>IF('Classe 5e'!$B44="","",N('Classe 5e'!I44))</f>
        <v/>
      </c>
      <c r="M764" s="51" t="str">
        <f>IF('Classe 5e'!$B44="","",N('Classe 5e'!J44))</f>
        <v/>
      </c>
      <c r="N764" s="51" t="str">
        <f>IF('Classe 5e'!$B44="","",N('Classe 5e'!K44))</f>
        <v/>
      </c>
      <c r="O764" s="51" t="str">
        <f>IF('Classe 5e'!$B44="","",N('Classe 5e'!L44))</f>
        <v/>
      </c>
      <c r="P764" s="51" t="str">
        <f>IF('Classe 5e'!$B44="","",N('Classe 5e'!M44))</f>
        <v/>
      </c>
      <c r="Q764" s="21" t="str">
        <f>IF('Classe 5e'!$B44="","",IF('Classe 5e'!Q44="","",'Classe 5e'!Q44))</f>
        <v/>
      </c>
      <c r="R764" s="51" t="str">
        <f>IF('Classe 5e'!$B44="","",N('Classe 5e'!N44))</f>
        <v/>
      </c>
      <c r="S764" s="51" t="str">
        <f>IF('Classe 5e'!$B44="","",N('Classe 5e'!O44))</f>
        <v/>
      </c>
      <c r="T764" s="51" t="str">
        <f>IF('Classe 5e'!$B44="","",N('Classe 5e'!P44))</f>
        <v/>
      </c>
    </row>
    <row r="765">
      <c r="A765" s="16" t="str">
        <f>IF('Classe 5e'!$B45="","",IF('Classe 5e'!A45="","",'Classe 5e'!A45))</f>
        <v/>
      </c>
      <c r="B765" s="16" t="str">
        <f>IF('Classe 5e'!$B45="","",IF('Classe 5e'!B45="","",'Classe 5e'!B45))</f>
        <v/>
      </c>
      <c r="C765" s="16" t="str">
        <f>IF('Classe 5e'!$B45="","",IF('Classe 5e'!C45="","",'Classe 5e'!C45))</f>
        <v/>
      </c>
      <c r="D765" s="16" t="str">
        <f>IF($B765="","",C765&amp;" "&amp;B765&amp;" - "&amp;E765)</f>
        <v/>
      </c>
      <c r="E765" s="17" t="str">
        <f>IF($B765="","",Paramètres!$A$24)</f>
        <v/>
      </c>
      <c r="F765" s="17" t="str">
        <f>IF($B765="","",Paramètres!$B$24)</f>
        <v/>
      </c>
      <c r="G765" s="17" t="str">
        <f>IF('Classe 5e'!$B45="","",IF('Classe 5e'!D45="","",'Classe 5e'!D45))</f>
        <v/>
      </c>
      <c r="H765" s="78" t="str">
        <f>IF('Classe 5e'!$B45="","",IF('Classe 5e'!E45="","",'Classe 5e'!E45))</f>
        <v/>
      </c>
      <c r="I765" s="16" t="str">
        <f>IF('Classe 5e'!$B45="","",IF('Classe 5e'!F45="","",'Classe 5e'!F45))</f>
        <v/>
      </c>
      <c r="J765" s="16" t="str">
        <f>IF('Classe 5e'!$B45="","",IF('Classe 5e'!G45="","",'Classe 5e'!G45))</f>
        <v/>
      </c>
      <c r="K765" s="18" t="str">
        <f>IF('Classe 5e'!$B45="","",N('Classe 5e'!H45))</f>
        <v/>
      </c>
      <c r="L765" s="18" t="str">
        <f>IF('Classe 5e'!$B45="","",N('Classe 5e'!I45))</f>
        <v/>
      </c>
      <c r="M765" s="18" t="str">
        <f>IF('Classe 5e'!$B45="","",N('Classe 5e'!J45))</f>
        <v/>
      </c>
      <c r="N765" s="18" t="str">
        <f>IF('Classe 5e'!$B45="","",N('Classe 5e'!K45))</f>
        <v/>
      </c>
      <c r="O765" s="18" t="str">
        <f>IF('Classe 5e'!$B45="","",N('Classe 5e'!L45))</f>
        <v/>
      </c>
      <c r="P765" s="18" t="str">
        <f>IF('Classe 5e'!$B45="","",N('Classe 5e'!M45))</f>
        <v/>
      </c>
      <c r="Q765" s="17" t="str">
        <f>IF('Classe 5e'!$B45="","",IF('Classe 5e'!Q45="","",'Classe 5e'!Q45))</f>
        <v/>
      </c>
      <c r="R765" s="18" t="str">
        <f>IF('Classe 5e'!$B45="","",N('Classe 5e'!N45))</f>
        <v/>
      </c>
      <c r="S765" s="18" t="str">
        <f>IF('Classe 5e'!$B45="","",N('Classe 5e'!O45))</f>
        <v/>
      </c>
      <c r="T765" s="18" t="str">
        <f>IF('Classe 5e'!$B45="","",N('Classe 5e'!P45))</f>
        <v/>
      </c>
    </row>
    <row r="766">
      <c r="A766" s="20" t="str">
        <f>IF('Classe 5e'!$B46="","",IF('Classe 5e'!A46="","",'Classe 5e'!A46))</f>
        <v/>
      </c>
      <c r="B766" s="20" t="str">
        <f>IF('Classe 5e'!$B46="","",IF('Classe 5e'!B46="","",'Classe 5e'!B46))</f>
        <v/>
      </c>
      <c r="C766" s="20" t="str">
        <f>IF('Classe 5e'!$B46="","",IF('Classe 5e'!C46="","",'Classe 5e'!C46))</f>
        <v/>
      </c>
      <c r="D766" s="20" t="str">
        <f>IF($B766="","",C766&amp;" "&amp;B766&amp;" - "&amp;E766)</f>
        <v/>
      </c>
      <c r="E766" s="21" t="str">
        <f>IF($B766="","",Paramètres!$A$24)</f>
        <v/>
      </c>
      <c r="F766" s="21" t="str">
        <f>IF($B766="","",Paramètres!$B$24)</f>
        <v/>
      </c>
      <c r="G766" s="21" t="str">
        <f>IF('Classe 5e'!$B46="","",IF('Classe 5e'!D46="","",'Classe 5e'!D46))</f>
        <v/>
      </c>
      <c r="H766" s="77" t="str">
        <f>IF('Classe 5e'!$B46="","",IF('Classe 5e'!E46="","",'Classe 5e'!E46))</f>
        <v/>
      </c>
      <c r="I766" s="20" t="str">
        <f>IF('Classe 5e'!$B46="","",IF('Classe 5e'!F46="","",'Classe 5e'!F46))</f>
        <v/>
      </c>
      <c r="J766" s="20" t="str">
        <f>IF('Classe 5e'!$B46="","",IF('Classe 5e'!G46="","",'Classe 5e'!G46))</f>
        <v/>
      </c>
      <c r="K766" s="51" t="str">
        <f>IF('Classe 5e'!$B46="","",N('Classe 5e'!H46))</f>
        <v/>
      </c>
      <c r="L766" s="51" t="str">
        <f>IF('Classe 5e'!$B46="","",N('Classe 5e'!I46))</f>
        <v/>
      </c>
      <c r="M766" s="51" t="str">
        <f>IF('Classe 5e'!$B46="","",N('Classe 5e'!J46))</f>
        <v/>
      </c>
      <c r="N766" s="51" t="str">
        <f>IF('Classe 5e'!$B46="","",N('Classe 5e'!K46))</f>
        <v/>
      </c>
      <c r="O766" s="51" t="str">
        <f>IF('Classe 5e'!$B46="","",N('Classe 5e'!L46))</f>
        <v/>
      </c>
      <c r="P766" s="51" t="str">
        <f>IF('Classe 5e'!$B46="","",N('Classe 5e'!M46))</f>
        <v/>
      </c>
      <c r="Q766" s="21" t="str">
        <f>IF('Classe 5e'!$B46="","",IF('Classe 5e'!Q46="","",'Classe 5e'!Q46))</f>
        <v/>
      </c>
      <c r="R766" s="51" t="str">
        <f>IF('Classe 5e'!$B46="","",N('Classe 5e'!N46))</f>
        <v/>
      </c>
      <c r="S766" s="51" t="str">
        <f>IF('Classe 5e'!$B46="","",N('Classe 5e'!O46))</f>
        <v/>
      </c>
      <c r="T766" s="51" t="str">
        <f>IF('Classe 5e'!$B46="","",N('Classe 5e'!P46))</f>
        <v/>
      </c>
    </row>
    <row r="767">
      <c r="A767" s="16" t="str">
        <f>IF('Classe 5e'!$B47="","",IF('Classe 5e'!A47="","",'Classe 5e'!A47))</f>
        <v/>
      </c>
      <c r="B767" s="16" t="str">
        <f>IF('Classe 5e'!$B47="","",IF('Classe 5e'!B47="","",'Classe 5e'!B47))</f>
        <v/>
      </c>
      <c r="C767" s="16" t="str">
        <f>IF('Classe 5e'!$B47="","",IF('Classe 5e'!C47="","",'Classe 5e'!C47))</f>
        <v/>
      </c>
      <c r="D767" s="16" t="str">
        <f>IF($B767="","",C767&amp;" "&amp;B767&amp;" - "&amp;E767)</f>
        <v/>
      </c>
      <c r="E767" s="17" t="str">
        <f>IF($B767="","",Paramètres!$A$24)</f>
        <v/>
      </c>
      <c r="F767" s="17" t="str">
        <f>IF($B767="","",Paramètres!$B$24)</f>
        <v/>
      </c>
      <c r="G767" s="17" t="str">
        <f>IF('Classe 5e'!$B47="","",IF('Classe 5e'!D47="","",'Classe 5e'!D47))</f>
        <v/>
      </c>
      <c r="H767" s="78" t="str">
        <f>IF('Classe 5e'!$B47="","",IF('Classe 5e'!E47="","",'Classe 5e'!E47))</f>
        <v/>
      </c>
      <c r="I767" s="16" t="str">
        <f>IF('Classe 5e'!$B47="","",IF('Classe 5e'!F47="","",'Classe 5e'!F47))</f>
        <v/>
      </c>
      <c r="J767" s="16" t="str">
        <f>IF('Classe 5e'!$B47="","",IF('Classe 5e'!G47="","",'Classe 5e'!G47))</f>
        <v/>
      </c>
      <c r="K767" s="18" t="str">
        <f>IF('Classe 5e'!$B47="","",N('Classe 5e'!H47))</f>
        <v/>
      </c>
      <c r="L767" s="18" t="str">
        <f>IF('Classe 5e'!$B47="","",N('Classe 5e'!I47))</f>
        <v/>
      </c>
      <c r="M767" s="18" t="str">
        <f>IF('Classe 5e'!$B47="","",N('Classe 5e'!J47))</f>
        <v/>
      </c>
      <c r="N767" s="18" t="str">
        <f>IF('Classe 5e'!$B47="","",N('Classe 5e'!K47))</f>
        <v/>
      </c>
      <c r="O767" s="18" t="str">
        <f>IF('Classe 5e'!$B47="","",N('Classe 5e'!L47))</f>
        <v/>
      </c>
      <c r="P767" s="18" t="str">
        <f>IF('Classe 5e'!$B47="","",N('Classe 5e'!M47))</f>
        <v/>
      </c>
      <c r="Q767" s="17" t="str">
        <f>IF('Classe 5e'!$B47="","",IF('Classe 5e'!Q47="","",'Classe 5e'!Q47))</f>
        <v/>
      </c>
      <c r="R767" s="18" t="str">
        <f>IF('Classe 5e'!$B47="","",N('Classe 5e'!N47))</f>
        <v/>
      </c>
      <c r="S767" s="18" t="str">
        <f>IF('Classe 5e'!$B47="","",N('Classe 5e'!O47))</f>
        <v/>
      </c>
      <c r="T767" s="18" t="str">
        <f>IF('Classe 5e'!$B47="","",N('Classe 5e'!P47))</f>
        <v/>
      </c>
    </row>
    <row r="768">
      <c r="A768" s="20" t="str">
        <f>IF('Classe 5e'!$B48="","",IF('Classe 5e'!A48="","",'Classe 5e'!A48))</f>
        <v/>
      </c>
      <c r="B768" s="20" t="str">
        <f>IF('Classe 5e'!$B48="","",IF('Classe 5e'!B48="","",'Classe 5e'!B48))</f>
        <v/>
      </c>
      <c r="C768" s="20" t="str">
        <f>IF('Classe 5e'!$B48="","",IF('Classe 5e'!C48="","",'Classe 5e'!C48))</f>
        <v/>
      </c>
      <c r="D768" s="20" t="str">
        <f>IF($B768="","",C768&amp;" "&amp;B768&amp;" - "&amp;E768)</f>
        <v/>
      </c>
      <c r="E768" s="21" t="str">
        <f>IF($B768="","",Paramètres!$A$24)</f>
        <v/>
      </c>
      <c r="F768" s="21" t="str">
        <f>IF($B768="","",Paramètres!$B$24)</f>
        <v/>
      </c>
      <c r="G768" s="21" t="str">
        <f>IF('Classe 5e'!$B48="","",IF('Classe 5e'!D48="","",'Classe 5e'!D48))</f>
        <v/>
      </c>
      <c r="H768" s="77" t="str">
        <f>IF('Classe 5e'!$B48="","",IF('Classe 5e'!E48="","",'Classe 5e'!E48))</f>
        <v/>
      </c>
      <c r="I768" s="20" t="str">
        <f>IF('Classe 5e'!$B48="","",IF('Classe 5e'!F48="","",'Classe 5e'!F48))</f>
        <v/>
      </c>
      <c r="J768" s="20" t="str">
        <f>IF('Classe 5e'!$B48="","",IF('Classe 5e'!G48="","",'Classe 5e'!G48))</f>
        <v/>
      </c>
      <c r="K768" s="51" t="str">
        <f>IF('Classe 5e'!$B48="","",N('Classe 5e'!H48))</f>
        <v/>
      </c>
      <c r="L768" s="51" t="str">
        <f>IF('Classe 5e'!$B48="","",N('Classe 5e'!I48))</f>
        <v/>
      </c>
      <c r="M768" s="51" t="str">
        <f>IF('Classe 5e'!$B48="","",N('Classe 5e'!J48))</f>
        <v/>
      </c>
      <c r="N768" s="51" t="str">
        <f>IF('Classe 5e'!$B48="","",N('Classe 5e'!K48))</f>
        <v/>
      </c>
      <c r="O768" s="51" t="str">
        <f>IF('Classe 5e'!$B48="","",N('Classe 5e'!L48))</f>
        <v/>
      </c>
      <c r="P768" s="51" t="str">
        <f>IF('Classe 5e'!$B48="","",N('Classe 5e'!M48))</f>
        <v/>
      </c>
      <c r="Q768" s="21" t="str">
        <f>IF('Classe 5e'!$B48="","",IF('Classe 5e'!Q48="","",'Classe 5e'!Q48))</f>
        <v/>
      </c>
      <c r="R768" s="51" t="str">
        <f>IF('Classe 5e'!$B48="","",N('Classe 5e'!N48))</f>
        <v/>
      </c>
      <c r="S768" s="51" t="str">
        <f>IF('Classe 5e'!$B48="","",N('Classe 5e'!O48))</f>
        <v/>
      </c>
      <c r="T768" s="51" t="str">
        <f>IF('Classe 5e'!$B48="","",N('Classe 5e'!P48))</f>
        <v/>
      </c>
    </row>
    <row r="769">
      <c r="A769" s="16" t="str">
        <f>IF('Classe 5e'!$B49="","",IF('Classe 5e'!A49="","",'Classe 5e'!A49))</f>
        <v/>
      </c>
      <c r="B769" s="16" t="str">
        <f>IF('Classe 5e'!$B49="","",IF('Classe 5e'!B49="","",'Classe 5e'!B49))</f>
        <v/>
      </c>
      <c r="C769" s="16" t="str">
        <f>IF('Classe 5e'!$B49="","",IF('Classe 5e'!C49="","",'Classe 5e'!C49))</f>
        <v/>
      </c>
      <c r="D769" s="16" t="str">
        <f>IF($B769="","",C769&amp;" "&amp;B769&amp;" - "&amp;E769)</f>
        <v/>
      </c>
      <c r="E769" s="17" t="str">
        <f>IF($B769="","",Paramètres!$A$24)</f>
        <v/>
      </c>
      <c r="F769" s="17" t="str">
        <f>IF($B769="","",Paramètres!$B$24)</f>
        <v/>
      </c>
      <c r="G769" s="17" t="str">
        <f>IF('Classe 5e'!$B49="","",IF('Classe 5e'!D49="","",'Classe 5e'!D49))</f>
        <v/>
      </c>
      <c r="H769" s="78" t="str">
        <f>IF('Classe 5e'!$B49="","",IF('Classe 5e'!E49="","",'Classe 5e'!E49))</f>
        <v/>
      </c>
      <c r="I769" s="16" t="str">
        <f>IF('Classe 5e'!$B49="","",IF('Classe 5e'!F49="","",'Classe 5e'!F49))</f>
        <v/>
      </c>
      <c r="J769" s="16" t="str">
        <f>IF('Classe 5e'!$B49="","",IF('Classe 5e'!G49="","",'Classe 5e'!G49))</f>
        <v/>
      </c>
      <c r="K769" s="18" t="str">
        <f>IF('Classe 5e'!$B49="","",N('Classe 5e'!H49))</f>
        <v/>
      </c>
      <c r="L769" s="18" t="str">
        <f>IF('Classe 5e'!$B49="","",N('Classe 5e'!I49))</f>
        <v/>
      </c>
      <c r="M769" s="18" t="str">
        <f>IF('Classe 5e'!$B49="","",N('Classe 5e'!J49))</f>
        <v/>
      </c>
      <c r="N769" s="18" t="str">
        <f>IF('Classe 5e'!$B49="","",N('Classe 5e'!K49))</f>
        <v/>
      </c>
      <c r="O769" s="18" t="str">
        <f>IF('Classe 5e'!$B49="","",N('Classe 5e'!L49))</f>
        <v/>
      </c>
      <c r="P769" s="18" t="str">
        <f>IF('Classe 5e'!$B49="","",N('Classe 5e'!M49))</f>
        <v/>
      </c>
      <c r="Q769" s="17" t="str">
        <f>IF('Classe 5e'!$B49="","",IF('Classe 5e'!Q49="","",'Classe 5e'!Q49))</f>
        <v/>
      </c>
      <c r="R769" s="18" t="str">
        <f>IF('Classe 5e'!$B49="","",N('Classe 5e'!N49))</f>
        <v/>
      </c>
      <c r="S769" s="18" t="str">
        <f>IF('Classe 5e'!$B49="","",N('Classe 5e'!O49))</f>
        <v/>
      </c>
      <c r="T769" s="18" t="str">
        <f>IF('Classe 5e'!$B49="","",N('Classe 5e'!P49))</f>
        <v/>
      </c>
    </row>
    <row r="770">
      <c r="A770" s="20" t="str">
        <f>IF('Classe 5e'!$B50="","",IF('Classe 5e'!A50="","",'Classe 5e'!A50))</f>
        <v/>
      </c>
      <c r="B770" s="20" t="str">
        <f>IF('Classe 5e'!$B50="","",IF('Classe 5e'!B50="","",'Classe 5e'!B50))</f>
        <v/>
      </c>
      <c r="C770" s="20" t="str">
        <f>IF('Classe 5e'!$B50="","",IF('Classe 5e'!C50="","",'Classe 5e'!C50))</f>
        <v/>
      </c>
      <c r="D770" s="20" t="str">
        <f>IF($B770="","",C770&amp;" "&amp;B770&amp;" - "&amp;E770)</f>
        <v/>
      </c>
      <c r="E770" s="21" t="str">
        <f>IF($B770="","",Paramètres!$A$24)</f>
        <v/>
      </c>
      <c r="F770" s="21" t="str">
        <f>IF($B770="","",Paramètres!$B$24)</f>
        <v/>
      </c>
      <c r="G770" s="21" t="str">
        <f>IF('Classe 5e'!$B50="","",IF('Classe 5e'!D50="","",'Classe 5e'!D50))</f>
        <v/>
      </c>
      <c r="H770" s="77" t="str">
        <f>IF('Classe 5e'!$B50="","",IF('Classe 5e'!E50="","",'Classe 5e'!E50))</f>
        <v/>
      </c>
      <c r="I770" s="20" t="str">
        <f>IF('Classe 5e'!$B50="","",IF('Classe 5e'!F50="","",'Classe 5e'!F50))</f>
        <v/>
      </c>
      <c r="J770" s="20" t="str">
        <f>IF('Classe 5e'!$B50="","",IF('Classe 5e'!G50="","",'Classe 5e'!G50))</f>
        <v/>
      </c>
      <c r="K770" s="51" t="str">
        <f>IF('Classe 5e'!$B50="","",N('Classe 5e'!H50))</f>
        <v/>
      </c>
      <c r="L770" s="51" t="str">
        <f>IF('Classe 5e'!$B50="","",N('Classe 5e'!I50))</f>
        <v/>
      </c>
      <c r="M770" s="51" t="str">
        <f>IF('Classe 5e'!$B50="","",N('Classe 5e'!J50))</f>
        <v/>
      </c>
      <c r="N770" s="51" t="str">
        <f>IF('Classe 5e'!$B50="","",N('Classe 5e'!K50))</f>
        <v/>
      </c>
      <c r="O770" s="51" t="str">
        <f>IF('Classe 5e'!$B50="","",N('Classe 5e'!L50))</f>
        <v/>
      </c>
      <c r="P770" s="51" t="str">
        <f>IF('Classe 5e'!$B50="","",N('Classe 5e'!M50))</f>
        <v/>
      </c>
      <c r="Q770" s="21" t="str">
        <f>IF('Classe 5e'!$B50="","",IF('Classe 5e'!Q50="","",'Classe 5e'!Q50))</f>
        <v/>
      </c>
      <c r="R770" s="51" t="str">
        <f>IF('Classe 5e'!$B50="","",N('Classe 5e'!N50))</f>
        <v/>
      </c>
      <c r="S770" s="51" t="str">
        <f>IF('Classe 5e'!$B50="","",N('Classe 5e'!O50))</f>
        <v/>
      </c>
      <c r="T770" s="51" t="str">
        <f>IF('Classe 5e'!$B50="","",N('Classe 5e'!P50))</f>
        <v/>
      </c>
    </row>
    <row r="771">
      <c r="A771" s="16" t="str">
        <f>IF('Classe 5e'!$B51="","",IF('Classe 5e'!A51="","",'Classe 5e'!A51))</f>
        <v/>
      </c>
      <c r="B771" s="16" t="str">
        <f>IF('Classe 5e'!$B51="","",IF('Classe 5e'!B51="","",'Classe 5e'!B51))</f>
        <v/>
      </c>
      <c r="C771" s="16" t="str">
        <f>IF('Classe 5e'!$B51="","",IF('Classe 5e'!C51="","",'Classe 5e'!C51))</f>
        <v/>
      </c>
      <c r="D771" s="16" t="str">
        <f>IF($B771="","",C771&amp;" "&amp;B771&amp;" - "&amp;E771)</f>
        <v/>
      </c>
      <c r="E771" s="17" t="str">
        <f>IF($B771="","",Paramètres!$A$24)</f>
        <v/>
      </c>
      <c r="F771" s="17" t="str">
        <f>IF($B771="","",Paramètres!$B$24)</f>
        <v/>
      </c>
      <c r="G771" s="17" t="str">
        <f>IF('Classe 5e'!$B51="","",IF('Classe 5e'!D51="","",'Classe 5e'!D51))</f>
        <v/>
      </c>
      <c r="H771" s="78" t="str">
        <f>IF('Classe 5e'!$B51="","",IF('Classe 5e'!E51="","",'Classe 5e'!E51))</f>
        <v/>
      </c>
      <c r="I771" s="16" t="str">
        <f>IF('Classe 5e'!$B51="","",IF('Classe 5e'!F51="","",'Classe 5e'!F51))</f>
        <v/>
      </c>
      <c r="J771" s="16" t="str">
        <f>IF('Classe 5e'!$B51="","",IF('Classe 5e'!G51="","",'Classe 5e'!G51))</f>
        <v/>
      </c>
      <c r="K771" s="18" t="str">
        <f>IF('Classe 5e'!$B51="","",N('Classe 5e'!H51))</f>
        <v/>
      </c>
      <c r="L771" s="18" t="str">
        <f>IF('Classe 5e'!$B51="","",N('Classe 5e'!I51))</f>
        <v/>
      </c>
      <c r="M771" s="18" t="str">
        <f>IF('Classe 5e'!$B51="","",N('Classe 5e'!J51))</f>
        <v/>
      </c>
      <c r="N771" s="18" t="str">
        <f>IF('Classe 5e'!$B51="","",N('Classe 5e'!K51))</f>
        <v/>
      </c>
      <c r="O771" s="18" t="str">
        <f>IF('Classe 5e'!$B51="","",N('Classe 5e'!L51))</f>
        <v/>
      </c>
      <c r="P771" s="18" t="str">
        <f>IF('Classe 5e'!$B51="","",N('Classe 5e'!M51))</f>
        <v/>
      </c>
      <c r="Q771" s="17" t="str">
        <f>IF('Classe 5e'!$B51="","",IF('Classe 5e'!Q51="","",'Classe 5e'!Q51))</f>
        <v/>
      </c>
      <c r="R771" s="18" t="str">
        <f>IF('Classe 5e'!$B51="","",N('Classe 5e'!N51))</f>
        <v/>
      </c>
      <c r="S771" s="18" t="str">
        <f>IF('Classe 5e'!$B51="","",N('Classe 5e'!O51))</f>
        <v/>
      </c>
      <c r="T771" s="18" t="str">
        <f>IF('Classe 5e'!$B51="","",N('Classe 5e'!P51))</f>
        <v/>
      </c>
    </row>
    <row r="772">
      <c r="A772" s="20" t="str">
        <f>IF('Classe 5e'!$B52="","",IF('Classe 5e'!A52="","",'Classe 5e'!A52))</f>
        <v/>
      </c>
      <c r="B772" s="20" t="str">
        <f>IF('Classe 5e'!$B52="","",IF('Classe 5e'!B52="","",'Classe 5e'!B52))</f>
        <v/>
      </c>
      <c r="C772" s="20" t="str">
        <f>IF('Classe 5e'!$B52="","",IF('Classe 5e'!C52="","",'Classe 5e'!C52))</f>
        <v/>
      </c>
      <c r="D772" s="20" t="str">
        <f>IF($B772="","",C772&amp;" "&amp;B772&amp;" - "&amp;E772)</f>
        <v/>
      </c>
      <c r="E772" s="21" t="str">
        <f>IF($B772="","",Paramètres!$A$24)</f>
        <v/>
      </c>
      <c r="F772" s="21" t="str">
        <f>IF($B772="","",Paramètres!$B$24)</f>
        <v/>
      </c>
      <c r="G772" s="21" t="str">
        <f>IF('Classe 5e'!$B52="","",IF('Classe 5e'!D52="","",'Classe 5e'!D52))</f>
        <v/>
      </c>
      <c r="H772" s="77" t="str">
        <f>IF('Classe 5e'!$B52="","",IF('Classe 5e'!E52="","",'Classe 5e'!E52))</f>
        <v/>
      </c>
      <c r="I772" s="20" t="str">
        <f>IF('Classe 5e'!$B52="","",IF('Classe 5e'!F52="","",'Classe 5e'!F52))</f>
        <v/>
      </c>
      <c r="J772" s="20" t="str">
        <f>IF('Classe 5e'!$B52="","",IF('Classe 5e'!G52="","",'Classe 5e'!G52))</f>
        <v/>
      </c>
      <c r="K772" s="51" t="str">
        <f>IF('Classe 5e'!$B52="","",N('Classe 5e'!H52))</f>
        <v/>
      </c>
      <c r="L772" s="51" t="str">
        <f>IF('Classe 5e'!$B52="","",N('Classe 5e'!I52))</f>
        <v/>
      </c>
      <c r="M772" s="51" t="str">
        <f>IF('Classe 5e'!$B52="","",N('Classe 5e'!J52))</f>
        <v/>
      </c>
      <c r="N772" s="51" t="str">
        <f>IF('Classe 5e'!$B52="","",N('Classe 5e'!K52))</f>
        <v/>
      </c>
      <c r="O772" s="51" t="str">
        <f>IF('Classe 5e'!$B52="","",N('Classe 5e'!L52))</f>
        <v/>
      </c>
      <c r="P772" s="51" t="str">
        <f>IF('Classe 5e'!$B52="","",N('Classe 5e'!M52))</f>
        <v/>
      </c>
      <c r="Q772" s="21" t="str">
        <f>IF('Classe 5e'!$B52="","",IF('Classe 5e'!Q52="","",'Classe 5e'!Q52))</f>
        <v/>
      </c>
      <c r="R772" s="51" t="str">
        <f>IF('Classe 5e'!$B52="","",N('Classe 5e'!N52))</f>
        <v/>
      </c>
      <c r="S772" s="51" t="str">
        <f>IF('Classe 5e'!$B52="","",N('Classe 5e'!O52))</f>
        <v/>
      </c>
      <c r="T772" s="51" t="str">
        <f>IF('Classe 5e'!$B52="","",N('Classe 5e'!P52))</f>
        <v/>
      </c>
    </row>
    <row r="773">
      <c r="A773" s="16" t="str">
        <f>IF('Classe 5e'!$B53="","",IF('Classe 5e'!A53="","",'Classe 5e'!A53))</f>
        <v/>
      </c>
      <c r="B773" s="16" t="str">
        <f>IF('Classe 5e'!$B53="","",IF('Classe 5e'!B53="","",'Classe 5e'!B53))</f>
        <v/>
      </c>
      <c r="C773" s="16" t="str">
        <f>IF('Classe 5e'!$B53="","",IF('Classe 5e'!C53="","",'Classe 5e'!C53))</f>
        <v/>
      </c>
      <c r="D773" s="16" t="str">
        <f>IF($B773="","",C773&amp;" "&amp;B773&amp;" - "&amp;E773)</f>
        <v/>
      </c>
      <c r="E773" s="17" t="str">
        <f>IF($B773="","",Paramètres!$A$24)</f>
        <v/>
      </c>
      <c r="F773" s="17" t="str">
        <f>IF($B773="","",Paramètres!$B$24)</f>
        <v/>
      </c>
      <c r="G773" s="17" t="str">
        <f>IF('Classe 5e'!$B53="","",IF('Classe 5e'!D53="","",'Classe 5e'!D53))</f>
        <v/>
      </c>
      <c r="H773" s="78" t="str">
        <f>IF('Classe 5e'!$B53="","",IF('Classe 5e'!E53="","",'Classe 5e'!E53))</f>
        <v/>
      </c>
      <c r="I773" s="16" t="str">
        <f>IF('Classe 5e'!$B53="","",IF('Classe 5e'!F53="","",'Classe 5e'!F53))</f>
        <v/>
      </c>
      <c r="J773" s="16" t="str">
        <f>IF('Classe 5e'!$B53="","",IF('Classe 5e'!G53="","",'Classe 5e'!G53))</f>
        <v/>
      </c>
      <c r="K773" s="18" t="str">
        <f>IF('Classe 5e'!$B53="","",N('Classe 5e'!H53))</f>
        <v/>
      </c>
      <c r="L773" s="18" t="str">
        <f>IF('Classe 5e'!$B53="","",N('Classe 5e'!I53))</f>
        <v/>
      </c>
      <c r="M773" s="18" t="str">
        <f>IF('Classe 5e'!$B53="","",N('Classe 5e'!J53))</f>
        <v/>
      </c>
      <c r="N773" s="18" t="str">
        <f>IF('Classe 5e'!$B53="","",N('Classe 5e'!K53))</f>
        <v/>
      </c>
      <c r="O773" s="18" t="str">
        <f>IF('Classe 5e'!$B53="","",N('Classe 5e'!L53))</f>
        <v/>
      </c>
      <c r="P773" s="18" t="str">
        <f>IF('Classe 5e'!$B53="","",N('Classe 5e'!M53))</f>
        <v/>
      </c>
      <c r="Q773" s="17" t="str">
        <f>IF('Classe 5e'!$B53="","",IF('Classe 5e'!Q53="","",'Classe 5e'!Q53))</f>
        <v/>
      </c>
      <c r="R773" s="18" t="str">
        <f>IF('Classe 5e'!$B53="","",N('Classe 5e'!N53))</f>
        <v/>
      </c>
      <c r="S773" s="18" t="str">
        <f>IF('Classe 5e'!$B53="","",N('Classe 5e'!O53))</f>
        <v/>
      </c>
      <c r="T773" s="18" t="str">
        <f>IF('Classe 5e'!$B53="","",N('Classe 5e'!P53))</f>
        <v/>
      </c>
    </row>
    <row r="774">
      <c r="A774" s="20" t="str">
        <f>IF('Classe 5e'!$B54="","",IF('Classe 5e'!A54="","",'Classe 5e'!A54))</f>
        <v/>
      </c>
      <c r="B774" s="20" t="str">
        <f>IF('Classe 5e'!$B54="","",IF('Classe 5e'!B54="","",'Classe 5e'!B54))</f>
        <v/>
      </c>
      <c r="C774" s="20" t="str">
        <f>IF('Classe 5e'!$B54="","",IF('Classe 5e'!C54="","",'Classe 5e'!C54))</f>
        <v/>
      </c>
      <c r="D774" s="20" t="str">
        <f>IF($B774="","",C774&amp;" "&amp;B774&amp;" - "&amp;E774)</f>
        <v/>
      </c>
      <c r="E774" s="21" t="str">
        <f>IF($B774="","",Paramètres!$A$24)</f>
        <v/>
      </c>
      <c r="F774" s="21" t="str">
        <f>IF($B774="","",Paramètres!$B$24)</f>
        <v/>
      </c>
      <c r="G774" s="21" t="str">
        <f>IF('Classe 5e'!$B54="","",IF('Classe 5e'!D54="","",'Classe 5e'!D54))</f>
        <v/>
      </c>
      <c r="H774" s="77" t="str">
        <f>IF('Classe 5e'!$B54="","",IF('Classe 5e'!E54="","",'Classe 5e'!E54))</f>
        <v/>
      </c>
      <c r="I774" s="20" t="str">
        <f>IF('Classe 5e'!$B54="","",IF('Classe 5e'!F54="","",'Classe 5e'!F54))</f>
        <v/>
      </c>
      <c r="J774" s="20" t="str">
        <f>IF('Classe 5e'!$B54="","",IF('Classe 5e'!G54="","",'Classe 5e'!G54))</f>
        <v/>
      </c>
      <c r="K774" s="51" t="str">
        <f>IF('Classe 5e'!$B54="","",N('Classe 5e'!H54))</f>
        <v/>
      </c>
      <c r="L774" s="51" t="str">
        <f>IF('Classe 5e'!$B54="","",N('Classe 5e'!I54))</f>
        <v/>
      </c>
      <c r="M774" s="51" t="str">
        <f>IF('Classe 5e'!$B54="","",N('Classe 5e'!J54))</f>
        <v/>
      </c>
      <c r="N774" s="51" t="str">
        <f>IF('Classe 5e'!$B54="","",N('Classe 5e'!K54))</f>
        <v/>
      </c>
      <c r="O774" s="51" t="str">
        <f>IF('Classe 5e'!$B54="","",N('Classe 5e'!L54))</f>
        <v/>
      </c>
      <c r="P774" s="51" t="str">
        <f>IF('Classe 5e'!$B54="","",N('Classe 5e'!M54))</f>
        <v/>
      </c>
      <c r="Q774" s="21" t="str">
        <f>IF('Classe 5e'!$B54="","",IF('Classe 5e'!Q54="","",'Classe 5e'!Q54))</f>
        <v/>
      </c>
      <c r="R774" s="51" t="str">
        <f>IF('Classe 5e'!$B54="","",N('Classe 5e'!N54))</f>
        <v/>
      </c>
      <c r="S774" s="51" t="str">
        <f>IF('Classe 5e'!$B54="","",N('Classe 5e'!O54))</f>
        <v/>
      </c>
      <c r="T774" s="51" t="str">
        <f>IF('Classe 5e'!$B54="","",N('Classe 5e'!P54))</f>
        <v/>
      </c>
    </row>
    <row r="775">
      <c r="A775" s="16" t="str">
        <f>IF('Classe 5e'!$B55="","",IF('Classe 5e'!A55="","",'Classe 5e'!A55))</f>
        <v/>
      </c>
      <c r="B775" s="16" t="str">
        <f>IF('Classe 5e'!$B55="","",IF('Classe 5e'!B55="","",'Classe 5e'!B55))</f>
        <v/>
      </c>
      <c r="C775" s="16" t="str">
        <f>IF('Classe 5e'!$B55="","",IF('Classe 5e'!C55="","",'Classe 5e'!C55))</f>
        <v/>
      </c>
      <c r="D775" s="16" t="str">
        <f>IF($B775="","",C775&amp;" "&amp;B775&amp;" - "&amp;E775)</f>
        <v/>
      </c>
      <c r="E775" s="17" t="str">
        <f>IF($B775="","",Paramètres!$A$24)</f>
        <v/>
      </c>
      <c r="F775" s="17" t="str">
        <f>IF($B775="","",Paramètres!$B$24)</f>
        <v/>
      </c>
      <c r="G775" s="17" t="str">
        <f>IF('Classe 5e'!$B55="","",IF('Classe 5e'!D55="","",'Classe 5e'!D55))</f>
        <v/>
      </c>
      <c r="H775" s="78" t="str">
        <f>IF('Classe 5e'!$B55="","",IF('Classe 5e'!E55="","",'Classe 5e'!E55))</f>
        <v/>
      </c>
      <c r="I775" s="16" t="str">
        <f>IF('Classe 5e'!$B55="","",IF('Classe 5e'!F55="","",'Classe 5e'!F55))</f>
        <v/>
      </c>
      <c r="J775" s="16" t="str">
        <f>IF('Classe 5e'!$B55="","",IF('Classe 5e'!G55="","",'Classe 5e'!G55))</f>
        <v/>
      </c>
      <c r="K775" s="18" t="str">
        <f>IF('Classe 5e'!$B55="","",N('Classe 5e'!H55))</f>
        <v/>
      </c>
      <c r="L775" s="18" t="str">
        <f>IF('Classe 5e'!$B55="","",N('Classe 5e'!I55))</f>
        <v/>
      </c>
      <c r="M775" s="18" t="str">
        <f>IF('Classe 5e'!$B55="","",N('Classe 5e'!J55))</f>
        <v/>
      </c>
      <c r="N775" s="18" t="str">
        <f>IF('Classe 5e'!$B55="","",N('Classe 5e'!K55))</f>
        <v/>
      </c>
      <c r="O775" s="18" t="str">
        <f>IF('Classe 5e'!$B55="","",N('Classe 5e'!L55))</f>
        <v/>
      </c>
      <c r="P775" s="18" t="str">
        <f>IF('Classe 5e'!$B55="","",N('Classe 5e'!M55))</f>
        <v/>
      </c>
      <c r="Q775" s="17" t="str">
        <f>IF('Classe 5e'!$B55="","",IF('Classe 5e'!Q55="","",'Classe 5e'!Q55))</f>
        <v/>
      </c>
      <c r="R775" s="18" t="str">
        <f>IF('Classe 5e'!$B55="","",N('Classe 5e'!N55))</f>
        <v/>
      </c>
      <c r="S775" s="18" t="str">
        <f>IF('Classe 5e'!$B55="","",N('Classe 5e'!O55))</f>
        <v/>
      </c>
      <c r="T775" s="18" t="str">
        <f>IF('Classe 5e'!$B55="","",N('Classe 5e'!P55))</f>
        <v/>
      </c>
    </row>
    <row r="776">
      <c r="A776" s="20" t="str">
        <f>IF('Classe 5e'!$B56="","",IF('Classe 5e'!A56="","",'Classe 5e'!A56))</f>
        <v/>
      </c>
      <c r="B776" s="20" t="str">
        <f>IF('Classe 5e'!$B56="","",IF('Classe 5e'!B56="","",'Classe 5e'!B56))</f>
        <v/>
      </c>
      <c r="C776" s="20" t="str">
        <f>IF('Classe 5e'!$B56="","",IF('Classe 5e'!C56="","",'Classe 5e'!C56))</f>
        <v/>
      </c>
      <c r="D776" s="20" t="str">
        <f>IF($B776="","",C776&amp;" "&amp;B776&amp;" - "&amp;E776)</f>
        <v/>
      </c>
      <c r="E776" s="21" t="str">
        <f>IF($B776="","",Paramètres!$A$24)</f>
        <v/>
      </c>
      <c r="F776" s="21" t="str">
        <f>IF($B776="","",Paramètres!$B$24)</f>
        <v/>
      </c>
      <c r="G776" s="21" t="str">
        <f>IF('Classe 5e'!$B56="","",IF('Classe 5e'!D56="","",'Classe 5e'!D56))</f>
        <v/>
      </c>
      <c r="H776" s="77" t="str">
        <f>IF('Classe 5e'!$B56="","",IF('Classe 5e'!E56="","",'Classe 5e'!E56))</f>
        <v/>
      </c>
      <c r="I776" s="20" t="str">
        <f>IF('Classe 5e'!$B56="","",IF('Classe 5e'!F56="","",'Classe 5e'!F56))</f>
        <v/>
      </c>
      <c r="J776" s="20" t="str">
        <f>IF('Classe 5e'!$B56="","",IF('Classe 5e'!G56="","",'Classe 5e'!G56))</f>
        <v/>
      </c>
      <c r="K776" s="51" t="str">
        <f>IF('Classe 5e'!$B56="","",N('Classe 5e'!H56))</f>
        <v/>
      </c>
      <c r="L776" s="51" t="str">
        <f>IF('Classe 5e'!$B56="","",N('Classe 5e'!I56))</f>
        <v/>
      </c>
      <c r="M776" s="51" t="str">
        <f>IF('Classe 5e'!$B56="","",N('Classe 5e'!J56))</f>
        <v/>
      </c>
      <c r="N776" s="51" t="str">
        <f>IF('Classe 5e'!$B56="","",N('Classe 5e'!K56))</f>
        <v/>
      </c>
      <c r="O776" s="51" t="str">
        <f>IF('Classe 5e'!$B56="","",N('Classe 5e'!L56))</f>
        <v/>
      </c>
      <c r="P776" s="51" t="str">
        <f>IF('Classe 5e'!$B56="","",N('Classe 5e'!M56))</f>
        <v/>
      </c>
      <c r="Q776" s="21" t="str">
        <f>IF('Classe 5e'!$B56="","",IF('Classe 5e'!Q56="","",'Classe 5e'!Q56))</f>
        <v/>
      </c>
      <c r="R776" s="51" t="str">
        <f>IF('Classe 5e'!$B56="","",N('Classe 5e'!N56))</f>
        <v/>
      </c>
      <c r="S776" s="51" t="str">
        <f>IF('Classe 5e'!$B56="","",N('Classe 5e'!O56))</f>
        <v/>
      </c>
      <c r="T776" s="51" t="str">
        <f>IF('Classe 5e'!$B56="","",N('Classe 5e'!P56))</f>
        <v/>
      </c>
    </row>
    <row r="777">
      <c r="A777" s="16" t="str">
        <f>IF('Classe 5e'!$B57="","",IF('Classe 5e'!A57="","",'Classe 5e'!A57))</f>
        <v/>
      </c>
      <c r="B777" s="16" t="str">
        <f>IF('Classe 5e'!$B57="","",IF('Classe 5e'!B57="","",'Classe 5e'!B57))</f>
        <v/>
      </c>
      <c r="C777" s="16" t="str">
        <f>IF('Classe 5e'!$B57="","",IF('Classe 5e'!C57="","",'Classe 5e'!C57))</f>
        <v/>
      </c>
      <c r="D777" s="16" t="str">
        <f>IF($B777="","",C777&amp;" "&amp;B777&amp;" - "&amp;E777)</f>
        <v/>
      </c>
      <c r="E777" s="17" t="str">
        <f>IF($B777="","",Paramètres!$A$24)</f>
        <v/>
      </c>
      <c r="F777" s="17" t="str">
        <f>IF($B777="","",Paramètres!$B$24)</f>
        <v/>
      </c>
      <c r="G777" s="17" t="str">
        <f>IF('Classe 5e'!$B57="","",IF('Classe 5e'!D57="","",'Classe 5e'!D57))</f>
        <v/>
      </c>
      <c r="H777" s="78" t="str">
        <f>IF('Classe 5e'!$B57="","",IF('Classe 5e'!E57="","",'Classe 5e'!E57))</f>
        <v/>
      </c>
      <c r="I777" s="16" t="str">
        <f>IF('Classe 5e'!$B57="","",IF('Classe 5e'!F57="","",'Classe 5e'!F57))</f>
        <v/>
      </c>
      <c r="J777" s="16" t="str">
        <f>IF('Classe 5e'!$B57="","",IF('Classe 5e'!G57="","",'Classe 5e'!G57))</f>
        <v/>
      </c>
      <c r="K777" s="18" t="str">
        <f>IF('Classe 5e'!$B57="","",N('Classe 5e'!H57))</f>
        <v/>
      </c>
      <c r="L777" s="18" t="str">
        <f>IF('Classe 5e'!$B57="","",N('Classe 5e'!I57))</f>
        <v/>
      </c>
      <c r="M777" s="18" t="str">
        <f>IF('Classe 5e'!$B57="","",N('Classe 5e'!J57))</f>
        <v/>
      </c>
      <c r="N777" s="18" t="str">
        <f>IF('Classe 5e'!$B57="","",N('Classe 5e'!K57))</f>
        <v/>
      </c>
      <c r="O777" s="18" t="str">
        <f>IF('Classe 5e'!$B57="","",N('Classe 5e'!L57))</f>
        <v/>
      </c>
      <c r="P777" s="18" t="str">
        <f>IF('Classe 5e'!$B57="","",N('Classe 5e'!M57))</f>
        <v/>
      </c>
      <c r="Q777" s="17" t="str">
        <f>IF('Classe 5e'!$B57="","",IF('Classe 5e'!Q57="","",'Classe 5e'!Q57))</f>
        <v/>
      </c>
      <c r="R777" s="18" t="str">
        <f>IF('Classe 5e'!$B57="","",N('Classe 5e'!N57))</f>
        <v/>
      </c>
      <c r="S777" s="18" t="str">
        <f>IF('Classe 5e'!$B57="","",N('Classe 5e'!O57))</f>
        <v/>
      </c>
      <c r="T777" s="18" t="str">
        <f>IF('Classe 5e'!$B57="","",N('Classe 5e'!P57))</f>
        <v/>
      </c>
    </row>
    <row r="778">
      <c r="A778" s="20" t="str">
        <f>IF('Classe 5e'!$B58="","",IF('Classe 5e'!A58="","",'Classe 5e'!A58))</f>
        <v/>
      </c>
      <c r="B778" s="20" t="str">
        <f>IF('Classe 5e'!$B58="","",IF('Classe 5e'!B58="","",'Classe 5e'!B58))</f>
        <v/>
      </c>
      <c r="C778" s="20" t="str">
        <f>IF('Classe 5e'!$B58="","",IF('Classe 5e'!C58="","",'Classe 5e'!C58))</f>
        <v/>
      </c>
      <c r="D778" s="20" t="str">
        <f>IF($B778="","",C778&amp;" "&amp;B778&amp;" - "&amp;E778)</f>
        <v/>
      </c>
      <c r="E778" s="21" t="str">
        <f>IF($B778="","",Paramètres!$A$24)</f>
        <v/>
      </c>
      <c r="F778" s="21" t="str">
        <f>IF($B778="","",Paramètres!$B$24)</f>
        <v/>
      </c>
      <c r="G778" s="21" t="str">
        <f>IF('Classe 5e'!$B58="","",IF('Classe 5e'!D58="","",'Classe 5e'!D58))</f>
        <v/>
      </c>
      <c r="H778" s="77" t="str">
        <f>IF('Classe 5e'!$B58="","",IF('Classe 5e'!E58="","",'Classe 5e'!E58))</f>
        <v/>
      </c>
      <c r="I778" s="20" t="str">
        <f>IF('Classe 5e'!$B58="","",IF('Classe 5e'!F58="","",'Classe 5e'!F58))</f>
        <v/>
      </c>
      <c r="J778" s="20" t="str">
        <f>IF('Classe 5e'!$B58="","",IF('Classe 5e'!G58="","",'Classe 5e'!G58))</f>
        <v/>
      </c>
      <c r="K778" s="51" t="str">
        <f>IF('Classe 5e'!$B58="","",N('Classe 5e'!H58))</f>
        <v/>
      </c>
      <c r="L778" s="51" t="str">
        <f>IF('Classe 5e'!$B58="","",N('Classe 5e'!I58))</f>
        <v/>
      </c>
      <c r="M778" s="51" t="str">
        <f>IF('Classe 5e'!$B58="","",N('Classe 5e'!J58))</f>
        <v/>
      </c>
      <c r="N778" s="51" t="str">
        <f>IF('Classe 5e'!$B58="","",N('Classe 5e'!K58))</f>
        <v/>
      </c>
      <c r="O778" s="51" t="str">
        <f>IF('Classe 5e'!$B58="","",N('Classe 5e'!L58))</f>
        <v/>
      </c>
      <c r="P778" s="51" t="str">
        <f>IF('Classe 5e'!$B58="","",N('Classe 5e'!M58))</f>
        <v/>
      </c>
      <c r="Q778" s="21" t="str">
        <f>IF('Classe 5e'!$B58="","",IF('Classe 5e'!Q58="","",'Classe 5e'!Q58))</f>
        <v/>
      </c>
      <c r="R778" s="51" t="str">
        <f>IF('Classe 5e'!$B58="","",N('Classe 5e'!N58))</f>
        <v/>
      </c>
      <c r="S778" s="51" t="str">
        <f>IF('Classe 5e'!$B58="","",N('Classe 5e'!O58))</f>
        <v/>
      </c>
      <c r="T778" s="51" t="str">
        <f>IF('Classe 5e'!$B58="","",N('Classe 5e'!P58))</f>
        <v/>
      </c>
    </row>
    <row r="779">
      <c r="A779" s="16" t="str">
        <f>IF('Classe 5e'!$B59="","",IF('Classe 5e'!A59="","",'Classe 5e'!A59))</f>
        <v/>
      </c>
      <c r="B779" s="16" t="str">
        <f>IF('Classe 5e'!$B59="","",IF('Classe 5e'!B59="","",'Classe 5e'!B59))</f>
        <v/>
      </c>
      <c r="C779" s="16" t="str">
        <f>IF('Classe 5e'!$B59="","",IF('Classe 5e'!C59="","",'Classe 5e'!C59))</f>
        <v/>
      </c>
      <c r="D779" s="16" t="str">
        <f>IF($B779="","",C779&amp;" "&amp;B779&amp;" - "&amp;E779)</f>
        <v/>
      </c>
      <c r="E779" s="17" t="str">
        <f>IF($B779="","",Paramètres!$A$24)</f>
        <v/>
      </c>
      <c r="F779" s="17" t="str">
        <f>IF($B779="","",Paramètres!$B$24)</f>
        <v/>
      </c>
      <c r="G779" s="17" t="str">
        <f>IF('Classe 5e'!$B59="","",IF('Classe 5e'!D59="","",'Classe 5e'!D59))</f>
        <v/>
      </c>
      <c r="H779" s="78" t="str">
        <f>IF('Classe 5e'!$B59="","",IF('Classe 5e'!E59="","",'Classe 5e'!E59))</f>
        <v/>
      </c>
      <c r="I779" s="16" t="str">
        <f>IF('Classe 5e'!$B59="","",IF('Classe 5e'!F59="","",'Classe 5e'!F59))</f>
        <v/>
      </c>
      <c r="J779" s="16" t="str">
        <f>IF('Classe 5e'!$B59="","",IF('Classe 5e'!G59="","",'Classe 5e'!G59))</f>
        <v/>
      </c>
      <c r="K779" s="18" t="str">
        <f>IF('Classe 5e'!$B59="","",N('Classe 5e'!H59))</f>
        <v/>
      </c>
      <c r="L779" s="18" t="str">
        <f>IF('Classe 5e'!$B59="","",N('Classe 5e'!I59))</f>
        <v/>
      </c>
      <c r="M779" s="18" t="str">
        <f>IF('Classe 5e'!$B59="","",N('Classe 5e'!J59))</f>
        <v/>
      </c>
      <c r="N779" s="18" t="str">
        <f>IF('Classe 5e'!$B59="","",N('Classe 5e'!K59))</f>
        <v/>
      </c>
      <c r="O779" s="18" t="str">
        <f>IF('Classe 5e'!$B59="","",N('Classe 5e'!L59))</f>
        <v/>
      </c>
      <c r="P779" s="18" t="str">
        <f>IF('Classe 5e'!$B59="","",N('Classe 5e'!M59))</f>
        <v/>
      </c>
      <c r="Q779" s="17" t="str">
        <f>IF('Classe 5e'!$B59="","",IF('Classe 5e'!Q59="","",'Classe 5e'!Q59))</f>
        <v/>
      </c>
      <c r="R779" s="18" t="str">
        <f>IF('Classe 5e'!$B59="","",N('Classe 5e'!N59))</f>
        <v/>
      </c>
      <c r="S779" s="18" t="str">
        <f>IF('Classe 5e'!$B59="","",N('Classe 5e'!O59))</f>
        <v/>
      </c>
      <c r="T779" s="18" t="str">
        <f>IF('Classe 5e'!$B59="","",N('Classe 5e'!P59))</f>
        <v/>
      </c>
    </row>
    <row r="780">
      <c r="A780" s="20" t="str">
        <f>IF('Classe 5e'!$B60="","",IF('Classe 5e'!A60="","",'Classe 5e'!A60))</f>
        <v/>
      </c>
      <c r="B780" s="20" t="str">
        <f>IF('Classe 5e'!$B60="","",IF('Classe 5e'!B60="","",'Classe 5e'!B60))</f>
        <v/>
      </c>
      <c r="C780" s="20" t="str">
        <f>IF('Classe 5e'!$B60="","",IF('Classe 5e'!C60="","",'Classe 5e'!C60))</f>
        <v/>
      </c>
      <c r="D780" s="20" t="str">
        <f>IF($B780="","",C780&amp;" "&amp;B780&amp;" - "&amp;E780)</f>
        <v/>
      </c>
      <c r="E780" s="21" t="str">
        <f>IF($B780="","",Paramètres!$A$24)</f>
        <v/>
      </c>
      <c r="F780" s="21" t="str">
        <f>IF($B780="","",Paramètres!$B$24)</f>
        <v/>
      </c>
      <c r="G780" s="21" t="str">
        <f>IF('Classe 5e'!$B60="","",IF('Classe 5e'!D60="","",'Classe 5e'!D60))</f>
        <v/>
      </c>
      <c r="H780" s="77" t="str">
        <f>IF('Classe 5e'!$B60="","",IF('Classe 5e'!E60="","",'Classe 5e'!E60))</f>
        <v/>
      </c>
      <c r="I780" s="20" t="str">
        <f>IF('Classe 5e'!$B60="","",IF('Classe 5e'!F60="","",'Classe 5e'!F60))</f>
        <v/>
      </c>
      <c r="J780" s="20" t="str">
        <f>IF('Classe 5e'!$B60="","",IF('Classe 5e'!G60="","",'Classe 5e'!G60))</f>
        <v/>
      </c>
      <c r="K780" s="51" t="str">
        <f>IF('Classe 5e'!$B60="","",N('Classe 5e'!H60))</f>
        <v/>
      </c>
      <c r="L780" s="51" t="str">
        <f>IF('Classe 5e'!$B60="","",N('Classe 5e'!I60))</f>
        <v/>
      </c>
      <c r="M780" s="51" t="str">
        <f>IF('Classe 5e'!$B60="","",N('Classe 5e'!J60))</f>
        <v/>
      </c>
      <c r="N780" s="51" t="str">
        <f>IF('Classe 5e'!$B60="","",N('Classe 5e'!K60))</f>
        <v/>
      </c>
      <c r="O780" s="51" t="str">
        <f>IF('Classe 5e'!$B60="","",N('Classe 5e'!L60))</f>
        <v/>
      </c>
      <c r="P780" s="51" t="str">
        <f>IF('Classe 5e'!$B60="","",N('Classe 5e'!M60))</f>
        <v/>
      </c>
      <c r="Q780" s="21" t="str">
        <f>IF('Classe 5e'!$B60="","",IF('Classe 5e'!Q60="","",'Classe 5e'!Q60))</f>
        <v/>
      </c>
      <c r="R780" s="51" t="str">
        <f>IF('Classe 5e'!$B60="","",N('Classe 5e'!N60))</f>
        <v/>
      </c>
      <c r="S780" s="51" t="str">
        <f>IF('Classe 5e'!$B60="","",N('Classe 5e'!O60))</f>
        <v/>
      </c>
      <c r="T780" s="51" t="str">
        <f>IF('Classe 5e'!$B60="","",N('Classe 5e'!P60))</f>
        <v/>
      </c>
    </row>
    <row r="781">
      <c r="A781" s="16" t="str">
        <f>IF('Classe 5e'!$B61="","",IF('Classe 5e'!A61="","",'Classe 5e'!A61))</f>
        <v/>
      </c>
      <c r="B781" s="16" t="str">
        <f>IF('Classe 5e'!$B61="","",IF('Classe 5e'!B61="","",'Classe 5e'!B61))</f>
        <v/>
      </c>
      <c r="C781" s="16" t="str">
        <f>IF('Classe 5e'!$B61="","",IF('Classe 5e'!C61="","",'Classe 5e'!C61))</f>
        <v/>
      </c>
      <c r="D781" s="16" t="str">
        <f>IF($B781="","",C781&amp;" "&amp;B781&amp;" - "&amp;E781)</f>
        <v/>
      </c>
      <c r="E781" s="17" t="str">
        <f>IF($B781="","",Paramètres!$A$24)</f>
        <v/>
      </c>
      <c r="F781" s="17" t="str">
        <f>IF($B781="","",Paramètres!$B$24)</f>
        <v/>
      </c>
      <c r="G781" s="17" t="str">
        <f>IF('Classe 5e'!$B61="","",IF('Classe 5e'!D61="","",'Classe 5e'!D61))</f>
        <v/>
      </c>
      <c r="H781" s="78" t="str">
        <f>IF('Classe 5e'!$B61="","",IF('Classe 5e'!E61="","",'Classe 5e'!E61))</f>
        <v/>
      </c>
      <c r="I781" s="16" t="str">
        <f>IF('Classe 5e'!$B61="","",IF('Classe 5e'!F61="","",'Classe 5e'!F61))</f>
        <v/>
      </c>
      <c r="J781" s="16" t="str">
        <f>IF('Classe 5e'!$B61="","",IF('Classe 5e'!G61="","",'Classe 5e'!G61))</f>
        <v/>
      </c>
      <c r="K781" s="18" t="str">
        <f>IF('Classe 5e'!$B61="","",N('Classe 5e'!H61))</f>
        <v/>
      </c>
      <c r="L781" s="18" t="str">
        <f>IF('Classe 5e'!$B61="","",N('Classe 5e'!I61))</f>
        <v/>
      </c>
      <c r="M781" s="18" t="str">
        <f>IF('Classe 5e'!$B61="","",N('Classe 5e'!J61))</f>
        <v/>
      </c>
      <c r="N781" s="18" t="str">
        <f>IF('Classe 5e'!$B61="","",N('Classe 5e'!K61))</f>
        <v/>
      </c>
      <c r="O781" s="18" t="str">
        <f>IF('Classe 5e'!$B61="","",N('Classe 5e'!L61))</f>
        <v/>
      </c>
      <c r="P781" s="18" t="str">
        <f>IF('Classe 5e'!$B61="","",N('Classe 5e'!M61))</f>
        <v/>
      </c>
      <c r="Q781" s="17" t="str">
        <f>IF('Classe 5e'!$B61="","",IF('Classe 5e'!Q61="","",'Classe 5e'!Q61))</f>
        <v/>
      </c>
      <c r="R781" s="18" t="str">
        <f>IF('Classe 5e'!$B61="","",N('Classe 5e'!N61))</f>
        <v/>
      </c>
      <c r="S781" s="18" t="str">
        <f>IF('Classe 5e'!$B61="","",N('Classe 5e'!O61))</f>
        <v/>
      </c>
      <c r="T781" s="18" t="str">
        <f>IF('Classe 5e'!$B61="","",N('Classe 5e'!P61))</f>
        <v/>
      </c>
    </row>
    <row r="782">
      <c r="A782" s="20" t="str">
        <f>IF('Classe 5e'!$B62="","",IF('Classe 5e'!A62="","",'Classe 5e'!A62))</f>
        <v/>
      </c>
      <c r="B782" s="20" t="str">
        <f>IF('Classe 5e'!$B62="","",IF('Classe 5e'!B62="","",'Classe 5e'!B62))</f>
        <v/>
      </c>
      <c r="C782" s="20" t="str">
        <f>IF('Classe 5e'!$B62="","",IF('Classe 5e'!C62="","",'Classe 5e'!C62))</f>
        <v/>
      </c>
      <c r="D782" s="20" t="str">
        <f>IF($B782="","",C782&amp;" "&amp;B782&amp;" - "&amp;E782)</f>
        <v/>
      </c>
      <c r="E782" s="21" t="str">
        <f>IF($B782="","",Paramètres!$A$24)</f>
        <v/>
      </c>
      <c r="F782" s="21" t="str">
        <f>IF($B782="","",Paramètres!$B$24)</f>
        <v/>
      </c>
      <c r="G782" s="21" t="str">
        <f>IF('Classe 5e'!$B62="","",IF('Classe 5e'!D62="","",'Classe 5e'!D62))</f>
        <v/>
      </c>
      <c r="H782" s="77" t="str">
        <f>IF('Classe 5e'!$B62="","",IF('Classe 5e'!E62="","",'Classe 5e'!E62))</f>
        <v/>
      </c>
      <c r="I782" s="20" t="str">
        <f>IF('Classe 5e'!$B62="","",IF('Classe 5e'!F62="","",'Classe 5e'!F62))</f>
        <v/>
      </c>
      <c r="J782" s="20" t="str">
        <f>IF('Classe 5e'!$B62="","",IF('Classe 5e'!G62="","",'Classe 5e'!G62))</f>
        <v/>
      </c>
      <c r="K782" s="51" t="str">
        <f>IF('Classe 5e'!$B62="","",N('Classe 5e'!H62))</f>
        <v/>
      </c>
      <c r="L782" s="51" t="str">
        <f>IF('Classe 5e'!$B62="","",N('Classe 5e'!I62))</f>
        <v/>
      </c>
      <c r="M782" s="51" t="str">
        <f>IF('Classe 5e'!$B62="","",N('Classe 5e'!J62))</f>
        <v/>
      </c>
      <c r="N782" s="51" t="str">
        <f>IF('Classe 5e'!$B62="","",N('Classe 5e'!K62))</f>
        <v/>
      </c>
      <c r="O782" s="51" t="str">
        <f>IF('Classe 5e'!$B62="","",N('Classe 5e'!L62))</f>
        <v/>
      </c>
      <c r="P782" s="51" t="str">
        <f>IF('Classe 5e'!$B62="","",N('Classe 5e'!M62))</f>
        <v/>
      </c>
      <c r="Q782" s="21" t="str">
        <f>IF('Classe 5e'!$B62="","",IF('Classe 5e'!Q62="","",'Classe 5e'!Q62))</f>
        <v/>
      </c>
      <c r="R782" s="51" t="str">
        <f>IF('Classe 5e'!$B62="","",N('Classe 5e'!N62))</f>
        <v/>
      </c>
      <c r="S782" s="51" t="str">
        <f>IF('Classe 5e'!$B62="","",N('Classe 5e'!O62))</f>
        <v/>
      </c>
      <c r="T782" s="51" t="str">
        <f>IF('Classe 5e'!$B62="","",N('Classe 5e'!P62))</f>
        <v/>
      </c>
    </row>
    <row r="783">
      <c r="A783" s="16" t="str">
        <f>IF('Classe 5e'!$B63="","",IF('Classe 5e'!A63="","",'Classe 5e'!A63))</f>
        <v/>
      </c>
      <c r="B783" s="16" t="str">
        <f>IF('Classe 5e'!$B63="","",IF('Classe 5e'!B63="","",'Classe 5e'!B63))</f>
        <v/>
      </c>
      <c r="C783" s="16" t="str">
        <f>IF('Classe 5e'!$B63="","",IF('Classe 5e'!C63="","",'Classe 5e'!C63))</f>
        <v/>
      </c>
      <c r="D783" s="16" t="str">
        <f>IF($B783="","",C783&amp;" "&amp;B783&amp;" - "&amp;E783)</f>
        <v/>
      </c>
      <c r="E783" s="17" t="str">
        <f>IF($B783="","",Paramètres!$A$24)</f>
        <v/>
      </c>
      <c r="F783" s="17" t="str">
        <f>IF($B783="","",Paramètres!$B$24)</f>
        <v/>
      </c>
      <c r="G783" s="17" t="str">
        <f>IF('Classe 5e'!$B63="","",IF('Classe 5e'!D63="","",'Classe 5e'!D63))</f>
        <v/>
      </c>
      <c r="H783" s="78" t="str">
        <f>IF('Classe 5e'!$B63="","",IF('Classe 5e'!E63="","",'Classe 5e'!E63))</f>
        <v/>
      </c>
      <c r="I783" s="16" t="str">
        <f>IF('Classe 5e'!$B63="","",IF('Classe 5e'!F63="","",'Classe 5e'!F63))</f>
        <v/>
      </c>
      <c r="J783" s="16" t="str">
        <f>IF('Classe 5e'!$B63="","",IF('Classe 5e'!G63="","",'Classe 5e'!G63))</f>
        <v/>
      </c>
      <c r="K783" s="18" t="str">
        <f>IF('Classe 5e'!$B63="","",N('Classe 5e'!H63))</f>
        <v/>
      </c>
      <c r="L783" s="18" t="str">
        <f>IF('Classe 5e'!$B63="","",N('Classe 5e'!I63))</f>
        <v/>
      </c>
      <c r="M783" s="18" t="str">
        <f>IF('Classe 5e'!$B63="","",N('Classe 5e'!J63))</f>
        <v/>
      </c>
      <c r="N783" s="18" t="str">
        <f>IF('Classe 5e'!$B63="","",N('Classe 5e'!K63))</f>
        <v/>
      </c>
      <c r="O783" s="18" t="str">
        <f>IF('Classe 5e'!$B63="","",N('Classe 5e'!L63))</f>
        <v/>
      </c>
      <c r="P783" s="18" t="str">
        <f>IF('Classe 5e'!$B63="","",N('Classe 5e'!M63))</f>
        <v/>
      </c>
      <c r="Q783" s="17" t="str">
        <f>IF('Classe 5e'!$B63="","",IF('Classe 5e'!Q63="","",'Classe 5e'!Q63))</f>
        <v/>
      </c>
      <c r="R783" s="18" t="str">
        <f>IF('Classe 5e'!$B63="","",N('Classe 5e'!N63))</f>
        <v/>
      </c>
      <c r="S783" s="18" t="str">
        <f>IF('Classe 5e'!$B63="","",N('Classe 5e'!O63))</f>
        <v/>
      </c>
      <c r="T783" s="18" t="str">
        <f>IF('Classe 5e'!$B63="","",N('Classe 5e'!P63))</f>
        <v/>
      </c>
    </row>
    <row r="784">
      <c r="A784" s="20" t="str">
        <f>IF('Classe 5e'!$B64="","",IF('Classe 5e'!A64="","",'Classe 5e'!A64))</f>
        <v/>
      </c>
      <c r="B784" s="20" t="str">
        <f>IF('Classe 5e'!$B64="","",IF('Classe 5e'!B64="","",'Classe 5e'!B64))</f>
        <v/>
      </c>
      <c r="C784" s="20" t="str">
        <f>IF('Classe 5e'!$B64="","",IF('Classe 5e'!C64="","",'Classe 5e'!C64))</f>
        <v/>
      </c>
      <c r="D784" s="20" t="str">
        <f>IF($B784="","",C784&amp;" "&amp;B784&amp;" - "&amp;E784)</f>
        <v/>
      </c>
      <c r="E784" s="21" t="str">
        <f>IF($B784="","",Paramètres!$A$24)</f>
        <v/>
      </c>
      <c r="F784" s="21" t="str">
        <f>IF($B784="","",Paramètres!$B$24)</f>
        <v/>
      </c>
      <c r="G784" s="21" t="str">
        <f>IF('Classe 5e'!$B64="","",IF('Classe 5e'!D64="","",'Classe 5e'!D64))</f>
        <v/>
      </c>
      <c r="H784" s="77" t="str">
        <f>IF('Classe 5e'!$B64="","",IF('Classe 5e'!E64="","",'Classe 5e'!E64))</f>
        <v/>
      </c>
      <c r="I784" s="20" t="str">
        <f>IF('Classe 5e'!$B64="","",IF('Classe 5e'!F64="","",'Classe 5e'!F64))</f>
        <v/>
      </c>
      <c r="J784" s="20" t="str">
        <f>IF('Classe 5e'!$B64="","",IF('Classe 5e'!G64="","",'Classe 5e'!G64))</f>
        <v/>
      </c>
      <c r="K784" s="51" t="str">
        <f>IF('Classe 5e'!$B64="","",N('Classe 5e'!H64))</f>
        <v/>
      </c>
      <c r="L784" s="51" t="str">
        <f>IF('Classe 5e'!$B64="","",N('Classe 5e'!I64))</f>
        <v/>
      </c>
      <c r="M784" s="51" t="str">
        <f>IF('Classe 5e'!$B64="","",N('Classe 5e'!J64))</f>
        <v/>
      </c>
      <c r="N784" s="51" t="str">
        <f>IF('Classe 5e'!$B64="","",N('Classe 5e'!K64))</f>
        <v/>
      </c>
      <c r="O784" s="51" t="str">
        <f>IF('Classe 5e'!$B64="","",N('Classe 5e'!L64))</f>
        <v/>
      </c>
      <c r="P784" s="51" t="str">
        <f>IF('Classe 5e'!$B64="","",N('Classe 5e'!M64))</f>
        <v/>
      </c>
      <c r="Q784" s="21" t="str">
        <f>IF('Classe 5e'!$B64="","",IF('Classe 5e'!Q64="","",'Classe 5e'!Q64))</f>
        <v/>
      </c>
      <c r="R784" s="51" t="str">
        <f>IF('Classe 5e'!$B64="","",N('Classe 5e'!N64))</f>
        <v/>
      </c>
      <c r="S784" s="51" t="str">
        <f>IF('Classe 5e'!$B64="","",N('Classe 5e'!O64))</f>
        <v/>
      </c>
      <c r="T784" s="51" t="str">
        <f>IF('Classe 5e'!$B64="","",N('Classe 5e'!P64))</f>
        <v/>
      </c>
    </row>
    <row r="785">
      <c r="A785" s="16" t="str">
        <f>IF('Classe 5e'!$B65="","",IF('Classe 5e'!A65="","",'Classe 5e'!A65))</f>
        <v/>
      </c>
      <c r="B785" s="16" t="str">
        <f>IF('Classe 5e'!$B65="","",IF('Classe 5e'!B65="","",'Classe 5e'!B65))</f>
        <v/>
      </c>
      <c r="C785" s="16" t="str">
        <f>IF('Classe 5e'!$B65="","",IF('Classe 5e'!C65="","",'Classe 5e'!C65))</f>
        <v/>
      </c>
      <c r="D785" s="16" t="str">
        <f>IF($B785="","",C785&amp;" "&amp;B785&amp;" - "&amp;E785)</f>
        <v/>
      </c>
      <c r="E785" s="17" t="str">
        <f>IF($B785="","",Paramètres!$A$24)</f>
        <v/>
      </c>
      <c r="F785" s="17" t="str">
        <f>IF($B785="","",Paramètres!$B$24)</f>
        <v/>
      </c>
      <c r="G785" s="17" t="str">
        <f>IF('Classe 5e'!$B65="","",IF('Classe 5e'!D65="","",'Classe 5e'!D65))</f>
        <v/>
      </c>
      <c r="H785" s="78" t="str">
        <f>IF('Classe 5e'!$B65="","",IF('Classe 5e'!E65="","",'Classe 5e'!E65))</f>
        <v/>
      </c>
      <c r="I785" s="16" t="str">
        <f>IF('Classe 5e'!$B65="","",IF('Classe 5e'!F65="","",'Classe 5e'!F65))</f>
        <v/>
      </c>
      <c r="J785" s="16" t="str">
        <f>IF('Classe 5e'!$B65="","",IF('Classe 5e'!G65="","",'Classe 5e'!G65))</f>
        <v/>
      </c>
      <c r="K785" s="18" t="str">
        <f>IF('Classe 5e'!$B65="","",N('Classe 5e'!H65))</f>
        <v/>
      </c>
      <c r="L785" s="18" t="str">
        <f>IF('Classe 5e'!$B65="","",N('Classe 5e'!I65))</f>
        <v/>
      </c>
      <c r="M785" s="18" t="str">
        <f>IF('Classe 5e'!$B65="","",N('Classe 5e'!J65))</f>
        <v/>
      </c>
      <c r="N785" s="18" t="str">
        <f>IF('Classe 5e'!$B65="","",N('Classe 5e'!K65))</f>
        <v/>
      </c>
      <c r="O785" s="18" t="str">
        <f>IF('Classe 5e'!$B65="","",N('Classe 5e'!L65))</f>
        <v/>
      </c>
      <c r="P785" s="18" t="str">
        <f>IF('Classe 5e'!$B65="","",N('Classe 5e'!M65))</f>
        <v/>
      </c>
      <c r="Q785" s="17" t="str">
        <f>IF('Classe 5e'!$B65="","",IF('Classe 5e'!Q65="","",'Classe 5e'!Q65))</f>
        <v/>
      </c>
      <c r="R785" s="18" t="str">
        <f>IF('Classe 5e'!$B65="","",N('Classe 5e'!N65))</f>
        <v/>
      </c>
      <c r="S785" s="18" t="str">
        <f>IF('Classe 5e'!$B65="","",N('Classe 5e'!O65))</f>
        <v/>
      </c>
      <c r="T785" s="18" t="str">
        <f>IF('Classe 5e'!$B65="","",N('Classe 5e'!P65))</f>
        <v/>
      </c>
    </row>
    <row r="786">
      <c r="A786" s="20" t="str">
        <f>IF('Classe 5e'!$B66="","",IF('Classe 5e'!A66="","",'Classe 5e'!A66))</f>
        <v/>
      </c>
      <c r="B786" s="20" t="str">
        <f>IF('Classe 5e'!$B66="","",IF('Classe 5e'!B66="","",'Classe 5e'!B66))</f>
        <v/>
      </c>
      <c r="C786" s="20" t="str">
        <f>IF('Classe 5e'!$B66="","",IF('Classe 5e'!C66="","",'Classe 5e'!C66))</f>
        <v/>
      </c>
      <c r="D786" s="20" t="str">
        <f>IF($B786="","",C786&amp;" "&amp;B786&amp;" - "&amp;E786)</f>
        <v/>
      </c>
      <c r="E786" s="21" t="str">
        <f>IF($B786="","",Paramètres!$A$24)</f>
        <v/>
      </c>
      <c r="F786" s="21" t="str">
        <f>IF($B786="","",Paramètres!$B$24)</f>
        <v/>
      </c>
      <c r="G786" s="21" t="str">
        <f>IF('Classe 5e'!$B66="","",IF('Classe 5e'!D66="","",'Classe 5e'!D66))</f>
        <v/>
      </c>
      <c r="H786" s="77" t="str">
        <f>IF('Classe 5e'!$B66="","",IF('Classe 5e'!E66="","",'Classe 5e'!E66))</f>
        <v/>
      </c>
      <c r="I786" s="20" t="str">
        <f>IF('Classe 5e'!$B66="","",IF('Classe 5e'!F66="","",'Classe 5e'!F66))</f>
        <v/>
      </c>
      <c r="J786" s="20" t="str">
        <f>IF('Classe 5e'!$B66="","",IF('Classe 5e'!G66="","",'Classe 5e'!G66))</f>
        <v/>
      </c>
      <c r="K786" s="51" t="str">
        <f>IF('Classe 5e'!$B66="","",N('Classe 5e'!H66))</f>
        <v/>
      </c>
      <c r="L786" s="51" t="str">
        <f>IF('Classe 5e'!$B66="","",N('Classe 5e'!I66))</f>
        <v/>
      </c>
      <c r="M786" s="51" t="str">
        <f>IF('Classe 5e'!$B66="","",N('Classe 5e'!J66))</f>
        <v/>
      </c>
      <c r="N786" s="51" t="str">
        <f>IF('Classe 5e'!$B66="","",N('Classe 5e'!K66))</f>
        <v/>
      </c>
      <c r="O786" s="51" t="str">
        <f>IF('Classe 5e'!$B66="","",N('Classe 5e'!L66))</f>
        <v/>
      </c>
      <c r="P786" s="51" t="str">
        <f>IF('Classe 5e'!$B66="","",N('Classe 5e'!M66))</f>
        <v/>
      </c>
      <c r="Q786" s="21" t="str">
        <f>IF('Classe 5e'!$B66="","",IF('Classe 5e'!Q66="","",'Classe 5e'!Q66))</f>
        <v/>
      </c>
      <c r="R786" s="51" t="str">
        <f>IF('Classe 5e'!$B66="","",N('Classe 5e'!N66))</f>
        <v/>
      </c>
      <c r="S786" s="51" t="str">
        <f>IF('Classe 5e'!$B66="","",N('Classe 5e'!O66))</f>
        <v/>
      </c>
      <c r="T786" s="51" t="str">
        <f>IF('Classe 5e'!$B66="","",N('Classe 5e'!P66))</f>
        <v/>
      </c>
    </row>
    <row r="787">
      <c r="A787" s="16" t="str">
        <f>IF('Classe 5e'!$B67="","",IF('Classe 5e'!A67="","",'Classe 5e'!A67))</f>
        <v/>
      </c>
      <c r="B787" s="16" t="str">
        <f>IF('Classe 5e'!$B67="","",IF('Classe 5e'!B67="","",'Classe 5e'!B67))</f>
        <v/>
      </c>
      <c r="C787" s="16" t="str">
        <f>IF('Classe 5e'!$B67="","",IF('Classe 5e'!C67="","",'Classe 5e'!C67))</f>
        <v/>
      </c>
      <c r="D787" s="16" t="str">
        <f>IF($B787="","",C787&amp;" "&amp;B787&amp;" - "&amp;E787)</f>
        <v/>
      </c>
      <c r="E787" s="17" t="str">
        <f>IF($B787="","",Paramètres!$A$24)</f>
        <v/>
      </c>
      <c r="F787" s="17" t="str">
        <f>IF($B787="","",Paramètres!$B$24)</f>
        <v/>
      </c>
      <c r="G787" s="17" t="str">
        <f>IF('Classe 5e'!$B67="","",IF('Classe 5e'!D67="","",'Classe 5e'!D67))</f>
        <v/>
      </c>
      <c r="H787" s="78" t="str">
        <f>IF('Classe 5e'!$B67="","",IF('Classe 5e'!E67="","",'Classe 5e'!E67))</f>
        <v/>
      </c>
      <c r="I787" s="16" t="str">
        <f>IF('Classe 5e'!$B67="","",IF('Classe 5e'!F67="","",'Classe 5e'!F67))</f>
        <v/>
      </c>
      <c r="J787" s="16" t="str">
        <f>IF('Classe 5e'!$B67="","",IF('Classe 5e'!G67="","",'Classe 5e'!G67))</f>
        <v/>
      </c>
      <c r="K787" s="18" t="str">
        <f>IF('Classe 5e'!$B67="","",N('Classe 5e'!H67))</f>
        <v/>
      </c>
      <c r="L787" s="18" t="str">
        <f>IF('Classe 5e'!$B67="","",N('Classe 5e'!I67))</f>
        <v/>
      </c>
      <c r="M787" s="18" t="str">
        <f>IF('Classe 5e'!$B67="","",N('Classe 5e'!J67))</f>
        <v/>
      </c>
      <c r="N787" s="18" t="str">
        <f>IF('Classe 5e'!$B67="","",N('Classe 5e'!K67))</f>
        <v/>
      </c>
      <c r="O787" s="18" t="str">
        <f>IF('Classe 5e'!$B67="","",N('Classe 5e'!L67))</f>
        <v/>
      </c>
      <c r="P787" s="18" t="str">
        <f>IF('Classe 5e'!$B67="","",N('Classe 5e'!M67))</f>
        <v/>
      </c>
      <c r="Q787" s="17" t="str">
        <f>IF('Classe 5e'!$B67="","",IF('Classe 5e'!Q67="","",'Classe 5e'!Q67))</f>
        <v/>
      </c>
      <c r="R787" s="18" t="str">
        <f>IF('Classe 5e'!$B67="","",N('Classe 5e'!N67))</f>
        <v/>
      </c>
      <c r="S787" s="18" t="str">
        <f>IF('Classe 5e'!$B67="","",N('Classe 5e'!O67))</f>
        <v/>
      </c>
      <c r="T787" s="18" t="str">
        <f>IF('Classe 5e'!$B67="","",N('Classe 5e'!P67))</f>
        <v/>
      </c>
    </row>
    <row r="788">
      <c r="A788" s="20" t="str">
        <f>IF('Classe 5e'!$B68="","",IF('Classe 5e'!A68="","",'Classe 5e'!A68))</f>
        <v/>
      </c>
      <c r="B788" s="20" t="str">
        <f>IF('Classe 5e'!$B68="","",IF('Classe 5e'!B68="","",'Classe 5e'!B68))</f>
        <v/>
      </c>
      <c r="C788" s="20" t="str">
        <f>IF('Classe 5e'!$B68="","",IF('Classe 5e'!C68="","",'Classe 5e'!C68))</f>
        <v/>
      </c>
      <c r="D788" s="20" t="str">
        <f>IF($B788="","",C788&amp;" "&amp;B788&amp;" - "&amp;E788)</f>
        <v/>
      </c>
      <c r="E788" s="21" t="str">
        <f>IF($B788="","",Paramètres!$A$24)</f>
        <v/>
      </c>
      <c r="F788" s="21" t="str">
        <f>IF($B788="","",Paramètres!$B$24)</f>
        <v/>
      </c>
      <c r="G788" s="21" t="str">
        <f>IF('Classe 5e'!$B68="","",IF('Classe 5e'!D68="","",'Classe 5e'!D68))</f>
        <v/>
      </c>
      <c r="H788" s="77" t="str">
        <f>IF('Classe 5e'!$B68="","",IF('Classe 5e'!E68="","",'Classe 5e'!E68))</f>
        <v/>
      </c>
      <c r="I788" s="20" t="str">
        <f>IF('Classe 5e'!$B68="","",IF('Classe 5e'!F68="","",'Classe 5e'!F68))</f>
        <v/>
      </c>
      <c r="J788" s="20" t="str">
        <f>IF('Classe 5e'!$B68="","",IF('Classe 5e'!G68="","",'Classe 5e'!G68))</f>
        <v/>
      </c>
      <c r="K788" s="51" t="str">
        <f>IF('Classe 5e'!$B68="","",N('Classe 5e'!H68))</f>
        <v/>
      </c>
      <c r="L788" s="51" t="str">
        <f>IF('Classe 5e'!$B68="","",N('Classe 5e'!I68))</f>
        <v/>
      </c>
      <c r="M788" s="51" t="str">
        <f>IF('Classe 5e'!$B68="","",N('Classe 5e'!J68))</f>
        <v/>
      </c>
      <c r="N788" s="51" t="str">
        <f>IF('Classe 5e'!$B68="","",N('Classe 5e'!K68))</f>
        <v/>
      </c>
      <c r="O788" s="51" t="str">
        <f>IF('Classe 5e'!$B68="","",N('Classe 5e'!L68))</f>
        <v/>
      </c>
      <c r="P788" s="51" t="str">
        <f>IF('Classe 5e'!$B68="","",N('Classe 5e'!M68))</f>
        <v/>
      </c>
      <c r="Q788" s="21" t="str">
        <f>IF('Classe 5e'!$B68="","",IF('Classe 5e'!Q68="","",'Classe 5e'!Q68))</f>
        <v/>
      </c>
      <c r="R788" s="51" t="str">
        <f>IF('Classe 5e'!$B68="","",N('Classe 5e'!N68))</f>
        <v/>
      </c>
      <c r="S788" s="51" t="str">
        <f>IF('Classe 5e'!$B68="","",N('Classe 5e'!O68))</f>
        <v/>
      </c>
      <c r="T788" s="51" t="str">
        <f>IF('Classe 5e'!$B68="","",N('Classe 5e'!P68))</f>
        <v/>
      </c>
    </row>
    <row r="789">
      <c r="A789" s="16" t="str">
        <f>IF('Classe 5e'!$B69="","",IF('Classe 5e'!A69="","",'Classe 5e'!A69))</f>
        <v/>
      </c>
      <c r="B789" s="16" t="str">
        <f>IF('Classe 5e'!$B69="","",IF('Classe 5e'!B69="","",'Classe 5e'!B69))</f>
        <v/>
      </c>
      <c r="C789" s="16" t="str">
        <f>IF('Classe 5e'!$B69="","",IF('Classe 5e'!C69="","",'Classe 5e'!C69))</f>
        <v/>
      </c>
      <c r="D789" s="16" t="str">
        <f>IF($B789="","",C789&amp;" "&amp;B789&amp;" - "&amp;E789)</f>
        <v/>
      </c>
      <c r="E789" s="17" t="str">
        <f>IF($B789="","",Paramètres!$A$24)</f>
        <v/>
      </c>
      <c r="F789" s="17" t="str">
        <f>IF($B789="","",Paramètres!$B$24)</f>
        <v/>
      </c>
      <c r="G789" s="17" t="str">
        <f>IF('Classe 5e'!$B69="","",IF('Classe 5e'!D69="","",'Classe 5e'!D69))</f>
        <v/>
      </c>
      <c r="H789" s="78" t="str">
        <f>IF('Classe 5e'!$B69="","",IF('Classe 5e'!E69="","",'Classe 5e'!E69))</f>
        <v/>
      </c>
      <c r="I789" s="16" t="str">
        <f>IF('Classe 5e'!$B69="","",IF('Classe 5e'!F69="","",'Classe 5e'!F69))</f>
        <v/>
      </c>
      <c r="J789" s="16" t="str">
        <f>IF('Classe 5e'!$B69="","",IF('Classe 5e'!G69="","",'Classe 5e'!G69))</f>
        <v/>
      </c>
      <c r="K789" s="18" t="str">
        <f>IF('Classe 5e'!$B69="","",N('Classe 5e'!H69))</f>
        <v/>
      </c>
      <c r="L789" s="18" t="str">
        <f>IF('Classe 5e'!$B69="","",N('Classe 5e'!I69))</f>
        <v/>
      </c>
      <c r="M789" s="18" t="str">
        <f>IF('Classe 5e'!$B69="","",N('Classe 5e'!J69))</f>
        <v/>
      </c>
      <c r="N789" s="18" t="str">
        <f>IF('Classe 5e'!$B69="","",N('Classe 5e'!K69))</f>
        <v/>
      </c>
      <c r="O789" s="18" t="str">
        <f>IF('Classe 5e'!$B69="","",N('Classe 5e'!L69))</f>
        <v/>
      </c>
      <c r="P789" s="18" t="str">
        <f>IF('Classe 5e'!$B69="","",N('Classe 5e'!M69))</f>
        <v/>
      </c>
      <c r="Q789" s="17" t="str">
        <f>IF('Classe 5e'!$B69="","",IF('Classe 5e'!Q69="","",'Classe 5e'!Q69))</f>
        <v/>
      </c>
      <c r="R789" s="18" t="str">
        <f>IF('Classe 5e'!$B69="","",N('Classe 5e'!N69))</f>
        <v/>
      </c>
      <c r="S789" s="18" t="str">
        <f>IF('Classe 5e'!$B69="","",N('Classe 5e'!O69))</f>
        <v/>
      </c>
      <c r="T789" s="18" t="str">
        <f>IF('Classe 5e'!$B69="","",N('Classe 5e'!P69))</f>
        <v/>
      </c>
    </row>
    <row r="790">
      <c r="A790" s="20" t="str">
        <f>IF('Classe 5e'!$B70="","",IF('Classe 5e'!A70="","",'Classe 5e'!A70))</f>
        <v/>
      </c>
      <c r="B790" s="20" t="str">
        <f>IF('Classe 5e'!$B70="","",IF('Classe 5e'!B70="","",'Classe 5e'!B70))</f>
        <v/>
      </c>
      <c r="C790" s="20" t="str">
        <f>IF('Classe 5e'!$B70="","",IF('Classe 5e'!C70="","",'Classe 5e'!C70))</f>
        <v/>
      </c>
      <c r="D790" s="20" t="str">
        <f>IF($B790="","",C790&amp;" "&amp;B790&amp;" - "&amp;E790)</f>
        <v/>
      </c>
      <c r="E790" s="21" t="str">
        <f>IF($B790="","",Paramètres!$A$24)</f>
        <v/>
      </c>
      <c r="F790" s="21" t="str">
        <f>IF($B790="","",Paramètres!$B$24)</f>
        <v/>
      </c>
      <c r="G790" s="21" t="str">
        <f>IF('Classe 5e'!$B70="","",IF('Classe 5e'!D70="","",'Classe 5e'!D70))</f>
        <v/>
      </c>
      <c r="H790" s="77" t="str">
        <f>IF('Classe 5e'!$B70="","",IF('Classe 5e'!E70="","",'Classe 5e'!E70))</f>
        <v/>
      </c>
      <c r="I790" s="20" t="str">
        <f>IF('Classe 5e'!$B70="","",IF('Classe 5e'!F70="","",'Classe 5e'!F70))</f>
        <v/>
      </c>
      <c r="J790" s="20" t="str">
        <f>IF('Classe 5e'!$B70="","",IF('Classe 5e'!G70="","",'Classe 5e'!G70))</f>
        <v/>
      </c>
      <c r="K790" s="51" t="str">
        <f>IF('Classe 5e'!$B70="","",N('Classe 5e'!H70))</f>
        <v/>
      </c>
      <c r="L790" s="51" t="str">
        <f>IF('Classe 5e'!$B70="","",N('Classe 5e'!I70))</f>
        <v/>
      </c>
      <c r="M790" s="51" t="str">
        <f>IF('Classe 5e'!$B70="","",N('Classe 5e'!J70))</f>
        <v/>
      </c>
      <c r="N790" s="51" t="str">
        <f>IF('Classe 5e'!$B70="","",N('Classe 5e'!K70))</f>
        <v/>
      </c>
      <c r="O790" s="51" t="str">
        <f>IF('Classe 5e'!$B70="","",N('Classe 5e'!L70))</f>
        <v/>
      </c>
      <c r="P790" s="51" t="str">
        <f>IF('Classe 5e'!$B70="","",N('Classe 5e'!M70))</f>
        <v/>
      </c>
      <c r="Q790" s="21" t="str">
        <f>IF('Classe 5e'!$B70="","",IF('Classe 5e'!Q70="","",'Classe 5e'!Q70))</f>
        <v/>
      </c>
      <c r="R790" s="51" t="str">
        <f>IF('Classe 5e'!$B70="","",N('Classe 5e'!N70))</f>
        <v/>
      </c>
      <c r="S790" s="51" t="str">
        <f>IF('Classe 5e'!$B70="","",N('Classe 5e'!O70))</f>
        <v/>
      </c>
      <c r="T790" s="51" t="str">
        <f>IF('Classe 5e'!$B70="","",N('Classe 5e'!P70))</f>
        <v/>
      </c>
    </row>
    <row r="791">
      <c r="A791" s="16" t="str">
        <f>IF('Classe 5e'!$B71="","",IF('Classe 5e'!A71="","",'Classe 5e'!A71))</f>
        <v/>
      </c>
      <c r="B791" s="16" t="str">
        <f>IF('Classe 5e'!$B71="","",IF('Classe 5e'!B71="","",'Classe 5e'!B71))</f>
        <v/>
      </c>
      <c r="C791" s="16" t="str">
        <f>IF('Classe 5e'!$B71="","",IF('Classe 5e'!C71="","",'Classe 5e'!C71))</f>
        <v/>
      </c>
      <c r="D791" s="16" t="str">
        <f>IF($B791="","",C791&amp;" "&amp;B791&amp;" - "&amp;E791)</f>
        <v/>
      </c>
      <c r="E791" s="17" t="str">
        <f>IF($B791="","",Paramètres!$A$24)</f>
        <v/>
      </c>
      <c r="F791" s="17" t="str">
        <f>IF($B791="","",Paramètres!$B$24)</f>
        <v/>
      </c>
      <c r="G791" s="17" t="str">
        <f>IF('Classe 5e'!$B71="","",IF('Classe 5e'!D71="","",'Classe 5e'!D71))</f>
        <v/>
      </c>
      <c r="H791" s="78" t="str">
        <f>IF('Classe 5e'!$B71="","",IF('Classe 5e'!E71="","",'Classe 5e'!E71))</f>
        <v/>
      </c>
      <c r="I791" s="16" t="str">
        <f>IF('Classe 5e'!$B71="","",IF('Classe 5e'!F71="","",'Classe 5e'!F71))</f>
        <v/>
      </c>
      <c r="J791" s="16" t="str">
        <f>IF('Classe 5e'!$B71="","",IF('Classe 5e'!G71="","",'Classe 5e'!G71))</f>
        <v/>
      </c>
      <c r="K791" s="18" t="str">
        <f>IF('Classe 5e'!$B71="","",N('Classe 5e'!H71))</f>
        <v/>
      </c>
      <c r="L791" s="18" t="str">
        <f>IF('Classe 5e'!$B71="","",N('Classe 5e'!I71))</f>
        <v/>
      </c>
      <c r="M791" s="18" t="str">
        <f>IF('Classe 5e'!$B71="","",N('Classe 5e'!J71))</f>
        <v/>
      </c>
      <c r="N791" s="18" t="str">
        <f>IF('Classe 5e'!$B71="","",N('Classe 5e'!K71))</f>
        <v/>
      </c>
      <c r="O791" s="18" t="str">
        <f>IF('Classe 5e'!$B71="","",N('Classe 5e'!L71))</f>
        <v/>
      </c>
      <c r="P791" s="18" t="str">
        <f>IF('Classe 5e'!$B71="","",N('Classe 5e'!M71))</f>
        <v/>
      </c>
      <c r="Q791" s="17" t="str">
        <f>IF('Classe 5e'!$B71="","",IF('Classe 5e'!Q71="","",'Classe 5e'!Q71))</f>
        <v/>
      </c>
      <c r="R791" s="18" t="str">
        <f>IF('Classe 5e'!$B71="","",N('Classe 5e'!N71))</f>
        <v/>
      </c>
      <c r="S791" s="18" t="str">
        <f>IF('Classe 5e'!$B71="","",N('Classe 5e'!O71))</f>
        <v/>
      </c>
      <c r="T791" s="18" t="str">
        <f>IF('Classe 5e'!$B71="","",N('Classe 5e'!P71))</f>
        <v/>
      </c>
    </row>
    <row r="792">
      <c r="A792" s="20" t="str">
        <f>IF('Classe 5e'!$B72="","",IF('Classe 5e'!A72="","",'Classe 5e'!A72))</f>
        <v/>
      </c>
      <c r="B792" s="20" t="str">
        <f>IF('Classe 5e'!$B72="","",IF('Classe 5e'!B72="","",'Classe 5e'!B72))</f>
        <v/>
      </c>
      <c r="C792" s="20" t="str">
        <f>IF('Classe 5e'!$B72="","",IF('Classe 5e'!C72="","",'Classe 5e'!C72))</f>
        <v/>
      </c>
      <c r="D792" s="20" t="str">
        <f>IF($B792="","",C792&amp;" "&amp;B792&amp;" - "&amp;E792)</f>
        <v/>
      </c>
      <c r="E792" s="21" t="str">
        <f>IF($B792="","",Paramètres!$A$24)</f>
        <v/>
      </c>
      <c r="F792" s="21" t="str">
        <f>IF($B792="","",Paramètres!$B$24)</f>
        <v/>
      </c>
      <c r="G792" s="21" t="str">
        <f>IF('Classe 5e'!$B72="","",IF('Classe 5e'!D72="","",'Classe 5e'!D72))</f>
        <v/>
      </c>
      <c r="H792" s="77" t="str">
        <f>IF('Classe 5e'!$B72="","",IF('Classe 5e'!E72="","",'Classe 5e'!E72))</f>
        <v/>
      </c>
      <c r="I792" s="20" t="str">
        <f>IF('Classe 5e'!$B72="","",IF('Classe 5e'!F72="","",'Classe 5e'!F72))</f>
        <v/>
      </c>
      <c r="J792" s="20" t="str">
        <f>IF('Classe 5e'!$B72="","",IF('Classe 5e'!G72="","",'Classe 5e'!G72))</f>
        <v/>
      </c>
      <c r="K792" s="51" t="str">
        <f>IF('Classe 5e'!$B72="","",N('Classe 5e'!H72))</f>
        <v/>
      </c>
      <c r="L792" s="51" t="str">
        <f>IF('Classe 5e'!$B72="","",N('Classe 5e'!I72))</f>
        <v/>
      </c>
      <c r="M792" s="51" t="str">
        <f>IF('Classe 5e'!$B72="","",N('Classe 5e'!J72))</f>
        <v/>
      </c>
      <c r="N792" s="51" t="str">
        <f>IF('Classe 5e'!$B72="","",N('Classe 5e'!K72))</f>
        <v/>
      </c>
      <c r="O792" s="51" t="str">
        <f>IF('Classe 5e'!$B72="","",N('Classe 5e'!L72))</f>
        <v/>
      </c>
      <c r="P792" s="51" t="str">
        <f>IF('Classe 5e'!$B72="","",N('Classe 5e'!M72))</f>
        <v/>
      </c>
      <c r="Q792" s="21" t="str">
        <f>IF('Classe 5e'!$B72="","",IF('Classe 5e'!Q72="","",'Classe 5e'!Q72))</f>
        <v/>
      </c>
      <c r="R792" s="51" t="str">
        <f>IF('Classe 5e'!$B72="","",N('Classe 5e'!N72))</f>
        <v/>
      </c>
      <c r="S792" s="51" t="str">
        <f>IF('Classe 5e'!$B72="","",N('Classe 5e'!O72))</f>
        <v/>
      </c>
      <c r="T792" s="51" t="str">
        <f>IF('Classe 5e'!$B72="","",N('Classe 5e'!P72))</f>
        <v/>
      </c>
    </row>
    <row r="793">
      <c r="A793" s="16" t="str">
        <f>IF('Classe 5e'!$B73="","",IF('Classe 5e'!A73="","",'Classe 5e'!A73))</f>
        <v/>
      </c>
      <c r="B793" s="16" t="str">
        <f>IF('Classe 5e'!$B73="","",IF('Classe 5e'!B73="","",'Classe 5e'!B73))</f>
        <v/>
      </c>
      <c r="C793" s="16" t="str">
        <f>IF('Classe 5e'!$B73="","",IF('Classe 5e'!C73="","",'Classe 5e'!C73))</f>
        <v/>
      </c>
      <c r="D793" s="16" t="str">
        <f>IF($B793="","",C793&amp;" "&amp;B793&amp;" - "&amp;E793)</f>
        <v/>
      </c>
      <c r="E793" s="17" t="str">
        <f>IF($B793="","",Paramètres!$A$24)</f>
        <v/>
      </c>
      <c r="F793" s="17" t="str">
        <f>IF($B793="","",Paramètres!$B$24)</f>
        <v/>
      </c>
      <c r="G793" s="17" t="str">
        <f>IF('Classe 5e'!$B73="","",IF('Classe 5e'!D73="","",'Classe 5e'!D73))</f>
        <v/>
      </c>
      <c r="H793" s="78" t="str">
        <f>IF('Classe 5e'!$B73="","",IF('Classe 5e'!E73="","",'Classe 5e'!E73))</f>
        <v/>
      </c>
      <c r="I793" s="16" t="str">
        <f>IF('Classe 5e'!$B73="","",IF('Classe 5e'!F73="","",'Classe 5e'!F73))</f>
        <v/>
      </c>
      <c r="J793" s="16" t="str">
        <f>IF('Classe 5e'!$B73="","",IF('Classe 5e'!G73="","",'Classe 5e'!G73))</f>
        <v/>
      </c>
      <c r="K793" s="18" t="str">
        <f>IF('Classe 5e'!$B73="","",N('Classe 5e'!H73))</f>
        <v/>
      </c>
      <c r="L793" s="18" t="str">
        <f>IF('Classe 5e'!$B73="","",N('Classe 5e'!I73))</f>
        <v/>
      </c>
      <c r="M793" s="18" t="str">
        <f>IF('Classe 5e'!$B73="","",N('Classe 5e'!J73))</f>
        <v/>
      </c>
      <c r="N793" s="18" t="str">
        <f>IF('Classe 5e'!$B73="","",N('Classe 5e'!K73))</f>
        <v/>
      </c>
      <c r="O793" s="18" t="str">
        <f>IF('Classe 5e'!$B73="","",N('Classe 5e'!L73))</f>
        <v/>
      </c>
      <c r="P793" s="18" t="str">
        <f>IF('Classe 5e'!$B73="","",N('Classe 5e'!M73))</f>
        <v/>
      </c>
      <c r="Q793" s="17" t="str">
        <f>IF('Classe 5e'!$B73="","",IF('Classe 5e'!Q73="","",'Classe 5e'!Q73))</f>
        <v/>
      </c>
      <c r="R793" s="18" t="str">
        <f>IF('Classe 5e'!$B73="","",N('Classe 5e'!N73))</f>
        <v/>
      </c>
      <c r="S793" s="18" t="str">
        <f>IF('Classe 5e'!$B73="","",N('Classe 5e'!O73))</f>
        <v/>
      </c>
      <c r="T793" s="18" t="str">
        <f>IF('Classe 5e'!$B73="","",N('Classe 5e'!P73))</f>
        <v/>
      </c>
    </row>
    <row r="794">
      <c r="A794" s="20" t="str">
        <f>IF('Classe 5e'!$B74="","",IF('Classe 5e'!A74="","",'Classe 5e'!A74))</f>
        <v/>
      </c>
      <c r="B794" s="20" t="str">
        <f>IF('Classe 5e'!$B74="","",IF('Classe 5e'!B74="","",'Classe 5e'!B74))</f>
        <v/>
      </c>
      <c r="C794" s="20" t="str">
        <f>IF('Classe 5e'!$B74="","",IF('Classe 5e'!C74="","",'Classe 5e'!C74))</f>
        <v/>
      </c>
      <c r="D794" s="20" t="str">
        <f>IF($B794="","",C794&amp;" "&amp;B794&amp;" - "&amp;E794)</f>
        <v/>
      </c>
      <c r="E794" s="21" t="str">
        <f>IF($B794="","",Paramètres!$A$24)</f>
        <v/>
      </c>
      <c r="F794" s="21" t="str">
        <f>IF($B794="","",Paramètres!$B$24)</f>
        <v/>
      </c>
      <c r="G794" s="21" t="str">
        <f>IF('Classe 5e'!$B74="","",IF('Classe 5e'!D74="","",'Classe 5e'!D74))</f>
        <v/>
      </c>
      <c r="H794" s="77" t="str">
        <f>IF('Classe 5e'!$B74="","",IF('Classe 5e'!E74="","",'Classe 5e'!E74))</f>
        <v/>
      </c>
      <c r="I794" s="20" t="str">
        <f>IF('Classe 5e'!$B74="","",IF('Classe 5e'!F74="","",'Classe 5e'!F74))</f>
        <v/>
      </c>
      <c r="J794" s="20" t="str">
        <f>IF('Classe 5e'!$B74="","",IF('Classe 5e'!G74="","",'Classe 5e'!G74))</f>
        <v/>
      </c>
      <c r="K794" s="51" t="str">
        <f>IF('Classe 5e'!$B74="","",N('Classe 5e'!H74))</f>
        <v/>
      </c>
      <c r="L794" s="51" t="str">
        <f>IF('Classe 5e'!$B74="","",N('Classe 5e'!I74))</f>
        <v/>
      </c>
      <c r="M794" s="51" t="str">
        <f>IF('Classe 5e'!$B74="","",N('Classe 5e'!J74))</f>
        <v/>
      </c>
      <c r="N794" s="51" t="str">
        <f>IF('Classe 5e'!$B74="","",N('Classe 5e'!K74))</f>
        <v/>
      </c>
      <c r="O794" s="51" t="str">
        <f>IF('Classe 5e'!$B74="","",N('Classe 5e'!L74))</f>
        <v/>
      </c>
      <c r="P794" s="51" t="str">
        <f>IF('Classe 5e'!$B74="","",N('Classe 5e'!M74))</f>
        <v/>
      </c>
      <c r="Q794" s="21" t="str">
        <f>IF('Classe 5e'!$B74="","",IF('Classe 5e'!Q74="","",'Classe 5e'!Q74))</f>
        <v/>
      </c>
      <c r="R794" s="51" t="str">
        <f>IF('Classe 5e'!$B74="","",N('Classe 5e'!N74))</f>
        <v/>
      </c>
      <c r="S794" s="51" t="str">
        <f>IF('Classe 5e'!$B74="","",N('Classe 5e'!O74))</f>
        <v/>
      </c>
      <c r="T794" s="51" t="str">
        <f>IF('Classe 5e'!$B74="","",N('Classe 5e'!P74))</f>
        <v/>
      </c>
    </row>
    <row r="795">
      <c r="A795" s="16" t="str">
        <f>IF('Classe 5e'!$B75="","",IF('Classe 5e'!A75="","",'Classe 5e'!A75))</f>
        <v/>
      </c>
      <c r="B795" s="16" t="str">
        <f>IF('Classe 5e'!$B75="","",IF('Classe 5e'!B75="","",'Classe 5e'!B75))</f>
        <v/>
      </c>
      <c r="C795" s="16" t="str">
        <f>IF('Classe 5e'!$B75="","",IF('Classe 5e'!C75="","",'Classe 5e'!C75))</f>
        <v/>
      </c>
      <c r="D795" s="16" t="str">
        <f>IF($B795="","",C795&amp;" "&amp;B795&amp;" - "&amp;E795)</f>
        <v/>
      </c>
      <c r="E795" s="17" t="str">
        <f>IF($B795="","",Paramètres!$A$24)</f>
        <v/>
      </c>
      <c r="F795" s="17" t="str">
        <f>IF($B795="","",Paramètres!$B$24)</f>
        <v/>
      </c>
      <c r="G795" s="17" t="str">
        <f>IF('Classe 5e'!$B75="","",IF('Classe 5e'!D75="","",'Classe 5e'!D75))</f>
        <v/>
      </c>
      <c r="H795" s="78" t="str">
        <f>IF('Classe 5e'!$B75="","",IF('Classe 5e'!E75="","",'Classe 5e'!E75))</f>
        <v/>
      </c>
      <c r="I795" s="16" t="str">
        <f>IF('Classe 5e'!$B75="","",IF('Classe 5e'!F75="","",'Classe 5e'!F75))</f>
        <v/>
      </c>
      <c r="J795" s="16" t="str">
        <f>IF('Classe 5e'!$B75="","",IF('Classe 5e'!G75="","",'Classe 5e'!G75))</f>
        <v/>
      </c>
      <c r="K795" s="18" t="str">
        <f>IF('Classe 5e'!$B75="","",N('Classe 5e'!H75))</f>
        <v/>
      </c>
      <c r="L795" s="18" t="str">
        <f>IF('Classe 5e'!$B75="","",N('Classe 5e'!I75))</f>
        <v/>
      </c>
      <c r="M795" s="18" t="str">
        <f>IF('Classe 5e'!$B75="","",N('Classe 5e'!J75))</f>
        <v/>
      </c>
      <c r="N795" s="18" t="str">
        <f>IF('Classe 5e'!$B75="","",N('Classe 5e'!K75))</f>
        <v/>
      </c>
      <c r="O795" s="18" t="str">
        <f>IF('Classe 5e'!$B75="","",N('Classe 5e'!L75))</f>
        <v/>
      </c>
      <c r="P795" s="18" t="str">
        <f>IF('Classe 5e'!$B75="","",N('Classe 5e'!M75))</f>
        <v/>
      </c>
      <c r="Q795" s="17" t="str">
        <f>IF('Classe 5e'!$B75="","",IF('Classe 5e'!Q75="","",'Classe 5e'!Q75))</f>
        <v/>
      </c>
      <c r="R795" s="18" t="str">
        <f>IF('Classe 5e'!$B75="","",N('Classe 5e'!N75))</f>
        <v/>
      </c>
      <c r="S795" s="18" t="str">
        <f>IF('Classe 5e'!$B75="","",N('Classe 5e'!O75))</f>
        <v/>
      </c>
      <c r="T795" s="18" t="str">
        <f>IF('Classe 5e'!$B75="","",N('Classe 5e'!P75))</f>
        <v/>
      </c>
    </row>
    <row r="796">
      <c r="A796" s="20" t="str">
        <f>IF('Classe 5e'!$B76="","",IF('Classe 5e'!A76="","",'Classe 5e'!A76))</f>
        <v/>
      </c>
      <c r="B796" s="20" t="str">
        <f>IF('Classe 5e'!$B76="","",IF('Classe 5e'!B76="","",'Classe 5e'!B76))</f>
        <v/>
      </c>
      <c r="C796" s="20" t="str">
        <f>IF('Classe 5e'!$B76="","",IF('Classe 5e'!C76="","",'Classe 5e'!C76))</f>
        <v/>
      </c>
      <c r="D796" s="20" t="str">
        <f>IF($B796="","",C796&amp;" "&amp;B796&amp;" - "&amp;E796)</f>
        <v/>
      </c>
      <c r="E796" s="21" t="str">
        <f>IF($B796="","",Paramètres!$A$24)</f>
        <v/>
      </c>
      <c r="F796" s="21" t="str">
        <f>IF($B796="","",Paramètres!$B$24)</f>
        <v/>
      </c>
      <c r="G796" s="21" t="str">
        <f>IF('Classe 5e'!$B76="","",IF('Classe 5e'!D76="","",'Classe 5e'!D76))</f>
        <v/>
      </c>
      <c r="H796" s="77" t="str">
        <f>IF('Classe 5e'!$B76="","",IF('Classe 5e'!E76="","",'Classe 5e'!E76))</f>
        <v/>
      </c>
      <c r="I796" s="20" t="str">
        <f>IF('Classe 5e'!$B76="","",IF('Classe 5e'!F76="","",'Classe 5e'!F76))</f>
        <v/>
      </c>
      <c r="J796" s="20" t="str">
        <f>IF('Classe 5e'!$B76="","",IF('Classe 5e'!G76="","",'Classe 5e'!G76))</f>
        <v/>
      </c>
      <c r="K796" s="51" t="str">
        <f>IF('Classe 5e'!$B76="","",N('Classe 5e'!H76))</f>
        <v/>
      </c>
      <c r="L796" s="51" t="str">
        <f>IF('Classe 5e'!$B76="","",N('Classe 5e'!I76))</f>
        <v/>
      </c>
      <c r="M796" s="51" t="str">
        <f>IF('Classe 5e'!$B76="","",N('Classe 5e'!J76))</f>
        <v/>
      </c>
      <c r="N796" s="51" t="str">
        <f>IF('Classe 5e'!$B76="","",N('Classe 5e'!K76))</f>
        <v/>
      </c>
      <c r="O796" s="51" t="str">
        <f>IF('Classe 5e'!$B76="","",N('Classe 5e'!L76))</f>
        <v/>
      </c>
      <c r="P796" s="51" t="str">
        <f>IF('Classe 5e'!$B76="","",N('Classe 5e'!M76))</f>
        <v/>
      </c>
      <c r="Q796" s="21" t="str">
        <f>IF('Classe 5e'!$B76="","",IF('Classe 5e'!Q76="","",'Classe 5e'!Q76))</f>
        <v/>
      </c>
      <c r="R796" s="51" t="str">
        <f>IF('Classe 5e'!$B76="","",N('Classe 5e'!N76))</f>
        <v/>
      </c>
      <c r="S796" s="51" t="str">
        <f>IF('Classe 5e'!$B76="","",N('Classe 5e'!O76))</f>
        <v/>
      </c>
      <c r="T796" s="51" t="str">
        <f>IF('Classe 5e'!$B76="","",N('Classe 5e'!P76))</f>
        <v/>
      </c>
    </row>
    <row r="797">
      <c r="A797" s="16" t="str">
        <f>IF('Classe 5e'!$B77="","",IF('Classe 5e'!A77="","",'Classe 5e'!A77))</f>
        <v/>
      </c>
      <c r="B797" s="16" t="str">
        <f>IF('Classe 5e'!$B77="","",IF('Classe 5e'!B77="","",'Classe 5e'!B77))</f>
        <v/>
      </c>
      <c r="C797" s="16" t="str">
        <f>IF('Classe 5e'!$B77="","",IF('Classe 5e'!C77="","",'Classe 5e'!C77))</f>
        <v/>
      </c>
      <c r="D797" s="16" t="str">
        <f>IF($B797="","",C797&amp;" "&amp;B797&amp;" - "&amp;E797)</f>
        <v/>
      </c>
      <c r="E797" s="17" t="str">
        <f>IF($B797="","",Paramètres!$A$24)</f>
        <v/>
      </c>
      <c r="F797" s="17" t="str">
        <f>IF($B797="","",Paramètres!$B$24)</f>
        <v/>
      </c>
      <c r="G797" s="17" t="str">
        <f>IF('Classe 5e'!$B77="","",IF('Classe 5e'!D77="","",'Classe 5e'!D77))</f>
        <v/>
      </c>
      <c r="H797" s="78" t="str">
        <f>IF('Classe 5e'!$B77="","",IF('Classe 5e'!E77="","",'Classe 5e'!E77))</f>
        <v/>
      </c>
      <c r="I797" s="16" t="str">
        <f>IF('Classe 5e'!$B77="","",IF('Classe 5e'!F77="","",'Classe 5e'!F77))</f>
        <v/>
      </c>
      <c r="J797" s="16" t="str">
        <f>IF('Classe 5e'!$B77="","",IF('Classe 5e'!G77="","",'Classe 5e'!G77))</f>
        <v/>
      </c>
      <c r="K797" s="18" t="str">
        <f>IF('Classe 5e'!$B77="","",N('Classe 5e'!H77))</f>
        <v/>
      </c>
      <c r="L797" s="18" t="str">
        <f>IF('Classe 5e'!$B77="","",N('Classe 5e'!I77))</f>
        <v/>
      </c>
      <c r="M797" s="18" t="str">
        <f>IF('Classe 5e'!$B77="","",N('Classe 5e'!J77))</f>
        <v/>
      </c>
      <c r="N797" s="18" t="str">
        <f>IF('Classe 5e'!$B77="","",N('Classe 5e'!K77))</f>
        <v/>
      </c>
      <c r="O797" s="18" t="str">
        <f>IF('Classe 5e'!$B77="","",N('Classe 5e'!L77))</f>
        <v/>
      </c>
      <c r="P797" s="18" t="str">
        <f>IF('Classe 5e'!$B77="","",N('Classe 5e'!M77))</f>
        <v/>
      </c>
      <c r="Q797" s="17" t="str">
        <f>IF('Classe 5e'!$B77="","",IF('Classe 5e'!Q77="","",'Classe 5e'!Q77))</f>
        <v/>
      </c>
      <c r="R797" s="18" t="str">
        <f>IF('Classe 5e'!$B77="","",N('Classe 5e'!N77))</f>
        <v/>
      </c>
      <c r="S797" s="18" t="str">
        <f>IF('Classe 5e'!$B77="","",N('Classe 5e'!O77))</f>
        <v/>
      </c>
      <c r="T797" s="18" t="str">
        <f>IF('Classe 5e'!$B77="","",N('Classe 5e'!P77))</f>
        <v/>
      </c>
    </row>
    <row r="798">
      <c r="A798" s="20" t="str">
        <f>IF('Classe 5e'!$B78="","",IF('Classe 5e'!A78="","",'Classe 5e'!A78))</f>
        <v/>
      </c>
      <c r="B798" s="20" t="str">
        <f>IF('Classe 5e'!$B78="","",IF('Classe 5e'!B78="","",'Classe 5e'!B78))</f>
        <v/>
      </c>
      <c r="C798" s="20" t="str">
        <f>IF('Classe 5e'!$B78="","",IF('Classe 5e'!C78="","",'Classe 5e'!C78))</f>
        <v/>
      </c>
      <c r="D798" s="20" t="str">
        <f>IF($B798="","",C798&amp;" "&amp;B798&amp;" - "&amp;E798)</f>
        <v/>
      </c>
      <c r="E798" s="21" t="str">
        <f>IF($B798="","",Paramètres!$A$24)</f>
        <v/>
      </c>
      <c r="F798" s="21" t="str">
        <f>IF($B798="","",Paramètres!$B$24)</f>
        <v/>
      </c>
      <c r="G798" s="21" t="str">
        <f>IF('Classe 5e'!$B78="","",IF('Classe 5e'!D78="","",'Classe 5e'!D78))</f>
        <v/>
      </c>
      <c r="H798" s="77" t="str">
        <f>IF('Classe 5e'!$B78="","",IF('Classe 5e'!E78="","",'Classe 5e'!E78))</f>
        <v/>
      </c>
      <c r="I798" s="20" t="str">
        <f>IF('Classe 5e'!$B78="","",IF('Classe 5e'!F78="","",'Classe 5e'!F78))</f>
        <v/>
      </c>
      <c r="J798" s="20" t="str">
        <f>IF('Classe 5e'!$B78="","",IF('Classe 5e'!G78="","",'Classe 5e'!G78))</f>
        <v/>
      </c>
      <c r="K798" s="51" t="str">
        <f>IF('Classe 5e'!$B78="","",N('Classe 5e'!H78))</f>
        <v/>
      </c>
      <c r="L798" s="51" t="str">
        <f>IF('Classe 5e'!$B78="","",N('Classe 5e'!I78))</f>
        <v/>
      </c>
      <c r="M798" s="51" t="str">
        <f>IF('Classe 5e'!$B78="","",N('Classe 5e'!J78))</f>
        <v/>
      </c>
      <c r="N798" s="51" t="str">
        <f>IF('Classe 5e'!$B78="","",N('Classe 5e'!K78))</f>
        <v/>
      </c>
      <c r="O798" s="51" t="str">
        <f>IF('Classe 5e'!$B78="","",N('Classe 5e'!L78))</f>
        <v/>
      </c>
      <c r="P798" s="51" t="str">
        <f>IF('Classe 5e'!$B78="","",N('Classe 5e'!M78))</f>
        <v/>
      </c>
      <c r="Q798" s="21" t="str">
        <f>IF('Classe 5e'!$B78="","",IF('Classe 5e'!Q78="","",'Classe 5e'!Q78))</f>
        <v/>
      </c>
      <c r="R798" s="51" t="str">
        <f>IF('Classe 5e'!$B78="","",N('Classe 5e'!N78))</f>
        <v/>
      </c>
      <c r="S798" s="51" t="str">
        <f>IF('Classe 5e'!$B78="","",N('Classe 5e'!O78))</f>
        <v/>
      </c>
      <c r="T798" s="51" t="str">
        <f>IF('Classe 5e'!$B78="","",N('Classe 5e'!P78))</f>
        <v/>
      </c>
    </row>
    <row r="799">
      <c r="A799" s="16" t="str">
        <f>IF('Classe 5e'!$B79="","",IF('Classe 5e'!A79="","",'Classe 5e'!A79))</f>
        <v/>
      </c>
      <c r="B799" s="16" t="str">
        <f>IF('Classe 5e'!$B79="","",IF('Classe 5e'!B79="","",'Classe 5e'!B79))</f>
        <v/>
      </c>
      <c r="C799" s="16" t="str">
        <f>IF('Classe 5e'!$B79="","",IF('Classe 5e'!C79="","",'Classe 5e'!C79))</f>
        <v/>
      </c>
      <c r="D799" s="16" t="str">
        <f>IF($B799="","",C799&amp;" "&amp;B799&amp;" - "&amp;E799)</f>
        <v/>
      </c>
      <c r="E799" s="17" t="str">
        <f>IF($B799="","",Paramètres!$A$24)</f>
        <v/>
      </c>
      <c r="F799" s="17" t="str">
        <f>IF($B799="","",Paramètres!$B$24)</f>
        <v/>
      </c>
      <c r="G799" s="17" t="str">
        <f>IF('Classe 5e'!$B79="","",IF('Classe 5e'!D79="","",'Classe 5e'!D79))</f>
        <v/>
      </c>
      <c r="H799" s="78" t="str">
        <f>IF('Classe 5e'!$B79="","",IF('Classe 5e'!E79="","",'Classe 5e'!E79))</f>
        <v/>
      </c>
      <c r="I799" s="16" t="str">
        <f>IF('Classe 5e'!$B79="","",IF('Classe 5e'!F79="","",'Classe 5e'!F79))</f>
        <v/>
      </c>
      <c r="J799" s="16" t="str">
        <f>IF('Classe 5e'!$B79="","",IF('Classe 5e'!G79="","",'Classe 5e'!G79))</f>
        <v/>
      </c>
      <c r="K799" s="18" t="str">
        <f>IF('Classe 5e'!$B79="","",N('Classe 5e'!H79))</f>
        <v/>
      </c>
      <c r="L799" s="18" t="str">
        <f>IF('Classe 5e'!$B79="","",N('Classe 5e'!I79))</f>
        <v/>
      </c>
      <c r="M799" s="18" t="str">
        <f>IF('Classe 5e'!$B79="","",N('Classe 5e'!J79))</f>
        <v/>
      </c>
      <c r="N799" s="18" t="str">
        <f>IF('Classe 5e'!$B79="","",N('Classe 5e'!K79))</f>
        <v/>
      </c>
      <c r="O799" s="18" t="str">
        <f>IF('Classe 5e'!$B79="","",N('Classe 5e'!L79))</f>
        <v/>
      </c>
      <c r="P799" s="18" t="str">
        <f>IF('Classe 5e'!$B79="","",N('Classe 5e'!M79))</f>
        <v/>
      </c>
      <c r="Q799" s="17" t="str">
        <f>IF('Classe 5e'!$B79="","",IF('Classe 5e'!Q79="","",'Classe 5e'!Q79))</f>
        <v/>
      </c>
      <c r="R799" s="18" t="str">
        <f>IF('Classe 5e'!$B79="","",N('Classe 5e'!N79))</f>
        <v/>
      </c>
      <c r="S799" s="18" t="str">
        <f>IF('Classe 5e'!$B79="","",N('Classe 5e'!O79))</f>
        <v/>
      </c>
      <c r="T799" s="18" t="str">
        <f>IF('Classe 5e'!$B79="","",N('Classe 5e'!P79))</f>
        <v/>
      </c>
    </row>
    <row r="800">
      <c r="A800" s="20" t="str">
        <f>IF('Classe 5e'!$B80="","",IF('Classe 5e'!A80="","",'Classe 5e'!A80))</f>
        <v/>
      </c>
      <c r="B800" s="20" t="str">
        <f>IF('Classe 5e'!$B80="","",IF('Classe 5e'!B80="","",'Classe 5e'!B80))</f>
        <v/>
      </c>
      <c r="C800" s="20" t="str">
        <f>IF('Classe 5e'!$B80="","",IF('Classe 5e'!C80="","",'Classe 5e'!C80))</f>
        <v/>
      </c>
      <c r="D800" s="20" t="str">
        <f>IF($B800="","",C800&amp;" "&amp;B800&amp;" - "&amp;E800)</f>
        <v/>
      </c>
      <c r="E800" s="21" t="str">
        <f>IF($B800="","",Paramètres!$A$24)</f>
        <v/>
      </c>
      <c r="F800" s="21" t="str">
        <f>IF($B800="","",Paramètres!$B$24)</f>
        <v/>
      </c>
      <c r="G800" s="21" t="str">
        <f>IF('Classe 5e'!$B80="","",IF('Classe 5e'!D80="","",'Classe 5e'!D80))</f>
        <v/>
      </c>
      <c r="H800" s="77" t="str">
        <f>IF('Classe 5e'!$B80="","",IF('Classe 5e'!E80="","",'Classe 5e'!E80))</f>
        <v/>
      </c>
      <c r="I800" s="20" t="str">
        <f>IF('Classe 5e'!$B80="","",IF('Classe 5e'!F80="","",'Classe 5e'!F80))</f>
        <v/>
      </c>
      <c r="J800" s="20" t="str">
        <f>IF('Classe 5e'!$B80="","",IF('Classe 5e'!G80="","",'Classe 5e'!G80))</f>
        <v/>
      </c>
      <c r="K800" s="51" t="str">
        <f>IF('Classe 5e'!$B80="","",N('Classe 5e'!H80))</f>
        <v/>
      </c>
      <c r="L800" s="51" t="str">
        <f>IF('Classe 5e'!$B80="","",N('Classe 5e'!I80))</f>
        <v/>
      </c>
      <c r="M800" s="51" t="str">
        <f>IF('Classe 5e'!$B80="","",N('Classe 5e'!J80))</f>
        <v/>
      </c>
      <c r="N800" s="51" t="str">
        <f>IF('Classe 5e'!$B80="","",N('Classe 5e'!K80))</f>
        <v/>
      </c>
      <c r="O800" s="51" t="str">
        <f>IF('Classe 5e'!$B80="","",N('Classe 5e'!L80))</f>
        <v/>
      </c>
      <c r="P800" s="51" t="str">
        <f>IF('Classe 5e'!$B80="","",N('Classe 5e'!M80))</f>
        <v/>
      </c>
      <c r="Q800" s="21" t="str">
        <f>IF('Classe 5e'!$B80="","",IF('Classe 5e'!Q80="","",'Classe 5e'!Q80))</f>
        <v/>
      </c>
      <c r="R800" s="51" t="str">
        <f>IF('Classe 5e'!$B80="","",N('Classe 5e'!N80))</f>
        <v/>
      </c>
      <c r="S800" s="51" t="str">
        <f>IF('Classe 5e'!$B80="","",N('Classe 5e'!O80))</f>
        <v/>
      </c>
      <c r="T800" s="51" t="str">
        <f>IF('Classe 5e'!$B80="","",N('Classe 5e'!P80))</f>
        <v/>
      </c>
    </row>
    <row r="801">
      <c r="A801" s="16" t="str">
        <f>IF('Classe 5e'!$B81="","",IF('Classe 5e'!A81="","",'Classe 5e'!A81))</f>
        <v/>
      </c>
      <c r="B801" s="16" t="str">
        <f>IF('Classe 5e'!$B81="","",IF('Classe 5e'!B81="","",'Classe 5e'!B81))</f>
        <v/>
      </c>
      <c r="C801" s="16" t="str">
        <f>IF('Classe 5e'!$B81="","",IF('Classe 5e'!C81="","",'Classe 5e'!C81))</f>
        <v/>
      </c>
      <c r="D801" s="16" t="str">
        <f>IF($B801="","",C801&amp;" "&amp;B801&amp;" - "&amp;E801)</f>
        <v/>
      </c>
      <c r="E801" s="17" t="str">
        <f>IF($B801="","",Paramètres!$A$24)</f>
        <v/>
      </c>
      <c r="F801" s="17" t="str">
        <f>IF($B801="","",Paramètres!$B$24)</f>
        <v/>
      </c>
      <c r="G801" s="17" t="str">
        <f>IF('Classe 5e'!$B81="","",IF('Classe 5e'!D81="","",'Classe 5e'!D81))</f>
        <v/>
      </c>
      <c r="H801" s="78" t="str">
        <f>IF('Classe 5e'!$B81="","",IF('Classe 5e'!E81="","",'Classe 5e'!E81))</f>
        <v/>
      </c>
      <c r="I801" s="16" t="str">
        <f>IF('Classe 5e'!$B81="","",IF('Classe 5e'!F81="","",'Classe 5e'!F81))</f>
        <v/>
      </c>
      <c r="J801" s="16" t="str">
        <f>IF('Classe 5e'!$B81="","",IF('Classe 5e'!G81="","",'Classe 5e'!G81))</f>
        <v/>
      </c>
      <c r="K801" s="18" t="str">
        <f>IF('Classe 5e'!$B81="","",N('Classe 5e'!H81))</f>
        <v/>
      </c>
      <c r="L801" s="18" t="str">
        <f>IF('Classe 5e'!$B81="","",N('Classe 5e'!I81))</f>
        <v/>
      </c>
      <c r="M801" s="18" t="str">
        <f>IF('Classe 5e'!$B81="","",N('Classe 5e'!J81))</f>
        <v/>
      </c>
      <c r="N801" s="18" t="str">
        <f>IF('Classe 5e'!$B81="","",N('Classe 5e'!K81))</f>
        <v/>
      </c>
      <c r="O801" s="18" t="str">
        <f>IF('Classe 5e'!$B81="","",N('Classe 5e'!L81))</f>
        <v/>
      </c>
      <c r="P801" s="18" t="str">
        <f>IF('Classe 5e'!$B81="","",N('Classe 5e'!M81))</f>
        <v/>
      </c>
      <c r="Q801" s="17" t="str">
        <f>IF('Classe 5e'!$B81="","",IF('Classe 5e'!Q81="","",'Classe 5e'!Q81))</f>
        <v/>
      </c>
      <c r="R801" s="18" t="str">
        <f>IF('Classe 5e'!$B81="","",N('Classe 5e'!N81))</f>
        <v/>
      </c>
      <c r="S801" s="18" t="str">
        <f>IF('Classe 5e'!$B81="","",N('Classe 5e'!O81))</f>
        <v/>
      </c>
      <c r="T801" s="18" t="str">
        <f>IF('Classe 5e'!$B81="","",N('Classe 5e'!P81))</f>
        <v/>
      </c>
    </row>
    <row r="802">
      <c r="A802" s="20" t="str">
        <f>IF('Classe 5e'!$B82="","",IF('Classe 5e'!A82="","",'Classe 5e'!A82))</f>
        <v/>
      </c>
      <c r="B802" s="20" t="str">
        <f>IF('Classe 5e'!$B82="","",IF('Classe 5e'!B82="","",'Classe 5e'!B82))</f>
        <v/>
      </c>
      <c r="C802" s="20" t="str">
        <f>IF('Classe 5e'!$B82="","",IF('Classe 5e'!C82="","",'Classe 5e'!C82))</f>
        <v/>
      </c>
      <c r="D802" s="20" t="str">
        <f>IF($B802="","",C802&amp;" "&amp;B802&amp;" - "&amp;E802)</f>
        <v/>
      </c>
      <c r="E802" s="21" t="str">
        <f>IF($B802="","",Paramètres!$A$24)</f>
        <v/>
      </c>
      <c r="F802" s="21" t="str">
        <f>IF($B802="","",Paramètres!$B$24)</f>
        <v/>
      </c>
      <c r="G802" s="21" t="str">
        <f>IF('Classe 5e'!$B82="","",IF('Classe 5e'!D82="","",'Classe 5e'!D82))</f>
        <v/>
      </c>
      <c r="H802" s="77" t="str">
        <f>IF('Classe 5e'!$B82="","",IF('Classe 5e'!E82="","",'Classe 5e'!E82))</f>
        <v/>
      </c>
      <c r="I802" s="20" t="str">
        <f>IF('Classe 5e'!$B82="","",IF('Classe 5e'!F82="","",'Classe 5e'!F82))</f>
        <v/>
      </c>
      <c r="J802" s="20" t="str">
        <f>IF('Classe 5e'!$B82="","",IF('Classe 5e'!G82="","",'Classe 5e'!G82))</f>
        <v/>
      </c>
      <c r="K802" s="51" t="str">
        <f>IF('Classe 5e'!$B82="","",N('Classe 5e'!H82))</f>
        <v/>
      </c>
      <c r="L802" s="51" t="str">
        <f>IF('Classe 5e'!$B82="","",N('Classe 5e'!I82))</f>
        <v/>
      </c>
      <c r="M802" s="51" t="str">
        <f>IF('Classe 5e'!$B82="","",N('Classe 5e'!J82))</f>
        <v/>
      </c>
      <c r="N802" s="51" t="str">
        <f>IF('Classe 5e'!$B82="","",N('Classe 5e'!K82))</f>
        <v/>
      </c>
      <c r="O802" s="51" t="str">
        <f>IF('Classe 5e'!$B82="","",N('Classe 5e'!L82))</f>
        <v/>
      </c>
      <c r="P802" s="51" t="str">
        <f>IF('Classe 5e'!$B82="","",N('Classe 5e'!M82))</f>
        <v/>
      </c>
      <c r="Q802" s="21" t="str">
        <f>IF('Classe 5e'!$B82="","",IF('Classe 5e'!Q82="","",'Classe 5e'!Q82))</f>
        <v/>
      </c>
      <c r="R802" s="51" t="str">
        <f>IF('Classe 5e'!$B82="","",N('Classe 5e'!N82))</f>
        <v/>
      </c>
      <c r="S802" s="51" t="str">
        <f>IF('Classe 5e'!$B82="","",N('Classe 5e'!O82))</f>
        <v/>
      </c>
      <c r="T802" s="51" t="str">
        <f>IF('Classe 5e'!$B82="","",N('Classe 5e'!P82))</f>
        <v/>
      </c>
    </row>
    <row r="803">
      <c r="A803" s="16" t="str">
        <f>IF('Classe 5e'!$B83="","",IF('Classe 5e'!A83="","",'Classe 5e'!A83))</f>
        <v/>
      </c>
      <c r="B803" s="16" t="str">
        <f>IF('Classe 5e'!$B83="","",IF('Classe 5e'!B83="","",'Classe 5e'!B83))</f>
        <v/>
      </c>
      <c r="C803" s="16" t="str">
        <f>IF('Classe 5e'!$B83="","",IF('Classe 5e'!C83="","",'Classe 5e'!C83))</f>
        <v/>
      </c>
      <c r="D803" s="16" t="str">
        <f>IF($B803="","",C803&amp;" "&amp;B803&amp;" - "&amp;E803)</f>
        <v/>
      </c>
      <c r="E803" s="17" t="str">
        <f>IF($B803="","",Paramètres!$A$24)</f>
        <v/>
      </c>
      <c r="F803" s="17" t="str">
        <f>IF($B803="","",Paramètres!$B$24)</f>
        <v/>
      </c>
      <c r="G803" s="17" t="str">
        <f>IF('Classe 5e'!$B83="","",IF('Classe 5e'!D83="","",'Classe 5e'!D83))</f>
        <v/>
      </c>
      <c r="H803" s="78" t="str">
        <f>IF('Classe 5e'!$B83="","",IF('Classe 5e'!E83="","",'Classe 5e'!E83))</f>
        <v/>
      </c>
      <c r="I803" s="16" t="str">
        <f>IF('Classe 5e'!$B83="","",IF('Classe 5e'!F83="","",'Classe 5e'!F83))</f>
        <v/>
      </c>
      <c r="J803" s="16" t="str">
        <f>IF('Classe 5e'!$B83="","",IF('Classe 5e'!G83="","",'Classe 5e'!G83))</f>
        <v/>
      </c>
      <c r="K803" s="18" t="str">
        <f>IF('Classe 5e'!$B83="","",N('Classe 5e'!H83))</f>
        <v/>
      </c>
      <c r="L803" s="18" t="str">
        <f>IF('Classe 5e'!$B83="","",N('Classe 5e'!I83))</f>
        <v/>
      </c>
      <c r="M803" s="18" t="str">
        <f>IF('Classe 5e'!$B83="","",N('Classe 5e'!J83))</f>
        <v/>
      </c>
      <c r="N803" s="18" t="str">
        <f>IF('Classe 5e'!$B83="","",N('Classe 5e'!K83))</f>
        <v/>
      </c>
      <c r="O803" s="18" t="str">
        <f>IF('Classe 5e'!$B83="","",N('Classe 5e'!L83))</f>
        <v/>
      </c>
      <c r="P803" s="18" t="str">
        <f>IF('Classe 5e'!$B83="","",N('Classe 5e'!M83))</f>
        <v/>
      </c>
      <c r="Q803" s="17" t="str">
        <f>IF('Classe 5e'!$B83="","",IF('Classe 5e'!Q83="","",'Classe 5e'!Q83))</f>
        <v/>
      </c>
      <c r="R803" s="18" t="str">
        <f>IF('Classe 5e'!$B83="","",N('Classe 5e'!N83))</f>
        <v/>
      </c>
      <c r="S803" s="18" t="str">
        <f>IF('Classe 5e'!$B83="","",N('Classe 5e'!O83))</f>
        <v/>
      </c>
      <c r="T803" s="18" t="str">
        <f>IF('Classe 5e'!$B83="","",N('Classe 5e'!P83))</f>
        <v/>
      </c>
    </row>
    <row r="804">
      <c r="A804" s="20" t="str">
        <f>IF('Classe 4e'!$B4="","",IF('Classe 4e'!A4="","",'Classe 4e'!A4))</f>
        <v>2025-001</v>
      </c>
      <c r="B804" s="20" t="str">
        <f>IF('Classe 4e'!$B4="","",IF('Classe 4e'!B4="","",'Classe 4e'!B4))</f>
        <v>DAOUDA</v>
      </c>
      <c r="C804" s="20" t="str">
        <f>IF('Classe 4e'!$B4="","",IF('Classe 4e'!C4="","",'Classe 4e'!C4))</f>
        <v>Falmata</v>
      </c>
      <c r="D804" s="20" t="str">
        <f>IF($B804="","",C804&amp;" "&amp;B804&amp;" - "&amp;E804)</f>
        <v>Falmata DAOUDA - 4e</v>
      </c>
      <c r="E804" s="21" t="str">
        <f>IF($B804="","",Paramètres!$A$25)</f>
        <v>4e</v>
      </c>
      <c r="F804" s="21" t="str">
        <f>IF($B804="","",Paramètres!$B$25)</f>
        <v>Collège</v>
      </c>
      <c r="G804" s="21" t="str">
        <f>IF('Classe 4e'!$B4="","",IF('Classe 4e'!D4="","",'Classe 4e'!D4))</f>
        <v>F</v>
      </c>
      <c r="H804" s="77" t="str">
        <f>IF('Classe 4e'!$B4="","",IF('Classe 4e'!E4="","",'Classe 4e'!E4))</f>
        <v>2015-09-14</v>
      </c>
      <c r="I804" s="20" t="str">
        <f>IF('Classe 4e'!$B4="","",IF('Classe 4e'!F4="","",'Classe 4e'!F4))</f>
        <v>Daouda Marthé</v>
      </c>
      <c r="J804" s="20" t="str">
        <f>IF('Classe 4e'!$B4="","",IF('Classe 4e'!G4="","",'Classe 4e'!G4))</f>
        <v>+227 90 00 00 00</v>
      </c>
      <c r="K804" s="51">
        <f>IF('Classe 4e'!$B4="","",N('Classe 4e'!H4))</f>
        <v>150000</v>
      </c>
      <c r="L804" s="51">
        <f>IF('Classe 4e'!$B4="","",N('Classe 4e'!I4))</f>
        <v>150000</v>
      </c>
      <c r="M804" s="51">
        <f>IF('Classe 4e'!$B4="","",N('Classe 4e'!J4))</f>
        <v>0</v>
      </c>
      <c r="N804" s="51">
        <f>IF('Classe 4e'!$B4="","",N('Classe 4e'!K4))</f>
        <v>0</v>
      </c>
      <c r="O804" s="51">
        <f>IF('Classe 4e'!$B4="","",N('Classe 4e'!L4))</f>
        <v>150000</v>
      </c>
      <c r="P804" s="51">
        <f>IF('Classe 4e'!$B4="","",N('Classe 4e'!M4))</f>
        <v>0</v>
      </c>
      <c r="Q804" s="21" t="str">
        <f>IF('Classe 4e'!$B4="","",IF('Classe 4e'!Q4="","",'Classe 4e'!Q4))</f>
        <v>En retard</v>
      </c>
      <c r="R804" s="51">
        <f>IF('Classe 4e'!$B4="","",N('Classe 4e'!N4))</f>
        <v>3000</v>
      </c>
      <c r="S804" s="51">
        <f>IF('Classe 4e'!$B4="","",N('Classe 4e'!O4))</f>
        <v>0</v>
      </c>
      <c r="T804" s="51">
        <f>IF('Classe 4e'!$B4="","",N('Classe 4e'!P4))</f>
        <v>3000</v>
      </c>
    </row>
    <row r="805">
      <c r="A805" s="16" t="str">
        <f>IF('Classe 4e'!$B5="","",IF('Classe 4e'!A5="","",'Classe 4e'!A5))</f>
        <v/>
      </c>
      <c r="B805" s="16" t="str">
        <f>IF('Classe 4e'!$B5="","",IF('Classe 4e'!B5="","",'Classe 4e'!B5))</f>
        <v/>
      </c>
      <c r="C805" s="16" t="str">
        <f>IF('Classe 4e'!$B5="","",IF('Classe 4e'!C5="","",'Classe 4e'!C5))</f>
        <v/>
      </c>
      <c r="D805" s="16" t="str">
        <f>IF($B805="","",C805&amp;" "&amp;B805&amp;" - "&amp;E805)</f>
        <v/>
      </c>
      <c r="E805" s="17" t="str">
        <f>IF($B805="","",Paramètres!$A$25)</f>
        <v/>
      </c>
      <c r="F805" s="17" t="str">
        <f>IF($B805="","",Paramètres!$B$25)</f>
        <v/>
      </c>
      <c r="G805" s="17" t="str">
        <f>IF('Classe 4e'!$B5="","",IF('Classe 4e'!D5="","",'Classe 4e'!D5))</f>
        <v/>
      </c>
      <c r="H805" s="78" t="str">
        <f>IF('Classe 4e'!$B5="","",IF('Classe 4e'!E5="","",'Classe 4e'!E5))</f>
        <v/>
      </c>
      <c r="I805" s="16" t="str">
        <f>IF('Classe 4e'!$B5="","",IF('Classe 4e'!F5="","",'Classe 4e'!F5))</f>
        <v/>
      </c>
      <c r="J805" s="16" t="str">
        <f>IF('Classe 4e'!$B5="","",IF('Classe 4e'!G5="","",'Classe 4e'!G5))</f>
        <v/>
      </c>
      <c r="K805" s="18" t="str">
        <f>IF('Classe 4e'!$B5="","",N('Classe 4e'!H5))</f>
        <v/>
      </c>
      <c r="L805" s="18" t="str">
        <f>IF('Classe 4e'!$B5="","",N('Classe 4e'!I5))</f>
        <v/>
      </c>
      <c r="M805" s="18" t="str">
        <f>IF('Classe 4e'!$B5="","",N('Classe 4e'!J5))</f>
        <v/>
      </c>
      <c r="N805" s="18" t="str">
        <f>IF('Classe 4e'!$B5="","",N('Classe 4e'!K5))</f>
        <v/>
      </c>
      <c r="O805" s="18" t="str">
        <f>IF('Classe 4e'!$B5="","",N('Classe 4e'!L5))</f>
        <v/>
      </c>
      <c r="P805" s="18" t="str">
        <f>IF('Classe 4e'!$B5="","",N('Classe 4e'!M5))</f>
        <v/>
      </c>
      <c r="Q805" s="17" t="str">
        <f>IF('Classe 4e'!$B5="","",IF('Classe 4e'!Q5="","",'Classe 4e'!Q5))</f>
        <v/>
      </c>
      <c r="R805" s="18" t="str">
        <f>IF('Classe 4e'!$B5="","",N('Classe 4e'!N5))</f>
        <v/>
      </c>
      <c r="S805" s="18" t="str">
        <f>IF('Classe 4e'!$B5="","",N('Classe 4e'!O5))</f>
        <v/>
      </c>
      <c r="T805" s="18" t="str">
        <f>IF('Classe 4e'!$B5="","",N('Classe 4e'!P5))</f>
        <v/>
      </c>
    </row>
    <row r="806">
      <c r="A806" s="20" t="str">
        <f>IF('Classe 4e'!$B6="","",IF('Classe 4e'!A6="","",'Classe 4e'!A6))</f>
        <v/>
      </c>
      <c r="B806" s="20" t="str">
        <f>IF('Classe 4e'!$B6="","",IF('Classe 4e'!B6="","",'Classe 4e'!B6))</f>
        <v/>
      </c>
      <c r="C806" s="20" t="str">
        <f>IF('Classe 4e'!$B6="","",IF('Classe 4e'!C6="","",'Classe 4e'!C6))</f>
        <v/>
      </c>
      <c r="D806" s="20" t="str">
        <f>IF($B806="","",C806&amp;" "&amp;B806&amp;" - "&amp;E806)</f>
        <v/>
      </c>
      <c r="E806" s="21" t="str">
        <f>IF($B806="","",Paramètres!$A$25)</f>
        <v/>
      </c>
      <c r="F806" s="21" t="str">
        <f>IF($B806="","",Paramètres!$B$25)</f>
        <v/>
      </c>
      <c r="G806" s="21" t="str">
        <f>IF('Classe 4e'!$B6="","",IF('Classe 4e'!D6="","",'Classe 4e'!D6))</f>
        <v/>
      </c>
      <c r="H806" s="77" t="str">
        <f>IF('Classe 4e'!$B6="","",IF('Classe 4e'!E6="","",'Classe 4e'!E6))</f>
        <v/>
      </c>
      <c r="I806" s="20" t="str">
        <f>IF('Classe 4e'!$B6="","",IF('Classe 4e'!F6="","",'Classe 4e'!F6))</f>
        <v/>
      </c>
      <c r="J806" s="20" t="str">
        <f>IF('Classe 4e'!$B6="","",IF('Classe 4e'!G6="","",'Classe 4e'!G6))</f>
        <v/>
      </c>
      <c r="K806" s="51" t="str">
        <f>IF('Classe 4e'!$B6="","",N('Classe 4e'!H6))</f>
        <v/>
      </c>
      <c r="L806" s="51" t="str">
        <f>IF('Classe 4e'!$B6="","",N('Classe 4e'!I6))</f>
        <v/>
      </c>
      <c r="M806" s="51" t="str">
        <f>IF('Classe 4e'!$B6="","",N('Classe 4e'!J6))</f>
        <v/>
      </c>
      <c r="N806" s="51" t="str">
        <f>IF('Classe 4e'!$B6="","",N('Classe 4e'!K6))</f>
        <v/>
      </c>
      <c r="O806" s="51" t="str">
        <f>IF('Classe 4e'!$B6="","",N('Classe 4e'!L6))</f>
        <v/>
      </c>
      <c r="P806" s="51" t="str">
        <f>IF('Classe 4e'!$B6="","",N('Classe 4e'!M6))</f>
        <v/>
      </c>
      <c r="Q806" s="21" t="str">
        <f>IF('Classe 4e'!$B6="","",IF('Classe 4e'!Q6="","",'Classe 4e'!Q6))</f>
        <v/>
      </c>
      <c r="R806" s="51" t="str">
        <f>IF('Classe 4e'!$B6="","",N('Classe 4e'!N6))</f>
        <v/>
      </c>
      <c r="S806" s="51" t="str">
        <f>IF('Classe 4e'!$B6="","",N('Classe 4e'!O6))</f>
        <v/>
      </c>
      <c r="T806" s="51" t="str">
        <f>IF('Classe 4e'!$B6="","",N('Classe 4e'!P6))</f>
        <v/>
      </c>
    </row>
    <row r="807">
      <c r="A807" s="16" t="str">
        <f>IF('Classe 4e'!$B7="","",IF('Classe 4e'!A7="","",'Classe 4e'!A7))</f>
        <v/>
      </c>
      <c r="B807" s="16" t="str">
        <f>IF('Classe 4e'!$B7="","",IF('Classe 4e'!B7="","",'Classe 4e'!B7))</f>
        <v/>
      </c>
      <c r="C807" s="16" t="str">
        <f>IF('Classe 4e'!$B7="","",IF('Classe 4e'!C7="","",'Classe 4e'!C7))</f>
        <v/>
      </c>
      <c r="D807" s="16" t="str">
        <f>IF($B807="","",C807&amp;" "&amp;B807&amp;" - "&amp;E807)</f>
        <v/>
      </c>
      <c r="E807" s="17" t="str">
        <f>IF($B807="","",Paramètres!$A$25)</f>
        <v/>
      </c>
      <c r="F807" s="17" t="str">
        <f>IF($B807="","",Paramètres!$B$25)</f>
        <v/>
      </c>
      <c r="G807" s="17" t="str">
        <f>IF('Classe 4e'!$B7="","",IF('Classe 4e'!D7="","",'Classe 4e'!D7))</f>
        <v/>
      </c>
      <c r="H807" s="78" t="str">
        <f>IF('Classe 4e'!$B7="","",IF('Classe 4e'!E7="","",'Classe 4e'!E7))</f>
        <v/>
      </c>
      <c r="I807" s="16" t="str">
        <f>IF('Classe 4e'!$B7="","",IF('Classe 4e'!F7="","",'Classe 4e'!F7))</f>
        <v/>
      </c>
      <c r="J807" s="16" t="str">
        <f>IF('Classe 4e'!$B7="","",IF('Classe 4e'!G7="","",'Classe 4e'!G7))</f>
        <v/>
      </c>
      <c r="K807" s="18" t="str">
        <f>IF('Classe 4e'!$B7="","",N('Classe 4e'!H7))</f>
        <v/>
      </c>
      <c r="L807" s="18" t="str">
        <f>IF('Classe 4e'!$B7="","",N('Classe 4e'!I7))</f>
        <v/>
      </c>
      <c r="M807" s="18" t="str">
        <f>IF('Classe 4e'!$B7="","",N('Classe 4e'!J7))</f>
        <v/>
      </c>
      <c r="N807" s="18" t="str">
        <f>IF('Classe 4e'!$B7="","",N('Classe 4e'!K7))</f>
        <v/>
      </c>
      <c r="O807" s="18" t="str">
        <f>IF('Classe 4e'!$B7="","",N('Classe 4e'!L7))</f>
        <v/>
      </c>
      <c r="P807" s="18" t="str">
        <f>IF('Classe 4e'!$B7="","",N('Classe 4e'!M7))</f>
        <v/>
      </c>
      <c r="Q807" s="17" t="str">
        <f>IF('Classe 4e'!$B7="","",IF('Classe 4e'!Q7="","",'Classe 4e'!Q7))</f>
        <v/>
      </c>
      <c r="R807" s="18" t="str">
        <f>IF('Classe 4e'!$B7="","",N('Classe 4e'!N7))</f>
        <v/>
      </c>
      <c r="S807" s="18" t="str">
        <f>IF('Classe 4e'!$B7="","",N('Classe 4e'!O7))</f>
        <v/>
      </c>
      <c r="T807" s="18" t="str">
        <f>IF('Classe 4e'!$B7="","",N('Classe 4e'!P7))</f>
        <v/>
      </c>
    </row>
    <row r="808">
      <c r="A808" s="20" t="str">
        <f>IF('Classe 4e'!$B8="","",IF('Classe 4e'!A8="","",'Classe 4e'!A8))</f>
        <v/>
      </c>
      <c r="B808" s="20" t="str">
        <f>IF('Classe 4e'!$B8="","",IF('Classe 4e'!B8="","",'Classe 4e'!B8))</f>
        <v/>
      </c>
      <c r="C808" s="20" t="str">
        <f>IF('Classe 4e'!$B8="","",IF('Classe 4e'!C8="","",'Classe 4e'!C8))</f>
        <v/>
      </c>
      <c r="D808" s="20" t="str">
        <f>IF($B808="","",C808&amp;" "&amp;B808&amp;" - "&amp;E808)</f>
        <v/>
      </c>
      <c r="E808" s="21" t="str">
        <f>IF($B808="","",Paramètres!$A$25)</f>
        <v/>
      </c>
      <c r="F808" s="21" t="str">
        <f>IF($B808="","",Paramètres!$B$25)</f>
        <v/>
      </c>
      <c r="G808" s="21" t="str">
        <f>IF('Classe 4e'!$B8="","",IF('Classe 4e'!D8="","",'Classe 4e'!D8))</f>
        <v/>
      </c>
      <c r="H808" s="77" t="str">
        <f>IF('Classe 4e'!$B8="","",IF('Classe 4e'!E8="","",'Classe 4e'!E8))</f>
        <v/>
      </c>
      <c r="I808" s="20" t="str">
        <f>IF('Classe 4e'!$B8="","",IF('Classe 4e'!F8="","",'Classe 4e'!F8))</f>
        <v/>
      </c>
      <c r="J808" s="20" t="str">
        <f>IF('Classe 4e'!$B8="","",IF('Classe 4e'!G8="","",'Classe 4e'!G8))</f>
        <v/>
      </c>
      <c r="K808" s="51" t="str">
        <f>IF('Classe 4e'!$B8="","",N('Classe 4e'!H8))</f>
        <v/>
      </c>
      <c r="L808" s="51" t="str">
        <f>IF('Classe 4e'!$B8="","",N('Classe 4e'!I8))</f>
        <v/>
      </c>
      <c r="M808" s="51" t="str">
        <f>IF('Classe 4e'!$B8="","",N('Classe 4e'!J8))</f>
        <v/>
      </c>
      <c r="N808" s="51" t="str">
        <f>IF('Classe 4e'!$B8="","",N('Classe 4e'!K8))</f>
        <v/>
      </c>
      <c r="O808" s="51" t="str">
        <f>IF('Classe 4e'!$B8="","",N('Classe 4e'!L8))</f>
        <v/>
      </c>
      <c r="P808" s="51" t="str">
        <f>IF('Classe 4e'!$B8="","",N('Classe 4e'!M8))</f>
        <v/>
      </c>
      <c r="Q808" s="21" t="str">
        <f>IF('Classe 4e'!$B8="","",IF('Classe 4e'!Q8="","",'Classe 4e'!Q8))</f>
        <v/>
      </c>
      <c r="R808" s="51" t="str">
        <f>IF('Classe 4e'!$B8="","",N('Classe 4e'!N8))</f>
        <v/>
      </c>
      <c r="S808" s="51" t="str">
        <f>IF('Classe 4e'!$B8="","",N('Classe 4e'!O8))</f>
        <v/>
      </c>
      <c r="T808" s="51" t="str">
        <f>IF('Classe 4e'!$B8="","",N('Classe 4e'!P8))</f>
        <v/>
      </c>
    </row>
    <row r="809">
      <c r="A809" s="16" t="str">
        <f>IF('Classe 4e'!$B9="","",IF('Classe 4e'!A9="","",'Classe 4e'!A9))</f>
        <v/>
      </c>
      <c r="B809" s="16" t="str">
        <f>IF('Classe 4e'!$B9="","",IF('Classe 4e'!B9="","",'Classe 4e'!B9))</f>
        <v/>
      </c>
      <c r="C809" s="16" t="str">
        <f>IF('Classe 4e'!$B9="","",IF('Classe 4e'!C9="","",'Classe 4e'!C9))</f>
        <v/>
      </c>
      <c r="D809" s="16" t="str">
        <f>IF($B809="","",C809&amp;" "&amp;B809&amp;" - "&amp;E809)</f>
        <v/>
      </c>
      <c r="E809" s="17" t="str">
        <f>IF($B809="","",Paramètres!$A$25)</f>
        <v/>
      </c>
      <c r="F809" s="17" t="str">
        <f>IF($B809="","",Paramètres!$B$25)</f>
        <v/>
      </c>
      <c r="G809" s="17" t="str">
        <f>IF('Classe 4e'!$B9="","",IF('Classe 4e'!D9="","",'Classe 4e'!D9))</f>
        <v/>
      </c>
      <c r="H809" s="78" t="str">
        <f>IF('Classe 4e'!$B9="","",IF('Classe 4e'!E9="","",'Classe 4e'!E9))</f>
        <v/>
      </c>
      <c r="I809" s="16" t="str">
        <f>IF('Classe 4e'!$B9="","",IF('Classe 4e'!F9="","",'Classe 4e'!F9))</f>
        <v/>
      </c>
      <c r="J809" s="16" t="str">
        <f>IF('Classe 4e'!$B9="","",IF('Classe 4e'!G9="","",'Classe 4e'!G9))</f>
        <v/>
      </c>
      <c r="K809" s="18" t="str">
        <f>IF('Classe 4e'!$B9="","",N('Classe 4e'!H9))</f>
        <v/>
      </c>
      <c r="L809" s="18" t="str">
        <f>IF('Classe 4e'!$B9="","",N('Classe 4e'!I9))</f>
        <v/>
      </c>
      <c r="M809" s="18" t="str">
        <f>IF('Classe 4e'!$B9="","",N('Classe 4e'!J9))</f>
        <v/>
      </c>
      <c r="N809" s="18" t="str">
        <f>IF('Classe 4e'!$B9="","",N('Classe 4e'!K9))</f>
        <v/>
      </c>
      <c r="O809" s="18" t="str">
        <f>IF('Classe 4e'!$B9="","",N('Classe 4e'!L9))</f>
        <v/>
      </c>
      <c r="P809" s="18" t="str">
        <f>IF('Classe 4e'!$B9="","",N('Classe 4e'!M9))</f>
        <v/>
      </c>
      <c r="Q809" s="17" t="str">
        <f>IF('Classe 4e'!$B9="","",IF('Classe 4e'!Q9="","",'Classe 4e'!Q9))</f>
        <v/>
      </c>
      <c r="R809" s="18" t="str">
        <f>IF('Classe 4e'!$B9="","",N('Classe 4e'!N9))</f>
        <v/>
      </c>
      <c r="S809" s="18" t="str">
        <f>IF('Classe 4e'!$B9="","",N('Classe 4e'!O9))</f>
        <v/>
      </c>
      <c r="T809" s="18" t="str">
        <f>IF('Classe 4e'!$B9="","",N('Classe 4e'!P9))</f>
        <v/>
      </c>
    </row>
    <row r="810">
      <c r="A810" s="20" t="str">
        <f>IF('Classe 4e'!$B10="","",IF('Classe 4e'!A10="","",'Classe 4e'!A10))</f>
        <v/>
      </c>
      <c r="B810" s="20" t="str">
        <f>IF('Classe 4e'!$B10="","",IF('Classe 4e'!B10="","",'Classe 4e'!B10))</f>
        <v/>
      </c>
      <c r="C810" s="20" t="str">
        <f>IF('Classe 4e'!$B10="","",IF('Classe 4e'!C10="","",'Classe 4e'!C10))</f>
        <v/>
      </c>
      <c r="D810" s="20" t="str">
        <f>IF($B810="","",C810&amp;" "&amp;B810&amp;" - "&amp;E810)</f>
        <v/>
      </c>
      <c r="E810" s="21" t="str">
        <f>IF($B810="","",Paramètres!$A$25)</f>
        <v/>
      </c>
      <c r="F810" s="21" t="str">
        <f>IF($B810="","",Paramètres!$B$25)</f>
        <v/>
      </c>
      <c r="G810" s="21" t="str">
        <f>IF('Classe 4e'!$B10="","",IF('Classe 4e'!D10="","",'Classe 4e'!D10))</f>
        <v/>
      </c>
      <c r="H810" s="77" t="str">
        <f>IF('Classe 4e'!$B10="","",IF('Classe 4e'!E10="","",'Classe 4e'!E10))</f>
        <v/>
      </c>
      <c r="I810" s="20" t="str">
        <f>IF('Classe 4e'!$B10="","",IF('Classe 4e'!F10="","",'Classe 4e'!F10))</f>
        <v/>
      </c>
      <c r="J810" s="20" t="str">
        <f>IF('Classe 4e'!$B10="","",IF('Classe 4e'!G10="","",'Classe 4e'!G10))</f>
        <v/>
      </c>
      <c r="K810" s="51" t="str">
        <f>IF('Classe 4e'!$B10="","",N('Classe 4e'!H10))</f>
        <v/>
      </c>
      <c r="L810" s="51" t="str">
        <f>IF('Classe 4e'!$B10="","",N('Classe 4e'!I10))</f>
        <v/>
      </c>
      <c r="M810" s="51" t="str">
        <f>IF('Classe 4e'!$B10="","",N('Classe 4e'!J10))</f>
        <v/>
      </c>
      <c r="N810" s="51" t="str">
        <f>IF('Classe 4e'!$B10="","",N('Classe 4e'!K10))</f>
        <v/>
      </c>
      <c r="O810" s="51" t="str">
        <f>IF('Classe 4e'!$B10="","",N('Classe 4e'!L10))</f>
        <v/>
      </c>
      <c r="P810" s="51" t="str">
        <f>IF('Classe 4e'!$B10="","",N('Classe 4e'!M10))</f>
        <v/>
      </c>
      <c r="Q810" s="21" t="str">
        <f>IF('Classe 4e'!$B10="","",IF('Classe 4e'!Q10="","",'Classe 4e'!Q10))</f>
        <v/>
      </c>
      <c r="R810" s="51" t="str">
        <f>IF('Classe 4e'!$B10="","",N('Classe 4e'!N10))</f>
        <v/>
      </c>
      <c r="S810" s="51" t="str">
        <f>IF('Classe 4e'!$B10="","",N('Classe 4e'!O10))</f>
        <v/>
      </c>
      <c r="T810" s="51" t="str">
        <f>IF('Classe 4e'!$B10="","",N('Classe 4e'!P10))</f>
        <v/>
      </c>
    </row>
    <row r="811">
      <c r="A811" s="16" t="str">
        <f>IF('Classe 4e'!$B11="","",IF('Classe 4e'!A11="","",'Classe 4e'!A11))</f>
        <v/>
      </c>
      <c r="B811" s="16" t="str">
        <f>IF('Classe 4e'!$B11="","",IF('Classe 4e'!B11="","",'Classe 4e'!B11))</f>
        <v/>
      </c>
      <c r="C811" s="16" t="str">
        <f>IF('Classe 4e'!$B11="","",IF('Classe 4e'!C11="","",'Classe 4e'!C11))</f>
        <v/>
      </c>
      <c r="D811" s="16" t="str">
        <f>IF($B811="","",C811&amp;" "&amp;B811&amp;" - "&amp;E811)</f>
        <v/>
      </c>
      <c r="E811" s="17" t="str">
        <f>IF($B811="","",Paramètres!$A$25)</f>
        <v/>
      </c>
      <c r="F811" s="17" t="str">
        <f>IF($B811="","",Paramètres!$B$25)</f>
        <v/>
      </c>
      <c r="G811" s="17" t="str">
        <f>IF('Classe 4e'!$B11="","",IF('Classe 4e'!D11="","",'Classe 4e'!D11))</f>
        <v/>
      </c>
      <c r="H811" s="78" t="str">
        <f>IF('Classe 4e'!$B11="","",IF('Classe 4e'!E11="","",'Classe 4e'!E11))</f>
        <v/>
      </c>
      <c r="I811" s="16" t="str">
        <f>IF('Classe 4e'!$B11="","",IF('Classe 4e'!F11="","",'Classe 4e'!F11))</f>
        <v/>
      </c>
      <c r="J811" s="16" t="str">
        <f>IF('Classe 4e'!$B11="","",IF('Classe 4e'!G11="","",'Classe 4e'!G11))</f>
        <v/>
      </c>
      <c r="K811" s="18" t="str">
        <f>IF('Classe 4e'!$B11="","",N('Classe 4e'!H11))</f>
        <v/>
      </c>
      <c r="L811" s="18" t="str">
        <f>IF('Classe 4e'!$B11="","",N('Classe 4e'!I11))</f>
        <v/>
      </c>
      <c r="M811" s="18" t="str">
        <f>IF('Classe 4e'!$B11="","",N('Classe 4e'!J11))</f>
        <v/>
      </c>
      <c r="N811" s="18" t="str">
        <f>IF('Classe 4e'!$B11="","",N('Classe 4e'!K11))</f>
        <v/>
      </c>
      <c r="O811" s="18" t="str">
        <f>IF('Classe 4e'!$B11="","",N('Classe 4e'!L11))</f>
        <v/>
      </c>
      <c r="P811" s="18" t="str">
        <f>IF('Classe 4e'!$B11="","",N('Classe 4e'!M11))</f>
        <v/>
      </c>
      <c r="Q811" s="17" t="str">
        <f>IF('Classe 4e'!$B11="","",IF('Classe 4e'!Q11="","",'Classe 4e'!Q11))</f>
        <v/>
      </c>
      <c r="R811" s="18" t="str">
        <f>IF('Classe 4e'!$B11="","",N('Classe 4e'!N11))</f>
        <v/>
      </c>
      <c r="S811" s="18" t="str">
        <f>IF('Classe 4e'!$B11="","",N('Classe 4e'!O11))</f>
        <v/>
      </c>
      <c r="T811" s="18" t="str">
        <f>IF('Classe 4e'!$B11="","",N('Classe 4e'!P11))</f>
        <v/>
      </c>
    </row>
    <row r="812">
      <c r="A812" s="20" t="str">
        <f>IF('Classe 4e'!$B12="","",IF('Classe 4e'!A12="","",'Classe 4e'!A12))</f>
        <v/>
      </c>
      <c r="B812" s="20" t="str">
        <f>IF('Classe 4e'!$B12="","",IF('Classe 4e'!B12="","",'Classe 4e'!B12))</f>
        <v/>
      </c>
      <c r="C812" s="20" t="str">
        <f>IF('Classe 4e'!$B12="","",IF('Classe 4e'!C12="","",'Classe 4e'!C12))</f>
        <v/>
      </c>
      <c r="D812" s="20" t="str">
        <f>IF($B812="","",C812&amp;" "&amp;B812&amp;" - "&amp;E812)</f>
        <v/>
      </c>
      <c r="E812" s="21" t="str">
        <f>IF($B812="","",Paramètres!$A$25)</f>
        <v/>
      </c>
      <c r="F812" s="21" t="str">
        <f>IF($B812="","",Paramètres!$B$25)</f>
        <v/>
      </c>
      <c r="G812" s="21" t="str">
        <f>IF('Classe 4e'!$B12="","",IF('Classe 4e'!D12="","",'Classe 4e'!D12))</f>
        <v/>
      </c>
      <c r="H812" s="77" t="str">
        <f>IF('Classe 4e'!$B12="","",IF('Classe 4e'!E12="","",'Classe 4e'!E12))</f>
        <v/>
      </c>
      <c r="I812" s="20" t="str">
        <f>IF('Classe 4e'!$B12="","",IF('Classe 4e'!F12="","",'Classe 4e'!F12))</f>
        <v/>
      </c>
      <c r="J812" s="20" t="str">
        <f>IF('Classe 4e'!$B12="","",IF('Classe 4e'!G12="","",'Classe 4e'!G12))</f>
        <v/>
      </c>
      <c r="K812" s="51" t="str">
        <f>IF('Classe 4e'!$B12="","",N('Classe 4e'!H12))</f>
        <v/>
      </c>
      <c r="L812" s="51" t="str">
        <f>IF('Classe 4e'!$B12="","",N('Classe 4e'!I12))</f>
        <v/>
      </c>
      <c r="M812" s="51" t="str">
        <f>IF('Classe 4e'!$B12="","",N('Classe 4e'!J12))</f>
        <v/>
      </c>
      <c r="N812" s="51" t="str">
        <f>IF('Classe 4e'!$B12="","",N('Classe 4e'!K12))</f>
        <v/>
      </c>
      <c r="O812" s="51" t="str">
        <f>IF('Classe 4e'!$B12="","",N('Classe 4e'!L12))</f>
        <v/>
      </c>
      <c r="P812" s="51" t="str">
        <f>IF('Classe 4e'!$B12="","",N('Classe 4e'!M12))</f>
        <v/>
      </c>
      <c r="Q812" s="21" t="str">
        <f>IF('Classe 4e'!$B12="","",IF('Classe 4e'!Q12="","",'Classe 4e'!Q12))</f>
        <v/>
      </c>
      <c r="R812" s="51" t="str">
        <f>IF('Classe 4e'!$B12="","",N('Classe 4e'!N12))</f>
        <v/>
      </c>
      <c r="S812" s="51" t="str">
        <f>IF('Classe 4e'!$B12="","",N('Classe 4e'!O12))</f>
        <v/>
      </c>
      <c r="T812" s="51" t="str">
        <f>IF('Classe 4e'!$B12="","",N('Classe 4e'!P12))</f>
        <v/>
      </c>
    </row>
    <row r="813">
      <c r="A813" s="16" t="str">
        <f>IF('Classe 4e'!$B13="","",IF('Classe 4e'!A13="","",'Classe 4e'!A13))</f>
        <v/>
      </c>
      <c r="B813" s="16" t="str">
        <f>IF('Classe 4e'!$B13="","",IF('Classe 4e'!B13="","",'Classe 4e'!B13))</f>
        <v/>
      </c>
      <c r="C813" s="16" t="str">
        <f>IF('Classe 4e'!$B13="","",IF('Classe 4e'!C13="","",'Classe 4e'!C13))</f>
        <v/>
      </c>
      <c r="D813" s="16" t="str">
        <f>IF($B813="","",C813&amp;" "&amp;B813&amp;" - "&amp;E813)</f>
        <v/>
      </c>
      <c r="E813" s="17" t="str">
        <f>IF($B813="","",Paramètres!$A$25)</f>
        <v/>
      </c>
      <c r="F813" s="17" t="str">
        <f>IF($B813="","",Paramètres!$B$25)</f>
        <v/>
      </c>
      <c r="G813" s="17" t="str">
        <f>IF('Classe 4e'!$B13="","",IF('Classe 4e'!D13="","",'Classe 4e'!D13))</f>
        <v/>
      </c>
      <c r="H813" s="78" t="str">
        <f>IF('Classe 4e'!$B13="","",IF('Classe 4e'!E13="","",'Classe 4e'!E13))</f>
        <v/>
      </c>
      <c r="I813" s="16" t="str">
        <f>IF('Classe 4e'!$B13="","",IF('Classe 4e'!F13="","",'Classe 4e'!F13))</f>
        <v/>
      </c>
      <c r="J813" s="16" t="str">
        <f>IF('Classe 4e'!$B13="","",IF('Classe 4e'!G13="","",'Classe 4e'!G13))</f>
        <v/>
      </c>
      <c r="K813" s="18" t="str">
        <f>IF('Classe 4e'!$B13="","",N('Classe 4e'!H13))</f>
        <v/>
      </c>
      <c r="L813" s="18" t="str">
        <f>IF('Classe 4e'!$B13="","",N('Classe 4e'!I13))</f>
        <v/>
      </c>
      <c r="M813" s="18" t="str">
        <f>IF('Classe 4e'!$B13="","",N('Classe 4e'!J13))</f>
        <v/>
      </c>
      <c r="N813" s="18" t="str">
        <f>IF('Classe 4e'!$B13="","",N('Classe 4e'!K13))</f>
        <v/>
      </c>
      <c r="O813" s="18" t="str">
        <f>IF('Classe 4e'!$B13="","",N('Classe 4e'!L13))</f>
        <v/>
      </c>
      <c r="P813" s="18" t="str">
        <f>IF('Classe 4e'!$B13="","",N('Classe 4e'!M13))</f>
        <v/>
      </c>
      <c r="Q813" s="17" t="str">
        <f>IF('Classe 4e'!$B13="","",IF('Classe 4e'!Q13="","",'Classe 4e'!Q13))</f>
        <v/>
      </c>
      <c r="R813" s="18" t="str">
        <f>IF('Classe 4e'!$B13="","",N('Classe 4e'!N13))</f>
        <v/>
      </c>
      <c r="S813" s="18" t="str">
        <f>IF('Classe 4e'!$B13="","",N('Classe 4e'!O13))</f>
        <v/>
      </c>
      <c r="T813" s="18" t="str">
        <f>IF('Classe 4e'!$B13="","",N('Classe 4e'!P13))</f>
        <v/>
      </c>
    </row>
    <row r="814">
      <c r="A814" s="20" t="str">
        <f>IF('Classe 4e'!$B14="","",IF('Classe 4e'!A14="","",'Classe 4e'!A14))</f>
        <v/>
      </c>
      <c r="B814" s="20" t="str">
        <f>IF('Classe 4e'!$B14="","",IF('Classe 4e'!B14="","",'Classe 4e'!B14))</f>
        <v/>
      </c>
      <c r="C814" s="20" t="str">
        <f>IF('Classe 4e'!$B14="","",IF('Classe 4e'!C14="","",'Classe 4e'!C14))</f>
        <v/>
      </c>
      <c r="D814" s="20" t="str">
        <f>IF($B814="","",C814&amp;" "&amp;B814&amp;" - "&amp;E814)</f>
        <v/>
      </c>
      <c r="E814" s="21" t="str">
        <f>IF($B814="","",Paramètres!$A$25)</f>
        <v/>
      </c>
      <c r="F814" s="21" t="str">
        <f>IF($B814="","",Paramètres!$B$25)</f>
        <v/>
      </c>
      <c r="G814" s="21" t="str">
        <f>IF('Classe 4e'!$B14="","",IF('Classe 4e'!D14="","",'Classe 4e'!D14))</f>
        <v/>
      </c>
      <c r="H814" s="77" t="str">
        <f>IF('Classe 4e'!$B14="","",IF('Classe 4e'!E14="","",'Classe 4e'!E14))</f>
        <v/>
      </c>
      <c r="I814" s="20" t="str">
        <f>IF('Classe 4e'!$B14="","",IF('Classe 4e'!F14="","",'Classe 4e'!F14))</f>
        <v/>
      </c>
      <c r="J814" s="20" t="str">
        <f>IF('Classe 4e'!$B14="","",IF('Classe 4e'!G14="","",'Classe 4e'!G14))</f>
        <v/>
      </c>
      <c r="K814" s="51" t="str">
        <f>IF('Classe 4e'!$B14="","",N('Classe 4e'!H14))</f>
        <v/>
      </c>
      <c r="L814" s="51" t="str">
        <f>IF('Classe 4e'!$B14="","",N('Classe 4e'!I14))</f>
        <v/>
      </c>
      <c r="M814" s="51" t="str">
        <f>IF('Classe 4e'!$B14="","",N('Classe 4e'!J14))</f>
        <v/>
      </c>
      <c r="N814" s="51" t="str">
        <f>IF('Classe 4e'!$B14="","",N('Classe 4e'!K14))</f>
        <v/>
      </c>
      <c r="O814" s="51" t="str">
        <f>IF('Classe 4e'!$B14="","",N('Classe 4e'!L14))</f>
        <v/>
      </c>
      <c r="P814" s="51" t="str">
        <f>IF('Classe 4e'!$B14="","",N('Classe 4e'!M14))</f>
        <v/>
      </c>
      <c r="Q814" s="21" t="str">
        <f>IF('Classe 4e'!$B14="","",IF('Classe 4e'!Q14="","",'Classe 4e'!Q14))</f>
        <v/>
      </c>
      <c r="R814" s="51" t="str">
        <f>IF('Classe 4e'!$B14="","",N('Classe 4e'!N14))</f>
        <v/>
      </c>
      <c r="S814" s="51" t="str">
        <f>IF('Classe 4e'!$B14="","",N('Classe 4e'!O14))</f>
        <v/>
      </c>
      <c r="T814" s="51" t="str">
        <f>IF('Classe 4e'!$B14="","",N('Classe 4e'!P14))</f>
        <v/>
      </c>
    </row>
    <row r="815">
      <c r="A815" s="16" t="str">
        <f>IF('Classe 4e'!$B15="","",IF('Classe 4e'!A15="","",'Classe 4e'!A15))</f>
        <v/>
      </c>
      <c r="B815" s="16" t="str">
        <f>IF('Classe 4e'!$B15="","",IF('Classe 4e'!B15="","",'Classe 4e'!B15))</f>
        <v/>
      </c>
      <c r="C815" s="16" t="str">
        <f>IF('Classe 4e'!$B15="","",IF('Classe 4e'!C15="","",'Classe 4e'!C15))</f>
        <v/>
      </c>
      <c r="D815" s="16" t="str">
        <f>IF($B815="","",C815&amp;" "&amp;B815&amp;" - "&amp;E815)</f>
        <v/>
      </c>
      <c r="E815" s="17" t="str">
        <f>IF($B815="","",Paramètres!$A$25)</f>
        <v/>
      </c>
      <c r="F815" s="17" t="str">
        <f>IF($B815="","",Paramètres!$B$25)</f>
        <v/>
      </c>
      <c r="G815" s="17" t="str">
        <f>IF('Classe 4e'!$B15="","",IF('Classe 4e'!D15="","",'Classe 4e'!D15))</f>
        <v/>
      </c>
      <c r="H815" s="78" t="str">
        <f>IF('Classe 4e'!$B15="","",IF('Classe 4e'!E15="","",'Classe 4e'!E15))</f>
        <v/>
      </c>
      <c r="I815" s="16" t="str">
        <f>IF('Classe 4e'!$B15="","",IF('Classe 4e'!F15="","",'Classe 4e'!F15))</f>
        <v/>
      </c>
      <c r="J815" s="16" t="str">
        <f>IF('Classe 4e'!$B15="","",IF('Classe 4e'!G15="","",'Classe 4e'!G15))</f>
        <v/>
      </c>
      <c r="K815" s="18" t="str">
        <f>IF('Classe 4e'!$B15="","",N('Classe 4e'!H15))</f>
        <v/>
      </c>
      <c r="L815" s="18" t="str">
        <f>IF('Classe 4e'!$B15="","",N('Classe 4e'!I15))</f>
        <v/>
      </c>
      <c r="M815" s="18" t="str">
        <f>IF('Classe 4e'!$B15="","",N('Classe 4e'!J15))</f>
        <v/>
      </c>
      <c r="N815" s="18" t="str">
        <f>IF('Classe 4e'!$B15="","",N('Classe 4e'!K15))</f>
        <v/>
      </c>
      <c r="O815" s="18" t="str">
        <f>IF('Classe 4e'!$B15="","",N('Classe 4e'!L15))</f>
        <v/>
      </c>
      <c r="P815" s="18" t="str">
        <f>IF('Classe 4e'!$B15="","",N('Classe 4e'!M15))</f>
        <v/>
      </c>
      <c r="Q815" s="17" t="str">
        <f>IF('Classe 4e'!$B15="","",IF('Classe 4e'!Q15="","",'Classe 4e'!Q15))</f>
        <v/>
      </c>
      <c r="R815" s="18" t="str">
        <f>IF('Classe 4e'!$B15="","",N('Classe 4e'!N15))</f>
        <v/>
      </c>
      <c r="S815" s="18" t="str">
        <f>IF('Classe 4e'!$B15="","",N('Classe 4e'!O15))</f>
        <v/>
      </c>
      <c r="T815" s="18" t="str">
        <f>IF('Classe 4e'!$B15="","",N('Classe 4e'!P15))</f>
        <v/>
      </c>
    </row>
    <row r="816">
      <c r="A816" s="20" t="str">
        <f>IF('Classe 4e'!$B16="","",IF('Classe 4e'!A16="","",'Classe 4e'!A16))</f>
        <v/>
      </c>
      <c r="B816" s="20" t="str">
        <f>IF('Classe 4e'!$B16="","",IF('Classe 4e'!B16="","",'Classe 4e'!B16))</f>
        <v/>
      </c>
      <c r="C816" s="20" t="str">
        <f>IF('Classe 4e'!$B16="","",IF('Classe 4e'!C16="","",'Classe 4e'!C16))</f>
        <v/>
      </c>
      <c r="D816" s="20" t="str">
        <f>IF($B816="","",C816&amp;" "&amp;B816&amp;" - "&amp;E816)</f>
        <v/>
      </c>
      <c r="E816" s="21" t="str">
        <f>IF($B816="","",Paramètres!$A$25)</f>
        <v/>
      </c>
      <c r="F816" s="21" t="str">
        <f>IF($B816="","",Paramètres!$B$25)</f>
        <v/>
      </c>
      <c r="G816" s="21" t="str">
        <f>IF('Classe 4e'!$B16="","",IF('Classe 4e'!D16="","",'Classe 4e'!D16))</f>
        <v/>
      </c>
      <c r="H816" s="77" t="str">
        <f>IF('Classe 4e'!$B16="","",IF('Classe 4e'!E16="","",'Classe 4e'!E16))</f>
        <v/>
      </c>
      <c r="I816" s="20" t="str">
        <f>IF('Classe 4e'!$B16="","",IF('Classe 4e'!F16="","",'Classe 4e'!F16))</f>
        <v/>
      </c>
      <c r="J816" s="20" t="str">
        <f>IF('Classe 4e'!$B16="","",IF('Classe 4e'!G16="","",'Classe 4e'!G16))</f>
        <v/>
      </c>
      <c r="K816" s="51" t="str">
        <f>IF('Classe 4e'!$B16="","",N('Classe 4e'!H16))</f>
        <v/>
      </c>
      <c r="L816" s="51" t="str">
        <f>IF('Classe 4e'!$B16="","",N('Classe 4e'!I16))</f>
        <v/>
      </c>
      <c r="M816" s="51" t="str">
        <f>IF('Classe 4e'!$B16="","",N('Classe 4e'!J16))</f>
        <v/>
      </c>
      <c r="N816" s="51" t="str">
        <f>IF('Classe 4e'!$B16="","",N('Classe 4e'!K16))</f>
        <v/>
      </c>
      <c r="O816" s="51" t="str">
        <f>IF('Classe 4e'!$B16="","",N('Classe 4e'!L16))</f>
        <v/>
      </c>
      <c r="P816" s="51" t="str">
        <f>IF('Classe 4e'!$B16="","",N('Classe 4e'!M16))</f>
        <v/>
      </c>
      <c r="Q816" s="21" t="str">
        <f>IF('Classe 4e'!$B16="","",IF('Classe 4e'!Q16="","",'Classe 4e'!Q16))</f>
        <v/>
      </c>
      <c r="R816" s="51" t="str">
        <f>IF('Classe 4e'!$B16="","",N('Classe 4e'!N16))</f>
        <v/>
      </c>
      <c r="S816" s="51" t="str">
        <f>IF('Classe 4e'!$B16="","",N('Classe 4e'!O16))</f>
        <v/>
      </c>
      <c r="T816" s="51" t="str">
        <f>IF('Classe 4e'!$B16="","",N('Classe 4e'!P16))</f>
        <v/>
      </c>
    </row>
    <row r="817">
      <c r="A817" s="16" t="str">
        <f>IF('Classe 4e'!$B17="","",IF('Classe 4e'!A17="","",'Classe 4e'!A17))</f>
        <v/>
      </c>
      <c r="B817" s="16" t="str">
        <f>IF('Classe 4e'!$B17="","",IF('Classe 4e'!B17="","",'Classe 4e'!B17))</f>
        <v/>
      </c>
      <c r="C817" s="16" t="str">
        <f>IF('Classe 4e'!$B17="","",IF('Classe 4e'!C17="","",'Classe 4e'!C17))</f>
        <v/>
      </c>
      <c r="D817" s="16" t="str">
        <f>IF($B817="","",C817&amp;" "&amp;B817&amp;" - "&amp;E817)</f>
        <v/>
      </c>
      <c r="E817" s="17" t="str">
        <f>IF($B817="","",Paramètres!$A$25)</f>
        <v/>
      </c>
      <c r="F817" s="17" t="str">
        <f>IF($B817="","",Paramètres!$B$25)</f>
        <v/>
      </c>
      <c r="G817" s="17" t="str">
        <f>IF('Classe 4e'!$B17="","",IF('Classe 4e'!D17="","",'Classe 4e'!D17))</f>
        <v/>
      </c>
      <c r="H817" s="78" t="str">
        <f>IF('Classe 4e'!$B17="","",IF('Classe 4e'!E17="","",'Classe 4e'!E17))</f>
        <v/>
      </c>
      <c r="I817" s="16" t="str">
        <f>IF('Classe 4e'!$B17="","",IF('Classe 4e'!F17="","",'Classe 4e'!F17))</f>
        <v/>
      </c>
      <c r="J817" s="16" t="str">
        <f>IF('Classe 4e'!$B17="","",IF('Classe 4e'!G17="","",'Classe 4e'!G17))</f>
        <v/>
      </c>
      <c r="K817" s="18" t="str">
        <f>IF('Classe 4e'!$B17="","",N('Classe 4e'!H17))</f>
        <v/>
      </c>
      <c r="L817" s="18" t="str">
        <f>IF('Classe 4e'!$B17="","",N('Classe 4e'!I17))</f>
        <v/>
      </c>
      <c r="M817" s="18" t="str">
        <f>IF('Classe 4e'!$B17="","",N('Classe 4e'!J17))</f>
        <v/>
      </c>
      <c r="N817" s="18" t="str">
        <f>IF('Classe 4e'!$B17="","",N('Classe 4e'!K17))</f>
        <v/>
      </c>
      <c r="O817" s="18" t="str">
        <f>IF('Classe 4e'!$B17="","",N('Classe 4e'!L17))</f>
        <v/>
      </c>
      <c r="P817" s="18" t="str">
        <f>IF('Classe 4e'!$B17="","",N('Classe 4e'!M17))</f>
        <v/>
      </c>
      <c r="Q817" s="17" t="str">
        <f>IF('Classe 4e'!$B17="","",IF('Classe 4e'!Q17="","",'Classe 4e'!Q17))</f>
        <v/>
      </c>
      <c r="R817" s="18" t="str">
        <f>IF('Classe 4e'!$B17="","",N('Classe 4e'!N17))</f>
        <v/>
      </c>
      <c r="S817" s="18" t="str">
        <f>IF('Classe 4e'!$B17="","",N('Classe 4e'!O17))</f>
        <v/>
      </c>
      <c r="T817" s="18" t="str">
        <f>IF('Classe 4e'!$B17="","",N('Classe 4e'!P17))</f>
        <v/>
      </c>
    </row>
    <row r="818">
      <c r="A818" s="20" t="str">
        <f>IF('Classe 4e'!$B18="","",IF('Classe 4e'!A18="","",'Classe 4e'!A18))</f>
        <v/>
      </c>
      <c r="B818" s="20" t="str">
        <f>IF('Classe 4e'!$B18="","",IF('Classe 4e'!B18="","",'Classe 4e'!B18))</f>
        <v/>
      </c>
      <c r="C818" s="20" t="str">
        <f>IF('Classe 4e'!$B18="","",IF('Classe 4e'!C18="","",'Classe 4e'!C18))</f>
        <v/>
      </c>
      <c r="D818" s="20" t="str">
        <f>IF($B818="","",C818&amp;" "&amp;B818&amp;" - "&amp;E818)</f>
        <v/>
      </c>
      <c r="E818" s="21" t="str">
        <f>IF($B818="","",Paramètres!$A$25)</f>
        <v/>
      </c>
      <c r="F818" s="21" t="str">
        <f>IF($B818="","",Paramètres!$B$25)</f>
        <v/>
      </c>
      <c r="G818" s="21" t="str">
        <f>IF('Classe 4e'!$B18="","",IF('Classe 4e'!D18="","",'Classe 4e'!D18))</f>
        <v/>
      </c>
      <c r="H818" s="77" t="str">
        <f>IF('Classe 4e'!$B18="","",IF('Classe 4e'!E18="","",'Classe 4e'!E18))</f>
        <v/>
      </c>
      <c r="I818" s="20" t="str">
        <f>IF('Classe 4e'!$B18="","",IF('Classe 4e'!F18="","",'Classe 4e'!F18))</f>
        <v/>
      </c>
      <c r="J818" s="20" t="str">
        <f>IF('Classe 4e'!$B18="","",IF('Classe 4e'!G18="","",'Classe 4e'!G18))</f>
        <v/>
      </c>
      <c r="K818" s="51" t="str">
        <f>IF('Classe 4e'!$B18="","",N('Classe 4e'!H18))</f>
        <v/>
      </c>
      <c r="L818" s="51" t="str">
        <f>IF('Classe 4e'!$B18="","",N('Classe 4e'!I18))</f>
        <v/>
      </c>
      <c r="M818" s="51" t="str">
        <f>IF('Classe 4e'!$B18="","",N('Classe 4e'!J18))</f>
        <v/>
      </c>
      <c r="N818" s="51" t="str">
        <f>IF('Classe 4e'!$B18="","",N('Classe 4e'!K18))</f>
        <v/>
      </c>
      <c r="O818" s="51" t="str">
        <f>IF('Classe 4e'!$B18="","",N('Classe 4e'!L18))</f>
        <v/>
      </c>
      <c r="P818" s="51" t="str">
        <f>IF('Classe 4e'!$B18="","",N('Classe 4e'!M18))</f>
        <v/>
      </c>
      <c r="Q818" s="21" t="str">
        <f>IF('Classe 4e'!$B18="","",IF('Classe 4e'!Q18="","",'Classe 4e'!Q18))</f>
        <v/>
      </c>
      <c r="R818" s="51" t="str">
        <f>IF('Classe 4e'!$B18="","",N('Classe 4e'!N18))</f>
        <v/>
      </c>
      <c r="S818" s="51" t="str">
        <f>IF('Classe 4e'!$B18="","",N('Classe 4e'!O18))</f>
        <v/>
      </c>
      <c r="T818" s="51" t="str">
        <f>IF('Classe 4e'!$B18="","",N('Classe 4e'!P18))</f>
        <v/>
      </c>
    </row>
    <row r="819">
      <c r="A819" s="16" t="str">
        <f>IF('Classe 4e'!$B19="","",IF('Classe 4e'!A19="","",'Classe 4e'!A19))</f>
        <v/>
      </c>
      <c r="B819" s="16" t="str">
        <f>IF('Classe 4e'!$B19="","",IF('Classe 4e'!B19="","",'Classe 4e'!B19))</f>
        <v/>
      </c>
      <c r="C819" s="16" t="str">
        <f>IF('Classe 4e'!$B19="","",IF('Classe 4e'!C19="","",'Classe 4e'!C19))</f>
        <v/>
      </c>
      <c r="D819" s="16" t="str">
        <f>IF($B819="","",C819&amp;" "&amp;B819&amp;" - "&amp;E819)</f>
        <v/>
      </c>
      <c r="E819" s="17" t="str">
        <f>IF($B819="","",Paramètres!$A$25)</f>
        <v/>
      </c>
      <c r="F819" s="17" t="str">
        <f>IF($B819="","",Paramètres!$B$25)</f>
        <v/>
      </c>
      <c r="G819" s="17" t="str">
        <f>IF('Classe 4e'!$B19="","",IF('Classe 4e'!D19="","",'Classe 4e'!D19))</f>
        <v/>
      </c>
      <c r="H819" s="78" t="str">
        <f>IF('Classe 4e'!$B19="","",IF('Classe 4e'!E19="","",'Classe 4e'!E19))</f>
        <v/>
      </c>
      <c r="I819" s="16" t="str">
        <f>IF('Classe 4e'!$B19="","",IF('Classe 4e'!F19="","",'Classe 4e'!F19))</f>
        <v/>
      </c>
      <c r="J819" s="16" t="str">
        <f>IF('Classe 4e'!$B19="","",IF('Classe 4e'!G19="","",'Classe 4e'!G19))</f>
        <v/>
      </c>
      <c r="K819" s="18" t="str">
        <f>IF('Classe 4e'!$B19="","",N('Classe 4e'!H19))</f>
        <v/>
      </c>
      <c r="L819" s="18" t="str">
        <f>IF('Classe 4e'!$B19="","",N('Classe 4e'!I19))</f>
        <v/>
      </c>
      <c r="M819" s="18" t="str">
        <f>IF('Classe 4e'!$B19="","",N('Classe 4e'!J19))</f>
        <v/>
      </c>
      <c r="N819" s="18" t="str">
        <f>IF('Classe 4e'!$B19="","",N('Classe 4e'!K19))</f>
        <v/>
      </c>
      <c r="O819" s="18" t="str">
        <f>IF('Classe 4e'!$B19="","",N('Classe 4e'!L19))</f>
        <v/>
      </c>
      <c r="P819" s="18" t="str">
        <f>IF('Classe 4e'!$B19="","",N('Classe 4e'!M19))</f>
        <v/>
      </c>
      <c r="Q819" s="17" t="str">
        <f>IF('Classe 4e'!$B19="","",IF('Classe 4e'!Q19="","",'Classe 4e'!Q19))</f>
        <v/>
      </c>
      <c r="R819" s="18" t="str">
        <f>IF('Classe 4e'!$B19="","",N('Classe 4e'!N19))</f>
        <v/>
      </c>
      <c r="S819" s="18" t="str">
        <f>IF('Classe 4e'!$B19="","",N('Classe 4e'!O19))</f>
        <v/>
      </c>
      <c r="T819" s="18" t="str">
        <f>IF('Classe 4e'!$B19="","",N('Classe 4e'!P19))</f>
        <v/>
      </c>
    </row>
    <row r="820">
      <c r="A820" s="20" t="str">
        <f>IF('Classe 4e'!$B20="","",IF('Classe 4e'!A20="","",'Classe 4e'!A20))</f>
        <v/>
      </c>
      <c r="B820" s="20" t="str">
        <f>IF('Classe 4e'!$B20="","",IF('Classe 4e'!B20="","",'Classe 4e'!B20))</f>
        <v/>
      </c>
      <c r="C820" s="20" t="str">
        <f>IF('Classe 4e'!$B20="","",IF('Classe 4e'!C20="","",'Classe 4e'!C20))</f>
        <v/>
      </c>
      <c r="D820" s="20" t="str">
        <f>IF($B820="","",C820&amp;" "&amp;B820&amp;" - "&amp;E820)</f>
        <v/>
      </c>
      <c r="E820" s="21" t="str">
        <f>IF($B820="","",Paramètres!$A$25)</f>
        <v/>
      </c>
      <c r="F820" s="21" t="str">
        <f>IF($B820="","",Paramètres!$B$25)</f>
        <v/>
      </c>
      <c r="G820" s="21" t="str">
        <f>IF('Classe 4e'!$B20="","",IF('Classe 4e'!D20="","",'Classe 4e'!D20))</f>
        <v/>
      </c>
      <c r="H820" s="77" t="str">
        <f>IF('Classe 4e'!$B20="","",IF('Classe 4e'!E20="","",'Classe 4e'!E20))</f>
        <v/>
      </c>
      <c r="I820" s="20" t="str">
        <f>IF('Classe 4e'!$B20="","",IF('Classe 4e'!F20="","",'Classe 4e'!F20))</f>
        <v/>
      </c>
      <c r="J820" s="20" t="str">
        <f>IF('Classe 4e'!$B20="","",IF('Classe 4e'!G20="","",'Classe 4e'!G20))</f>
        <v/>
      </c>
      <c r="K820" s="51" t="str">
        <f>IF('Classe 4e'!$B20="","",N('Classe 4e'!H20))</f>
        <v/>
      </c>
      <c r="L820" s="51" t="str">
        <f>IF('Classe 4e'!$B20="","",N('Classe 4e'!I20))</f>
        <v/>
      </c>
      <c r="M820" s="51" t="str">
        <f>IF('Classe 4e'!$B20="","",N('Classe 4e'!J20))</f>
        <v/>
      </c>
      <c r="N820" s="51" t="str">
        <f>IF('Classe 4e'!$B20="","",N('Classe 4e'!K20))</f>
        <v/>
      </c>
      <c r="O820" s="51" t="str">
        <f>IF('Classe 4e'!$B20="","",N('Classe 4e'!L20))</f>
        <v/>
      </c>
      <c r="P820" s="51" t="str">
        <f>IF('Classe 4e'!$B20="","",N('Classe 4e'!M20))</f>
        <v/>
      </c>
      <c r="Q820" s="21" t="str">
        <f>IF('Classe 4e'!$B20="","",IF('Classe 4e'!Q20="","",'Classe 4e'!Q20))</f>
        <v/>
      </c>
      <c r="R820" s="51" t="str">
        <f>IF('Classe 4e'!$B20="","",N('Classe 4e'!N20))</f>
        <v/>
      </c>
      <c r="S820" s="51" t="str">
        <f>IF('Classe 4e'!$B20="","",N('Classe 4e'!O20))</f>
        <v/>
      </c>
      <c r="T820" s="51" t="str">
        <f>IF('Classe 4e'!$B20="","",N('Classe 4e'!P20))</f>
        <v/>
      </c>
    </row>
    <row r="821">
      <c r="A821" s="16" t="str">
        <f>IF('Classe 4e'!$B21="","",IF('Classe 4e'!A21="","",'Classe 4e'!A21))</f>
        <v/>
      </c>
      <c r="B821" s="16" t="str">
        <f>IF('Classe 4e'!$B21="","",IF('Classe 4e'!B21="","",'Classe 4e'!B21))</f>
        <v/>
      </c>
      <c r="C821" s="16" t="str">
        <f>IF('Classe 4e'!$B21="","",IF('Classe 4e'!C21="","",'Classe 4e'!C21))</f>
        <v/>
      </c>
      <c r="D821" s="16" t="str">
        <f>IF($B821="","",C821&amp;" "&amp;B821&amp;" - "&amp;E821)</f>
        <v/>
      </c>
      <c r="E821" s="17" t="str">
        <f>IF($B821="","",Paramètres!$A$25)</f>
        <v/>
      </c>
      <c r="F821" s="17" t="str">
        <f>IF($B821="","",Paramètres!$B$25)</f>
        <v/>
      </c>
      <c r="G821" s="17" t="str">
        <f>IF('Classe 4e'!$B21="","",IF('Classe 4e'!D21="","",'Classe 4e'!D21))</f>
        <v/>
      </c>
      <c r="H821" s="78" t="str">
        <f>IF('Classe 4e'!$B21="","",IF('Classe 4e'!E21="","",'Classe 4e'!E21))</f>
        <v/>
      </c>
      <c r="I821" s="16" t="str">
        <f>IF('Classe 4e'!$B21="","",IF('Classe 4e'!F21="","",'Classe 4e'!F21))</f>
        <v/>
      </c>
      <c r="J821" s="16" t="str">
        <f>IF('Classe 4e'!$B21="","",IF('Classe 4e'!G21="","",'Classe 4e'!G21))</f>
        <v/>
      </c>
      <c r="K821" s="18" t="str">
        <f>IF('Classe 4e'!$B21="","",N('Classe 4e'!H21))</f>
        <v/>
      </c>
      <c r="L821" s="18" t="str">
        <f>IF('Classe 4e'!$B21="","",N('Classe 4e'!I21))</f>
        <v/>
      </c>
      <c r="M821" s="18" t="str">
        <f>IF('Classe 4e'!$B21="","",N('Classe 4e'!J21))</f>
        <v/>
      </c>
      <c r="N821" s="18" t="str">
        <f>IF('Classe 4e'!$B21="","",N('Classe 4e'!K21))</f>
        <v/>
      </c>
      <c r="O821" s="18" t="str">
        <f>IF('Classe 4e'!$B21="","",N('Classe 4e'!L21))</f>
        <v/>
      </c>
      <c r="P821" s="18" t="str">
        <f>IF('Classe 4e'!$B21="","",N('Classe 4e'!M21))</f>
        <v/>
      </c>
      <c r="Q821" s="17" t="str">
        <f>IF('Classe 4e'!$B21="","",IF('Classe 4e'!Q21="","",'Classe 4e'!Q21))</f>
        <v/>
      </c>
      <c r="R821" s="18" t="str">
        <f>IF('Classe 4e'!$B21="","",N('Classe 4e'!N21))</f>
        <v/>
      </c>
      <c r="S821" s="18" t="str">
        <f>IF('Classe 4e'!$B21="","",N('Classe 4e'!O21))</f>
        <v/>
      </c>
      <c r="T821" s="18" t="str">
        <f>IF('Classe 4e'!$B21="","",N('Classe 4e'!P21))</f>
        <v/>
      </c>
    </row>
    <row r="822">
      <c r="A822" s="20" t="str">
        <f>IF('Classe 4e'!$B22="","",IF('Classe 4e'!A22="","",'Classe 4e'!A22))</f>
        <v/>
      </c>
      <c r="B822" s="20" t="str">
        <f>IF('Classe 4e'!$B22="","",IF('Classe 4e'!B22="","",'Classe 4e'!B22))</f>
        <v/>
      </c>
      <c r="C822" s="20" t="str">
        <f>IF('Classe 4e'!$B22="","",IF('Classe 4e'!C22="","",'Classe 4e'!C22))</f>
        <v/>
      </c>
      <c r="D822" s="20" t="str">
        <f>IF($B822="","",C822&amp;" "&amp;B822&amp;" - "&amp;E822)</f>
        <v/>
      </c>
      <c r="E822" s="21" t="str">
        <f>IF($B822="","",Paramètres!$A$25)</f>
        <v/>
      </c>
      <c r="F822" s="21" t="str">
        <f>IF($B822="","",Paramètres!$B$25)</f>
        <v/>
      </c>
      <c r="G822" s="21" t="str">
        <f>IF('Classe 4e'!$B22="","",IF('Classe 4e'!D22="","",'Classe 4e'!D22))</f>
        <v/>
      </c>
      <c r="H822" s="77" t="str">
        <f>IF('Classe 4e'!$B22="","",IF('Classe 4e'!E22="","",'Classe 4e'!E22))</f>
        <v/>
      </c>
      <c r="I822" s="20" t="str">
        <f>IF('Classe 4e'!$B22="","",IF('Classe 4e'!F22="","",'Classe 4e'!F22))</f>
        <v/>
      </c>
      <c r="J822" s="20" t="str">
        <f>IF('Classe 4e'!$B22="","",IF('Classe 4e'!G22="","",'Classe 4e'!G22))</f>
        <v/>
      </c>
      <c r="K822" s="51" t="str">
        <f>IF('Classe 4e'!$B22="","",N('Classe 4e'!H22))</f>
        <v/>
      </c>
      <c r="L822" s="51" t="str">
        <f>IF('Classe 4e'!$B22="","",N('Classe 4e'!I22))</f>
        <v/>
      </c>
      <c r="M822" s="51" t="str">
        <f>IF('Classe 4e'!$B22="","",N('Classe 4e'!J22))</f>
        <v/>
      </c>
      <c r="N822" s="51" t="str">
        <f>IF('Classe 4e'!$B22="","",N('Classe 4e'!K22))</f>
        <v/>
      </c>
      <c r="O822" s="51" t="str">
        <f>IF('Classe 4e'!$B22="","",N('Classe 4e'!L22))</f>
        <v/>
      </c>
      <c r="P822" s="51" t="str">
        <f>IF('Classe 4e'!$B22="","",N('Classe 4e'!M22))</f>
        <v/>
      </c>
      <c r="Q822" s="21" t="str">
        <f>IF('Classe 4e'!$B22="","",IF('Classe 4e'!Q22="","",'Classe 4e'!Q22))</f>
        <v/>
      </c>
      <c r="R822" s="51" t="str">
        <f>IF('Classe 4e'!$B22="","",N('Classe 4e'!N22))</f>
        <v/>
      </c>
      <c r="S822" s="51" t="str">
        <f>IF('Classe 4e'!$B22="","",N('Classe 4e'!O22))</f>
        <v/>
      </c>
      <c r="T822" s="51" t="str">
        <f>IF('Classe 4e'!$B22="","",N('Classe 4e'!P22))</f>
        <v/>
      </c>
    </row>
    <row r="823">
      <c r="A823" s="16" t="str">
        <f>IF('Classe 4e'!$B23="","",IF('Classe 4e'!A23="","",'Classe 4e'!A23))</f>
        <v/>
      </c>
      <c r="B823" s="16" t="str">
        <f>IF('Classe 4e'!$B23="","",IF('Classe 4e'!B23="","",'Classe 4e'!B23))</f>
        <v/>
      </c>
      <c r="C823" s="16" t="str">
        <f>IF('Classe 4e'!$B23="","",IF('Classe 4e'!C23="","",'Classe 4e'!C23))</f>
        <v/>
      </c>
      <c r="D823" s="16" t="str">
        <f>IF($B823="","",C823&amp;" "&amp;B823&amp;" - "&amp;E823)</f>
        <v/>
      </c>
      <c r="E823" s="17" t="str">
        <f>IF($B823="","",Paramètres!$A$25)</f>
        <v/>
      </c>
      <c r="F823" s="17" t="str">
        <f>IF($B823="","",Paramètres!$B$25)</f>
        <v/>
      </c>
      <c r="G823" s="17" t="str">
        <f>IF('Classe 4e'!$B23="","",IF('Classe 4e'!D23="","",'Classe 4e'!D23))</f>
        <v/>
      </c>
      <c r="H823" s="78" t="str">
        <f>IF('Classe 4e'!$B23="","",IF('Classe 4e'!E23="","",'Classe 4e'!E23))</f>
        <v/>
      </c>
      <c r="I823" s="16" t="str">
        <f>IF('Classe 4e'!$B23="","",IF('Classe 4e'!F23="","",'Classe 4e'!F23))</f>
        <v/>
      </c>
      <c r="J823" s="16" t="str">
        <f>IF('Classe 4e'!$B23="","",IF('Classe 4e'!G23="","",'Classe 4e'!G23))</f>
        <v/>
      </c>
      <c r="K823" s="18" t="str">
        <f>IF('Classe 4e'!$B23="","",N('Classe 4e'!H23))</f>
        <v/>
      </c>
      <c r="L823" s="18" t="str">
        <f>IF('Classe 4e'!$B23="","",N('Classe 4e'!I23))</f>
        <v/>
      </c>
      <c r="M823" s="18" t="str">
        <f>IF('Classe 4e'!$B23="","",N('Classe 4e'!J23))</f>
        <v/>
      </c>
      <c r="N823" s="18" t="str">
        <f>IF('Classe 4e'!$B23="","",N('Classe 4e'!K23))</f>
        <v/>
      </c>
      <c r="O823" s="18" t="str">
        <f>IF('Classe 4e'!$B23="","",N('Classe 4e'!L23))</f>
        <v/>
      </c>
      <c r="P823" s="18" t="str">
        <f>IF('Classe 4e'!$B23="","",N('Classe 4e'!M23))</f>
        <v/>
      </c>
      <c r="Q823" s="17" t="str">
        <f>IF('Classe 4e'!$B23="","",IF('Classe 4e'!Q23="","",'Classe 4e'!Q23))</f>
        <v/>
      </c>
      <c r="R823" s="18" t="str">
        <f>IF('Classe 4e'!$B23="","",N('Classe 4e'!N23))</f>
        <v/>
      </c>
      <c r="S823" s="18" t="str">
        <f>IF('Classe 4e'!$B23="","",N('Classe 4e'!O23))</f>
        <v/>
      </c>
      <c r="T823" s="18" t="str">
        <f>IF('Classe 4e'!$B23="","",N('Classe 4e'!P23))</f>
        <v/>
      </c>
    </row>
    <row r="824">
      <c r="A824" s="20" t="str">
        <f>IF('Classe 4e'!$B24="","",IF('Classe 4e'!A24="","",'Classe 4e'!A24))</f>
        <v/>
      </c>
      <c r="B824" s="20" t="str">
        <f>IF('Classe 4e'!$B24="","",IF('Classe 4e'!B24="","",'Classe 4e'!B24))</f>
        <v/>
      </c>
      <c r="C824" s="20" t="str">
        <f>IF('Classe 4e'!$B24="","",IF('Classe 4e'!C24="","",'Classe 4e'!C24))</f>
        <v/>
      </c>
      <c r="D824" s="20" t="str">
        <f>IF($B824="","",C824&amp;" "&amp;B824&amp;" - "&amp;E824)</f>
        <v/>
      </c>
      <c r="E824" s="21" t="str">
        <f>IF($B824="","",Paramètres!$A$25)</f>
        <v/>
      </c>
      <c r="F824" s="21" t="str">
        <f>IF($B824="","",Paramètres!$B$25)</f>
        <v/>
      </c>
      <c r="G824" s="21" t="str">
        <f>IF('Classe 4e'!$B24="","",IF('Classe 4e'!D24="","",'Classe 4e'!D24))</f>
        <v/>
      </c>
      <c r="H824" s="77" t="str">
        <f>IF('Classe 4e'!$B24="","",IF('Classe 4e'!E24="","",'Classe 4e'!E24))</f>
        <v/>
      </c>
      <c r="I824" s="20" t="str">
        <f>IF('Classe 4e'!$B24="","",IF('Classe 4e'!F24="","",'Classe 4e'!F24))</f>
        <v/>
      </c>
      <c r="J824" s="20" t="str">
        <f>IF('Classe 4e'!$B24="","",IF('Classe 4e'!G24="","",'Classe 4e'!G24))</f>
        <v/>
      </c>
      <c r="K824" s="51" t="str">
        <f>IF('Classe 4e'!$B24="","",N('Classe 4e'!H24))</f>
        <v/>
      </c>
      <c r="L824" s="51" t="str">
        <f>IF('Classe 4e'!$B24="","",N('Classe 4e'!I24))</f>
        <v/>
      </c>
      <c r="M824" s="51" t="str">
        <f>IF('Classe 4e'!$B24="","",N('Classe 4e'!J24))</f>
        <v/>
      </c>
      <c r="N824" s="51" t="str">
        <f>IF('Classe 4e'!$B24="","",N('Classe 4e'!K24))</f>
        <v/>
      </c>
      <c r="O824" s="51" t="str">
        <f>IF('Classe 4e'!$B24="","",N('Classe 4e'!L24))</f>
        <v/>
      </c>
      <c r="P824" s="51" t="str">
        <f>IF('Classe 4e'!$B24="","",N('Classe 4e'!M24))</f>
        <v/>
      </c>
      <c r="Q824" s="21" t="str">
        <f>IF('Classe 4e'!$B24="","",IF('Classe 4e'!Q24="","",'Classe 4e'!Q24))</f>
        <v/>
      </c>
      <c r="R824" s="51" t="str">
        <f>IF('Classe 4e'!$B24="","",N('Classe 4e'!N24))</f>
        <v/>
      </c>
      <c r="S824" s="51" t="str">
        <f>IF('Classe 4e'!$B24="","",N('Classe 4e'!O24))</f>
        <v/>
      </c>
      <c r="T824" s="51" t="str">
        <f>IF('Classe 4e'!$B24="","",N('Classe 4e'!P24))</f>
        <v/>
      </c>
    </row>
    <row r="825">
      <c r="A825" s="16" t="str">
        <f>IF('Classe 4e'!$B25="","",IF('Classe 4e'!A25="","",'Classe 4e'!A25))</f>
        <v/>
      </c>
      <c r="B825" s="16" t="str">
        <f>IF('Classe 4e'!$B25="","",IF('Classe 4e'!B25="","",'Classe 4e'!B25))</f>
        <v/>
      </c>
      <c r="C825" s="16" t="str">
        <f>IF('Classe 4e'!$B25="","",IF('Classe 4e'!C25="","",'Classe 4e'!C25))</f>
        <v/>
      </c>
      <c r="D825" s="16" t="str">
        <f>IF($B825="","",C825&amp;" "&amp;B825&amp;" - "&amp;E825)</f>
        <v/>
      </c>
      <c r="E825" s="17" t="str">
        <f>IF($B825="","",Paramètres!$A$25)</f>
        <v/>
      </c>
      <c r="F825" s="17" t="str">
        <f>IF($B825="","",Paramètres!$B$25)</f>
        <v/>
      </c>
      <c r="G825" s="17" t="str">
        <f>IF('Classe 4e'!$B25="","",IF('Classe 4e'!D25="","",'Classe 4e'!D25))</f>
        <v/>
      </c>
      <c r="H825" s="78" t="str">
        <f>IF('Classe 4e'!$B25="","",IF('Classe 4e'!E25="","",'Classe 4e'!E25))</f>
        <v/>
      </c>
      <c r="I825" s="16" t="str">
        <f>IF('Classe 4e'!$B25="","",IF('Classe 4e'!F25="","",'Classe 4e'!F25))</f>
        <v/>
      </c>
      <c r="J825" s="16" t="str">
        <f>IF('Classe 4e'!$B25="","",IF('Classe 4e'!G25="","",'Classe 4e'!G25))</f>
        <v/>
      </c>
      <c r="K825" s="18" t="str">
        <f>IF('Classe 4e'!$B25="","",N('Classe 4e'!H25))</f>
        <v/>
      </c>
      <c r="L825" s="18" t="str">
        <f>IF('Classe 4e'!$B25="","",N('Classe 4e'!I25))</f>
        <v/>
      </c>
      <c r="M825" s="18" t="str">
        <f>IF('Classe 4e'!$B25="","",N('Classe 4e'!J25))</f>
        <v/>
      </c>
      <c r="N825" s="18" t="str">
        <f>IF('Classe 4e'!$B25="","",N('Classe 4e'!K25))</f>
        <v/>
      </c>
      <c r="O825" s="18" t="str">
        <f>IF('Classe 4e'!$B25="","",N('Classe 4e'!L25))</f>
        <v/>
      </c>
      <c r="P825" s="18" t="str">
        <f>IF('Classe 4e'!$B25="","",N('Classe 4e'!M25))</f>
        <v/>
      </c>
      <c r="Q825" s="17" t="str">
        <f>IF('Classe 4e'!$B25="","",IF('Classe 4e'!Q25="","",'Classe 4e'!Q25))</f>
        <v/>
      </c>
      <c r="R825" s="18" t="str">
        <f>IF('Classe 4e'!$B25="","",N('Classe 4e'!N25))</f>
        <v/>
      </c>
      <c r="S825" s="18" t="str">
        <f>IF('Classe 4e'!$B25="","",N('Classe 4e'!O25))</f>
        <v/>
      </c>
      <c r="T825" s="18" t="str">
        <f>IF('Classe 4e'!$B25="","",N('Classe 4e'!P25))</f>
        <v/>
      </c>
    </row>
    <row r="826">
      <c r="A826" s="20" t="str">
        <f>IF('Classe 4e'!$B26="","",IF('Classe 4e'!A26="","",'Classe 4e'!A26))</f>
        <v/>
      </c>
      <c r="B826" s="20" t="str">
        <f>IF('Classe 4e'!$B26="","",IF('Classe 4e'!B26="","",'Classe 4e'!B26))</f>
        <v/>
      </c>
      <c r="C826" s="20" t="str">
        <f>IF('Classe 4e'!$B26="","",IF('Classe 4e'!C26="","",'Classe 4e'!C26))</f>
        <v/>
      </c>
      <c r="D826" s="20" t="str">
        <f>IF($B826="","",C826&amp;" "&amp;B826&amp;" - "&amp;E826)</f>
        <v/>
      </c>
      <c r="E826" s="21" t="str">
        <f>IF($B826="","",Paramètres!$A$25)</f>
        <v/>
      </c>
      <c r="F826" s="21" t="str">
        <f>IF($B826="","",Paramètres!$B$25)</f>
        <v/>
      </c>
      <c r="G826" s="21" t="str">
        <f>IF('Classe 4e'!$B26="","",IF('Classe 4e'!D26="","",'Classe 4e'!D26))</f>
        <v/>
      </c>
      <c r="H826" s="77" t="str">
        <f>IF('Classe 4e'!$B26="","",IF('Classe 4e'!E26="","",'Classe 4e'!E26))</f>
        <v/>
      </c>
      <c r="I826" s="20" t="str">
        <f>IF('Classe 4e'!$B26="","",IF('Classe 4e'!F26="","",'Classe 4e'!F26))</f>
        <v/>
      </c>
      <c r="J826" s="20" t="str">
        <f>IF('Classe 4e'!$B26="","",IF('Classe 4e'!G26="","",'Classe 4e'!G26))</f>
        <v/>
      </c>
      <c r="K826" s="51" t="str">
        <f>IF('Classe 4e'!$B26="","",N('Classe 4e'!H26))</f>
        <v/>
      </c>
      <c r="L826" s="51" t="str">
        <f>IF('Classe 4e'!$B26="","",N('Classe 4e'!I26))</f>
        <v/>
      </c>
      <c r="M826" s="51" t="str">
        <f>IF('Classe 4e'!$B26="","",N('Classe 4e'!J26))</f>
        <v/>
      </c>
      <c r="N826" s="51" t="str">
        <f>IF('Classe 4e'!$B26="","",N('Classe 4e'!K26))</f>
        <v/>
      </c>
      <c r="O826" s="51" t="str">
        <f>IF('Classe 4e'!$B26="","",N('Classe 4e'!L26))</f>
        <v/>
      </c>
      <c r="P826" s="51" t="str">
        <f>IF('Classe 4e'!$B26="","",N('Classe 4e'!M26))</f>
        <v/>
      </c>
      <c r="Q826" s="21" t="str">
        <f>IF('Classe 4e'!$B26="","",IF('Classe 4e'!Q26="","",'Classe 4e'!Q26))</f>
        <v/>
      </c>
      <c r="R826" s="51" t="str">
        <f>IF('Classe 4e'!$B26="","",N('Classe 4e'!N26))</f>
        <v/>
      </c>
      <c r="S826" s="51" t="str">
        <f>IF('Classe 4e'!$B26="","",N('Classe 4e'!O26))</f>
        <v/>
      </c>
      <c r="T826" s="51" t="str">
        <f>IF('Classe 4e'!$B26="","",N('Classe 4e'!P26))</f>
        <v/>
      </c>
    </row>
    <row r="827">
      <c r="A827" s="16" t="str">
        <f>IF('Classe 4e'!$B27="","",IF('Classe 4e'!A27="","",'Classe 4e'!A27))</f>
        <v/>
      </c>
      <c r="B827" s="16" t="str">
        <f>IF('Classe 4e'!$B27="","",IF('Classe 4e'!B27="","",'Classe 4e'!B27))</f>
        <v/>
      </c>
      <c r="C827" s="16" t="str">
        <f>IF('Classe 4e'!$B27="","",IF('Classe 4e'!C27="","",'Classe 4e'!C27))</f>
        <v/>
      </c>
      <c r="D827" s="16" t="str">
        <f>IF($B827="","",C827&amp;" "&amp;B827&amp;" - "&amp;E827)</f>
        <v/>
      </c>
      <c r="E827" s="17" t="str">
        <f>IF($B827="","",Paramètres!$A$25)</f>
        <v/>
      </c>
      <c r="F827" s="17" t="str">
        <f>IF($B827="","",Paramètres!$B$25)</f>
        <v/>
      </c>
      <c r="G827" s="17" t="str">
        <f>IF('Classe 4e'!$B27="","",IF('Classe 4e'!D27="","",'Classe 4e'!D27))</f>
        <v/>
      </c>
      <c r="H827" s="78" t="str">
        <f>IF('Classe 4e'!$B27="","",IF('Classe 4e'!E27="","",'Classe 4e'!E27))</f>
        <v/>
      </c>
      <c r="I827" s="16" t="str">
        <f>IF('Classe 4e'!$B27="","",IF('Classe 4e'!F27="","",'Classe 4e'!F27))</f>
        <v/>
      </c>
      <c r="J827" s="16" t="str">
        <f>IF('Classe 4e'!$B27="","",IF('Classe 4e'!G27="","",'Classe 4e'!G27))</f>
        <v/>
      </c>
      <c r="K827" s="18" t="str">
        <f>IF('Classe 4e'!$B27="","",N('Classe 4e'!H27))</f>
        <v/>
      </c>
      <c r="L827" s="18" t="str">
        <f>IF('Classe 4e'!$B27="","",N('Classe 4e'!I27))</f>
        <v/>
      </c>
      <c r="M827" s="18" t="str">
        <f>IF('Classe 4e'!$B27="","",N('Classe 4e'!J27))</f>
        <v/>
      </c>
      <c r="N827" s="18" t="str">
        <f>IF('Classe 4e'!$B27="","",N('Classe 4e'!K27))</f>
        <v/>
      </c>
      <c r="O827" s="18" t="str">
        <f>IF('Classe 4e'!$B27="","",N('Classe 4e'!L27))</f>
        <v/>
      </c>
      <c r="P827" s="18" t="str">
        <f>IF('Classe 4e'!$B27="","",N('Classe 4e'!M27))</f>
        <v/>
      </c>
      <c r="Q827" s="17" t="str">
        <f>IF('Classe 4e'!$B27="","",IF('Classe 4e'!Q27="","",'Classe 4e'!Q27))</f>
        <v/>
      </c>
      <c r="R827" s="18" t="str">
        <f>IF('Classe 4e'!$B27="","",N('Classe 4e'!N27))</f>
        <v/>
      </c>
      <c r="S827" s="18" t="str">
        <f>IF('Classe 4e'!$B27="","",N('Classe 4e'!O27))</f>
        <v/>
      </c>
      <c r="T827" s="18" t="str">
        <f>IF('Classe 4e'!$B27="","",N('Classe 4e'!P27))</f>
        <v/>
      </c>
    </row>
    <row r="828">
      <c r="A828" s="20" t="str">
        <f>IF('Classe 4e'!$B28="","",IF('Classe 4e'!A28="","",'Classe 4e'!A28))</f>
        <v/>
      </c>
      <c r="B828" s="20" t="str">
        <f>IF('Classe 4e'!$B28="","",IF('Classe 4e'!B28="","",'Classe 4e'!B28))</f>
        <v/>
      </c>
      <c r="C828" s="20" t="str">
        <f>IF('Classe 4e'!$B28="","",IF('Classe 4e'!C28="","",'Classe 4e'!C28))</f>
        <v/>
      </c>
      <c r="D828" s="20" t="str">
        <f>IF($B828="","",C828&amp;" "&amp;B828&amp;" - "&amp;E828)</f>
        <v/>
      </c>
      <c r="E828" s="21" t="str">
        <f>IF($B828="","",Paramètres!$A$25)</f>
        <v/>
      </c>
      <c r="F828" s="21" t="str">
        <f>IF($B828="","",Paramètres!$B$25)</f>
        <v/>
      </c>
      <c r="G828" s="21" t="str">
        <f>IF('Classe 4e'!$B28="","",IF('Classe 4e'!D28="","",'Classe 4e'!D28))</f>
        <v/>
      </c>
      <c r="H828" s="77" t="str">
        <f>IF('Classe 4e'!$B28="","",IF('Classe 4e'!E28="","",'Classe 4e'!E28))</f>
        <v/>
      </c>
      <c r="I828" s="20" t="str">
        <f>IF('Classe 4e'!$B28="","",IF('Classe 4e'!F28="","",'Classe 4e'!F28))</f>
        <v/>
      </c>
      <c r="J828" s="20" t="str">
        <f>IF('Classe 4e'!$B28="","",IF('Classe 4e'!G28="","",'Classe 4e'!G28))</f>
        <v/>
      </c>
      <c r="K828" s="51" t="str">
        <f>IF('Classe 4e'!$B28="","",N('Classe 4e'!H28))</f>
        <v/>
      </c>
      <c r="L828" s="51" t="str">
        <f>IF('Classe 4e'!$B28="","",N('Classe 4e'!I28))</f>
        <v/>
      </c>
      <c r="M828" s="51" t="str">
        <f>IF('Classe 4e'!$B28="","",N('Classe 4e'!J28))</f>
        <v/>
      </c>
      <c r="N828" s="51" t="str">
        <f>IF('Classe 4e'!$B28="","",N('Classe 4e'!K28))</f>
        <v/>
      </c>
      <c r="O828" s="51" t="str">
        <f>IF('Classe 4e'!$B28="","",N('Classe 4e'!L28))</f>
        <v/>
      </c>
      <c r="P828" s="51" t="str">
        <f>IF('Classe 4e'!$B28="","",N('Classe 4e'!M28))</f>
        <v/>
      </c>
      <c r="Q828" s="21" t="str">
        <f>IF('Classe 4e'!$B28="","",IF('Classe 4e'!Q28="","",'Classe 4e'!Q28))</f>
        <v/>
      </c>
      <c r="R828" s="51" t="str">
        <f>IF('Classe 4e'!$B28="","",N('Classe 4e'!N28))</f>
        <v/>
      </c>
      <c r="S828" s="51" t="str">
        <f>IF('Classe 4e'!$B28="","",N('Classe 4e'!O28))</f>
        <v/>
      </c>
      <c r="T828" s="51" t="str">
        <f>IF('Classe 4e'!$B28="","",N('Classe 4e'!P28))</f>
        <v/>
      </c>
    </row>
    <row r="829">
      <c r="A829" s="16" t="str">
        <f>IF('Classe 4e'!$B29="","",IF('Classe 4e'!A29="","",'Classe 4e'!A29))</f>
        <v/>
      </c>
      <c r="B829" s="16" t="str">
        <f>IF('Classe 4e'!$B29="","",IF('Classe 4e'!B29="","",'Classe 4e'!B29))</f>
        <v/>
      </c>
      <c r="C829" s="16" t="str">
        <f>IF('Classe 4e'!$B29="","",IF('Classe 4e'!C29="","",'Classe 4e'!C29))</f>
        <v/>
      </c>
      <c r="D829" s="16" t="str">
        <f>IF($B829="","",C829&amp;" "&amp;B829&amp;" - "&amp;E829)</f>
        <v/>
      </c>
      <c r="E829" s="17" t="str">
        <f>IF($B829="","",Paramètres!$A$25)</f>
        <v/>
      </c>
      <c r="F829" s="17" t="str">
        <f>IF($B829="","",Paramètres!$B$25)</f>
        <v/>
      </c>
      <c r="G829" s="17" t="str">
        <f>IF('Classe 4e'!$B29="","",IF('Classe 4e'!D29="","",'Classe 4e'!D29))</f>
        <v/>
      </c>
      <c r="H829" s="78" t="str">
        <f>IF('Classe 4e'!$B29="","",IF('Classe 4e'!E29="","",'Classe 4e'!E29))</f>
        <v/>
      </c>
      <c r="I829" s="16" t="str">
        <f>IF('Classe 4e'!$B29="","",IF('Classe 4e'!F29="","",'Classe 4e'!F29))</f>
        <v/>
      </c>
      <c r="J829" s="16" t="str">
        <f>IF('Classe 4e'!$B29="","",IF('Classe 4e'!G29="","",'Classe 4e'!G29))</f>
        <v/>
      </c>
      <c r="K829" s="18" t="str">
        <f>IF('Classe 4e'!$B29="","",N('Classe 4e'!H29))</f>
        <v/>
      </c>
      <c r="L829" s="18" t="str">
        <f>IF('Classe 4e'!$B29="","",N('Classe 4e'!I29))</f>
        <v/>
      </c>
      <c r="M829" s="18" t="str">
        <f>IF('Classe 4e'!$B29="","",N('Classe 4e'!J29))</f>
        <v/>
      </c>
      <c r="N829" s="18" t="str">
        <f>IF('Classe 4e'!$B29="","",N('Classe 4e'!K29))</f>
        <v/>
      </c>
      <c r="O829" s="18" t="str">
        <f>IF('Classe 4e'!$B29="","",N('Classe 4e'!L29))</f>
        <v/>
      </c>
      <c r="P829" s="18" t="str">
        <f>IF('Classe 4e'!$B29="","",N('Classe 4e'!M29))</f>
        <v/>
      </c>
      <c r="Q829" s="17" t="str">
        <f>IF('Classe 4e'!$B29="","",IF('Classe 4e'!Q29="","",'Classe 4e'!Q29))</f>
        <v/>
      </c>
      <c r="R829" s="18" t="str">
        <f>IF('Classe 4e'!$B29="","",N('Classe 4e'!N29))</f>
        <v/>
      </c>
      <c r="S829" s="18" t="str">
        <f>IF('Classe 4e'!$B29="","",N('Classe 4e'!O29))</f>
        <v/>
      </c>
      <c r="T829" s="18" t="str">
        <f>IF('Classe 4e'!$B29="","",N('Classe 4e'!P29))</f>
        <v/>
      </c>
    </row>
    <row r="830">
      <c r="A830" s="20" t="str">
        <f>IF('Classe 4e'!$B30="","",IF('Classe 4e'!A30="","",'Classe 4e'!A30))</f>
        <v/>
      </c>
      <c r="B830" s="20" t="str">
        <f>IF('Classe 4e'!$B30="","",IF('Classe 4e'!B30="","",'Classe 4e'!B30))</f>
        <v/>
      </c>
      <c r="C830" s="20" t="str">
        <f>IF('Classe 4e'!$B30="","",IF('Classe 4e'!C30="","",'Classe 4e'!C30))</f>
        <v/>
      </c>
      <c r="D830" s="20" t="str">
        <f>IF($B830="","",C830&amp;" "&amp;B830&amp;" - "&amp;E830)</f>
        <v/>
      </c>
      <c r="E830" s="21" t="str">
        <f>IF($B830="","",Paramètres!$A$25)</f>
        <v/>
      </c>
      <c r="F830" s="21" t="str">
        <f>IF($B830="","",Paramètres!$B$25)</f>
        <v/>
      </c>
      <c r="G830" s="21" t="str">
        <f>IF('Classe 4e'!$B30="","",IF('Classe 4e'!D30="","",'Classe 4e'!D30))</f>
        <v/>
      </c>
      <c r="H830" s="77" t="str">
        <f>IF('Classe 4e'!$B30="","",IF('Classe 4e'!E30="","",'Classe 4e'!E30))</f>
        <v/>
      </c>
      <c r="I830" s="20" t="str">
        <f>IF('Classe 4e'!$B30="","",IF('Classe 4e'!F30="","",'Classe 4e'!F30))</f>
        <v/>
      </c>
      <c r="J830" s="20" t="str">
        <f>IF('Classe 4e'!$B30="","",IF('Classe 4e'!G30="","",'Classe 4e'!G30))</f>
        <v/>
      </c>
      <c r="K830" s="51" t="str">
        <f>IF('Classe 4e'!$B30="","",N('Classe 4e'!H30))</f>
        <v/>
      </c>
      <c r="L830" s="51" t="str">
        <f>IF('Classe 4e'!$B30="","",N('Classe 4e'!I30))</f>
        <v/>
      </c>
      <c r="M830" s="51" t="str">
        <f>IF('Classe 4e'!$B30="","",N('Classe 4e'!J30))</f>
        <v/>
      </c>
      <c r="N830" s="51" t="str">
        <f>IF('Classe 4e'!$B30="","",N('Classe 4e'!K30))</f>
        <v/>
      </c>
      <c r="O830" s="51" t="str">
        <f>IF('Classe 4e'!$B30="","",N('Classe 4e'!L30))</f>
        <v/>
      </c>
      <c r="P830" s="51" t="str">
        <f>IF('Classe 4e'!$B30="","",N('Classe 4e'!M30))</f>
        <v/>
      </c>
      <c r="Q830" s="21" t="str">
        <f>IF('Classe 4e'!$B30="","",IF('Classe 4e'!Q30="","",'Classe 4e'!Q30))</f>
        <v/>
      </c>
      <c r="R830" s="51" t="str">
        <f>IF('Classe 4e'!$B30="","",N('Classe 4e'!N30))</f>
        <v/>
      </c>
      <c r="S830" s="51" t="str">
        <f>IF('Classe 4e'!$B30="","",N('Classe 4e'!O30))</f>
        <v/>
      </c>
      <c r="T830" s="51" t="str">
        <f>IF('Classe 4e'!$B30="","",N('Classe 4e'!P30))</f>
        <v/>
      </c>
    </row>
    <row r="831">
      <c r="A831" s="16" t="str">
        <f>IF('Classe 4e'!$B31="","",IF('Classe 4e'!A31="","",'Classe 4e'!A31))</f>
        <v/>
      </c>
      <c r="B831" s="16" t="str">
        <f>IF('Classe 4e'!$B31="","",IF('Classe 4e'!B31="","",'Classe 4e'!B31))</f>
        <v/>
      </c>
      <c r="C831" s="16" t="str">
        <f>IF('Classe 4e'!$B31="","",IF('Classe 4e'!C31="","",'Classe 4e'!C31))</f>
        <v/>
      </c>
      <c r="D831" s="16" t="str">
        <f>IF($B831="","",C831&amp;" "&amp;B831&amp;" - "&amp;E831)</f>
        <v/>
      </c>
      <c r="E831" s="17" t="str">
        <f>IF($B831="","",Paramètres!$A$25)</f>
        <v/>
      </c>
      <c r="F831" s="17" t="str">
        <f>IF($B831="","",Paramètres!$B$25)</f>
        <v/>
      </c>
      <c r="G831" s="17" t="str">
        <f>IF('Classe 4e'!$B31="","",IF('Classe 4e'!D31="","",'Classe 4e'!D31))</f>
        <v/>
      </c>
      <c r="H831" s="78" t="str">
        <f>IF('Classe 4e'!$B31="","",IF('Classe 4e'!E31="","",'Classe 4e'!E31))</f>
        <v/>
      </c>
      <c r="I831" s="16" t="str">
        <f>IF('Classe 4e'!$B31="","",IF('Classe 4e'!F31="","",'Classe 4e'!F31))</f>
        <v/>
      </c>
      <c r="J831" s="16" t="str">
        <f>IF('Classe 4e'!$B31="","",IF('Classe 4e'!G31="","",'Classe 4e'!G31))</f>
        <v/>
      </c>
      <c r="K831" s="18" t="str">
        <f>IF('Classe 4e'!$B31="","",N('Classe 4e'!H31))</f>
        <v/>
      </c>
      <c r="L831" s="18" t="str">
        <f>IF('Classe 4e'!$B31="","",N('Classe 4e'!I31))</f>
        <v/>
      </c>
      <c r="M831" s="18" t="str">
        <f>IF('Classe 4e'!$B31="","",N('Classe 4e'!J31))</f>
        <v/>
      </c>
      <c r="N831" s="18" t="str">
        <f>IF('Classe 4e'!$B31="","",N('Classe 4e'!K31))</f>
        <v/>
      </c>
      <c r="O831" s="18" t="str">
        <f>IF('Classe 4e'!$B31="","",N('Classe 4e'!L31))</f>
        <v/>
      </c>
      <c r="P831" s="18" t="str">
        <f>IF('Classe 4e'!$B31="","",N('Classe 4e'!M31))</f>
        <v/>
      </c>
      <c r="Q831" s="17" t="str">
        <f>IF('Classe 4e'!$B31="","",IF('Classe 4e'!Q31="","",'Classe 4e'!Q31))</f>
        <v/>
      </c>
      <c r="R831" s="18" t="str">
        <f>IF('Classe 4e'!$B31="","",N('Classe 4e'!N31))</f>
        <v/>
      </c>
      <c r="S831" s="18" t="str">
        <f>IF('Classe 4e'!$B31="","",N('Classe 4e'!O31))</f>
        <v/>
      </c>
      <c r="T831" s="18" t="str">
        <f>IF('Classe 4e'!$B31="","",N('Classe 4e'!P31))</f>
        <v/>
      </c>
    </row>
    <row r="832">
      <c r="A832" s="20" t="str">
        <f>IF('Classe 4e'!$B32="","",IF('Classe 4e'!A32="","",'Classe 4e'!A32))</f>
        <v/>
      </c>
      <c r="B832" s="20" t="str">
        <f>IF('Classe 4e'!$B32="","",IF('Classe 4e'!B32="","",'Classe 4e'!B32))</f>
        <v/>
      </c>
      <c r="C832" s="20" t="str">
        <f>IF('Classe 4e'!$B32="","",IF('Classe 4e'!C32="","",'Classe 4e'!C32))</f>
        <v/>
      </c>
      <c r="D832" s="20" t="str">
        <f>IF($B832="","",C832&amp;" "&amp;B832&amp;" - "&amp;E832)</f>
        <v/>
      </c>
      <c r="E832" s="21" t="str">
        <f>IF($B832="","",Paramètres!$A$25)</f>
        <v/>
      </c>
      <c r="F832" s="21" t="str">
        <f>IF($B832="","",Paramètres!$B$25)</f>
        <v/>
      </c>
      <c r="G832" s="21" t="str">
        <f>IF('Classe 4e'!$B32="","",IF('Classe 4e'!D32="","",'Classe 4e'!D32))</f>
        <v/>
      </c>
      <c r="H832" s="77" t="str">
        <f>IF('Classe 4e'!$B32="","",IF('Classe 4e'!E32="","",'Classe 4e'!E32))</f>
        <v/>
      </c>
      <c r="I832" s="20" t="str">
        <f>IF('Classe 4e'!$B32="","",IF('Classe 4e'!F32="","",'Classe 4e'!F32))</f>
        <v/>
      </c>
      <c r="J832" s="20" t="str">
        <f>IF('Classe 4e'!$B32="","",IF('Classe 4e'!G32="","",'Classe 4e'!G32))</f>
        <v/>
      </c>
      <c r="K832" s="51" t="str">
        <f>IF('Classe 4e'!$B32="","",N('Classe 4e'!H32))</f>
        <v/>
      </c>
      <c r="L832" s="51" t="str">
        <f>IF('Classe 4e'!$B32="","",N('Classe 4e'!I32))</f>
        <v/>
      </c>
      <c r="M832" s="51" t="str">
        <f>IF('Classe 4e'!$B32="","",N('Classe 4e'!J32))</f>
        <v/>
      </c>
      <c r="N832" s="51" t="str">
        <f>IF('Classe 4e'!$B32="","",N('Classe 4e'!K32))</f>
        <v/>
      </c>
      <c r="O832" s="51" t="str">
        <f>IF('Classe 4e'!$B32="","",N('Classe 4e'!L32))</f>
        <v/>
      </c>
      <c r="P832" s="51" t="str">
        <f>IF('Classe 4e'!$B32="","",N('Classe 4e'!M32))</f>
        <v/>
      </c>
      <c r="Q832" s="21" t="str">
        <f>IF('Classe 4e'!$B32="","",IF('Classe 4e'!Q32="","",'Classe 4e'!Q32))</f>
        <v/>
      </c>
      <c r="R832" s="51" t="str">
        <f>IF('Classe 4e'!$B32="","",N('Classe 4e'!N32))</f>
        <v/>
      </c>
      <c r="S832" s="51" t="str">
        <f>IF('Classe 4e'!$B32="","",N('Classe 4e'!O32))</f>
        <v/>
      </c>
      <c r="T832" s="51" t="str">
        <f>IF('Classe 4e'!$B32="","",N('Classe 4e'!P32))</f>
        <v/>
      </c>
    </row>
    <row r="833">
      <c r="A833" s="16" t="str">
        <f>IF('Classe 4e'!$B33="","",IF('Classe 4e'!A33="","",'Classe 4e'!A33))</f>
        <v/>
      </c>
      <c r="B833" s="16" t="str">
        <f>IF('Classe 4e'!$B33="","",IF('Classe 4e'!B33="","",'Classe 4e'!B33))</f>
        <v/>
      </c>
      <c r="C833" s="16" t="str">
        <f>IF('Classe 4e'!$B33="","",IF('Classe 4e'!C33="","",'Classe 4e'!C33))</f>
        <v/>
      </c>
      <c r="D833" s="16" t="str">
        <f>IF($B833="","",C833&amp;" "&amp;B833&amp;" - "&amp;E833)</f>
        <v/>
      </c>
      <c r="E833" s="17" t="str">
        <f>IF($B833="","",Paramètres!$A$25)</f>
        <v/>
      </c>
      <c r="F833" s="17" t="str">
        <f>IF($B833="","",Paramètres!$B$25)</f>
        <v/>
      </c>
      <c r="G833" s="17" t="str">
        <f>IF('Classe 4e'!$B33="","",IF('Classe 4e'!D33="","",'Classe 4e'!D33))</f>
        <v/>
      </c>
      <c r="H833" s="78" t="str">
        <f>IF('Classe 4e'!$B33="","",IF('Classe 4e'!E33="","",'Classe 4e'!E33))</f>
        <v/>
      </c>
      <c r="I833" s="16" t="str">
        <f>IF('Classe 4e'!$B33="","",IF('Classe 4e'!F33="","",'Classe 4e'!F33))</f>
        <v/>
      </c>
      <c r="J833" s="16" t="str">
        <f>IF('Classe 4e'!$B33="","",IF('Classe 4e'!G33="","",'Classe 4e'!G33))</f>
        <v/>
      </c>
      <c r="K833" s="18" t="str">
        <f>IF('Classe 4e'!$B33="","",N('Classe 4e'!H33))</f>
        <v/>
      </c>
      <c r="L833" s="18" t="str">
        <f>IF('Classe 4e'!$B33="","",N('Classe 4e'!I33))</f>
        <v/>
      </c>
      <c r="M833" s="18" t="str">
        <f>IF('Classe 4e'!$B33="","",N('Classe 4e'!J33))</f>
        <v/>
      </c>
      <c r="N833" s="18" t="str">
        <f>IF('Classe 4e'!$B33="","",N('Classe 4e'!K33))</f>
        <v/>
      </c>
      <c r="O833" s="18" t="str">
        <f>IF('Classe 4e'!$B33="","",N('Classe 4e'!L33))</f>
        <v/>
      </c>
      <c r="P833" s="18" t="str">
        <f>IF('Classe 4e'!$B33="","",N('Classe 4e'!M33))</f>
        <v/>
      </c>
      <c r="Q833" s="17" t="str">
        <f>IF('Classe 4e'!$B33="","",IF('Classe 4e'!Q33="","",'Classe 4e'!Q33))</f>
        <v/>
      </c>
      <c r="R833" s="18" t="str">
        <f>IF('Classe 4e'!$B33="","",N('Classe 4e'!N33))</f>
        <v/>
      </c>
      <c r="S833" s="18" t="str">
        <f>IF('Classe 4e'!$B33="","",N('Classe 4e'!O33))</f>
        <v/>
      </c>
      <c r="T833" s="18" t="str">
        <f>IF('Classe 4e'!$B33="","",N('Classe 4e'!P33))</f>
        <v/>
      </c>
    </row>
    <row r="834">
      <c r="A834" s="20" t="str">
        <f>IF('Classe 4e'!$B34="","",IF('Classe 4e'!A34="","",'Classe 4e'!A34))</f>
        <v/>
      </c>
      <c r="B834" s="20" t="str">
        <f>IF('Classe 4e'!$B34="","",IF('Classe 4e'!B34="","",'Classe 4e'!B34))</f>
        <v/>
      </c>
      <c r="C834" s="20" t="str">
        <f>IF('Classe 4e'!$B34="","",IF('Classe 4e'!C34="","",'Classe 4e'!C34))</f>
        <v/>
      </c>
      <c r="D834" s="20" t="str">
        <f>IF($B834="","",C834&amp;" "&amp;B834&amp;" - "&amp;E834)</f>
        <v/>
      </c>
      <c r="E834" s="21" t="str">
        <f>IF($B834="","",Paramètres!$A$25)</f>
        <v/>
      </c>
      <c r="F834" s="21" t="str">
        <f>IF($B834="","",Paramètres!$B$25)</f>
        <v/>
      </c>
      <c r="G834" s="21" t="str">
        <f>IF('Classe 4e'!$B34="","",IF('Classe 4e'!D34="","",'Classe 4e'!D34))</f>
        <v/>
      </c>
      <c r="H834" s="77" t="str">
        <f>IF('Classe 4e'!$B34="","",IF('Classe 4e'!E34="","",'Classe 4e'!E34))</f>
        <v/>
      </c>
      <c r="I834" s="20" t="str">
        <f>IF('Classe 4e'!$B34="","",IF('Classe 4e'!F34="","",'Classe 4e'!F34))</f>
        <v/>
      </c>
      <c r="J834" s="20" t="str">
        <f>IF('Classe 4e'!$B34="","",IF('Classe 4e'!G34="","",'Classe 4e'!G34))</f>
        <v/>
      </c>
      <c r="K834" s="51" t="str">
        <f>IF('Classe 4e'!$B34="","",N('Classe 4e'!H34))</f>
        <v/>
      </c>
      <c r="L834" s="51" t="str">
        <f>IF('Classe 4e'!$B34="","",N('Classe 4e'!I34))</f>
        <v/>
      </c>
      <c r="M834" s="51" t="str">
        <f>IF('Classe 4e'!$B34="","",N('Classe 4e'!J34))</f>
        <v/>
      </c>
      <c r="N834" s="51" t="str">
        <f>IF('Classe 4e'!$B34="","",N('Classe 4e'!K34))</f>
        <v/>
      </c>
      <c r="O834" s="51" t="str">
        <f>IF('Classe 4e'!$B34="","",N('Classe 4e'!L34))</f>
        <v/>
      </c>
      <c r="P834" s="51" t="str">
        <f>IF('Classe 4e'!$B34="","",N('Classe 4e'!M34))</f>
        <v/>
      </c>
      <c r="Q834" s="21" t="str">
        <f>IF('Classe 4e'!$B34="","",IF('Classe 4e'!Q34="","",'Classe 4e'!Q34))</f>
        <v/>
      </c>
      <c r="R834" s="51" t="str">
        <f>IF('Classe 4e'!$B34="","",N('Classe 4e'!N34))</f>
        <v/>
      </c>
      <c r="S834" s="51" t="str">
        <f>IF('Classe 4e'!$B34="","",N('Classe 4e'!O34))</f>
        <v/>
      </c>
      <c r="T834" s="51" t="str">
        <f>IF('Classe 4e'!$B34="","",N('Classe 4e'!P34))</f>
        <v/>
      </c>
    </row>
    <row r="835">
      <c r="A835" s="16" t="str">
        <f>IF('Classe 4e'!$B35="","",IF('Classe 4e'!A35="","",'Classe 4e'!A35))</f>
        <v/>
      </c>
      <c r="B835" s="16" t="str">
        <f>IF('Classe 4e'!$B35="","",IF('Classe 4e'!B35="","",'Classe 4e'!B35))</f>
        <v/>
      </c>
      <c r="C835" s="16" t="str">
        <f>IF('Classe 4e'!$B35="","",IF('Classe 4e'!C35="","",'Classe 4e'!C35))</f>
        <v/>
      </c>
      <c r="D835" s="16" t="str">
        <f>IF($B835="","",C835&amp;" "&amp;B835&amp;" - "&amp;E835)</f>
        <v/>
      </c>
      <c r="E835" s="17" t="str">
        <f>IF($B835="","",Paramètres!$A$25)</f>
        <v/>
      </c>
      <c r="F835" s="17" t="str">
        <f>IF($B835="","",Paramètres!$B$25)</f>
        <v/>
      </c>
      <c r="G835" s="17" t="str">
        <f>IF('Classe 4e'!$B35="","",IF('Classe 4e'!D35="","",'Classe 4e'!D35))</f>
        <v/>
      </c>
      <c r="H835" s="78" t="str">
        <f>IF('Classe 4e'!$B35="","",IF('Classe 4e'!E35="","",'Classe 4e'!E35))</f>
        <v/>
      </c>
      <c r="I835" s="16" t="str">
        <f>IF('Classe 4e'!$B35="","",IF('Classe 4e'!F35="","",'Classe 4e'!F35))</f>
        <v/>
      </c>
      <c r="J835" s="16" t="str">
        <f>IF('Classe 4e'!$B35="","",IF('Classe 4e'!G35="","",'Classe 4e'!G35))</f>
        <v/>
      </c>
      <c r="K835" s="18" t="str">
        <f>IF('Classe 4e'!$B35="","",N('Classe 4e'!H35))</f>
        <v/>
      </c>
      <c r="L835" s="18" t="str">
        <f>IF('Classe 4e'!$B35="","",N('Classe 4e'!I35))</f>
        <v/>
      </c>
      <c r="M835" s="18" t="str">
        <f>IF('Classe 4e'!$B35="","",N('Classe 4e'!J35))</f>
        <v/>
      </c>
      <c r="N835" s="18" t="str">
        <f>IF('Classe 4e'!$B35="","",N('Classe 4e'!K35))</f>
        <v/>
      </c>
      <c r="O835" s="18" t="str">
        <f>IF('Classe 4e'!$B35="","",N('Classe 4e'!L35))</f>
        <v/>
      </c>
      <c r="P835" s="18" t="str">
        <f>IF('Classe 4e'!$B35="","",N('Classe 4e'!M35))</f>
        <v/>
      </c>
      <c r="Q835" s="17" t="str">
        <f>IF('Classe 4e'!$B35="","",IF('Classe 4e'!Q35="","",'Classe 4e'!Q35))</f>
        <v/>
      </c>
      <c r="R835" s="18" t="str">
        <f>IF('Classe 4e'!$B35="","",N('Classe 4e'!N35))</f>
        <v/>
      </c>
      <c r="S835" s="18" t="str">
        <f>IF('Classe 4e'!$B35="","",N('Classe 4e'!O35))</f>
        <v/>
      </c>
      <c r="T835" s="18" t="str">
        <f>IF('Classe 4e'!$B35="","",N('Classe 4e'!P35))</f>
        <v/>
      </c>
    </row>
    <row r="836">
      <c r="A836" s="20" t="str">
        <f>IF('Classe 4e'!$B36="","",IF('Classe 4e'!A36="","",'Classe 4e'!A36))</f>
        <v/>
      </c>
      <c r="B836" s="20" t="str">
        <f>IF('Classe 4e'!$B36="","",IF('Classe 4e'!B36="","",'Classe 4e'!B36))</f>
        <v/>
      </c>
      <c r="C836" s="20" t="str">
        <f>IF('Classe 4e'!$B36="","",IF('Classe 4e'!C36="","",'Classe 4e'!C36))</f>
        <v/>
      </c>
      <c r="D836" s="20" t="str">
        <f>IF($B836="","",C836&amp;" "&amp;B836&amp;" - "&amp;E836)</f>
        <v/>
      </c>
      <c r="E836" s="21" t="str">
        <f>IF($B836="","",Paramètres!$A$25)</f>
        <v/>
      </c>
      <c r="F836" s="21" t="str">
        <f>IF($B836="","",Paramètres!$B$25)</f>
        <v/>
      </c>
      <c r="G836" s="21" t="str">
        <f>IF('Classe 4e'!$B36="","",IF('Classe 4e'!D36="","",'Classe 4e'!D36))</f>
        <v/>
      </c>
      <c r="H836" s="77" t="str">
        <f>IF('Classe 4e'!$B36="","",IF('Classe 4e'!E36="","",'Classe 4e'!E36))</f>
        <v/>
      </c>
      <c r="I836" s="20" t="str">
        <f>IF('Classe 4e'!$B36="","",IF('Classe 4e'!F36="","",'Classe 4e'!F36))</f>
        <v/>
      </c>
      <c r="J836" s="20" t="str">
        <f>IF('Classe 4e'!$B36="","",IF('Classe 4e'!G36="","",'Classe 4e'!G36))</f>
        <v/>
      </c>
      <c r="K836" s="51" t="str">
        <f>IF('Classe 4e'!$B36="","",N('Classe 4e'!H36))</f>
        <v/>
      </c>
      <c r="L836" s="51" t="str">
        <f>IF('Classe 4e'!$B36="","",N('Classe 4e'!I36))</f>
        <v/>
      </c>
      <c r="M836" s="51" t="str">
        <f>IF('Classe 4e'!$B36="","",N('Classe 4e'!J36))</f>
        <v/>
      </c>
      <c r="N836" s="51" t="str">
        <f>IF('Classe 4e'!$B36="","",N('Classe 4e'!K36))</f>
        <v/>
      </c>
      <c r="O836" s="51" t="str">
        <f>IF('Classe 4e'!$B36="","",N('Classe 4e'!L36))</f>
        <v/>
      </c>
      <c r="P836" s="51" t="str">
        <f>IF('Classe 4e'!$B36="","",N('Classe 4e'!M36))</f>
        <v/>
      </c>
      <c r="Q836" s="21" t="str">
        <f>IF('Classe 4e'!$B36="","",IF('Classe 4e'!Q36="","",'Classe 4e'!Q36))</f>
        <v/>
      </c>
      <c r="R836" s="51" t="str">
        <f>IF('Classe 4e'!$B36="","",N('Classe 4e'!N36))</f>
        <v/>
      </c>
      <c r="S836" s="51" t="str">
        <f>IF('Classe 4e'!$B36="","",N('Classe 4e'!O36))</f>
        <v/>
      </c>
      <c r="T836" s="51" t="str">
        <f>IF('Classe 4e'!$B36="","",N('Classe 4e'!P36))</f>
        <v/>
      </c>
    </row>
    <row r="837">
      <c r="A837" s="16" t="str">
        <f>IF('Classe 4e'!$B37="","",IF('Classe 4e'!A37="","",'Classe 4e'!A37))</f>
        <v/>
      </c>
      <c r="B837" s="16" t="str">
        <f>IF('Classe 4e'!$B37="","",IF('Classe 4e'!B37="","",'Classe 4e'!B37))</f>
        <v/>
      </c>
      <c r="C837" s="16" t="str">
        <f>IF('Classe 4e'!$B37="","",IF('Classe 4e'!C37="","",'Classe 4e'!C37))</f>
        <v/>
      </c>
      <c r="D837" s="16" t="str">
        <f>IF($B837="","",C837&amp;" "&amp;B837&amp;" - "&amp;E837)</f>
        <v/>
      </c>
      <c r="E837" s="17" t="str">
        <f>IF($B837="","",Paramètres!$A$25)</f>
        <v/>
      </c>
      <c r="F837" s="17" t="str">
        <f>IF($B837="","",Paramètres!$B$25)</f>
        <v/>
      </c>
      <c r="G837" s="17" t="str">
        <f>IF('Classe 4e'!$B37="","",IF('Classe 4e'!D37="","",'Classe 4e'!D37))</f>
        <v/>
      </c>
      <c r="H837" s="78" t="str">
        <f>IF('Classe 4e'!$B37="","",IF('Classe 4e'!E37="","",'Classe 4e'!E37))</f>
        <v/>
      </c>
      <c r="I837" s="16" t="str">
        <f>IF('Classe 4e'!$B37="","",IF('Classe 4e'!F37="","",'Classe 4e'!F37))</f>
        <v/>
      </c>
      <c r="J837" s="16" t="str">
        <f>IF('Classe 4e'!$B37="","",IF('Classe 4e'!G37="","",'Classe 4e'!G37))</f>
        <v/>
      </c>
      <c r="K837" s="18" t="str">
        <f>IF('Classe 4e'!$B37="","",N('Classe 4e'!H37))</f>
        <v/>
      </c>
      <c r="L837" s="18" t="str">
        <f>IF('Classe 4e'!$B37="","",N('Classe 4e'!I37))</f>
        <v/>
      </c>
      <c r="M837" s="18" t="str">
        <f>IF('Classe 4e'!$B37="","",N('Classe 4e'!J37))</f>
        <v/>
      </c>
      <c r="N837" s="18" t="str">
        <f>IF('Classe 4e'!$B37="","",N('Classe 4e'!K37))</f>
        <v/>
      </c>
      <c r="O837" s="18" t="str">
        <f>IF('Classe 4e'!$B37="","",N('Classe 4e'!L37))</f>
        <v/>
      </c>
      <c r="P837" s="18" t="str">
        <f>IF('Classe 4e'!$B37="","",N('Classe 4e'!M37))</f>
        <v/>
      </c>
      <c r="Q837" s="17" t="str">
        <f>IF('Classe 4e'!$B37="","",IF('Classe 4e'!Q37="","",'Classe 4e'!Q37))</f>
        <v/>
      </c>
      <c r="R837" s="18" t="str">
        <f>IF('Classe 4e'!$B37="","",N('Classe 4e'!N37))</f>
        <v/>
      </c>
      <c r="S837" s="18" t="str">
        <f>IF('Classe 4e'!$B37="","",N('Classe 4e'!O37))</f>
        <v/>
      </c>
      <c r="T837" s="18" t="str">
        <f>IF('Classe 4e'!$B37="","",N('Classe 4e'!P37))</f>
        <v/>
      </c>
    </row>
    <row r="838">
      <c r="A838" s="20" t="str">
        <f>IF('Classe 4e'!$B38="","",IF('Classe 4e'!A38="","",'Classe 4e'!A38))</f>
        <v/>
      </c>
      <c r="B838" s="20" t="str">
        <f>IF('Classe 4e'!$B38="","",IF('Classe 4e'!B38="","",'Classe 4e'!B38))</f>
        <v/>
      </c>
      <c r="C838" s="20" t="str">
        <f>IF('Classe 4e'!$B38="","",IF('Classe 4e'!C38="","",'Classe 4e'!C38))</f>
        <v/>
      </c>
      <c r="D838" s="20" t="str">
        <f>IF($B838="","",C838&amp;" "&amp;B838&amp;" - "&amp;E838)</f>
        <v/>
      </c>
      <c r="E838" s="21" t="str">
        <f>IF($B838="","",Paramètres!$A$25)</f>
        <v/>
      </c>
      <c r="F838" s="21" t="str">
        <f>IF($B838="","",Paramètres!$B$25)</f>
        <v/>
      </c>
      <c r="G838" s="21" t="str">
        <f>IF('Classe 4e'!$B38="","",IF('Classe 4e'!D38="","",'Classe 4e'!D38))</f>
        <v/>
      </c>
      <c r="H838" s="77" t="str">
        <f>IF('Classe 4e'!$B38="","",IF('Classe 4e'!E38="","",'Classe 4e'!E38))</f>
        <v/>
      </c>
      <c r="I838" s="20" t="str">
        <f>IF('Classe 4e'!$B38="","",IF('Classe 4e'!F38="","",'Classe 4e'!F38))</f>
        <v/>
      </c>
      <c r="J838" s="20" t="str">
        <f>IF('Classe 4e'!$B38="","",IF('Classe 4e'!G38="","",'Classe 4e'!G38))</f>
        <v/>
      </c>
      <c r="K838" s="51" t="str">
        <f>IF('Classe 4e'!$B38="","",N('Classe 4e'!H38))</f>
        <v/>
      </c>
      <c r="L838" s="51" t="str">
        <f>IF('Classe 4e'!$B38="","",N('Classe 4e'!I38))</f>
        <v/>
      </c>
      <c r="M838" s="51" t="str">
        <f>IF('Classe 4e'!$B38="","",N('Classe 4e'!J38))</f>
        <v/>
      </c>
      <c r="N838" s="51" t="str">
        <f>IF('Classe 4e'!$B38="","",N('Classe 4e'!K38))</f>
        <v/>
      </c>
      <c r="O838" s="51" t="str">
        <f>IF('Classe 4e'!$B38="","",N('Classe 4e'!L38))</f>
        <v/>
      </c>
      <c r="P838" s="51" t="str">
        <f>IF('Classe 4e'!$B38="","",N('Classe 4e'!M38))</f>
        <v/>
      </c>
      <c r="Q838" s="21" t="str">
        <f>IF('Classe 4e'!$B38="","",IF('Classe 4e'!Q38="","",'Classe 4e'!Q38))</f>
        <v/>
      </c>
      <c r="R838" s="51" t="str">
        <f>IF('Classe 4e'!$B38="","",N('Classe 4e'!N38))</f>
        <v/>
      </c>
      <c r="S838" s="51" t="str">
        <f>IF('Classe 4e'!$B38="","",N('Classe 4e'!O38))</f>
        <v/>
      </c>
      <c r="T838" s="51" t="str">
        <f>IF('Classe 4e'!$B38="","",N('Classe 4e'!P38))</f>
        <v/>
      </c>
    </row>
    <row r="839">
      <c r="A839" s="16" t="str">
        <f>IF('Classe 4e'!$B39="","",IF('Classe 4e'!A39="","",'Classe 4e'!A39))</f>
        <v/>
      </c>
      <c r="B839" s="16" t="str">
        <f>IF('Classe 4e'!$B39="","",IF('Classe 4e'!B39="","",'Classe 4e'!B39))</f>
        <v/>
      </c>
      <c r="C839" s="16" t="str">
        <f>IF('Classe 4e'!$B39="","",IF('Classe 4e'!C39="","",'Classe 4e'!C39))</f>
        <v/>
      </c>
      <c r="D839" s="16" t="str">
        <f>IF($B839="","",C839&amp;" "&amp;B839&amp;" - "&amp;E839)</f>
        <v/>
      </c>
      <c r="E839" s="17" t="str">
        <f>IF($B839="","",Paramètres!$A$25)</f>
        <v/>
      </c>
      <c r="F839" s="17" t="str">
        <f>IF($B839="","",Paramètres!$B$25)</f>
        <v/>
      </c>
      <c r="G839" s="17" t="str">
        <f>IF('Classe 4e'!$B39="","",IF('Classe 4e'!D39="","",'Classe 4e'!D39))</f>
        <v/>
      </c>
      <c r="H839" s="78" t="str">
        <f>IF('Classe 4e'!$B39="","",IF('Classe 4e'!E39="","",'Classe 4e'!E39))</f>
        <v/>
      </c>
      <c r="I839" s="16" t="str">
        <f>IF('Classe 4e'!$B39="","",IF('Classe 4e'!F39="","",'Classe 4e'!F39))</f>
        <v/>
      </c>
      <c r="J839" s="16" t="str">
        <f>IF('Classe 4e'!$B39="","",IF('Classe 4e'!G39="","",'Classe 4e'!G39))</f>
        <v/>
      </c>
      <c r="K839" s="18" t="str">
        <f>IF('Classe 4e'!$B39="","",N('Classe 4e'!H39))</f>
        <v/>
      </c>
      <c r="L839" s="18" t="str">
        <f>IF('Classe 4e'!$B39="","",N('Classe 4e'!I39))</f>
        <v/>
      </c>
      <c r="M839" s="18" t="str">
        <f>IF('Classe 4e'!$B39="","",N('Classe 4e'!J39))</f>
        <v/>
      </c>
      <c r="N839" s="18" t="str">
        <f>IF('Classe 4e'!$B39="","",N('Classe 4e'!K39))</f>
        <v/>
      </c>
      <c r="O839" s="18" t="str">
        <f>IF('Classe 4e'!$B39="","",N('Classe 4e'!L39))</f>
        <v/>
      </c>
      <c r="P839" s="18" t="str">
        <f>IF('Classe 4e'!$B39="","",N('Classe 4e'!M39))</f>
        <v/>
      </c>
      <c r="Q839" s="17" t="str">
        <f>IF('Classe 4e'!$B39="","",IF('Classe 4e'!Q39="","",'Classe 4e'!Q39))</f>
        <v/>
      </c>
      <c r="R839" s="18" t="str">
        <f>IF('Classe 4e'!$B39="","",N('Classe 4e'!N39))</f>
        <v/>
      </c>
      <c r="S839" s="18" t="str">
        <f>IF('Classe 4e'!$B39="","",N('Classe 4e'!O39))</f>
        <v/>
      </c>
      <c r="T839" s="18" t="str">
        <f>IF('Classe 4e'!$B39="","",N('Classe 4e'!P39))</f>
        <v/>
      </c>
    </row>
    <row r="840">
      <c r="A840" s="20" t="str">
        <f>IF('Classe 4e'!$B40="","",IF('Classe 4e'!A40="","",'Classe 4e'!A40))</f>
        <v/>
      </c>
      <c r="B840" s="20" t="str">
        <f>IF('Classe 4e'!$B40="","",IF('Classe 4e'!B40="","",'Classe 4e'!B40))</f>
        <v/>
      </c>
      <c r="C840" s="20" t="str">
        <f>IF('Classe 4e'!$B40="","",IF('Classe 4e'!C40="","",'Classe 4e'!C40))</f>
        <v/>
      </c>
      <c r="D840" s="20" t="str">
        <f>IF($B840="","",C840&amp;" "&amp;B840&amp;" - "&amp;E840)</f>
        <v/>
      </c>
      <c r="E840" s="21" t="str">
        <f>IF($B840="","",Paramètres!$A$25)</f>
        <v/>
      </c>
      <c r="F840" s="21" t="str">
        <f>IF($B840="","",Paramètres!$B$25)</f>
        <v/>
      </c>
      <c r="G840" s="21" t="str">
        <f>IF('Classe 4e'!$B40="","",IF('Classe 4e'!D40="","",'Classe 4e'!D40))</f>
        <v/>
      </c>
      <c r="H840" s="77" t="str">
        <f>IF('Classe 4e'!$B40="","",IF('Classe 4e'!E40="","",'Classe 4e'!E40))</f>
        <v/>
      </c>
      <c r="I840" s="20" t="str">
        <f>IF('Classe 4e'!$B40="","",IF('Classe 4e'!F40="","",'Classe 4e'!F40))</f>
        <v/>
      </c>
      <c r="J840" s="20" t="str">
        <f>IF('Classe 4e'!$B40="","",IF('Classe 4e'!G40="","",'Classe 4e'!G40))</f>
        <v/>
      </c>
      <c r="K840" s="51" t="str">
        <f>IF('Classe 4e'!$B40="","",N('Classe 4e'!H40))</f>
        <v/>
      </c>
      <c r="L840" s="51" t="str">
        <f>IF('Classe 4e'!$B40="","",N('Classe 4e'!I40))</f>
        <v/>
      </c>
      <c r="M840" s="51" t="str">
        <f>IF('Classe 4e'!$B40="","",N('Classe 4e'!J40))</f>
        <v/>
      </c>
      <c r="N840" s="51" t="str">
        <f>IF('Classe 4e'!$B40="","",N('Classe 4e'!K40))</f>
        <v/>
      </c>
      <c r="O840" s="51" t="str">
        <f>IF('Classe 4e'!$B40="","",N('Classe 4e'!L40))</f>
        <v/>
      </c>
      <c r="P840" s="51" t="str">
        <f>IF('Classe 4e'!$B40="","",N('Classe 4e'!M40))</f>
        <v/>
      </c>
      <c r="Q840" s="21" t="str">
        <f>IF('Classe 4e'!$B40="","",IF('Classe 4e'!Q40="","",'Classe 4e'!Q40))</f>
        <v/>
      </c>
      <c r="R840" s="51" t="str">
        <f>IF('Classe 4e'!$B40="","",N('Classe 4e'!N40))</f>
        <v/>
      </c>
      <c r="S840" s="51" t="str">
        <f>IF('Classe 4e'!$B40="","",N('Classe 4e'!O40))</f>
        <v/>
      </c>
      <c r="T840" s="51" t="str">
        <f>IF('Classe 4e'!$B40="","",N('Classe 4e'!P40))</f>
        <v/>
      </c>
    </row>
    <row r="841">
      <c r="A841" s="16" t="str">
        <f>IF('Classe 4e'!$B41="","",IF('Classe 4e'!A41="","",'Classe 4e'!A41))</f>
        <v/>
      </c>
      <c r="B841" s="16" t="str">
        <f>IF('Classe 4e'!$B41="","",IF('Classe 4e'!B41="","",'Classe 4e'!B41))</f>
        <v/>
      </c>
      <c r="C841" s="16" t="str">
        <f>IF('Classe 4e'!$B41="","",IF('Classe 4e'!C41="","",'Classe 4e'!C41))</f>
        <v/>
      </c>
      <c r="D841" s="16" t="str">
        <f>IF($B841="","",C841&amp;" "&amp;B841&amp;" - "&amp;E841)</f>
        <v/>
      </c>
      <c r="E841" s="17" t="str">
        <f>IF($B841="","",Paramètres!$A$25)</f>
        <v/>
      </c>
      <c r="F841" s="17" t="str">
        <f>IF($B841="","",Paramètres!$B$25)</f>
        <v/>
      </c>
      <c r="G841" s="17" t="str">
        <f>IF('Classe 4e'!$B41="","",IF('Classe 4e'!D41="","",'Classe 4e'!D41))</f>
        <v/>
      </c>
      <c r="H841" s="78" t="str">
        <f>IF('Classe 4e'!$B41="","",IF('Classe 4e'!E41="","",'Classe 4e'!E41))</f>
        <v/>
      </c>
      <c r="I841" s="16" t="str">
        <f>IF('Classe 4e'!$B41="","",IF('Classe 4e'!F41="","",'Classe 4e'!F41))</f>
        <v/>
      </c>
      <c r="J841" s="16" t="str">
        <f>IF('Classe 4e'!$B41="","",IF('Classe 4e'!G41="","",'Classe 4e'!G41))</f>
        <v/>
      </c>
      <c r="K841" s="18" t="str">
        <f>IF('Classe 4e'!$B41="","",N('Classe 4e'!H41))</f>
        <v/>
      </c>
      <c r="L841" s="18" t="str">
        <f>IF('Classe 4e'!$B41="","",N('Classe 4e'!I41))</f>
        <v/>
      </c>
      <c r="M841" s="18" t="str">
        <f>IF('Classe 4e'!$B41="","",N('Classe 4e'!J41))</f>
        <v/>
      </c>
      <c r="N841" s="18" t="str">
        <f>IF('Classe 4e'!$B41="","",N('Classe 4e'!K41))</f>
        <v/>
      </c>
      <c r="O841" s="18" t="str">
        <f>IF('Classe 4e'!$B41="","",N('Classe 4e'!L41))</f>
        <v/>
      </c>
      <c r="P841" s="18" t="str">
        <f>IF('Classe 4e'!$B41="","",N('Classe 4e'!M41))</f>
        <v/>
      </c>
      <c r="Q841" s="17" t="str">
        <f>IF('Classe 4e'!$B41="","",IF('Classe 4e'!Q41="","",'Classe 4e'!Q41))</f>
        <v/>
      </c>
      <c r="R841" s="18" t="str">
        <f>IF('Classe 4e'!$B41="","",N('Classe 4e'!N41))</f>
        <v/>
      </c>
      <c r="S841" s="18" t="str">
        <f>IF('Classe 4e'!$B41="","",N('Classe 4e'!O41))</f>
        <v/>
      </c>
      <c r="T841" s="18" t="str">
        <f>IF('Classe 4e'!$B41="","",N('Classe 4e'!P41))</f>
        <v/>
      </c>
    </row>
    <row r="842">
      <c r="A842" s="20" t="str">
        <f>IF('Classe 4e'!$B42="","",IF('Classe 4e'!A42="","",'Classe 4e'!A42))</f>
        <v/>
      </c>
      <c r="B842" s="20" t="str">
        <f>IF('Classe 4e'!$B42="","",IF('Classe 4e'!B42="","",'Classe 4e'!B42))</f>
        <v/>
      </c>
      <c r="C842" s="20" t="str">
        <f>IF('Classe 4e'!$B42="","",IF('Classe 4e'!C42="","",'Classe 4e'!C42))</f>
        <v/>
      </c>
      <c r="D842" s="20" t="str">
        <f>IF($B842="","",C842&amp;" "&amp;B842&amp;" - "&amp;E842)</f>
        <v/>
      </c>
      <c r="E842" s="21" t="str">
        <f>IF($B842="","",Paramètres!$A$25)</f>
        <v/>
      </c>
      <c r="F842" s="21" t="str">
        <f>IF($B842="","",Paramètres!$B$25)</f>
        <v/>
      </c>
      <c r="G842" s="21" t="str">
        <f>IF('Classe 4e'!$B42="","",IF('Classe 4e'!D42="","",'Classe 4e'!D42))</f>
        <v/>
      </c>
      <c r="H842" s="77" t="str">
        <f>IF('Classe 4e'!$B42="","",IF('Classe 4e'!E42="","",'Classe 4e'!E42))</f>
        <v/>
      </c>
      <c r="I842" s="20" t="str">
        <f>IF('Classe 4e'!$B42="","",IF('Classe 4e'!F42="","",'Classe 4e'!F42))</f>
        <v/>
      </c>
      <c r="J842" s="20" t="str">
        <f>IF('Classe 4e'!$B42="","",IF('Classe 4e'!G42="","",'Classe 4e'!G42))</f>
        <v/>
      </c>
      <c r="K842" s="51" t="str">
        <f>IF('Classe 4e'!$B42="","",N('Classe 4e'!H42))</f>
        <v/>
      </c>
      <c r="L842" s="51" t="str">
        <f>IF('Classe 4e'!$B42="","",N('Classe 4e'!I42))</f>
        <v/>
      </c>
      <c r="M842" s="51" t="str">
        <f>IF('Classe 4e'!$B42="","",N('Classe 4e'!J42))</f>
        <v/>
      </c>
      <c r="N842" s="51" t="str">
        <f>IF('Classe 4e'!$B42="","",N('Classe 4e'!K42))</f>
        <v/>
      </c>
      <c r="O842" s="51" t="str">
        <f>IF('Classe 4e'!$B42="","",N('Classe 4e'!L42))</f>
        <v/>
      </c>
      <c r="P842" s="51" t="str">
        <f>IF('Classe 4e'!$B42="","",N('Classe 4e'!M42))</f>
        <v/>
      </c>
      <c r="Q842" s="21" t="str">
        <f>IF('Classe 4e'!$B42="","",IF('Classe 4e'!Q42="","",'Classe 4e'!Q42))</f>
        <v/>
      </c>
      <c r="R842" s="51" t="str">
        <f>IF('Classe 4e'!$B42="","",N('Classe 4e'!N42))</f>
        <v/>
      </c>
      <c r="S842" s="51" t="str">
        <f>IF('Classe 4e'!$B42="","",N('Classe 4e'!O42))</f>
        <v/>
      </c>
      <c r="T842" s="51" t="str">
        <f>IF('Classe 4e'!$B42="","",N('Classe 4e'!P42))</f>
        <v/>
      </c>
    </row>
    <row r="843">
      <c r="A843" s="16" t="str">
        <f>IF('Classe 4e'!$B43="","",IF('Classe 4e'!A43="","",'Classe 4e'!A43))</f>
        <v/>
      </c>
      <c r="B843" s="16" t="str">
        <f>IF('Classe 4e'!$B43="","",IF('Classe 4e'!B43="","",'Classe 4e'!B43))</f>
        <v/>
      </c>
      <c r="C843" s="16" t="str">
        <f>IF('Classe 4e'!$B43="","",IF('Classe 4e'!C43="","",'Classe 4e'!C43))</f>
        <v/>
      </c>
      <c r="D843" s="16" t="str">
        <f>IF($B843="","",C843&amp;" "&amp;B843&amp;" - "&amp;E843)</f>
        <v/>
      </c>
      <c r="E843" s="17" t="str">
        <f>IF($B843="","",Paramètres!$A$25)</f>
        <v/>
      </c>
      <c r="F843" s="17" t="str">
        <f>IF($B843="","",Paramètres!$B$25)</f>
        <v/>
      </c>
      <c r="G843" s="17" t="str">
        <f>IF('Classe 4e'!$B43="","",IF('Classe 4e'!D43="","",'Classe 4e'!D43))</f>
        <v/>
      </c>
      <c r="H843" s="78" t="str">
        <f>IF('Classe 4e'!$B43="","",IF('Classe 4e'!E43="","",'Classe 4e'!E43))</f>
        <v/>
      </c>
      <c r="I843" s="16" t="str">
        <f>IF('Classe 4e'!$B43="","",IF('Classe 4e'!F43="","",'Classe 4e'!F43))</f>
        <v/>
      </c>
      <c r="J843" s="16" t="str">
        <f>IF('Classe 4e'!$B43="","",IF('Classe 4e'!G43="","",'Classe 4e'!G43))</f>
        <v/>
      </c>
      <c r="K843" s="18" t="str">
        <f>IF('Classe 4e'!$B43="","",N('Classe 4e'!H43))</f>
        <v/>
      </c>
      <c r="L843" s="18" t="str">
        <f>IF('Classe 4e'!$B43="","",N('Classe 4e'!I43))</f>
        <v/>
      </c>
      <c r="M843" s="18" t="str">
        <f>IF('Classe 4e'!$B43="","",N('Classe 4e'!J43))</f>
        <v/>
      </c>
      <c r="N843" s="18" t="str">
        <f>IF('Classe 4e'!$B43="","",N('Classe 4e'!K43))</f>
        <v/>
      </c>
      <c r="O843" s="18" t="str">
        <f>IF('Classe 4e'!$B43="","",N('Classe 4e'!L43))</f>
        <v/>
      </c>
      <c r="P843" s="18" t="str">
        <f>IF('Classe 4e'!$B43="","",N('Classe 4e'!M43))</f>
        <v/>
      </c>
      <c r="Q843" s="17" t="str">
        <f>IF('Classe 4e'!$B43="","",IF('Classe 4e'!Q43="","",'Classe 4e'!Q43))</f>
        <v/>
      </c>
      <c r="R843" s="18" t="str">
        <f>IF('Classe 4e'!$B43="","",N('Classe 4e'!N43))</f>
        <v/>
      </c>
      <c r="S843" s="18" t="str">
        <f>IF('Classe 4e'!$B43="","",N('Classe 4e'!O43))</f>
        <v/>
      </c>
      <c r="T843" s="18" t="str">
        <f>IF('Classe 4e'!$B43="","",N('Classe 4e'!P43))</f>
        <v/>
      </c>
    </row>
    <row r="844">
      <c r="A844" s="20" t="str">
        <f>IF('Classe 4e'!$B44="","",IF('Classe 4e'!A44="","",'Classe 4e'!A44))</f>
        <v/>
      </c>
      <c r="B844" s="20" t="str">
        <f>IF('Classe 4e'!$B44="","",IF('Classe 4e'!B44="","",'Classe 4e'!B44))</f>
        <v/>
      </c>
      <c r="C844" s="20" t="str">
        <f>IF('Classe 4e'!$B44="","",IF('Classe 4e'!C44="","",'Classe 4e'!C44))</f>
        <v/>
      </c>
      <c r="D844" s="20" t="str">
        <f>IF($B844="","",C844&amp;" "&amp;B844&amp;" - "&amp;E844)</f>
        <v/>
      </c>
      <c r="E844" s="21" t="str">
        <f>IF($B844="","",Paramètres!$A$25)</f>
        <v/>
      </c>
      <c r="F844" s="21" t="str">
        <f>IF($B844="","",Paramètres!$B$25)</f>
        <v/>
      </c>
      <c r="G844" s="21" t="str">
        <f>IF('Classe 4e'!$B44="","",IF('Classe 4e'!D44="","",'Classe 4e'!D44))</f>
        <v/>
      </c>
      <c r="H844" s="77" t="str">
        <f>IF('Classe 4e'!$B44="","",IF('Classe 4e'!E44="","",'Classe 4e'!E44))</f>
        <v/>
      </c>
      <c r="I844" s="20" t="str">
        <f>IF('Classe 4e'!$B44="","",IF('Classe 4e'!F44="","",'Classe 4e'!F44))</f>
        <v/>
      </c>
      <c r="J844" s="20" t="str">
        <f>IF('Classe 4e'!$B44="","",IF('Classe 4e'!G44="","",'Classe 4e'!G44))</f>
        <v/>
      </c>
      <c r="K844" s="51" t="str">
        <f>IF('Classe 4e'!$B44="","",N('Classe 4e'!H44))</f>
        <v/>
      </c>
      <c r="L844" s="51" t="str">
        <f>IF('Classe 4e'!$B44="","",N('Classe 4e'!I44))</f>
        <v/>
      </c>
      <c r="M844" s="51" t="str">
        <f>IF('Classe 4e'!$B44="","",N('Classe 4e'!J44))</f>
        <v/>
      </c>
      <c r="N844" s="51" t="str">
        <f>IF('Classe 4e'!$B44="","",N('Classe 4e'!K44))</f>
        <v/>
      </c>
      <c r="O844" s="51" t="str">
        <f>IF('Classe 4e'!$B44="","",N('Classe 4e'!L44))</f>
        <v/>
      </c>
      <c r="P844" s="51" t="str">
        <f>IF('Classe 4e'!$B44="","",N('Classe 4e'!M44))</f>
        <v/>
      </c>
      <c r="Q844" s="21" t="str">
        <f>IF('Classe 4e'!$B44="","",IF('Classe 4e'!Q44="","",'Classe 4e'!Q44))</f>
        <v/>
      </c>
      <c r="R844" s="51" t="str">
        <f>IF('Classe 4e'!$B44="","",N('Classe 4e'!N44))</f>
        <v/>
      </c>
      <c r="S844" s="51" t="str">
        <f>IF('Classe 4e'!$B44="","",N('Classe 4e'!O44))</f>
        <v/>
      </c>
      <c r="T844" s="51" t="str">
        <f>IF('Classe 4e'!$B44="","",N('Classe 4e'!P44))</f>
        <v/>
      </c>
    </row>
    <row r="845">
      <c r="A845" s="16" t="str">
        <f>IF('Classe 4e'!$B45="","",IF('Classe 4e'!A45="","",'Classe 4e'!A45))</f>
        <v/>
      </c>
      <c r="B845" s="16" t="str">
        <f>IF('Classe 4e'!$B45="","",IF('Classe 4e'!B45="","",'Classe 4e'!B45))</f>
        <v/>
      </c>
      <c r="C845" s="16" t="str">
        <f>IF('Classe 4e'!$B45="","",IF('Classe 4e'!C45="","",'Classe 4e'!C45))</f>
        <v/>
      </c>
      <c r="D845" s="16" t="str">
        <f>IF($B845="","",C845&amp;" "&amp;B845&amp;" - "&amp;E845)</f>
        <v/>
      </c>
      <c r="E845" s="17" t="str">
        <f>IF($B845="","",Paramètres!$A$25)</f>
        <v/>
      </c>
      <c r="F845" s="17" t="str">
        <f>IF($B845="","",Paramètres!$B$25)</f>
        <v/>
      </c>
      <c r="G845" s="17" t="str">
        <f>IF('Classe 4e'!$B45="","",IF('Classe 4e'!D45="","",'Classe 4e'!D45))</f>
        <v/>
      </c>
      <c r="H845" s="78" t="str">
        <f>IF('Classe 4e'!$B45="","",IF('Classe 4e'!E45="","",'Classe 4e'!E45))</f>
        <v/>
      </c>
      <c r="I845" s="16" t="str">
        <f>IF('Classe 4e'!$B45="","",IF('Classe 4e'!F45="","",'Classe 4e'!F45))</f>
        <v/>
      </c>
      <c r="J845" s="16" t="str">
        <f>IF('Classe 4e'!$B45="","",IF('Classe 4e'!G45="","",'Classe 4e'!G45))</f>
        <v/>
      </c>
      <c r="K845" s="18" t="str">
        <f>IF('Classe 4e'!$B45="","",N('Classe 4e'!H45))</f>
        <v/>
      </c>
      <c r="L845" s="18" t="str">
        <f>IF('Classe 4e'!$B45="","",N('Classe 4e'!I45))</f>
        <v/>
      </c>
      <c r="M845" s="18" t="str">
        <f>IF('Classe 4e'!$B45="","",N('Classe 4e'!J45))</f>
        <v/>
      </c>
      <c r="N845" s="18" t="str">
        <f>IF('Classe 4e'!$B45="","",N('Classe 4e'!K45))</f>
        <v/>
      </c>
      <c r="O845" s="18" t="str">
        <f>IF('Classe 4e'!$B45="","",N('Classe 4e'!L45))</f>
        <v/>
      </c>
      <c r="P845" s="18" t="str">
        <f>IF('Classe 4e'!$B45="","",N('Classe 4e'!M45))</f>
        <v/>
      </c>
      <c r="Q845" s="17" t="str">
        <f>IF('Classe 4e'!$B45="","",IF('Classe 4e'!Q45="","",'Classe 4e'!Q45))</f>
        <v/>
      </c>
      <c r="R845" s="18" t="str">
        <f>IF('Classe 4e'!$B45="","",N('Classe 4e'!N45))</f>
        <v/>
      </c>
      <c r="S845" s="18" t="str">
        <f>IF('Classe 4e'!$B45="","",N('Classe 4e'!O45))</f>
        <v/>
      </c>
      <c r="T845" s="18" t="str">
        <f>IF('Classe 4e'!$B45="","",N('Classe 4e'!P45))</f>
        <v/>
      </c>
    </row>
    <row r="846">
      <c r="A846" s="20" t="str">
        <f>IF('Classe 4e'!$B46="","",IF('Classe 4e'!A46="","",'Classe 4e'!A46))</f>
        <v/>
      </c>
      <c r="B846" s="20" t="str">
        <f>IF('Classe 4e'!$B46="","",IF('Classe 4e'!B46="","",'Classe 4e'!B46))</f>
        <v/>
      </c>
      <c r="C846" s="20" t="str">
        <f>IF('Classe 4e'!$B46="","",IF('Classe 4e'!C46="","",'Classe 4e'!C46))</f>
        <v/>
      </c>
      <c r="D846" s="20" t="str">
        <f>IF($B846="","",C846&amp;" "&amp;B846&amp;" - "&amp;E846)</f>
        <v/>
      </c>
      <c r="E846" s="21" t="str">
        <f>IF($B846="","",Paramètres!$A$25)</f>
        <v/>
      </c>
      <c r="F846" s="21" t="str">
        <f>IF($B846="","",Paramètres!$B$25)</f>
        <v/>
      </c>
      <c r="G846" s="21" t="str">
        <f>IF('Classe 4e'!$B46="","",IF('Classe 4e'!D46="","",'Classe 4e'!D46))</f>
        <v/>
      </c>
      <c r="H846" s="77" t="str">
        <f>IF('Classe 4e'!$B46="","",IF('Classe 4e'!E46="","",'Classe 4e'!E46))</f>
        <v/>
      </c>
      <c r="I846" s="20" t="str">
        <f>IF('Classe 4e'!$B46="","",IF('Classe 4e'!F46="","",'Classe 4e'!F46))</f>
        <v/>
      </c>
      <c r="J846" s="20" t="str">
        <f>IF('Classe 4e'!$B46="","",IF('Classe 4e'!G46="","",'Classe 4e'!G46))</f>
        <v/>
      </c>
      <c r="K846" s="51" t="str">
        <f>IF('Classe 4e'!$B46="","",N('Classe 4e'!H46))</f>
        <v/>
      </c>
      <c r="L846" s="51" t="str">
        <f>IF('Classe 4e'!$B46="","",N('Classe 4e'!I46))</f>
        <v/>
      </c>
      <c r="M846" s="51" t="str">
        <f>IF('Classe 4e'!$B46="","",N('Classe 4e'!J46))</f>
        <v/>
      </c>
      <c r="N846" s="51" t="str">
        <f>IF('Classe 4e'!$B46="","",N('Classe 4e'!K46))</f>
        <v/>
      </c>
      <c r="O846" s="51" t="str">
        <f>IF('Classe 4e'!$B46="","",N('Classe 4e'!L46))</f>
        <v/>
      </c>
      <c r="P846" s="51" t="str">
        <f>IF('Classe 4e'!$B46="","",N('Classe 4e'!M46))</f>
        <v/>
      </c>
      <c r="Q846" s="21" t="str">
        <f>IF('Classe 4e'!$B46="","",IF('Classe 4e'!Q46="","",'Classe 4e'!Q46))</f>
        <v/>
      </c>
      <c r="R846" s="51" t="str">
        <f>IF('Classe 4e'!$B46="","",N('Classe 4e'!N46))</f>
        <v/>
      </c>
      <c r="S846" s="51" t="str">
        <f>IF('Classe 4e'!$B46="","",N('Classe 4e'!O46))</f>
        <v/>
      </c>
      <c r="T846" s="51" t="str">
        <f>IF('Classe 4e'!$B46="","",N('Classe 4e'!P46))</f>
        <v/>
      </c>
    </row>
    <row r="847">
      <c r="A847" s="16" t="str">
        <f>IF('Classe 4e'!$B47="","",IF('Classe 4e'!A47="","",'Classe 4e'!A47))</f>
        <v/>
      </c>
      <c r="B847" s="16" t="str">
        <f>IF('Classe 4e'!$B47="","",IF('Classe 4e'!B47="","",'Classe 4e'!B47))</f>
        <v/>
      </c>
      <c r="C847" s="16" t="str">
        <f>IF('Classe 4e'!$B47="","",IF('Classe 4e'!C47="","",'Classe 4e'!C47))</f>
        <v/>
      </c>
      <c r="D847" s="16" t="str">
        <f>IF($B847="","",C847&amp;" "&amp;B847&amp;" - "&amp;E847)</f>
        <v/>
      </c>
      <c r="E847" s="17" t="str">
        <f>IF($B847="","",Paramètres!$A$25)</f>
        <v/>
      </c>
      <c r="F847" s="17" t="str">
        <f>IF($B847="","",Paramètres!$B$25)</f>
        <v/>
      </c>
      <c r="G847" s="17" t="str">
        <f>IF('Classe 4e'!$B47="","",IF('Classe 4e'!D47="","",'Classe 4e'!D47))</f>
        <v/>
      </c>
      <c r="H847" s="78" t="str">
        <f>IF('Classe 4e'!$B47="","",IF('Classe 4e'!E47="","",'Classe 4e'!E47))</f>
        <v/>
      </c>
      <c r="I847" s="16" t="str">
        <f>IF('Classe 4e'!$B47="","",IF('Classe 4e'!F47="","",'Classe 4e'!F47))</f>
        <v/>
      </c>
      <c r="J847" s="16" t="str">
        <f>IF('Classe 4e'!$B47="","",IF('Classe 4e'!G47="","",'Classe 4e'!G47))</f>
        <v/>
      </c>
      <c r="K847" s="18" t="str">
        <f>IF('Classe 4e'!$B47="","",N('Classe 4e'!H47))</f>
        <v/>
      </c>
      <c r="L847" s="18" t="str">
        <f>IF('Classe 4e'!$B47="","",N('Classe 4e'!I47))</f>
        <v/>
      </c>
      <c r="M847" s="18" t="str">
        <f>IF('Classe 4e'!$B47="","",N('Classe 4e'!J47))</f>
        <v/>
      </c>
      <c r="N847" s="18" t="str">
        <f>IF('Classe 4e'!$B47="","",N('Classe 4e'!K47))</f>
        <v/>
      </c>
      <c r="O847" s="18" t="str">
        <f>IF('Classe 4e'!$B47="","",N('Classe 4e'!L47))</f>
        <v/>
      </c>
      <c r="P847" s="18" t="str">
        <f>IF('Classe 4e'!$B47="","",N('Classe 4e'!M47))</f>
        <v/>
      </c>
      <c r="Q847" s="17" t="str">
        <f>IF('Classe 4e'!$B47="","",IF('Classe 4e'!Q47="","",'Classe 4e'!Q47))</f>
        <v/>
      </c>
      <c r="R847" s="18" t="str">
        <f>IF('Classe 4e'!$B47="","",N('Classe 4e'!N47))</f>
        <v/>
      </c>
      <c r="S847" s="18" t="str">
        <f>IF('Classe 4e'!$B47="","",N('Classe 4e'!O47))</f>
        <v/>
      </c>
      <c r="T847" s="18" t="str">
        <f>IF('Classe 4e'!$B47="","",N('Classe 4e'!P47))</f>
        <v/>
      </c>
    </row>
    <row r="848">
      <c r="A848" s="20" t="str">
        <f>IF('Classe 4e'!$B48="","",IF('Classe 4e'!A48="","",'Classe 4e'!A48))</f>
        <v/>
      </c>
      <c r="B848" s="20" t="str">
        <f>IF('Classe 4e'!$B48="","",IF('Classe 4e'!B48="","",'Classe 4e'!B48))</f>
        <v/>
      </c>
      <c r="C848" s="20" t="str">
        <f>IF('Classe 4e'!$B48="","",IF('Classe 4e'!C48="","",'Classe 4e'!C48))</f>
        <v/>
      </c>
      <c r="D848" s="20" t="str">
        <f>IF($B848="","",C848&amp;" "&amp;B848&amp;" - "&amp;E848)</f>
        <v/>
      </c>
      <c r="E848" s="21" t="str">
        <f>IF($B848="","",Paramètres!$A$25)</f>
        <v/>
      </c>
      <c r="F848" s="21" t="str">
        <f>IF($B848="","",Paramètres!$B$25)</f>
        <v/>
      </c>
      <c r="G848" s="21" t="str">
        <f>IF('Classe 4e'!$B48="","",IF('Classe 4e'!D48="","",'Classe 4e'!D48))</f>
        <v/>
      </c>
      <c r="H848" s="77" t="str">
        <f>IF('Classe 4e'!$B48="","",IF('Classe 4e'!E48="","",'Classe 4e'!E48))</f>
        <v/>
      </c>
      <c r="I848" s="20" t="str">
        <f>IF('Classe 4e'!$B48="","",IF('Classe 4e'!F48="","",'Classe 4e'!F48))</f>
        <v/>
      </c>
      <c r="J848" s="20" t="str">
        <f>IF('Classe 4e'!$B48="","",IF('Classe 4e'!G48="","",'Classe 4e'!G48))</f>
        <v/>
      </c>
      <c r="K848" s="51" t="str">
        <f>IF('Classe 4e'!$B48="","",N('Classe 4e'!H48))</f>
        <v/>
      </c>
      <c r="L848" s="51" t="str">
        <f>IF('Classe 4e'!$B48="","",N('Classe 4e'!I48))</f>
        <v/>
      </c>
      <c r="M848" s="51" t="str">
        <f>IF('Classe 4e'!$B48="","",N('Classe 4e'!J48))</f>
        <v/>
      </c>
      <c r="N848" s="51" t="str">
        <f>IF('Classe 4e'!$B48="","",N('Classe 4e'!K48))</f>
        <v/>
      </c>
      <c r="O848" s="51" t="str">
        <f>IF('Classe 4e'!$B48="","",N('Classe 4e'!L48))</f>
        <v/>
      </c>
      <c r="P848" s="51" t="str">
        <f>IF('Classe 4e'!$B48="","",N('Classe 4e'!M48))</f>
        <v/>
      </c>
      <c r="Q848" s="21" t="str">
        <f>IF('Classe 4e'!$B48="","",IF('Classe 4e'!Q48="","",'Classe 4e'!Q48))</f>
        <v/>
      </c>
      <c r="R848" s="51" t="str">
        <f>IF('Classe 4e'!$B48="","",N('Classe 4e'!N48))</f>
        <v/>
      </c>
      <c r="S848" s="51" t="str">
        <f>IF('Classe 4e'!$B48="","",N('Classe 4e'!O48))</f>
        <v/>
      </c>
      <c r="T848" s="51" t="str">
        <f>IF('Classe 4e'!$B48="","",N('Classe 4e'!P48))</f>
        <v/>
      </c>
    </row>
    <row r="849">
      <c r="A849" s="16" t="str">
        <f>IF('Classe 4e'!$B49="","",IF('Classe 4e'!A49="","",'Classe 4e'!A49))</f>
        <v/>
      </c>
      <c r="B849" s="16" t="str">
        <f>IF('Classe 4e'!$B49="","",IF('Classe 4e'!B49="","",'Classe 4e'!B49))</f>
        <v/>
      </c>
      <c r="C849" s="16" t="str">
        <f>IF('Classe 4e'!$B49="","",IF('Classe 4e'!C49="","",'Classe 4e'!C49))</f>
        <v/>
      </c>
      <c r="D849" s="16" t="str">
        <f>IF($B849="","",C849&amp;" "&amp;B849&amp;" - "&amp;E849)</f>
        <v/>
      </c>
      <c r="E849" s="17" t="str">
        <f>IF($B849="","",Paramètres!$A$25)</f>
        <v/>
      </c>
      <c r="F849" s="17" t="str">
        <f>IF($B849="","",Paramètres!$B$25)</f>
        <v/>
      </c>
      <c r="G849" s="17" t="str">
        <f>IF('Classe 4e'!$B49="","",IF('Classe 4e'!D49="","",'Classe 4e'!D49))</f>
        <v/>
      </c>
      <c r="H849" s="78" t="str">
        <f>IF('Classe 4e'!$B49="","",IF('Classe 4e'!E49="","",'Classe 4e'!E49))</f>
        <v/>
      </c>
      <c r="I849" s="16" t="str">
        <f>IF('Classe 4e'!$B49="","",IF('Classe 4e'!F49="","",'Classe 4e'!F49))</f>
        <v/>
      </c>
      <c r="J849" s="16" t="str">
        <f>IF('Classe 4e'!$B49="","",IF('Classe 4e'!G49="","",'Classe 4e'!G49))</f>
        <v/>
      </c>
      <c r="K849" s="18" t="str">
        <f>IF('Classe 4e'!$B49="","",N('Classe 4e'!H49))</f>
        <v/>
      </c>
      <c r="L849" s="18" t="str">
        <f>IF('Classe 4e'!$B49="","",N('Classe 4e'!I49))</f>
        <v/>
      </c>
      <c r="M849" s="18" t="str">
        <f>IF('Classe 4e'!$B49="","",N('Classe 4e'!J49))</f>
        <v/>
      </c>
      <c r="N849" s="18" t="str">
        <f>IF('Classe 4e'!$B49="","",N('Classe 4e'!K49))</f>
        <v/>
      </c>
      <c r="O849" s="18" t="str">
        <f>IF('Classe 4e'!$B49="","",N('Classe 4e'!L49))</f>
        <v/>
      </c>
      <c r="P849" s="18" t="str">
        <f>IF('Classe 4e'!$B49="","",N('Classe 4e'!M49))</f>
        <v/>
      </c>
      <c r="Q849" s="17" t="str">
        <f>IF('Classe 4e'!$B49="","",IF('Classe 4e'!Q49="","",'Classe 4e'!Q49))</f>
        <v/>
      </c>
      <c r="R849" s="18" t="str">
        <f>IF('Classe 4e'!$B49="","",N('Classe 4e'!N49))</f>
        <v/>
      </c>
      <c r="S849" s="18" t="str">
        <f>IF('Classe 4e'!$B49="","",N('Classe 4e'!O49))</f>
        <v/>
      </c>
      <c r="T849" s="18" t="str">
        <f>IF('Classe 4e'!$B49="","",N('Classe 4e'!P49))</f>
        <v/>
      </c>
    </row>
    <row r="850">
      <c r="A850" s="20" t="str">
        <f>IF('Classe 4e'!$B50="","",IF('Classe 4e'!A50="","",'Classe 4e'!A50))</f>
        <v/>
      </c>
      <c r="B850" s="20" t="str">
        <f>IF('Classe 4e'!$B50="","",IF('Classe 4e'!B50="","",'Classe 4e'!B50))</f>
        <v/>
      </c>
      <c r="C850" s="20" t="str">
        <f>IF('Classe 4e'!$B50="","",IF('Classe 4e'!C50="","",'Classe 4e'!C50))</f>
        <v/>
      </c>
      <c r="D850" s="20" t="str">
        <f>IF($B850="","",C850&amp;" "&amp;B850&amp;" - "&amp;E850)</f>
        <v/>
      </c>
      <c r="E850" s="21" t="str">
        <f>IF($B850="","",Paramètres!$A$25)</f>
        <v/>
      </c>
      <c r="F850" s="21" t="str">
        <f>IF($B850="","",Paramètres!$B$25)</f>
        <v/>
      </c>
      <c r="G850" s="21" t="str">
        <f>IF('Classe 4e'!$B50="","",IF('Classe 4e'!D50="","",'Classe 4e'!D50))</f>
        <v/>
      </c>
      <c r="H850" s="77" t="str">
        <f>IF('Classe 4e'!$B50="","",IF('Classe 4e'!E50="","",'Classe 4e'!E50))</f>
        <v/>
      </c>
      <c r="I850" s="20" t="str">
        <f>IF('Classe 4e'!$B50="","",IF('Classe 4e'!F50="","",'Classe 4e'!F50))</f>
        <v/>
      </c>
      <c r="J850" s="20" t="str">
        <f>IF('Classe 4e'!$B50="","",IF('Classe 4e'!G50="","",'Classe 4e'!G50))</f>
        <v/>
      </c>
      <c r="K850" s="51" t="str">
        <f>IF('Classe 4e'!$B50="","",N('Classe 4e'!H50))</f>
        <v/>
      </c>
      <c r="L850" s="51" t="str">
        <f>IF('Classe 4e'!$B50="","",N('Classe 4e'!I50))</f>
        <v/>
      </c>
      <c r="M850" s="51" t="str">
        <f>IF('Classe 4e'!$B50="","",N('Classe 4e'!J50))</f>
        <v/>
      </c>
      <c r="N850" s="51" t="str">
        <f>IF('Classe 4e'!$B50="","",N('Classe 4e'!K50))</f>
        <v/>
      </c>
      <c r="O850" s="51" t="str">
        <f>IF('Classe 4e'!$B50="","",N('Classe 4e'!L50))</f>
        <v/>
      </c>
      <c r="P850" s="51" t="str">
        <f>IF('Classe 4e'!$B50="","",N('Classe 4e'!M50))</f>
        <v/>
      </c>
      <c r="Q850" s="21" t="str">
        <f>IF('Classe 4e'!$B50="","",IF('Classe 4e'!Q50="","",'Classe 4e'!Q50))</f>
        <v/>
      </c>
      <c r="R850" s="51" t="str">
        <f>IF('Classe 4e'!$B50="","",N('Classe 4e'!N50))</f>
        <v/>
      </c>
      <c r="S850" s="51" t="str">
        <f>IF('Classe 4e'!$B50="","",N('Classe 4e'!O50))</f>
        <v/>
      </c>
      <c r="T850" s="51" t="str">
        <f>IF('Classe 4e'!$B50="","",N('Classe 4e'!P50))</f>
        <v/>
      </c>
    </row>
    <row r="851">
      <c r="A851" s="16" t="str">
        <f>IF('Classe 4e'!$B51="","",IF('Classe 4e'!A51="","",'Classe 4e'!A51))</f>
        <v/>
      </c>
      <c r="B851" s="16" t="str">
        <f>IF('Classe 4e'!$B51="","",IF('Classe 4e'!B51="","",'Classe 4e'!B51))</f>
        <v/>
      </c>
      <c r="C851" s="16" t="str">
        <f>IF('Classe 4e'!$B51="","",IF('Classe 4e'!C51="","",'Classe 4e'!C51))</f>
        <v/>
      </c>
      <c r="D851" s="16" t="str">
        <f>IF($B851="","",C851&amp;" "&amp;B851&amp;" - "&amp;E851)</f>
        <v/>
      </c>
      <c r="E851" s="17" t="str">
        <f>IF($B851="","",Paramètres!$A$25)</f>
        <v/>
      </c>
      <c r="F851" s="17" t="str">
        <f>IF($B851="","",Paramètres!$B$25)</f>
        <v/>
      </c>
      <c r="G851" s="17" t="str">
        <f>IF('Classe 4e'!$B51="","",IF('Classe 4e'!D51="","",'Classe 4e'!D51))</f>
        <v/>
      </c>
      <c r="H851" s="78" t="str">
        <f>IF('Classe 4e'!$B51="","",IF('Classe 4e'!E51="","",'Classe 4e'!E51))</f>
        <v/>
      </c>
      <c r="I851" s="16" t="str">
        <f>IF('Classe 4e'!$B51="","",IF('Classe 4e'!F51="","",'Classe 4e'!F51))</f>
        <v/>
      </c>
      <c r="J851" s="16" t="str">
        <f>IF('Classe 4e'!$B51="","",IF('Classe 4e'!G51="","",'Classe 4e'!G51))</f>
        <v/>
      </c>
      <c r="K851" s="18" t="str">
        <f>IF('Classe 4e'!$B51="","",N('Classe 4e'!H51))</f>
        <v/>
      </c>
      <c r="L851" s="18" t="str">
        <f>IF('Classe 4e'!$B51="","",N('Classe 4e'!I51))</f>
        <v/>
      </c>
      <c r="M851" s="18" t="str">
        <f>IF('Classe 4e'!$B51="","",N('Classe 4e'!J51))</f>
        <v/>
      </c>
      <c r="N851" s="18" t="str">
        <f>IF('Classe 4e'!$B51="","",N('Classe 4e'!K51))</f>
        <v/>
      </c>
      <c r="O851" s="18" t="str">
        <f>IF('Classe 4e'!$B51="","",N('Classe 4e'!L51))</f>
        <v/>
      </c>
      <c r="P851" s="18" t="str">
        <f>IF('Classe 4e'!$B51="","",N('Classe 4e'!M51))</f>
        <v/>
      </c>
      <c r="Q851" s="17" t="str">
        <f>IF('Classe 4e'!$B51="","",IF('Classe 4e'!Q51="","",'Classe 4e'!Q51))</f>
        <v/>
      </c>
      <c r="R851" s="18" t="str">
        <f>IF('Classe 4e'!$B51="","",N('Classe 4e'!N51))</f>
        <v/>
      </c>
      <c r="S851" s="18" t="str">
        <f>IF('Classe 4e'!$B51="","",N('Classe 4e'!O51))</f>
        <v/>
      </c>
      <c r="T851" s="18" t="str">
        <f>IF('Classe 4e'!$B51="","",N('Classe 4e'!P51))</f>
        <v/>
      </c>
    </row>
    <row r="852">
      <c r="A852" s="20" t="str">
        <f>IF('Classe 4e'!$B52="","",IF('Classe 4e'!A52="","",'Classe 4e'!A52))</f>
        <v/>
      </c>
      <c r="B852" s="20" t="str">
        <f>IF('Classe 4e'!$B52="","",IF('Classe 4e'!B52="","",'Classe 4e'!B52))</f>
        <v/>
      </c>
      <c r="C852" s="20" t="str">
        <f>IF('Classe 4e'!$B52="","",IF('Classe 4e'!C52="","",'Classe 4e'!C52))</f>
        <v/>
      </c>
      <c r="D852" s="20" t="str">
        <f>IF($B852="","",C852&amp;" "&amp;B852&amp;" - "&amp;E852)</f>
        <v/>
      </c>
      <c r="E852" s="21" t="str">
        <f>IF($B852="","",Paramètres!$A$25)</f>
        <v/>
      </c>
      <c r="F852" s="21" t="str">
        <f>IF($B852="","",Paramètres!$B$25)</f>
        <v/>
      </c>
      <c r="G852" s="21" t="str">
        <f>IF('Classe 4e'!$B52="","",IF('Classe 4e'!D52="","",'Classe 4e'!D52))</f>
        <v/>
      </c>
      <c r="H852" s="77" t="str">
        <f>IF('Classe 4e'!$B52="","",IF('Classe 4e'!E52="","",'Classe 4e'!E52))</f>
        <v/>
      </c>
      <c r="I852" s="20" t="str">
        <f>IF('Classe 4e'!$B52="","",IF('Classe 4e'!F52="","",'Classe 4e'!F52))</f>
        <v/>
      </c>
      <c r="J852" s="20" t="str">
        <f>IF('Classe 4e'!$B52="","",IF('Classe 4e'!G52="","",'Classe 4e'!G52))</f>
        <v/>
      </c>
      <c r="K852" s="51" t="str">
        <f>IF('Classe 4e'!$B52="","",N('Classe 4e'!H52))</f>
        <v/>
      </c>
      <c r="L852" s="51" t="str">
        <f>IF('Classe 4e'!$B52="","",N('Classe 4e'!I52))</f>
        <v/>
      </c>
      <c r="M852" s="51" t="str">
        <f>IF('Classe 4e'!$B52="","",N('Classe 4e'!J52))</f>
        <v/>
      </c>
      <c r="N852" s="51" t="str">
        <f>IF('Classe 4e'!$B52="","",N('Classe 4e'!K52))</f>
        <v/>
      </c>
      <c r="O852" s="51" t="str">
        <f>IF('Classe 4e'!$B52="","",N('Classe 4e'!L52))</f>
        <v/>
      </c>
      <c r="P852" s="51" t="str">
        <f>IF('Classe 4e'!$B52="","",N('Classe 4e'!M52))</f>
        <v/>
      </c>
      <c r="Q852" s="21" t="str">
        <f>IF('Classe 4e'!$B52="","",IF('Classe 4e'!Q52="","",'Classe 4e'!Q52))</f>
        <v/>
      </c>
      <c r="R852" s="51" t="str">
        <f>IF('Classe 4e'!$B52="","",N('Classe 4e'!N52))</f>
        <v/>
      </c>
      <c r="S852" s="51" t="str">
        <f>IF('Classe 4e'!$B52="","",N('Classe 4e'!O52))</f>
        <v/>
      </c>
      <c r="T852" s="51" t="str">
        <f>IF('Classe 4e'!$B52="","",N('Classe 4e'!P52))</f>
        <v/>
      </c>
    </row>
    <row r="853">
      <c r="A853" s="16" t="str">
        <f>IF('Classe 4e'!$B53="","",IF('Classe 4e'!A53="","",'Classe 4e'!A53))</f>
        <v/>
      </c>
      <c r="B853" s="16" t="str">
        <f>IF('Classe 4e'!$B53="","",IF('Classe 4e'!B53="","",'Classe 4e'!B53))</f>
        <v/>
      </c>
      <c r="C853" s="16" t="str">
        <f>IF('Classe 4e'!$B53="","",IF('Classe 4e'!C53="","",'Classe 4e'!C53))</f>
        <v/>
      </c>
      <c r="D853" s="16" t="str">
        <f>IF($B853="","",C853&amp;" "&amp;B853&amp;" - "&amp;E853)</f>
        <v/>
      </c>
      <c r="E853" s="17" t="str">
        <f>IF($B853="","",Paramètres!$A$25)</f>
        <v/>
      </c>
      <c r="F853" s="17" t="str">
        <f>IF($B853="","",Paramètres!$B$25)</f>
        <v/>
      </c>
      <c r="G853" s="17" t="str">
        <f>IF('Classe 4e'!$B53="","",IF('Classe 4e'!D53="","",'Classe 4e'!D53))</f>
        <v/>
      </c>
      <c r="H853" s="78" t="str">
        <f>IF('Classe 4e'!$B53="","",IF('Classe 4e'!E53="","",'Classe 4e'!E53))</f>
        <v/>
      </c>
      <c r="I853" s="16" t="str">
        <f>IF('Classe 4e'!$B53="","",IF('Classe 4e'!F53="","",'Classe 4e'!F53))</f>
        <v/>
      </c>
      <c r="J853" s="16" t="str">
        <f>IF('Classe 4e'!$B53="","",IF('Classe 4e'!G53="","",'Classe 4e'!G53))</f>
        <v/>
      </c>
      <c r="K853" s="18" t="str">
        <f>IF('Classe 4e'!$B53="","",N('Classe 4e'!H53))</f>
        <v/>
      </c>
      <c r="L853" s="18" t="str">
        <f>IF('Classe 4e'!$B53="","",N('Classe 4e'!I53))</f>
        <v/>
      </c>
      <c r="M853" s="18" t="str">
        <f>IF('Classe 4e'!$B53="","",N('Classe 4e'!J53))</f>
        <v/>
      </c>
      <c r="N853" s="18" t="str">
        <f>IF('Classe 4e'!$B53="","",N('Classe 4e'!K53))</f>
        <v/>
      </c>
      <c r="O853" s="18" t="str">
        <f>IF('Classe 4e'!$B53="","",N('Classe 4e'!L53))</f>
        <v/>
      </c>
      <c r="P853" s="18" t="str">
        <f>IF('Classe 4e'!$B53="","",N('Classe 4e'!M53))</f>
        <v/>
      </c>
      <c r="Q853" s="17" t="str">
        <f>IF('Classe 4e'!$B53="","",IF('Classe 4e'!Q53="","",'Classe 4e'!Q53))</f>
        <v/>
      </c>
      <c r="R853" s="18" t="str">
        <f>IF('Classe 4e'!$B53="","",N('Classe 4e'!N53))</f>
        <v/>
      </c>
      <c r="S853" s="18" t="str">
        <f>IF('Classe 4e'!$B53="","",N('Classe 4e'!O53))</f>
        <v/>
      </c>
      <c r="T853" s="18" t="str">
        <f>IF('Classe 4e'!$B53="","",N('Classe 4e'!P53))</f>
        <v/>
      </c>
    </row>
    <row r="854">
      <c r="A854" s="20" t="str">
        <f>IF('Classe 4e'!$B54="","",IF('Classe 4e'!A54="","",'Classe 4e'!A54))</f>
        <v/>
      </c>
      <c r="B854" s="20" t="str">
        <f>IF('Classe 4e'!$B54="","",IF('Classe 4e'!B54="","",'Classe 4e'!B54))</f>
        <v/>
      </c>
      <c r="C854" s="20" t="str">
        <f>IF('Classe 4e'!$B54="","",IF('Classe 4e'!C54="","",'Classe 4e'!C54))</f>
        <v/>
      </c>
      <c r="D854" s="20" t="str">
        <f>IF($B854="","",C854&amp;" "&amp;B854&amp;" - "&amp;E854)</f>
        <v/>
      </c>
      <c r="E854" s="21" t="str">
        <f>IF($B854="","",Paramètres!$A$25)</f>
        <v/>
      </c>
      <c r="F854" s="21" t="str">
        <f>IF($B854="","",Paramètres!$B$25)</f>
        <v/>
      </c>
      <c r="G854" s="21" t="str">
        <f>IF('Classe 4e'!$B54="","",IF('Classe 4e'!D54="","",'Classe 4e'!D54))</f>
        <v/>
      </c>
      <c r="H854" s="77" t="str">
        <f>IF('Classe 4e'!$B54="","",IF('Classe 4e'!E54="","",'Classe 4e'!E54))</f>
        <v/>
      </c>
      <c r="I854" s="20" t="str">
        <f>IF('Classe 4e'!$B54="","",IF('Classe 4e'!F54="","",'Classe 4e'!F54))</f>
        <v/>
      </c>
      <c r="J854" s="20" t="str">
        <f>IF('Classe 4e'!$B54="","",IF('Classe 4e'!G54="","",'Classe 4e'!G54))</f>
        <v/>
      </c>
      <c r="K854" s="51" t="str">
        <f>IF('Classe 4e'!$B54="","",N('Classe 4e'!H54))</f>
        <v/>
      </c>
      <c r="L854" s="51" t="str">
        <f>IF('Classe 4e'!$B54="","",N('Classe 4e'!I54))</f>
        <v/>
      </c>
      <c r="M854" s="51" t="str">
        <f>IF('Classe 4e'!$B54="","",N('Classe 4e'!J54))</f>
        <v/>
      </c>
      <c r="N854" s="51" t="str">
        <f>IF('Classe 4e'!$B54="","",N('Classe 4e'!K54))</f>
        <v/>
      </c>
      <c r="O854" s="51" t="str">
        <f>IF('Classe 4e'!$B54="","",N('Classe 4e'!L54))</f>
        <v/>
      </c>
      <c r="P854" s="51" t="str">
        <f>IF('Classe 4e'!$B54="","",N('Classe 4e'!M54))</f>
        <v/>
      </c>
      <c r="Q854" s="21" t="str">
        <f>IF('Classe 4e'!$B54="","",IF('Classe 4e'!Q54="","",'Classe 4e'!Q54))</f>
        <v/>
      </c>
      <c r="R854" s="51" t="str">
        <f>IF('Classe 4e'!$B54="","",N('Classe 4e'!N54))</f>
        <v/>
      </c>
      <c r="S854" s="51" t="str">
        <f>IF('Classe 4e'!$B54="","",N('Classe 4e'!O54))</f>
        <v/>
      </c>
      <c r="T854" s="51" t="str">
        <f>IF('Classe 4e'!$B54="","",N('Classe 4e'!P54))</f>
        <v/>
      </c>
    </row>
    <row r="855">
      <c r="A855" s="16" t="str">
        <f>IF('Classe 4e'!$B55="","",IF('Classe 4e'!A55="","",'Classe 4e'!A55))</f>
        <v/>
      </c>
      <c r="B855" s="16" t="str">
        <f>IF('Classe 4e'!$B55="","",IF('Classe 4e'!B55="","",'Classe 4e'!B55))</f>
        <v/>
      </c>
      <c r="C855" s="16" t="str">
        <f>IF('Classe 4e'!$B55="","",IF('Classe 4e'!C55="","",'Classe 4e'!C55))</f>
        <v/>
      </c>
      <c r="D855" s="16" t="str">
        <f>IF($B855="","",C855&amp;" "&amp;B855&amp;" - "&amp;E855)</f>
        <v/>
      </c>
      <c r="E855" s="17" t="str">
        <f>IF($B855="","",Paramètres!$A$25)</f>
        <v/>
      </c>
      <c r="F855" s="17" t="str">
        <f>IF($B855="","",Paramètres!$B$25)</f>
        <v/>
      </c>
      <c r="G855" s="17" t="str">
        <f>IF('Classe 4e'!$B55="","",IF('Classe 4e'!D55="","",'Classe 4e'!D55))</f>
        <v/>
      </c>
      <c r="H855" s="78" t="str">
        <f>IF('Classe 4e'!$B55="","",IF('Classe 4e'!E55="","",'Classe 4e'!E55))</f>
        <v/>
      </c>
      <c r="I855" s="16" t="str">
        <f>IF('Classe 4e'!$B55="","",IF('Classe 4e'!F55="","",'Classe 4e'!F55))</f>
        <v/>
      </c>
      <c r="J855" s="16" t="str">
        <f>IF('Classe 4e'!$B55="","",IF('Classe 4e'!G55="","",'Classe 4e'!G55))</f>
        <v/>
      </c>
      <c r="K855" s="18" t="str">
        <f>IF('Classe 4e'!$B55="","",N('Classe 4e'!H55))</f>
        <v/>
      </c>
      <c r="L855" s="18" t="str">
        <f>IF('Classe 4e'!$B55="","",N('Classe 4e'!I55))</f>
        <v/>
      </c>
      <c r="M855" s="18" t="str">
        <f>IF('Classe 4e'!$B55="","",N('Classe 4e'!J55))</f>
        <v/>
      </c>
      <c r="N855" s="18" t="str">
        <f>IF('Classe 4e'!$B55="","",N('Classe 4e'!K55))</f>
        <v/>
      </c>
      <c r="O855" s="18" t="str">
        <f>IF('Classe 4e'!$B55="","",N('Classe 4e'!L55))</f>
        <v/>
      </c>
      <c r="P855" s="18" t="str">
        <f>IF('Classe 4e'!$B55="","",N('Classe 4e'!M55))</f>
        <v/>
      </c>
      <c r="Q855" s="17" t="str">
        <f>IF('Classe 4e'!$B55="","",IF('Classe 4e'!Q55="","",'Classe 4e'!Q55))</f>
        <v/>
      </c>
      <c r="R855" s="18" t="str">
        <f>IF('Classe 4e'!$B55="","",N('Classe 4e'!N55))</f>
        <v/>
      </c>
      <c r="S855" s="18" t="str">
        <f>IF('Classe 4e'!$B55="","",N('Classe 4e'!O55))</f>
        <v/>
      </c>
      <c r="T855" s="18" t="str">
        <f>IF('Classe 4e'!$B55="","",N('Classe 4e'!P55))</f>
        <v/>
      </c>
    </row>
    <row r="856">
      <c r="A856" s="20" t="str">
        <f>IF('Classe 4e'!$B56="","",IF('Classe 4e'!A56="","",'Classe 4e'!A56))</f>
        <v/>
      </c>
      <c r="B856" s="20" t="str">
        <f>IF('Classe 4e'!$B56="","",IF('Classe 4e'!B56="","",'Classe 4e'!B56))</f>
        <v/>
      </c>
      <c r="C856" s="20" t="str">
        <f>IF('Classe 4e'!$B56="","",IF('Classe 4e'!C56="","",'Classe 4e'!C56))</f>
        <v/>
      </c>
      <c r="D856" s="20" t="str">
        <f>IF($B856="","",C856&amp;" "&amp;B856&amp;" - "&amp;E856)</f>
        <v/>
      </c>
      <c r="E856" s="21" t="str">
        <f>IF($B856="","",Paramètres!$A$25)</f>
        <v/>
      </c>
      <c r="F856" s="21" t="str">
        <f>IF($B856="","",Paramètres!$B$25)</f>
        <v/>
      </c>
      <c r="G856" s="21" t="str">
        <f>IF('Classe 4e'!$B56="","",IF('Classe 4e'!D56="","",'Classe 4e'!D56))</f>
        <v/>
      </c>
      <c r="H856" s="77" t="str">
        <f>IF('Classe 4e'!$B56="","",IF('Classe 4e'!E56="","",'Classe 4e'!E56))</f>
        <v/>
      </c>
      <c r="I856" s="20" t="str">
        <f>IF('Classe 4e'!$B56="","",IF('Classe 4e'!F56="","",'Classe 4e'!F56))</f>
        <v/>
      </c>
      <c r="J856" s="20" t="str">
        <f>IF('Classe 4e'!$B56="","",IF('Classe 4e'!G56="","",'Classe 4e'!G56))</f>
        <v/>
      </c>
      <c r="K856" s="51" t="str">
        <f>IF('Classe 4e'!$B56="","",N('Classe 4e'!H56))</f>
        <v/>
      </c>
      <c r="L856" s="51" t="str">
        <f>IF('Classe 4e'!$B56="","",N('Classe 4e'!I56))</f>
        <v/>
      </c>
      <c r="M856" s="51" t="str">
        <f>IF('Classe 4e'!$B56="","",N('Classe 4e'!J56))</f>
        <v/>
      </c>
      <c r="N856" s="51" t="str">
        <f>IF('Classe 4e'!$B56="","",N('Classe 4e'!K56))</f>
        <v/>
      </c>
      <c r="O856" s="51" t="str">
        <f>IF('Classe 4e'!$B56="","",N('Classe 4e'!L56))</f>
        <v/>
      </c>
      <c r="P856" s="51" t="str">
        <f>IF('Classe 4e'!$B56="","",N('Classe 4e'!M56))</f>
        <v/>
      </c>
      <c r="Q856" s="21" t="str">
        <f>IF('Classe 4e'!$B56="","",IF('Classe 4e'!Q56="","",'Classe 4e'!Q56))</f>
        <v/>
      </c>
      <c r="R856" s="51" t="str">
        <f>IF('Classe 4e'!$B56="","",N('Classe 4e'!N56))</f>
        <v/>
      </c>
      <c r="S856" s="51" t="str">
        <f>IF('Classe 4e'!$B56="","",N('Classe 4e'!O56))</f>
        <v/>
      </c>
      <c r="T856" s="51" t="str">
        <f>IF('Classe 4e'!$B56="","",N('Classe 4e'!P56))</f>
        <v/>
      </c>
    </row>
    <row r="857">
      <c r="A857" s="16" t="str">
        <f>IF('Classe 4e'!$B57="","",IF('Classe 4e'!A57="","",'Classe 4e'!A57))</f>
        <v/>
      </c>
      <c r="B857" s="16" t="str">
        <f>IF('Classe 4e'!$B57="","",IF('Classe 4e'!B57="","",'Classe 4e'!B57))</f>
        <v/>
      </c>
      <c r="C857" s="16" t="str">
        <f>IF('Classe 4e'!$B57="","",IF('Classe 4e'!C57="","",'Classe 4e'!C57))</f>
        <v/>
      </c>
      <c r="D857" s="16" t="str">
        <f>IF($B857="","",C857&amp;" "&amp;B857&amp;" - "&amp;E857)</f>
        <v/>
      </c>
      <c r="E857" s="17" t="str">
        <f>IF($B857="","",Paramètres!$A$25)</f>
        <v/>
      </c>
      <c r="F857" s="17" t="str">
        <f>IF($B857="","",Paramètres!$B$25)</f>
        <v/>
      </c>
      <c r="G857" s="17" t="str">
        <f>IF('Classe 4e'!$B57="","",IF('Classe 4e'!D57="","",'Classe 4e'!D57))</f>
        <v/>
      </c>
      <c r="H857" s="78" t="str">
        <f>IF('Classe 4e'!$B57="","",IF('Classe 4e'!E57="","",'Classe 4e'!E57))</f>
        <v/>
      </c>
      <c r="I857" s="16" t="str">
        <f>IF('Classe 4e'!$B57="","",IF('Classe 4e'!F57="","",'Classe 4e'!F57))</f>
        <v/>
      </c>
      <c r="J857" s="16" t="str">
        <f>IF('Classe 4e'!$B57="","",IF('Classe 4e'!G57="","",'Classe 4e'!G57))</f>
        <v/>
      </c>
      <c r="K857" s="18" t="str">
        <f>IF('Classe 4e'!$B57="","",N('Classe 4e'!H57))</f>
        <v/>
      </c>
      <c r="L857" s="18" t="str">
        <f>IF('Classe 4e'!$B57="","",N('Classe 4e'!I57))</f>
        <v/>
      </c>
      <c r="M857" s="18" t="str">
        <f>IF('Classe 4e'!$B57="","",N('Classe 4e'!J57))</f>
        <v/>
      </c>
      <c r="N857" s="18" t="str">
        <f>IF('Classe 4e'!$B57="","",N('Classe 4e'!K57))</f>
        <v/>
      </c>
      <c r="O857" s="18" t="str">
        <f>IF('Classe 4e'!$B57="","",N('Classe 4e'!L57))</f>
        <v/>
      </c>
      <c r="P857" s="18" t="str">
        <f>IF('Classe 4e'!$B57="","",N('Classe 4e'!M57))</f>
        <v/>
      </c>
      <c r="Q857" s="17" t="str">
        <f>IF('Classe 4e'!$B57="","",IF('Classe 4e'!Q57="","",'Classe 4e'!Q57))</f>
        <v/>
      </c>
      <c r="R857" s="18" t="str">
        <f>IF('Classe 4e'!$B57="","",N('Classe 4e'!N57))</f>
        <v/>
      </c>
      <c r="S857" s="18" t="str">
        <f>IF('Classe 4e'!$B57="","",N('Classe 4e'!O57))</f>
        <v/>
      </c>
      <c r="T857" s="18" t="str">
        <f>IF('Classe 4e'!$B57="","",N('Classe 4e'!P57))</f>
        <v/>
      </c>
    </row>
    <row r="858">
      <c r="A858" s="20" t="str">
        <f>IF('Classe 4e'!$B58="","",IF('Classe 4e'!A58="","",'Classe 4e'!A58))</f>
        <v/>
      </c>
      <c r="B858" s="20" t="str">
        <f>IF('Classe 4e'!$B58="","",IF('Classe 4e'!B58="","",'Classe 4e'!B58))</f>
        <v/>
      </c>
      <c r="C858" s="20" t="str">
        <f>IF('Classe 4e'!$B58="","",IF('Classe 4e'!C58="","",'Classe 4e'!C58))</f>
        <v/>
      </c>
      <c r="D858" s="20" t="str">
        <f>IF($B858="","",C858&amp;" "&amp;B858&amp;" - "&amp;E858)</f>
        <v/>
      </c>
      <c r="E858" s="21" t="str">
        <f>IF($B858="","",Paramètres!$A$25)</f>
        <v/>
      </c>
      <c r="F858" s="21" t="str">
        <f>IF($B858="","",Paramètres!$B$25)</f>
        <v/>
      </c>
      <c r="G858" s="21" t="str">
        <f>IF('Classe 4e'!$B58="","",IF('Classe 4e'!D58="","",'Classe 4e'!D58))</f>
        <v/>
      </c>
      <c r="H858" s="77" t="str">
        <f>IF('Classe 4e'!$B58="","",IF('Classe 4e'!E58="","",'Classe 4e'!E58))</f>
        <v/>
      </c>
      <c r="I858" s="20" t="str">
        <f>IF('Classe 4e'!$B58="","",IF('Classe 4e'!F58="","",'Classe 4e'!F58))</f>
        <v/>
      </c>
      <c r="J858" s="20" t="str">
        <f>IF('Classe 4e'!$B58="","",IF('Classe 4e'!G58="","",'Classe 4e'!G58))</f>
        <v/>
      </c>
      <c r="K858" s="51" t="str">
        <f>IF('Classe 4e'!$B58="","",N('Classe 4e'!H58))</f>
        <v/>
      </c>
      <c r="L858" s="51" t="str">
        <f>IF('Classe 4e'!$B58="","",N('Classe 4e'!I58))</f>
        <v/>
      </c>
      <c r="M858" s="51" t="str">
        <f>IF('Classe 4e'!$B58="","",N('Classe 4e'!J58))</f>
        <v/>
      </c>
      <c r="N858" s="51" t="str">
        <f>IF('Classe 4e'!$B58="","",N('Classe 4e'!K58))</f>
        <v/>
      </c>
      <c r="O858" s="51" t="str">
        <f>IF('Classe 4e'!$B58="","",N('Classe 4e'!L58))</f>
        <v/>
      </c>
      <c r="P858" s="51" t="str">
        <f>IF('Classe 4e'!$B58="","",N('Classe 4e'!M58))</f>
        <v/>
      </c>
      <c r="Q858" s="21" t="str">
        <f>IF('Classe 4e'!$B58="","",IF('Classe 4e'!Q58="","",'Classe 4e'!Q58))</f>
        <v/>
      </c>
      <c r="R858" s="51" t="str">
        <f>IF('Classe 4e'!$B58="","",N('Classe 4e'!N58))</f>
        <v/>
      </c>
      <c r="S858" s="51" t="str">
        <f>IF('Classe 4e'!$B58="","",N('Classe 4e'!O58))</f>
        <v/>
      </c>
      <c r="T858" s="51" t="str">
        <f>IF('Classe 4e'!$B58="","",N('Classe 4e'!P58))</f>
        <v/>
      </c>
    </row>
    <row r="859">
      <c r="A859" s="16" t="str">
        <f>IF('Classe 4e'!$B59="","",IF('Classe 4e'!A59="","",'Classe 4e'!A59))</f>
        <v/>
      </c>
      <c r="B859" s="16" t="str">
        <f>IF('Classe 4e'!$B59="","",IF('Classe 4e'!B59="","",'Classe 4e'!B59))</f>
        <v/>
      </c>
      <c r="C859" s="16" t="str">
        <f>IF('Classe 4e'!$B59="","",IF('Classe 4e'!C59="","",'Classe 4e'!C59))</f>
        <v/>
      </c>
      <c r="D859" s="16" t="str">
        <f>IF($B859="","",C859&amp;" "&amp;B859&amp;" - "&amp;E859)</f>
        <v/>
      </c>
      <c r="E859" s="17" t="str">
        <f>IF($B859="","",Paramètres!$A$25)</f>
        <v/>
      </c>
      <c r="F859" s="17" t="str">
        <f>IF($B859="","",Paramètres!$B$25)</f>
        <v/>
      </c>
      <c r="G859" s="17" t="str">
        <f>IF('Classe 4e'!$B59="","",IF('Classe 4e'!D59="","",'Classe 4e'!D59))</f>
        <v/>
      </c>
      <c r="H859" s="78" t="str">
        <f>IF('Classe 4e'!$B59="","",IF('Classe 4e'!E59="","",'Classe 4e'!E59))</f>
        <v/>
      </c>
      <c r="I859" s="16" t="str">
        <f>IF('Classe 4e'!$B59="","",IF('Classe 4e'!F59="","",'Classe 4e'!F59))</f>
        <v/>
      </c>
      <c r="J859" s="16" t="str">
        <f>IF('Classe 4e'!$B59="","",IF('Classe 4e'!G59="","",'Classe 4e'!G59))</f>
        <v/>
      </c>
      <c r="K859" s="18" t="str">
        <f>IF('Classe 4e'!$B59="","",N('Classe 4e'!H59))</f>
        <v/>
      </c>
      <c r="L859" s="18" t="str">
        <f>IF('Classe 4e'!$B59="","",N('Classe 4e'!I59))</f>
        <v/>
      </c>
      <c r="M859" s="18" t="str">
        <f>IF('Classe 4e'!$B59="","",N('Classe 4e'!J59))</f>
        <v/>
      </c>
      <c r="N859" s="18" t="str">
        <f>IF('Classe 4e'!$B59="","",N('Classe 4e'!K59))</f>
        <v/>
      </c>
      <c r="O859" s="18" t="str">
        <f>IF('Classe 4e'!$B59="","",N('Classe 4e'!L59))</f>
        <v/>
      </c>
      <c r="P859" s="18" t="str">
        <f>IF('Classe 4e'!$B59="","",N('Classe 4e'!M59))</f>
        <v/>
      </c>
      <c r="Q859" s="17" t="str">
        <f>IF('Classe 4e'!$B59="","",IF('Classe 4e'!Q59="","",'Classe 4e'!Q59))</f>
        <v/>
      </c>
      <c r="R859" s="18" t="str">
        <f>IF('Classe 4e'!$B59="","",N('Classe 4e'!N59))</f>
        <v/>
      </c>
      <c r="S859" s="18" t="str">
        <f>IF('Classe 4e'!$B59="","",N('Classe 4e'!O59))</f>
        <v/>
      </c>
      <c r="T859" s="18" t="str">
        <f>IF('Classe 4e'!$B59="","",N('Classe 4e'!P59))</f>
        <v/>
      </c>
    </row>
    <row r="860">
      <c r="A860" s="20" t="str">
        <f>IF('Classe 4e'!$B60="","",IF('Classe 4e'!A60="","",'Classe 4e'!A60))</f>
        <v/>
      </c>
      <c r="B860" s="20" t="str">
        <f>IF('Classe 4e'!$B60="","",IF('Classe 4e'!B60="","",'Classe 4e'!B60))</f>
        <v/>
      </c>
      <c r="C860" s="20" t="str">
        <f>IF('Classe 4e'!$B60="","",IF('Classe 4e'!C60="","",'Classe 4e'!C60))</f>
        <v/>
      </c>
      <c r="D860" s="20" t="str">
        <f>IF($B860="","",C860&amp;" "&amp;B860&amp;" - "&amp;E860)</f>
        <v/>
      </c>
      <c r="E860" s="21" t="str">
        <f>IF($B860="","",Paramètres!$A$25)</f>
        <v/>
      </c>
      <c r="F860" s="21" t="str">
        <f>IF($B860="","",Paramètres!$B$25)</f>
        <v/>
      </c>
      <c r="G860" s="21" t="str">
        <f>IF('Classe 4e'!$B60="","",IF('Classe 4e'!D60="","",'Classe 4e'!D60))</f>
        <v/>
      </c>
      <c r="H860" s="77" t="str">
        <f>IF('Classe 4e'!$B60="","",IF('Classe 4e'!E60="","",'Classe 4e'!E60))</f>
        <v/>
      </c>
      <c r="I860" s="20" t="str">
        <f>IF('Classe 4e'!$B60="","",IF('Classe 4e'!F60="","",'Classe 4e'!F60))</f>
        <v/>
      </c>
      <c r="J860" s="20" t="str">
        <f>IF('Classe 4e'!$B60="","",IF('Classe 4e'!G60="","",'Classe 4e'!G60))</f>
        <v/>
      </c>
      <c r="K860" s="51" t="str">
        <f>IF('Classe 4e'!$B60="","",N('Classe 4e'!H60))</f>
        <v/>
      </c>
      <c r="L860" s="51" t="str">
        <f>IF('Classe 4e'!$B60="","",N('Classe 4e'!I60))</f>
        <v/>
      </c>
      <c r="M860" s="51" t="str">
        <f>IF('Classe 4e'!$B60="","",N('Classe 4e'!J60))</f>
        <v/>
      </c>
      <c r="N860" s="51" t="str">
        <f>IF('Classe 4e'!$B60="","",N('Classe 4e'!K60))</f>
        <v/>
      </c>
      <c r="O860" s="51" t="str">
        <f>IF('Classe 4e'!$B60="","",N('Classe 4e'!L60))</f>
        <v/>
      </c>
      <c r="P860" s="51" t="str">
        <f>IF('Classe 4e'!$B60="","",N('Classe 4e'!M60))</f>
        <v/>
      </c>
      <c r="Q860" s="21" t="str">
        <f>IF('Classe 4e'!$B60="","",IF('Classe 4e'!Q60="","",'Classe 4e'!Q60))</f>
        <v/>
      </c>
      <c r="R860" s="51" t="str">
        <f>IF('Classe 4e'!$B60="","",N('Classe 4e'!N60))</f>
        <v/>
      </c>
      <c r="S860" s="51" t="str">
        <f>IF('Classe 4e'!$B60="","",N('Classe 4e'!O60))</f>
        <v/>
      </c>
      <c r="T860" s="51" t="str">
        <f>IF('Classe 4e'!$B60="","",N('Classe 4e'!P60))</f>
        <v/>
      </c>
    </row>
    <row r="861">
      <c r="A861" s="16" t="str">
        <f>IF('Classe 4e'!$B61="","",IF('Classe 4e'!A61="","",'Classe 4e'!A61))</f>
        <v/>
      </c>
      <c r="B861" s="16" t="str">
        <f>IF('Classe 4e'!$B61="","",IF('Classe 4e'!B61="","",'Classe 4e'!B61))</f>
        <v/>
      </c>
      <c r="C861" s="16" t="str">
        <f>IF('Classe 4e'!$B61="","",IF('Classe 4e'!C61="","",'Classe 4e'!C61))</f>
        <v/>
      </c>
      <c r="D861" s="16" t="str">
        <f>IF($B861="","",C861&amp;" "&amp;B861&amp;" - "&amp;E861)</f>
        <v/>
      </c>
      <c r="E861" s="17" t="str">
        <f>IF($B861="","",Paramètres!$A$25)</f>
        <v/>
      </c>
      <c r="F861" s="17" t="str">
        <f>IF($B861="","",Paramètres!$B$25)</f>
        <v/>
      </c>
      <c r="G861" s="17" t="str">
        <f>IF('Classe 4e'!$B61="","",IF('Classe 4e'!D61="","",'Classe 4e'!D61))</f>
        <v/>
      </c>
      <c r="H861" s="78" t="str">
        <f>IF('Classe 4e'!$B61="","",IF('Classe 4e'!E61="","",'Classe 4e'!E61))</f>
        <v/>
      </c>
      <c r="I861" s="16" t="str">
        <f>IF('Classe 4e'!$B61="","",IF('Classe 4e'!F61="","",'Classe 4e'!F61))</f>
        <v/>
      </c>
      <c r="J861" s="16" t="str">
        <f>IF('Classe 4e'!$B61="","",IF('Classe 4e'!G61="","",'Classe 4e'!G61))</f>
        <v/>
      </c>
      <c r="K861" s="18" t="str">
        <f>IF('Classe 4e'!$B61="","",N('Classe 4e'!H61))</f>
        <v/>
      </c>
      <c r="L861" s="18" t="str">
        <f>IF('Classe 4e'!$B61="","",N('Classe 4e'!I61))</f>
        <v/>
      </c>
      <c r="M861" s="18" t="str">
        <f>IF('Classe 4e'!$B61="","",N('Classe 4e'!J61))</f>
        <v/>
      </c>
      <c r="N861" s="18" t="str">
        <f>IF('Classe 4e'!$B61="","",N('Classe 4e'!K61))</f>
        <v/>
      </c>
      <c r="O861" s="18" t="str">
        <f>IF('Classe 4e'!$B61="","",N('Classe 4e'!L61))</f>
        <v/>
      </c>
      <c r="P861" s="18" t="str">
        <f>IF('Classe 4e'!$B61="","",N('Classe 4e'!M61))</f>
        <v/>
      </c>
      <c r="Q861" s="17" t="str">
        <f>IF('Classe 4e'!$B61="","",IF('Classe 4e'!Q61="","",'Classe 4e'!Q61))</f>
        <v/>
      </c>
      <c r="R861" s="18" t="str">
        <f>IF('Classe 4e'!$B61="","",N('Classe 4e'!N61))</f>
        <v/>
      </c>
      <c r="S861" s="18" t="str">
        <f>IF('Classe 4e'!$B61="","",N('Classe 4e'!O61))</f>
        <v/>
      </c>
      <c r="T861" s="18" t="str">
        <f>IF('Classe 4e'!$B61="","",N('Classe 4e'!P61))</f>
        <v/>
      </c>
    </row>
    <row r="862">
      <c r="A862" s="20" t="str">
        <f>IF('Classe 4e'!$B62="","",IF('Classe 4e'!A62="","",'Classe 4e'!A62))</f>
        <v/>
      </c>
      <c r="B862" s="20" t="str">
        <f>IF('Classe 4e'!$B62="","",IF('Classe 4e'!B62="","",'Classe 4e'!B62))</f>
        <v/>
      </c>
      <c r="C862" s="20" t="str">
        <f>IF('Classe 4e'!$B62="","",IF('Classe 4e'!C62="","",'Classe 4e'!C62))</f>
        <v/>
      </c>
      <c r="D862" s="20" t="str">
        <f>IF($B862="","",C862&amp;" "&amp;B862&amp;" - "&amp;E862)</f>
        <v/>
      </c>
      <c r="E862" s="21" t="str">
        <f>IF($B862="","",Paramètres!$A$25)</f>
        <v/>
      </c>
      <c r="F862" s="21" t="str">
        <f>IF($B862="","",Paramètres!$B$25)</f>
        <v/>
      </c>
      <c r="G862" s="21" t="str">
        <f>IF('Classe 4e'!$B62="","",IF('Classe 4e'!D62="","",'Classe 4e'!D62))</f>
        <v/>
      </c>
      <c r="H862" s="77" t="str">
        <f>IF('Classe 4e'!$B62="","",IF('Classe 4e'!E62="","",'Classe 4e'!E62))</f>
        <v/>
      </c>
      <c r="I862" s="20" t="str">
        <f>IF('Classe 4e'!$B62="","",IF('Classe 4e'!F62="","",'Classe 4e'!F62))</f>
        <v/>
      </c>
      <c r="J862" s="20" t="str">
        <f>IF('Classe 4e'!$B62="","",IF('Classe 4e'!G62="","",'Classe 4e'!G62))</f>
        <v/>
      </c>
      <c r="K862" s="51" t="str">
        <f>IF('Classe 4e'!$B62="","",N('Classe 4e'!H62))</f>
        <v/>
      </c>
      <c r="L862" s="51" t="str">
        <f>IF('Classe 4e'!$B62="","",N('Classe 4e'!I62))</f>
        <v/>
      </c>
      <c r="M862" s="51" t="str">
        <f>IF('Classe 4e'!$B62="","",N('Classe 4e'!J62))</f>
        <v/>
      </c>
      <c r="N862" s="51" t="str">
        <f>IF('Classe 4e'!$B62="","",N('Classe 4e'!K62))</f>
        <v/>
      </c>
      <c r="O862" s="51" t="str">
        <f>IF('Classe 4e'!$B62="","",N('Classe 4e'!L62))</f>
        <v/>
      </c>
      <c r="P862" s="51" t="str">
        <f>IF('Classe 4e'!$B62="","",N('Classe 4e'!M62))</f>
        <v/>
      </c>
      <c r="Q862" s="21" t="str">
        <f>IF('Classe 4e'!$B62="","",IF('Classe 4e'!Q62="","",'Classe 4e'!Q62))</f>
        <v/>
      </c>
      <c r="R862" s="51" t="str">
        <f>IF('Classe 4e'!$B62="","",N('Classe 4e'!N62))</f>
        <v/>
      </c>
      <c r="S862" s="51" t="str">
        <f>IF('Classe 4e'!$B62="","",N('Classe 4e'!O62))</f>
        <v/>
      </c>
      <c r="T862" s="51" t="str">
        <f>IF('Classe 4e'!$B62="","",N('Classe 4e'!P62))</f>
        <v/>
      </c>
    </row>
    <row r="863">
      <c r="A863" s="16" t="str">
        <f>IF('Classe 4e'!$B63="","",IF('Classe 4e'!A63="","",'Classe 4e'!A63))</f>
        <v/>
      </c>
      <c r="B863" s="16" t="str">
        <f>IF('Classe 4e'!$B63="","",IF('Classe 4e'!B63="","",'Classe 4e'!B63))</f>
        <v/>
      </c>
      <c r="C863" s="16" t="str">
        <f>IF('Classe 4e'!$B63="","",IF('Classe 4e'!C63="","",'Classe 4e'!C63))</f>
        <v/>
      </c>
      <c r="D863" s="16" t="str">
        <f>IF($B863="","",C863&amp;" "&amp;B863&amp;" - "&amp;E863)</f>
        <v/>
      </c>
      <c r="E863" s="17" t="str">
        <f>IF($B863="","",Paramètres!$A$25)</f>
        <v/>
      </c>
      <c r="F863" s="17" t="str">
        <f>IF($B863="","",Paramètres!$B$25)</f>
        <v/>
      </c>
      <c r="G863" s="17" t="str">
        <f>IF('Classe 4e'!$B63="","",IF('Classe 4e'!D63="","",'Classe 4e'!D63))</f>
        <v/>
      </c>
      <c r="H863" s="78" t="str">
        <f>IF('Classe 4e'!$B63="","",IF('Classe 4e'!E63="","",'Classe 4e'!E63))</f>
        <v/>
      </c>
      <c r="I863" s="16" t="str">
        <f>IF('Classe 4e'!$B63="","",IF('Classe 4e'!F63="","",'Classe 4e'!F63))</f>
        <v/>
      </c>
      <c r="J863" s="16" t="str">
        <f>IF('Classe 4e'!$B63="","",IF('Classe 4e'!G63="","",'Classe 4e'!G63))</f>
        <v/>
      </c>
      <c r="K863" s="18" t="str">
        <f>IF('Classe 4e'!$B63="","",N('Classe 4e'!H63))</f>
        <v/>
      </c>
      <c r="L863" s="18" t="str">
        <f>IF('Classe 4e'!$B63="","",N('Classe 4e'!I63))</f>
        <v/>
      </c>
      <c r="M863" s="18" t="str">
        <f>IF('Classe 4e'!$B63="","",N('Classe 4e'!J63))</f>
        <v/>
      </c>
      <c r="N863" s="18" t="str">
        <f>IF('Classe 4e'!$B63="","",N('Classe 4e'!K63))</f>
        <v/>
      </c>
      <c r="O863" s="18" t="str">
        <f>IF('Classe 4e'!$B63="","",N('Classe 4e'!L63))</f>
        <v/>
      </c>
      <c r="P863" s="18" t="str">
        <f>IF('Classe 4e'!$B63="","",N('Classe 4e'!M63))</f>
        <v/>
      </c>
      <c r="Q863" s="17" t="str">
        <f>IF('Classe 4e'!$B63="","",IF('Classe 4e'!Q63="","",'Classe 4e'!Q63))</f>
        <v/>
      </c>
      <c r="R863" s="18" t="str">
        <f>IF('Classe 4e'!$B63="","",N('Classe 4e'!N63))</f>
        <v/>
      </c>
      <c r="S863" s="18" t="str">
        <f>IF('Classe 4e'!$B63="","",N('Classe 4e'!O63))</f>
        <v/>
      </c>
      <c r="T863" s="18" t="str">
        <f>IF('Classe 4e'!$B63="","",N('Classe 4e'!P63))</f>
        <v/>
      </c>
    </row>
    <row r="864">
      <c r="A864" s="20" t="str">
        <f>IF('Classe 4e'!$B64="","",IF('Classe 4e'!A64="","",'Classe 4e'!A64))</f>
        <v/>
      </c>
      <c r="B864" s="20" t="str">
        <f>IF('Classe 4e'!$B64="","",IF('Classe 4e'!B64="","",'Classe 4e'!B64))</f>
        <v/>
      </c>
      <c r="C864" s="20" t="str">
        <f>IF('Classe 4e'!$B64="","",IF('Classe 4e'!C64="","",'Classe 4e'!C64))</f>
        <v/>
      </c>
      <c r="D864" s="20" t="str">
        <f>IF($B864="","",C864&amp;" "&amp;B864&amp;" - "&amp;E864)</f>
        <v/>
      </c>
      <c r="E864" s="21" t="str">
        <f>IF($B864="","",Paramètres!$A$25)</f>
        <v/>
      </c>
      <c r="F864" s="21" t="str">
        <f>IF($B864="","",Paramètres!$B$25)</f>
        <v/>
      </c>
      <c r="G864" s="21" t="str">
        <f>IF('Classe 4e'!$B64="","",IF('Classe 4e'!D64="","",'Classe 4e'!D64))</f>
        <v/>
      </c>
      <c r="H864" s="77" t="str">
        <f>IF('Classe 4e'!$B64="","",IF('Classe 4e'!E64="","",'Classe 4e'!E64))</f>
        <v/>
      </c>
      <c r="I864" s="20" t="str">
        <f>IF('Classe 4e'!$B64="","",IF('Classe 4e'!F64="","",'Classe 4e'!F64))</f>
        <v/>
      </c>
      <c r="J864" s="20" t="str">
        <f>IF('Classe 4e'!$B64="","",IF('Classe 4e'!G64="","",'Classe 4e'!G64))</f>
        <v/>
      </c>
      <c r="K864" s="51" t="str">
        <f>IF('Classe 4e'!$B64="","",N('Classe 4e'!H64))</f>
        <v/>
      </c>
      <c r="L864" s="51" t="str">
        <f>IF('Classe 4e'!$B64="","",N('Classe 4e'!I64))</f>
        <v/>
      </c>
      <c r="M864" s="51" t="str">
        <f>IF('Classe 4e'!$B64="","",N('Classe 4e'!J64))</f>
        <v/>
      </c>
      <c r="N864" s="51" t="str">
        <f>IF('Classe 4e'!$B64="","",N('Classe 4e'!K64))</f>
        <v/>
      </c>
      <c r="O864" s="51" t="str">
        <f>IF('Classe 4e'!$B64="","",N('Classe 4e'!L64))</f>
        <v/>
      </c>
      <c r="P864" s="51" t="str">
        <f>IF('Classe 4e'!$B64="","",N('Classe 4e'!M64))</f>
        <v/>
      </c>
      <c r="Q864" s="21" t="str">
        <f>IF('Classe 4e'!$B64="","",IF('Classe 4e'!Q64="","",'Classe 4e'!Q64))</f>
        <v/>
      </c>
      <c r="R864" s="51" t="str">
        <f>IF('Classe 4e'!$B64="","",N('Classe 4e'!N64))</f>
        <v/>
      </c>
      <c r="S864" s="51" t="str">
        <f>IF('Classe 4e'!$B64="","",N('Classe 4e'!O64))</f>
        <v/>
      </c>
      <c r="T864" s="51" t="str">
        <f>IF('Classe 4e'!$B64="","",N('Classe 4e'!P64))</f>
        <v/>
      </c>
    </row>
    <row r="865">
      <c r="A865" s="16" t="str">
        <f>IF('Classe 4e'!$B65="","",IF('Classe 4e'!A65="","",'Classe 4e'!A65))</f>
        <v/>
      </c>
      <c r="B865" s="16" t="str">
        <f>IF('Classe 4e'!$B65="","",IF('Classe 4e'!B65="","",'Classe 4e'!B65))</f>
        <v/>
      </c>
      <c r="C865" s="16" t="str">
        <f>IF('Classe 4e'!$B65="","",IF('Classe 4e'!C65="","",'Classe 4e'!C65))</f>
        <v/>
      </c>
      <c r="D865" s="16" t="str">
        <f>IF($B865="","",C865&amp;" "&amp;B865&amp;" - "&amp;E865)</f>
        <v/>
      </c>
      <c r="E865" s="17" t="str">
        <f>IF($B865="","",Paramètres!$A$25)</f>
        <v/>
      </c>
      <c r="F865" s="17" t="str">
        <f>IF($B865="","",Paramètres!$B$25)</f>
        <v/>
      </c>
      <c r="G865" s="17" t="str">
        <f>IF('Classe 4e'!$B65="","",IF('Classe 4e'!D65="","",'Classe 4e'!D65))</f>
        <v/>
      </c>
      <c r="H865" s="78" t="str">
        <f>IF('Classe 4e'!$B65="","",IF('Classe 4e'!E65="","",'Classe 4e'!E65))</f>
        <v/>
      </c>
      <c r="I865" s="16" t="str">
        <f>IF('Classe 4e'!$B65="","",IF('Classe 4e'!F65="","",'Classe 4e'!F65))</f>
        <v/>
      </c>
      <c r="J865" s="16" t="str">
        <f>IF('Classe 4e'!$B65="","",IF('Classe 4e'!G65="","",'Classe 4e'!G65))</f>
        <v/>
      </c>
      <c r="K865" s="18" t="str">
        <f>IF('Classe 4e'!$B65="","",N('Classe 4e'!H65))</f>
        <v/>
      </c>
      <c r="L865" s="18" t="str">
        <f>IF('Classe 4e'!$B65="","",N('Classe 4e'!I65))</f>
        <v/>
      </c>
      <c r="M865" s="18" t="str">
        <f>IF('Classe 4e'!$B65="","",N('Classe 4e'!J65))</f>
        <v/>
      </c>
      <c r="N865" s="18" t="str">
        <f>IF('Classe 4e'!$B65="","",N('Classe 4e'!K65))</f>
        <v/>
      </c>
      <c r="O865" s="18" t="str">
        <f>IF('Classe 4e'!$B65="","",N('Classe 4e'!L65))</f>
        <v/>
      </c>
      <c r="P865" s="18" t="str">
        <f>IF('Classe 4e'!$B65="","",N('Classe 4e'!M65))</f>
        <v/>
      </c>
      <c r="Q865" s="17" t="str">
        <f>IF('Classe 4e'!$B65="","",IF('Classe 4e'!Q65="","",'Classe 4e'!Q65))</f>
        <v/>
      </c>
      <c r="R865" s="18" t="str">
        <f>IF('Classe 4e'!$B65="","",N('Classe 4e'!N65))</f>
        <v/>
      </c>
      <c r="S865" s="18" t="str">
        <f>IF('Classe 4e'!$B65="","",N('Classe 4e'!O65))</f>
        <v/>
      </c>
      <c r="T865" s="18" t="str">
        <f>IF('Classe 4e'!$B65="","",N('Classe 4e'!P65))</f>
        <v/>
      </c>
    </row>
    <row r="866">
      <c r="A866" s="20" t="str">
        <f>IF('Classe 4e'!$B66="","",IF('Classe 4e'!A66="","",'Classe 4e'!A66))</f>
        <v/>
      </c>
      <c r="B866" s="20" t="str">
        <f>IF('Classe 4e'!$B66="","",IF('Classe 4e'!B66="","",'Classe 4e'!B66))</f>
        <v/>
      </c>
      <c r="C866" s="20" t="str">
        <f>IF('Classe 4e'!$B66="","",IF('Classe 4e'!C66="","",'Classe 4e'!C66))</f>
        <v/>
      </c>
      <c r="D866" s="20" t="str">
        <f>IF($B866="","",C866&amp;" "&amp;B866&amp;" - "&amp;E866)</f>
        <v/>
      </c>
      <c r="E866" s="21" t="str">
        <f>IF($B866="","",Paramètres!$A$25)</f>
        <v/>
      </c>
      <c r="F866" s="21" t="str">
        <f>IF($B866="","",Paramètres!$B$25)</f>
        <v/>
      </c>
      <c r="G866" s="21" t="str">
        <f>IF('Classe 4e'!$B66="","",IF('Classe 4e'!D66="","",'Classe 4e'!D66))</f>
        <v/>
      </c>
      <c r="H866" s="77" t="str">
        <f>IF('Classe 4e'!$B66="","",IF('Classe 4e'!E66="","",'Classe 4e'!E66))</f>
        <v/>
      </c>
      <c r="I866" s="20" t="str">
        <f>IF('Classe 4e'!$B66="","",IF('Classe 4e'!F66="","",'Classe 4e'!F66))</f>
        <v/>
      </c>
      <c r="J866" s="20" t="str">
        <f>IF('Classe 4e'!$B66="","",IF('Classe 4e'!G66="","",'Classe 4e'!G66))</f>
        <v/>
      </c>
      <c r="K866" s="51" t="str">
        <f>IF('Classe 4e'!$B66="","",N('Classe 4e'!H66))</f>
        <v/>
      </c>
      <c r="L866" s="51" t="str">
        <f>IF('Classe 4e'!$B66="","",N('Classe 4e'!I66))</f>
        <v/>
      </c>
      <c r="M866" s="51" t="str">
        <f>IF('Classe 4e'!$B66="","",N('Classe 4e'!J66))</f>
        <v/>
      </c>
      <c r="N866" s="51" t="str">
        <f>IF('Classe 4e'!$B66="","",N('Classe 4e'!K66))</f>
        <v/>
      </c>
      <c r="O866" s="51" t="str">
        <f>IF('Classe 4e'!$B66="","",N('Classe 4e'!L66))</f>
        <v/>
      </c>
      <c r="P866" s="51" t="str">
        <f>IF('Classe 4e'!$B66="","",N('Classe 4e'!M66))</f>
        <v/>
      </c>
      <c r="Q866" s="21" t="str">
        <f>IF('Classe 4e'!$B66="","",IF('Classe 4e'!Q66="","",'Classe 4e'!Q66))</f>
        <v/>
      </c>
      <c r="R866" s="51" t="str">
        <f>IF('Classe 4e'!$B66="","",N('Classe 4e'!N66))</f>
        <v/>
      </c>
      <c r="S866" s="51" t="str">
        <f>IF('Classe 4e'!$B66="","",N('Classe 4e'!O66))</f>
        <v/>
      </c>
      <c r="T866" s="51" t="str">
        <f>IF('Classe 4e'!$B66="","",N('Classe 4e'!P66))</f>
        <v/>
      </c>
    </row>
    <row r="867">
      <c r="A867" s="16" t="str">
        <f>IF('Classe 4e'!$B67="","",IF('Classe 4e'!A67="","",'Classe 4e'!A67))</f>
        <v/>
      </c>
      <c r="B867" s="16" t="str">
        <f>IF('Classe 4e'!$B67="","",IF('Classe 4e'!B67="","",'Classe 4e'!B67))</f>
        <v/>
      </c>
      <c r="C867" s="16" t="str">
        <f>IF('Classe 4e'!$B67="","",IF('Classe 4e'!C67="","",'Classe 4e'!C67))</f>
        <v/>
      </c>
      <c r="D867" s="16" t="str">
        <f>IF($B867="","",C867&amp;" "&amp;B867&amp;" - "&amp;E867)</f>
        <v/>
      </c>
      <c r="E867" s="17" t="str">
        <f>IF($B867="","",Paramètres!$A$25)</f>
        <v/>
      </c>
      <c r="F867" s="17" t="str">
        <f>IF($B867="","",Paramètres!$B$25)</f>
        <v/>
      </c>
      <c r="G867" s="17" t="str">
        <f>IF('Classe 4e'!$B67="","",IF('Classe 4e'!D67="","",'Classe 4e'!D67))</f>
        <v/>
      </c>
      <c r="H867" s="78" t="str">
        <f>IF('Classe 4e'!$B67="","",IF('Classe 4e'!E67="","",'Classe 4e'!E67))</f>
        <v/>
      </c>
      <c r="I867" s="16" t="str">
        <f>IF('Classe 4e'!$B67="","",IF('Classe 4e'!F67="","",'Classe 4e'!F67))</f>
        <v/>
      </c>
      <c r="J867" s="16" t="str">
        <f>IF('Classe 4e'!$B67="","",IF('Classe 4e'!G67="","",'Classe 4e'!G67))</f>
        <v/>
      </c>
      <c r="K867" s="18" t="str">
        <f>IF('Classe 4e'!$B67="","",N('Classe 4e'!H67))</f>
        <v/>
      </c>
      <c r="L867" s="18" t="str">
        <f>IF('Classe 4e'!$B67="","",N('Classe 4e'!I67))</f>
        <v/>
      </c>
      <c r="M867" s="18" t="str">
        <f>IF('Classe 4e'!$B67="","",N('Classe 4e'!J67))</f>
        <v/>
      </c>
      <c r="N867" s="18" t="str">
        <f>IF('Classe 4e'!$B67="","",N('Classe 4e'!K67))</f>
        <v/>
      </c>
      <c r="O867" s="18" t="str">
        <f>IF('Classe 4e'!$B67="","",N('Classe 4e'!L67))</f>
        <v/>
      </c>
      <c r="P867" s="18" t="str">
        <f>IF('Classe 4e'!$B67="","",N('Classe 4e'!M67))</f>
        <v/>
      </c>
      <c r="Q867" s="17" t="str">
        <f>IF('Classe 4e'!$B67="","",IF('Classe 4e'!Q67="","",'Classe 4e'!Q67))</f>
        <v/>
      </c>
      <c r="R867" s="18" t="str">
        <f>IF('Classe 4e'!$B67="","",N('Classe 4e'!N67))</f>
        <v/>
      </c>
      <c r="S867" s="18" t="str">
        <f>IF('Classe 4e'!$B67="","",N('Classe 4e'!O67))</f>
        <v/>
      </c>
      <c r="T867" s="18" t="str">
        <f>IF('Classe 4e'!$B67="","",N('Classe 4e'!P67))</f>
        <v/>
      </c>
    </row>
    <row r="868">
      <c r="A868" s="20" t="str">
        <f>IF('Classe 4e'!$B68="","",IF('Classe 4e'!A68="","",'Classe 4e'!A68))</f>
        <v/>
      </c>
      <c r="B868" s="20" t="str">
        <f>IF('Classe 4e'!$B68="","",IF('Classe 4e'!B68="","",'Classe 4e'!B68))</f>
        <v/>
      </c>
      <c r="C868" s="20" t="str">
        <f>IF('Classe 4e'!$B68="","",IF('Classe 4e'!C68="","",'Classe 4e'!C68))</f>
        <v/>
      </c>
      <c r="D868" s="20" t="str">
        <f>IF($B868="","",C868&amp;" "&amp;B868&amp;" - "&amp;E868)</f>
        <v/>
      </c>
      <c r="E868" s="21" t="str">
        <f>IF($B868="","",Paramètres!$A$25)</f>
        <v/>
      </c>
      <c r="F868" s="21" t="str">
        <f>IF($B868="","",Paramètres!$B$25)</f>
        <v/>
      </c>
      <c r="G868" s="21" t="str">
        <f>IF('Classe 4e'!$B68="","",IF('Classe 4e'!D68="","",'Classe 4e'!D68))</f>
        <v/>
      </c>
      <c r="H868" s="77" t="str">
        <f>IF('Classe 4e'!$B68="","",IF('Classe 4e'!E68="","",'Classe 4e'!E68))</f>
        <v/>
      </c>
      <c r="I868" s="20" t="str">
        <f>IF('Classe 4e'!$B68="","",IF('Classe 4e'!F68="","",'Classe 4e'!F68))</f>
        <v/>
      </c>
      <c r="J868" s="20" t="str">
        <f>IF('Classe 4e'!$B68="","",IF('Classe 4e'!G68="","",'Classe 4e'!G68))</f>
        <v/>
      </c>
      <c r="K868" s="51" t="str">
        <f>IF('Classe 4e'!$B68="","",N('Classe 4e'!H68))</f>
        <v/>
      </c>
      <c r="L868" s="51" t="str">
        <f>IF('Classe 4e'!$B68="","",N('Classe 4e'!I68))</f>
        <v/>
      </c>
      <c r="M868" s="51" t="str">
        <f>IF('Classe 4e'!$B68="","",N('Classe 4e'!J68))</f>
        <v/>
      </c>
      <c r="N868" s="51" t="str">
        <f>IF('Classe 4e'!$B68="","",N('Classe 4e'!K68))</f>
        <v/>
      </c>
      <c r="O868" s="51" t="str">
        <f>IF('Classe 4e'!$B68="","",N('Classe 4e'!L68))</f>
        <v/>
      </c>
      <c r="P868" s="51" t="str">
        <f>IF('Classe 4e'!$B68="","",N('Classe 4e'!M68))</f>
        <v/>
      </c>
      <c r="Q868" s="21" t="str">
        <f>IF('Classe 4e'!$B68="","",IF('Classe 4e'!Q68="","",'Classe 4e'!Q68))</f>
        <v/>
      </c>
      <c r="R868" s="51" t="str">
        <f>IF('Classe 4e'!$B68="","",N('Classe 4e'!N68))</f>
        <v/>
      </c>
      <c r="S868" s="51" t="str">
        <f>IF('Classe 4e'!$B68="","",N('Classe 4e'!O68))</f>
        <v/>
      </c>
      <c r="T868" s="51" t="str">
        <f>IF('Classe 4e'!$B68="","",N('Classe 4e'!P68))</f>
        <v/>
      </c>
    </row>
    <row r="869">
      <c r="A869" s="16" t="str">
        <f>IF('Classe 4e'!$B69="","",IF('Classe 4e'!A69="","",'Classe 4e'!A69))</f>
        <v/>
      </c>
      <c r="B869" s="16" t="str">
        <f>IF('Classe 4e'!$B69="","",IF('Classe 4e'!B69="","",'Classe 4e'!B69))</f>
        <v/>
      </c>
      <c r="C869" s="16" t="str">
        <f>IF('Classe 4e'!$B69="","",IF('Classe 4e'!C69="","",'Classe 4e'!C69))</f>
        <v/>
      </c>
      <c r="D869" s="16" t="str">
        <f>IF($B869="","",C869&amp;" "&amp;B869&amp;" - "&amp;E869)</f>
        <v/>
      </c>
      <c r="E869" s="17" t="str">
        <f>IF($B869="","",Paramètres!$A$25)</f>
        <v/>
      </c>
      <c r="F869" s="17" t="str">
        <f>IF($B869="","",Paramètres!$B$25)</f>
        <v/>
      </c>
      <c r="G869" s="17" t="str">
        <f>IF('Classe 4e'!$B69="","",IF('Classe 4e'!D69="","",'Classe 4e'!D69))</f>
        <v/>
      </c>
      <c r="H869" s="78" t="str">
        <f>IF('Classe 4e'!$B69="","",IF('Classe 4e'!E69="","",'Classe 4e'!E69))</f>
        <v/>
      </c>
      <c r="I869" s="16" t="str">
        <f>IF('Classe 4e'!$B69="","",IF('Classe 4e'!F69="","",'Classe 4e'!F69))</f>
        <v/>
      </c>
      <c r="J869" s="16" t="str">
        <f>IF('Classe 4e'!$B69="","",IF('Classe 4e'!G69="","",'Classe 4e'!G69))</f>
        <v/>
      </c>
      <c r="K869" s="18" t="str">
        <f>IF('Classe 4e'!$B69="","",N('Classe 4e'!H69))</f>
        <v/>
      </c>
      <c r="L869" s="18" t="str">
        <f>IF('Classe 4e'!$B69="","",N('Classe 4e'!I69))</f>
        <v/>
      </c>
      <c r="M869" s="18" t="str">
        <f>IF('Classe 4e'!$B69="","",N('Classe 4e'!J69))</f>
        <v/>
      </c>
      <c r="N869" s="18" t="str">
        <f>IF('Classe 4e'!$B69="","",N('Classe 4e'!K69))</f>
        <v/>
      </c>
      <c r="O869" s="18" t="str">
        <f>IF('Classe 4e'!$B69="","",N('Classe 4e'!L69))</f>
        <v/>
      </c>
      <c r="P869" s="18" t="str">
        <f>IF('Classe 4e'!$B69="","",N('Classe 4e'!M69))</f>
        <v/>
      </c>
      <c r="Q869" s="17" t="str">
        <f>IF('Classe 4e'!$B69="","",IF('Classe 4e'!Q69="","",'Classe 4e'!Q69))</f>
        <v/>
      </c>
      <c r="R869" s="18" t="str">
        <f>IF('Classe 4e'!$B69="","",N('Classe 4e'!N69))</f>
        <v/>
      </c>
      <c r="S869" s="18" t="str">
        <f>IF('Classe 4e'!$B69="","",N('Classe 4e'!O69))</f>
        <v/>
      </c>
      <c r="T869" s="18" t="str">
        <f>IF('Classe 4e'!$B69="","",N('Classe 4e'!P69))</f>
        <v/>
      </c>
    </row>
    <row r="870">
      <c r="A870" s="20" t="str">
        <f>IF('Classe 4e'!$B70="","",IF('Classe 4e'!A70="","",'Classe 4e'!A70))</f>
        <v/>
      </c>
      <c r="B870" s="20" t="str">
        <f>IF('Classe 4e'!$B70="","",IF('Classe 4e'!B70="","",'Classe 4e'!B70))</f>
        <v/>
      </c>
      <c r="C870" s="20" t="str">
        <f>IF('Classe 4e'!$B70="","",IF('Classe 4e'!C70="","",'Classe 4e'!C70))</f>
        <v/>
      </c>
      <c r="D870" s="20" t="str">
        <f>IF($B870="","",C870&amp;" "&amp;B870&amp;" - "&amp;E870)</f>
        <v/>
      </c>
      <c r="E870" s="21" t="str">
        <f>IF($B870="","",Paramètres!$A$25)</f>
        <v/>
      </c>
      <c r="F870" s="21" t="str">
        <f>IF($B870="","",Paramètres!$B$25)</f>
        <v/>
      </c>
      <c r="G870" s="21" t="str">
        <f>IF('Classe 4e'!$B70="","",IF('Classe 4e'!D70="","",'Classe 4e'!D70))</f>
        <v/>
      </c>
      <c r="H870" s="77" t="str">
        <f>IF('Classe 4e'!$B70="","",IF('Classe 4e'!E70="","",'Classe 4e'!E70))</f>
        <v/>
      </c>
      <c r="I870" s="20" t="str">
        <f>IF('Classe 4e'!$B70="","",IF('Classe 4e'!F70="","",'Classe 4e'!F70))</f>
        <v/>
      </c>
      <c r="J870" s="20" t="str">
        <f>IF('Classe 4e'!$B70="","",IF('Classe 4e'!G70="","",'Classe 4e'!G70))</f>
        <v/>
      </c>
      <c r="K870" s="51" t="str">
        <f>IF('Classe 4e'!$B70="","",N('Classe 4e'!H70))</f>
        <v/>
      </c>
      <c r="L870" s="51" t="str">
        <f>IF('Classe 4e'!$B70="","",N('Classe 4e'!I70))</f>
        <v/>
      </c>
      <c r="M870" s="51" t="str">
        <f>IF('Classe 4e'!$B70="","",N('Classe 4e'!J70))</f>
        <v/>
      </c>
      <c r="N870" s="51" t="str">
        <f>IF('Classe 4e'!$B70="","",N('Classe 4e'!K70))</f>
        <v/>
      </c>
      <c r="O870" s="51" t="str">
        <f>IF('Classe 4e'!$B70="","",N('Classe 4e'!L70))</f>
        <v/>
      </c>
      <c r="P870" s="51" t="str">
        <f>IF('Classe 4e'!$B70="","",N('Classe 4e'!M70))</f>
        <v/>
      </c>
      <c r="Q870" s="21" t="str">
        <f>IF('Classe 4e'!$B70="","",IF('Classe 4e'!Q70="","",'Classe 4e'!Q70))</f>
        <v/>
      </c>
      <c r="R870" s="51" t="str">
        <f>IF('Classe 4e'!$B70="","",N('Classe 4e'!N70))</f>
        <v/>
      </c>
      <c r="S870" s="51" t="str">
        <f>IF('Classe 4e'!$B70="","",N('Classe 4e'!O70))</f>
        <v/>
      </c>
      <c r="T870" s="51" t="str">
        <f>IF('Classe 4e'!$B70="","",N('Classe 4e'!P70))</f>
        <v/>
      </c>
    </row>
    <row r="871">
      <c r="A871" s="16" t="str">
        <f>IF('Classe 4e'!$B71="","",IF('Classe 4e'!A71="","",'Classe 4e'!A71))</f>
        <v/>
      </c>
      <c r="B871" s="16" t="str">
        <f>IF('Classe 4e'!$B71="","",IF('Classe 4e'!B71="","",'Classe 4e'!B71))</f>
        <v/>
      </c>
      <c r="C871" s="16" t="str">
        <f>IF('Classe 4e'!$B71="","",IF('Classe 4e'!C71="","",'Classe 4e'!C71))</f>
        <v/>
      </c>
      <c r="D871" s="16" t="str">
        <f>IF($B871="","",C871&amp;" "&amp;B871&amp;" - "&amp;E871)</f>
        <v/>
      </c>
      <c r="E871" s="17" t="str">
        <f>IF($B871="","",Paramètres!$A$25)</f>
        <v/>
      </c>
      <c r="F871" s="17" t="str">
        <f>IF($B871="","",Paramètres!$B$25)</f>
        <v/>
      </c>
      <c r="G871" s="17" t="str">
        <f>IF('Classe 4e'!$B71="","",IF('Classe 4e'!D71="","",'Classe 4e'!D71))</f>
        <v/>
      </c>
      <c r="H871" s="78" t="str">
        <f>IF('Classe 4e'!$B71="","",IF('Classe 4e'!E71="","",'Classe 4e'!E71))</f>
        <v/>
      </c>
      <c r="I871" s="16" t="str">
        <f>IF('Classe 4e'!$B71="","",IF('Classe 4e'!F71="","",'Classe 4e'!F71))</f>
        <v/>
      </c>
      <c r="J871" s="16" t="str">
        <f>IF('Classe 4e'!$B71="","",IF('Classe 4e'!G71="","",'Classe 4e'!G71))</f>
        <v/>
      </c>
      <c r="K871" s="18" t="str">
        <f>IF('Classe 4e'!$B71="","",N('Classe 4e'!H71))</f>
        <v/>
      </c>
      <c r="L871" s="18" t="str">
        <f>IF('Classe 4e'!$B71="","",N('Classe 4e'!I71))</f>
        <v/>
      </c>
      <c r="M871" s="18" t="str">
        <f>IF('Classe 4e'!$B71="","",N('Classe 4e'!J71))</f>
        <v/>
      </c>
      <c r="N871" s="18" t="str">
        <f>IF('Classe 4e'!$B71="","",N('Classe 4e'!K71))</f>
        <v/>
      </c>
      <c r="O871" s="18" t="str">
        <f>IF('Classe 4e'!$B71="","",N('Classe 4e'!L71))</f>
        <v/>
      </c>
      <c r="P871" s="18" t="str">
        <f>IF('Classe 4e'!$B71="","",N('Classe 4e'!M71))</f>
        <v/>
      </c>
      <c r="Q871" s="17" t="str">
        <f>IF('Classe 4e'!$B71="","",IF('Classe 4e'!Q71="","",'Classe 4e'!Q71))</f>
        <v/>
      </c>
      <c r="R871" s="18" t="str">
        <f>IF('Classe 4e'!$B71="","",N('Classe 4e'!N71))</f>
        <v/>
      </c>
      <c r="S871" s="18" t="str">
        <f>IF('Classe 4e'!$B71="","",N('Classe 4e'!O71))</f>
        <v/>
      </c>
      <c r="T871" s="18" t="str">
        <f>IF('Classe 4e'!$B71="","",N('Classe 4e'!P71))</f>
        <v/>
      </c>
    </row>
    <row r="872">
      <c r="A872" s="20" t="str">
        <f>IF('Classe 4e'!$B72="","",IF('Classe 4e'!A72="","",'Classe 4e'!A72))</f>
        <v/>
      </c>
      <c r="B872" s="20" t="str">
        <f>IF('Classe 4e'!$B72="","",IF('Classe 4e'!B72="","",'Classe 4e'!B72))</f>
        <v/>
      </c>
      <c r="C872" s="20" t="str">
        <f>IF('Classe 4e'!$B72="","",IF('Classe 4e'!C72="","",'Classe 4e'!C72))</f>
        <v/>
      </c>
      <c r="D872" s="20" t="str">
        <f>IF($B872="","",C872&amp;" "&amp;B872&amp;" - "&amp;E872)</f>
        <v/>
      </c>
      <c r="E872" s="21" t="str">
        <f>IF($B872="","",Paramètres!$A$25)</f>
        <v/>
      </c>
      <c r="F872" s="21" t="str">
        <f>IF($B872="","",Paramètres!$B$25)</f>
        <v/>
      </c>
      <c r="G872" s="21" t="str">
        <f>IF('Classe 4e'!$B72="","",IF('Classe 4e'!D72="","",'Classe 4e'!D72))</f>
        <v/>
      </c>
      <c r="H872" s="77" t="str">
        <f>IF('Classe 4e'!$B72="","",IF('Classe 4e'!E72="","",'Classe 4e'!E72))</f>
        <v/>
      </c>
      <c r="I872" s="20" t="str">
        <f>IF('Classe 4e'!$B72="","",IF('Classe 4e'!F72="","",'Classe 4e'!F72))</f>
        <v/>
      </c>
      <c r="J872" s="20" t="str">
        <f>IF('Classe 4e'!$B72="","",IF('Classe 4e'!G72="","",'Classe 4e'!G72))</f>
        <v/>
      </c>
      <c r="K872" s="51" t="str">
        <f>IF('Classe 4e'!$B72="","",N('Classe 4e'!H72))</f>
        <v/>
      </c>
      <c r="L872" s="51" t="str">
        <f>IF('Classe 4e'!$B72="","",N('Classe 4e'!I72))</f>
        <v/>
      </c>
      <c r="M872" s="51" t="str">
        <f>IF('Classe 4e'!$B72="","",N('Classe 4e'!J72))</f>
        <v/>
      </c>
      <c r="N872" s="51" t="str">
        <f>IF('Classe 4e'!$B72="","",N('Classe 4e'!K72))</f>
        <v/>
      </c>
      <c r="O872" s="51" t="str">
        <f>IF('Classe 4e'!$B72="","",N('Classe 4e'!L72))</f>
        <v/>
      </c>
      <c r="P872" s="51" t="str">
        <f>IF('Classe 4e'!$B72="","",N('Classe 4e'!M72))</f>
        <v/>
      </c>
      <c r="Q872" s="21" t="str">
        <f>IF('Classe 4e'!$B72="","",IF('Classe 4e'!Q72="","",'Classe 4e'!Q72))</f>
        <v/>
      </c>
      <c r="R872" s="51" t="str">
        <f>IF('Classe 4e'!$B72="","",N('Classe 4e'!N72))</f>
        <v/>
      </c>
      <c r="S872" s="51" t="str">
        <f>IF('Classe 4e'!$B72="","",N('Classe 4e'!O72))</f>
        <v/>
      </c>
      <c r="T872" s="51" t="str">
        <f>IF('Classe 4e'!$B72="","",N('Classe 4e'!P72))</f>
        <v/>
      </c>
    </row>
    <row r="873">
      <c r="A873" s="16" t="str">
        <f>IF('Classe 4e'!$B73="","",IF('Classe 4e'!A73="","",'Classe 4e'!A73))</f>
        <v/>
      </c>
      <c r="B873" s="16" t="str">
        <f>IF('Classe 4e'!$B73="","",IF('Classe 4e'!B73="","",'Classe 4e'!B73))</f>
        <v/>
      </c>
      <c r="C873" s="16" t="str">
        <f>IF('Classe 4e'!$B73="","",IF('Classe 4e'!C73="","",'Classe 4e'!C73))</f>
        <v/>
      </c>
      <c r="D873" s="16" t="str">
        <f>IF($B873="","",C873&amp;" "&amp;B873&amp;" - "&amp;E873)</f>
        <v/>
      </c>
      <c r="E873" s="17" t="str">
        <f>IF($B873="","",Paramètres!$A$25)</f>
        <v/>
      </c>
      <c r="F873" s="17" t="str">
        <f>IF($B873="","",Paramètres!$B$25)</f>
        <v/>
      </c>
      <c r="G873" s="17" t="str">
        <f>IF('Classe 4e'!$B73="","",IF('Classe 4e'!D73="","",'Classe 4e'!D73))</f>
        <v/>
      </c>
      <c r="H873" s="78" t="str">
        <f>IF('Classe 4e'!$B73="","",IF('Classe 4e'!E73="","",'Classe 4e'!E73))</f>
        <v/>
      </c>
      <c r="I873" s="16" t="str">
        <f>IF('Classe 4e'!$B73="","",IF('Classe 4e'!F73="","",'Classe 4e'!F73))</f>
        <v/>
      </c>
      <c r="J873" s="16" t="str">
        <f>IF('Classe 4e'!$B73="","",IF('Classe 4e'!G73="","",'Classe 4e'!G73))</f>
        <v/>
      </c>
      <c r="K873" s="18" t="str">
        <f>IF('Classe 4e'!$B73="","",N('Classe 4e'!H73))</f>
        <v/>
      </c>
      <c r="L873" s="18" t="str">
        <f>IF('Classe 4e'!$B73="","",N('Classe 4e'!I73))</f>
        <v/>
      </c>
      <c r="M873" s="18" t="str">
        <f>IF('Classe 4e'!$B73="","",N('Classe 4e'!J73))</f>
        <v/>
      </c>
      <c r="N873" s="18" t="str">
        <f>IF('Classe 4e'!$B73="","",N('Classe 4e'!K73))</f>
        <v/>
      </c>
      <c r="O873" s="18" t="str">
        <f>IF('Classe 4e'!$B73="","",N('Classe 4e'!L73))</f>
        <v/>
      </c>
      <c r="P873" s="18" t="str">
        <f>IF('Classe 4e'!$B73="","",N('Classe 4e'!M73))</f>
        <v/>
      </c>
      <c r="Q873" s="17" t="str">
        <f>IF('Classe 4e'!$B73="","",IF('Classe 4e'!Q73="","",'Classe 4e'!Q73))</f>
        <v/>
      </c>
      <c r="R873" s="18" t="str">
        <f>IF('Classe 4e'!$B73="","",N('Classe 4e'!N73))</f>
        <v/>
      </c>
      <c r="S873" s="18" t="str">
        <f>IF('Classe 4e'!$B73="","",N('Classe 4e'!O73))</f>
        <v/>
      </c>
      <c r="T873" s="18" t="str">
        <f>IF('Classe 4e'!$B73="","",N('Classe 4e'!P73))</f>
        <v/>
      </c>
    </row>
    <row r="874">
      <c r="A874" s="20" t="str">
        <f>IF('Classe 4e'!$B74="","",IF('Classe 4e'!A74="","",'Classe 4e'!A74))</f>
        <v/>
      </c>
      <c r="B874" s="20" t="str">
        <f>IF('Classe 4e'!$B74="","",IF('Classe 4e'!B74="","",'Classe 4e'!B74))</f>
        <v/>
      </c>
      <c r="C874" s="20" t="str">
        <f>IF('Classe 4e'!$B74="","",IF('Classe 4e'!C74="","",'Classe 4e'!C74))</f>
        <v/>
      </c>
      <c r="D874" s="20" t="str">
        <f>IF($B874="","",C874&amp;" "&amp;B874&amp;" - "&amp;E874)</f>
        <v/>
      </c>
      <c r="E874" s="21" t="str">
        <f>IF($B874="","",Paramètres!$A$25)</f>
        <v/>
      </c>
      <c r="F874" s="21" t="str">
        <f>IF($B874="","",Paramètres!$B$25)</f>
        <v/>
      </c>
      <c r="G874" s="21" t="str">
        <f>IF('Classe 4e'!$B74="","",IF('Classe 4e'!D74="","",'Classe 4e'!D74))</f>
        <v/>
      </c>
      <c r="H874" s="77" t="str">
        <f>IF('Classe 4e'!$B74="","",IF('Classe 4e'!E74="","",'Classe 4e'!E74))</f>
        <v/>
      </c>
      <c r="I874" s="20" t="str">
        <f>IF('Classe 4e'!$B74="","",IF('Classe 4e'!F74="","",'Classe 4e'!F74))</f>
        <v/>
      </c>
      <c r="J874" s="20" t="str">
        <f>IF('Classe 4e'!$B74="","",IF('Classe 4e'!G74="","",'Classe 4e'!G74))</f>
        <v/>
      </c>
      <c r="K874" s="51" t="str">
        <f>IF('Classe 4e'!$B74="","",N('Classe 4e'!H74))</f>
        <v/>
      </c>
      <c r="L874" s="51" t="str">
        <f>IF('Classe 4e'!$B74="","",N('Classe 4e'!I74))</f>
        <v/>
      </c>
      <c r="M874" s="51" t="str">
        <f>IF('Classe 4e'!$B74="","",N('Classe 4e'!J74))</f>
        <v/>
      </c>
      <c r="N874" s="51" t="str">
        <f>IF('Classe 4e'!$B74="","",N('Classe 4e'!K74))</f>
        <v/>
      </c>
      <c r="O874" s="51" t="str">
        <f>IF('Classe 4e'!$B74="","",N('Classe 4e'!L74))</f>
        <v/>
      </c>
      <c r="P874" s="51" t="str">
        <f>IF('Classe 4e'!$B74="","",N('Classe 4e'!M74))</f>
        <v/>
      </c>
      <c r="Q874" s="21" t="str">
        <f>IF('Classe 4e'!$B74="","",IF('Classe 4e'!Q74="","",'Classe 4e'!Q74))</f>
        <v/>
      </c>
      <c r="R874" s="51" t="str">
        <f>IF('Classe 4e'!$B74="","",N('Classe 4e'!N74))</f>
        <v/>
      </c>
      <c r="S874" s="51" t="str">
        <f>IF('Classe 4e'!$B74="","",N('Classe 4e'!O74))</f>
        <v/>
      </c>
      <c r="T874" s="51" t="str">
        <f>IF('Classe 4e'!$B74="","",N('Classe 4e'!P74))</f>
        <v/>
      </c>
    </row>
    <row r="875">
      <c r="A875" s="16" t="str">
        <f>IF('Classe 4e'!$B75="","",IF('Classe 4e'!A75="","",'Classe 4e'!A75))</f>
        <v/>
      </c>
      <c r="B875" s="16" t="str">
        <f>IF('Classe 4e'!$B75="","",IF('Classe 4e'!B75="","",'Classe 4e'!B75))</f>
        <v/>
      </c>
      <c r="C875" s="16" t="str">
        <f>IF('Classe 4e'!$B75="","",IF('Classe 4e'!C75="","",'Classe 4e'!C75))</f>
        <v/>
      </c>
      <c r="D875" s="16" t="str">
        <f>IF($B875="","",C875&amp;" "&amp;B875&amp;" - "&amp;E875)</f>
        <v/>
      </c>
      <c r="E875" s="17" t="str">
        <f>IF($B875="","",Paramètres!$A$25)</f>
        <v/>
      </c>
      <c r="F875" s="17" t="str">
        <f>IF($B875="","",Paramètres!$B$25)</f>
        <v/>
      </c>
      <c r="G875" s="17" t="str">
        <f>IF('Classe 4e'!$B75="","",IF('Classe 4e'!D75="","",'Classe 4e'!D75))</f>
        <v/>
      </c>
      <c r="H875" s="78" t="str">
        <f>IF('Classe 4e'!$B75="","",IF('Classe 4e'!E75="","",'Classe 4e'!E75))</f>
        <v/>
      </c>
      <c r="I875" s="16" t="str">
        <f>IF('Classe 4e'!$B75="","",IF('Classe 4e'!F75="","",'Classe 4e'!F75))</f>
        <v/>
      </c>
      <c r="J875" s="16" t="str">
        <f>IF('Classe 4e'!$B75="","",IF('Classe 4e'!G75="","",'Classe 4e'!G75))</f>
        <v/>
      </c>
      <c r="K875" s="18" t="str">
        <f>IF('Classe 4e'!$B75="","",N('Classe 4e'!H75))</f>
        <v/>
      </c>
      <c r="L875" s="18" t="str">
        <f>IF('Classe 4e'!$B75="","",N('Classe 4e'!I75))</f>
        <v/>
      </c>
      <c r="M875" s="18" t="str">
        <f>IF('Classe 4e'!$B75="","",N('Classe 4e'!J75))</f>
        <v/>
      </c>
      <c r="N875" s="18" t="str">
        <f>IF('Classe 4e'!$B75="","",N('Classe 4e'!K75))</f>
        <v/>
      </c>
      <c r="O875" s="18" t="str">
        <f>IF('Classe 4e'!$B75="","",N('Classe 4e'!L75))</f>
        <v/>
      </c>
      <c r="P875" s="18" t="str">
        <f>IF('Classe 4e'!$B75="","",N('Classe 4e'!M75))</f>
        <v/>
      </c>
      <c r="Q875" s="17" t="str">
        <f>IF('Classe 4e'!$B75="","",IF('Classe 4e'!Q75="","",'Classe 4e'!Q75))</f>
        <v/>
      </c>
      <c r="R875" s="18" t="str">
        <f>IF('Classe 4e'!$B75="","",N('Classe 4e'!N75))</f>
        <v/>
      </c>
      <c r="S875" s="18" t="str">
        <f>IF('Classe 4e'!$B75="","",N('Classe 4e'!O75))</f>
        <v/>
      </c>
      <c r="T875" s="18" t="str">
        <f>IF('Classe 4e'!$B75="","",N('Classe 4e'!P75))</f>
        <v/>
      </c>
    </row>
    <row r="876">
      <c r="A876" s="20" t="str">
        <f>IF('Classe 4e'!$B76="","",IF('Classe 4e'!A76="","",'Classe 4e'!A76))</f>
        <v/>
      </c>
      <c r="B876" s="20" t="str">
        <f>IF('Classe 4e'!$B76="","",IF('Classe 4e'!B76="","",'Classe 4e'!B76))</f>
        <v/>
      </c>
      <c r="C876" s="20" t="str">
        <f>IF('Classe 4e'!$B76="","",IF('Classe 4e'!C76="","",'Classe 4e'!C76))</f>
        <v/>
      </c>
      <c r="D876" s="20" t="str">
        <f>IF($B876="","",C876&amp;" "&amp;B876&amp;" - "&amp;E876)</f>
        <v/>
      </c>
      <c r="E876" s="21" t="str">
        <f>IF($B876="","",Paramètres!$A$25)</f>
        <v/>
      </c>
      <c r="F876" s="21" t="str">
        <f>IF($B876="","",Paramètres!$B$25)</f>
        <v/>
      </c>
      <c r="G876" s="21" t="str">
        <f>IF('Classe 4e'!$B76="","",IF('Classe 4e'!D76="","",'Classe 4e'!D76))</f>
        <v/>
      </c>
      <c r="H876" s="77" t="str">
        <f>IF('Classe 4e'!$B76="","",IF('Classe 4e'!E76="","",'Classe 4e'!E76))</f>
        <v/>
      </c>
      <c r="I876" s="20" t="str">
        <f>IF('Classe 4e'!$B76="","",IF('Classe 4e'!F76="","",'Classe 4e'!F76))</f>
        <v/>
      </c>
      <c r="J876" s="20" t="str">
        <f>IF('Classe 4e'!$B76="","",IF('Classe 4e'!G76="","",'Classe 4e'!G76))</f>
        <v/>
      </c>
      <c r="K876" s="51" t="str">
        <f>IF('Classe 4e'!$B76="","",N('Classe 4e'!H76))</f>
        <v/>
      </c>
      <c r="L876" s="51" t="str">
        <f>IF('Classe 4e'!$B76="","",N('Classe 4e'!I76))</f>
        <v/>
      </c>
      <c r="M876" s="51" t="str">
        <f>IF('Classe 4e'!$B76="","",N('Classe 4e'!J76))</f>
        <v/>
      </c>
      <c r="N876" s="51" t="str">
        <f>IF('Classe 4e'!$B76="","",N('Classe 4e'!K76))</f>
        <v/>
      </c>
      <c r="O876" s="51" t="str">
        <f>IF('Classe 4e'!$B76="","",N('Classe 4e'!L76))</f>
        <v/>
      </c>
      <c r="P876" s="51" t="str">
        <f>IF('Classe 4e'!$B76="","",N('Classe 4e'!M76))</f>
        <v/>
      </c>
      <c r="Q876" s="21" t="str">
        <f>IF('Classe 4e'!$B76="","",IF('Classe 4e'!Q76="","",'Classe 4e'!Q76))</f>
        <v/>
      </c>
      <c r="R876" s="51" t="str">
        <f>IF('Classe 4e'!$B76="","",N('Classe 4e'!N76))</f>
        <v/>
      </c>
      <c r="S876" s="51" t="str">
        <f>IF('Classe 4e'!$B76="","",N('Classe 4e'!O76))</f>
        <v/>
      </c>
      <c r="T876" s="51" t="str">
        <f>IF('Classe 4e'!$B76="","",N('Classe 4e'!P76))</f>
        <v/>
      </c>
    </row>
    <row r="877">
      <c r="A877" s="16" t="str">
        <f>IF('Classe 4e'!$B77="","",IF('Classe 4e'!A77="","",'Classe 4e'!A77))</f>
        <v/>
      </c>
      <c r="B877" s="16" t="str">
        <f>IF('Classe 4e'!$B77="","",IF('Classe 4e'!B77="","",'Classe 4e'!B77))</f>
        <v/>
      </c>
      <c r="C877" s="16" t="str">
        <f>IF('Classe 4e'!$B77="","",IF('Classe 4e'!C77="","",'Classe 4e'!C77))</f>
        <v/>
      </c>
      <c r="D877" s="16" t="str">
        <f>IF($B877="","",C877&amp;" "&amp;B877&amp;" - "&amp;E877)</f>
        <v/>
      </c>
      <c r="E877" s="17" t="str">
        <f>IF($B877="","",Paramètres!$A$25)</f>
        <v/>
      </c>
      <c r="F877" s="17" t="str">
        <f>IF($B877="","",Paramètres!$B$25)</f>
        <v/>
      </c>
      <c r="G877" s="17" t="str">
        <f>IF('Classe 4e'!$B77="","",IF('Classe 4e'!D77="","",'Classe 4e'!D77))</f>
        <v/>
      </c>
      <c r="H877" s="78" t="str">
        <f>IF('Classe 4e'!$B77="","",IF('Classe 4e'!E77="","",'Classe 4e'!E77))</f>
        <v/>
      </c>
      <c r="I877" s="16" t="str">
        <f>IF('Classe 4e'!$B77="","",IF('Classe 4e'!F77="","",'Classe 4e'!F77))</f>
        <v/>
      </c>
      <c r="J877" s="16" t="str">
        <f>IF('Classe 4e'!$B77="","",IF('Classe 4e'!G77="","",'Classe 4e'!G77))</f>
        <v/>
      </c>
      <c r="K877" s="18" t="str">
        <f>IF('Classe 4e'!$B77="","",N('Classe 4e'!H77))</f>
        <v/>
      </c>
      <c r="L877" s="18" t="str">
        <f>IF('Classe 4e'!$B77="","",N('Classe 4e'!I77))</f>
        <v/>
      </c>
      <c r="M877" s="18" t="str">
        <f>IF('Classe 4e'!$B77="","",N('Classe 4e'!J77))</f>
        <v/>
      </c>
      <c r="N877" s="18" t="str">
        <f>IF('Classe 4e'!$B77="","",N('Classe 4e'!K77))</f>
        <v/>
      </c>
      <c r="O877" s="18" t="str">
        <f>IF('Classe 4e'!$B77="","",N('Classe 4e'!L77))</f>
        <v/>
      </c>
      <c r="P877" s="18" t="str">
        <f>IF('Classe 4e'!$B77="","",N('Classe 4e'!M77))</f>
        <v/>
      </c>
      <c r="Q877" s="17" t="str">
        <f>IF('Classe 4e'!$B77="","",IF('Classe 4e'!Q77="","",'Classe 4e'!Q77))</f>
        <v/>
      </c>
      <c r="R877" s="18" t="str">
        <f>IF('Classe 4e'!$B77="","",N('Classe 4e'!N77))</f>
        <v/>
      </c>
      <c r="S877" s="18" t="str">
        <f>IF('Classe 4e'!$B77="","",N('Classe 4e'!O77))</f>
        <v/>
      </c>
      <c r="T877" s="18" t="str">
        <f>IF('Classe 4e'!$B77="","",N('Classe 4e'!P77))</f>
        <v/>
      </c>
    </row>
    <row r="878">
      <c r="A878" s="20" t="str">
        <f>IF('Classe 4e'!$B78="","",IF('Classe 4e'!A78="","",'Classe 4e'!A78))</f>
        <v/>
      </c>
      <c r="B878" s="20" t="str">
        <f>IF('Classe 4e'!$B78="","",IF('Classe 4e'!B78="","",'Classe 4e'!B78))</f>
        <v/>
      </c>
      <c r="C878" s="20" t="str">
        <f>IF('Classe 4e'!$B78="","",IF('Classe 4e'!C78="","",'Classe 4e'!C78))</f>
        <v/>
      </c>
      <c r="D878" s="20" t="str">
        <f>IF($B878="","",C878&amp;" "&amp;B878&amp;" - "&amp;E878)</f>
        <v/>
      </c>
      <c r="E878" s="21" t="str">
        <f>IF($B878="","",Paramètres!$A$25)</f>
        <v/>
      </c>
      <c r="F878" s="21" t="str">
        <f>IF($B878="","",Paramètres!$B$25)</f>
        <v/>
      </c>
      <c r="G878" s="21" t="str">
        <f>IF('Classe 4e'!$B78="","",IF('Classe 4e'!D78="","",'Classe 4e'!D78))</f>
        <v/>
      </c>
      <c r="H878" s="77" t="str">
        <f>IF('Classe 4e'!$B78="","",IF('Classe 4e'!E78="","",'Classe 4e'!E78))</f>
        <v/>
      </c>
      <c r="I878" s="20" t="str">
        <f>IF('Classe 4e'!$B78="","",IF('Classe 4e'!F78="","",'Classe 4e'!F78))</f>
        <v/>
      </c>
      <c r="J878" s="20" t="str">
        <f>IF('Classe 4e'!$B78="","",IF('Classe 4e'!G78="","",'Classe 4e'!G78))</f>
        <v/>
      </c>
      <c r="K878" s="51" t="str">
        <f>IF('Classe 4e'!$B78="","",N('Classe 4e'!H78))</f>
        <v/>
      </c>
      <c r="L878" s="51" t="str">
        <f>IF('Classe 4e'!$B78="","",N('Classe 4e'!I78))</f>
        <v/>
      </c>
      <c r="M878" s="51" t="str">
        <f>IF('Classe 4e'!$B78="","",N('Classe 4e'!J78))</f>
        <v/>
      </c>
      <c r="N878" s="51" t="str">
        <f>IF('Classe 4e'!$B78="","",N('Classe 4e'!K78))</f>
        <v/>
      </c>
      <c r="O878" s="51" t="str">
        <f>IF('Classe 4e'!$B78="","",N('Classe 4e'!L78))</f>
        <v/>
      </c>
      <c r="P878" s="51" t="str">
        <f>IF('Classe 4e'!$B78="","",N('Classe 4e'!M78))</f>
        <v/>
      </c>
      <c r="Q878" s="21" t="str">
        <f>IF('Classe 4e'!$B78="","",IF('Classe 4e'!Q78="","",'Classe 4e'!Q78))</f>
        <v/>
      </c>
      <c r="R878" s="51" t="str">
        <f>IF('Classe 4e'!$B78="","",N('Classe 4e'!N78))</f>
        <v/>
      </c>
      <c r="S878" s="51" t="str">
        <f>IF('Classe 4e'!$B78="","",N('Classe 4e'!O78))</f>
        <v/>
      </c>
      <c r="T878" s="51" t="str">
        <f>IF('Classe 4e'!$B78="","",N('Classe 4e'!P78))</f>
        <v/>
      </c>
    </row>
    <row r="879">
      <c r="A879" s="16" t="str">
        <f>IF('Classe 4e'!$B79="","",IF('Classe 4e'!A79="","",'Classe 4e'!A79))</f>
        <v/>
      </c>
      <c r="B879" s="16" t="str">
        <f>IF('Classe 4e'!$B79="","",IF('Classe 4e'!B79="","",'Classe 4e'!B79))</f>
        <v/>
      </c>
      <c r="C879" s="16" t="str">
        <f>IF('Classe 4e'!$B79="","",IF('Classe 4e'!C79="","",'Classe 4e'!C79))</f>
        <v/>
      </c>
      <c r="D879" s="16" t="str">
        <f>IF($B879="","",C879&amp;" "&amp;B879&amp;" - "&amp;E879)</f>
        <v/>
      </c>
      <c r="E879" s="17" t="str">
        <f>IF($B879="","",Paramètres!$A$25)</f>
        <v/>
      </c>
      <c r="F879" s="17" t="str">
        <f>IF($B879="","",Paramètres!$B$25)</f>
        <v/>
      </c>
      <c r="G879" s="17" t="str">
        <f>IF('Classe 4e'!$B79="","",IF('Classe 4e'!D79="","",'Classe 4e'!D79))</f>
        <v/>
      </c>
      <c r="H879" s="78" t="str">
        <f>IF('Classe 4e'!$B79="","",IF('Classe 4e'!E79="","",'Classe 4e'!E79))</f>
        <v/>
      </c>
      <c r="I879" s="16" t="str">
        <f>IF('Classe 4e'!$B79="","",IF('Classe 4e'!F79="","",'Classe 4e'!F79))</f>
        <v/>
      </c>
      <c r="J879" s="16" t="str">
        <f>IF('Classe 4e'!$B79="","",IF('Classe 4e'!G79="","",'Classe 4e'!G79))</f>
        <v/>
      </c>
      <c r="K879" s="18" t="str">
        <f>IF('Classe 4e'!$B79="","",N('Classe 4e'!H79))</f>
        <v/>
      </c>
      <c r="L879" s="18" t="str">
        <f>IF('Classe 4e'!$B79="","",N('Classe 4e'!I79))</f>
        <v/>
      </c>
      <c r="M879" s="18" t="str">
        <f>IF('Classe 4e'!$B79="","",N('Classe 4e'!J79))</f>
        <v/>
      </c>
      <c r="N879" s="18" t="str">
        <f>IF('Classe 4e'!$B79="","",N('Classe 4e'!K79))</f>
        <v/>
      </c>
      <c r="O879" s="18" t="str">
        <f>IF('Classe 4e'!$B79="","",N('Classe 4e'!L79))</f>
        <v/>
      </c>
      <c r="P879" s="18" t="str">
        <f>IF('Classe 4e'!$B79="","",N('Classe 4e'!M79))</f>
        <v/>
      </c>
      <c r="Q879" s="17" t="str">
        <f>IF('Classe 4e'!$B79="","",IF('Classe 4e'!Q79="","",'Classe 4e'!Q79))</f>
        <v/>
      </c>
      <c r="R879" s="18" t="str">
        <f>IF('Classe 4e'!$B79="","",N('Classe 4e'!N79))</f>
        <v/>
      </c>
      <c r="S879" s="18" t="str">
        <f>IF('Classe 4e'!$B79="","",N('Classe 4e'!O79))</f>
        <v/>
      </c>
      <c r="T879" s="18" t="str">
        <f>IF('Classe 4e'!$B79="","",N('Classe 4e'!P79))</f>
        <v/>
      </c>
    </row>
    <row r="880">
      <c r="A880" s="20" t="str">
        <f>IF('Classe 4e'!$B80="","",IF('Classe 4e'!A80="","",'Classe 4e'!A80))</f>
        <v/>
      </c>
      <c r="B880" s="20" t="str">
        <f>IF('Classe 4e'!$B80="","",IF('Classe 4e'!B80="","",'Classe 4e'!B80))</f>
        <v/>
      </c>
      <c r="C880" s="20" t="str">
        <f>IF('Classe 4e'!$B80="","",IF('Classe 4e'!C80="","",'Classe 4e'!C80))</f>
        <v/>
      </c>
      <c r="D880" s="20" t="str">
        <f>IF($B880="","",C880&amp;" "&amp;B880&amp;" - "&amp;E880)</f>
        <v/>
      </c>
      <c r="E880" s="21" t="str">
        <f>IF($B880="","",Paramètres!$A$25)</f>
        <v/>
      </c>
      <c r="F880" s="21" t="str">
        <f>IF($B880="","",Paramètres!$B$25)</f>
        <v/>
      </c>
      <c r="G880" s="21" t="str">
        <f>IF('Classe 4e'!$B80="","",IF('Classe 4e'!D80="","",'Classe 4e'!D80))</f>
        <v/>
      </c>
      <c r="H880" s="77" t="str">
        <f>IF('Classe 4e'!$B80="","",IF('Classe 4e'!E80="","",'Classe 4e'!E80))</f>
        <v/>
      </c>
      <c r="I880" s="20" t="str">
        <f>IF('Classe 4e'!$B80="","",IF('Classe 4e'!F80="","",'Classe 4e'!F80))</f>
        <v/>
      </c>
      <c r="J880" s="20" t="str">
        <f>IF('Classe 4e'!$B80="","",IF('Classe 4e'!G80="","",'Classe 4e'!G80))</f>
        <v/>
      </c>
      <c r="K880" s="51" t="str">
        <f>IF('Classe 4e'!$B80="","",N('Classe 4e'!H80))</f>
        <v/>
      </c>
      <c r="L880" s="51" t="str">
        <f>IF('Classe 4e'!$B80="","",N('Classe 4e'!I80))</f>
        <v/>
      </c>
      <c r="M880" s="51" t="str">
        <f>IF('Classe 4e'!$B80="","",N('Classe 4e'!J80))</f>
        <v/>
      </c>
      <c r="N880" s="51" t="str">
        <f>IF('Classe 4e'!$B80="","",N('Classe 4e'!K80))</f>
        <v/>
      </c>
      <c r="O880" s="51" t="str">
        <f>IF('Classe 4e'!$B80="","",N('Classe 4e'!L80))</f>
        <v/>
      </c>
      <c r="P880" s="51" t="str">
        <f>IF('Classe 4e'!$B80="","",N('Classe 4e'!M80))</f>
        <v/>
      </c>
      <c r="Q880" s="21" t="str">
        <f>IF('Classe 4e'!$B80="","",IF('Classe 4e'!Q80="","",'Classe 4e'!Q80))</f>
        <v/>
      </c>
      <c r="R880" s="51" t="str">
        <f>IF('Classe 4e'!$B80="","",N('Classe 4e'!N80))</f>
        <v/>
      </c>
      <c r="S880" s="51" t="str">
        <f>IF('Classe 4e'!$B80="","",N('Classe 4e'!O80))</f>
        <v/>
      </c>
      <c r="T880" s="51" t="str">
        <f>IF('Classe 4e'!$B80="","",N('Classe 4e'!P80))</f>
        <v/>
      </c>
    </row>
    <row r="881">
      <c r="A881" s="16" t="str">
        <f>IF('Classe 4e'!$B81="","",IF('Classe 4e'!A81="","",'Classe 4e'!A81))</f>
        <v/>
      </c>
      <c r="B881" s="16" t="str">
        <f>IF('Classe 4e'!$B81="","",IF('Classe 4e'!B81="","",'Classe 4e'!B81))</f>
        <v/>
      </c>
      <c r="C881" s="16" t="str">
        <f>IF('Classe 4e'!$B81="","",IF('Classe 4e'!C81="","",'Classe 4e'!C81))</f>
        <v/>
      </c>
      <c r="D881" s="16" t="str">
        <f>IF($B881="","",C881&amp;" "&amp;B881&amp;" - "&amp;E881)</f>
        <v/>
      </c>
      <c r="E881" s="17" t="str">
        <f>IF($B881="","",Paramètres!$A$25)</f>
        <v/>
      </c>
      <c r="F881" s="17" t="str">
        <f>IF($B881="","",Paramètres!$B$25)</f>
        <v/>
      </c>
      <c r="G881" s="17" t="str">
        <f>IF('Classe 4e'!$B81="","",IF('Classe 4e'!D81="","",'Classe 4e'!D81))</f>
        <v/>
      </c>
      <c r="H881" s="78" t="str">
        <f>IF('Classe 4e'!$B81="","",IF('Classe 4e'!E81="","",'Classe 4e'!E81))</f>
        <v/>
      </c>
      <c r="I881" s="16" t="str">
        <f>IF('Classe 4e'!$B81="","",IF('Classe 4e'!F81="","",'Classe 4e'!F81))</f>
        <v/>
      </c>
      <c r="J881" s="16" t="str">
        <f>IF('Classe 4e'!$B81="","",IF('Classe 4e'!G81="","",'Classe 4e'!G81))</f>
        <v/>
      </c>
      <c r="K881" s="18" t="str">
        <f>IF('Classe 4e'!$B81="","",N('Classe 4e'!H81))</f>
        <v/>
      </c>
      <c r="L881" s="18" t="str">
        <f>IF('Classe 4e'!$B81="","",N('Classe 4e'!I81))</f>
        <v/>
      </c>
      <c r="M881" s="18" t="str">
        <f>IF('Classe 4e'!$B81="","",N('Classe 4e'!J81))</f>
        <v/>
      </c>
      <c r="N881" s="18" t="str">
        <f>IF('Classe 4e'!$B81="","",N('Classe 4e'!K81))</f>
        <v/>
      </c>
      <c r="O881" s="18" t="str">
        <f>IF('Classe 4e'!$B81="","",N('Classe 4e'!L81))</f>
        <v/>
      </c>
      <c r="P881" s="18" t="str">
        <f>IF('Classe 4e'!$B81="","",N('Classe 4e'!M81))</f>
        <v/>
      </c>
      <c r="Q881" s="17" t="str">
        <f>IF('Classe 4e'!$B81="","",IF('Classe 4e'!Q81="","",'Classe 4e'!Q81))</f>
        <v/>
      </c>
      <c r="R881" s="18" t="str">
        <f>IF('Classe 4e'!$B81="","",N('Classe 4e'!N81))</f>
        <v/>
      </c>
      <c r="S881" s="18" t="str">
        <f>IF('Classe 4e'!$B81="","",N('Classe 4e'!O81))</f>
        <v/>
      </c>
      <c r="T881" s="18" t="str">
        <f>IF('Classe 4e'!$B81="","",N('Classe 4e'!P81))</f>
        <v/>
      </c>
    </row>
    <row r="882">
      <c r="A882" s="20" t="str">
        <f>IF('Classe 4e'!$B82="","",IF('Classe 4e'!A82="","",'Classe 4e'!A82))</f>
        <v/>
      </c>
      <c r="B882" s="20" t="str">
        <f>IF('Classe 4e'!$B82="","",IF('Classe 4e'!B82="","",'Classe 4e'!B82))</f>
        <v/>
      </c>
      <c r="C882" s="20" t="str">
        <f>IF('Classe 4e'!$B82="","",IF('Classe 4e'!C82="","",'Classe 4e'!C82))</f>
        <v/>
      </c>
      <c r="D882" s="20" t="str">
        <f>IF($B882="","",C882&amp;" "&amp;B882&amp;" - "&amp;E882)</f>
        <v/>
      </c>
      <c r="E882" s="21" t="str">
        <f>IF($B882="","",Paramètres!$A$25)</f>
        <v/>
      </c>
      <c r="F882" s="21" t="str">
        <f>IF($B882="","",Paramètres!$B$25)</f>
        <v/>
      </c>
      <c r="G882" s="21" t="str">
        <f>IF('Classe 4e'!$B82="","",IF('Classe 4e'!D82="","",'Classe 4e'!D82))</f>
        <v/>
      </c>
      <c r="H882" s="77" t="str">
        <f>IF('Classe 4e'!$B82="","",IF('Classe 4e'!E82="","",'Classe 4e'!E82))</f>
        <v/>
      </c>
      <c r="I882" s="20" t="str">
        <f>IF('Classe 4e'!$B82="","",IF('Classe 4e'!F82="","",'Classe 4e'!F82))</f>
        <v/>
      </c>
      <c r="J882" s="20" t="str">
        <f>IF('Classe 4e'!$B82="","",IF('Classe 4e'!G82="","",'Classe 4e'!G82))</f>
        <v/>
      </c>
      <c r="K882" s="51" t="str">
        <f>IF('Classe 4e'!$B82="","",N('Classe 4e'!H82))</f>
        <v/>
      </c>
      <c r="L882" s="51" t="str">
        <f>IF('Classe 4e'!$B82="","",N('Classe 4e'!I82))</f>
        <v/>
      </c>
      <c r="M882" s="51" t="str">
        <f>IF('Classe 4e'!$B82="","",N('Classe 4e'!J82))</f>
        <v/>
      </c>
      <c r="N882" s="51" t="str">
        <f>IF('Classe 4e'!$B82="","",N('Classe 4e'!K82))</f>
        <v/>
      </c>
      <c r="O882" s="51" t="str">
        <f>IF('Classe 4e'!$B82="","",N('Classe 4e'!L82))</f>
        <v/>
      </c>
      <c r="P882" s="51" t="str">
        <f>IF('Classe 4e'!$B82="","",N('Classe 4e'!M82))</f>
        <v/>
      </c>
      <c r="Q882" s="21" t="str">
        <f>IF('Classe 4e'!$B82="","",IF('Classe 4e'!Q82="","",'Classe 4e'!Q82))</f>
        <v/>
      </c>
      <c r="R882" s="51" t="str">
        <f>IF('Classe 4e'!$B82="","",N('Classe 4e'!N82))</f>
        <v/>
      </c>
      <c r="S882" s="51" t="str">
        <f>IF('Classe 4e'!$B82="","",N('Classe 4e'!O82))</f>
        <v/>
      </c>
      <c r="T882" s="51" t="str">
        <f>IF('Classe 4e'!$B82="","",N('Classe 4e'!P82))</f>
        <v/>
      </c>
    </row>
    <row r="883">
      <c r="A883" s="16" t="str">
        <f>IF('Classe 4e'!$B83="","",IF('Classe 4e'!A83="","",'Classe 4e'!A83))</f>
        <v/>
      </c>
      <c r="B883" s="16" t="str">
        <f>IF('Classe 4e'!$B83="","",IF('Classe 4e'!B83="","",'Classe 4e'!B83))</f>
        <v/>
      </c>
      <c r="C883" s="16" t="str">
        <f>IF('Classe 4e'!$B83="","",IF('Classe 4e'!C83="","",'Classe 4e'!C83))</f>
        <v/>
      </c>
      <c r="D883" s="16" t="str">
        <f>IF($B883="","",C883&amp;" "&amp;B883&amp;" - "&amp;E883)</f>
        <v/>
      </c>
      <c r="E883" s="17" t="str">
        <f>IF($B883="","",Paramètres!$A$25)</f>
        <v/>
      </c>
      <c r="F883" s="17" t="str">
        <f>IF($B883="","",Paramètres!$B$25)</f>
        <v/>
      </c>
      <c r="G883" s="17" t="str">
        <f>IF('Classe 4e'!$B83="","",IF('Classe 4e'!D83="","",'Classe 4e'!D83))</f>
        <v/>
      </c>
      <c r="H883" s="78" t="str">
        <f>IF('Classe 4e'!$B83="","",IF('Classe 4e'!E83="","",'Classe 4e'!E83))</f>
        <v/>
      </c>
      <c r="I883" s="16" t="str">
        <f>IF('Classe 4e'!$B83="","",IF('Classe 4e'!F83="","",'Classe 4e'!F83))</f>
        <v/>
      </c>
      <c r="J883" s="16" t="str">
        <f>IF('Classe 4e'!$B83="","",IF('Classe 4e'!G83="","",'Classe 4e'!G83))</f>
        <v/>
      </c>
      <c r="K883" s="18" t="str">
        <f>IF('Classe 4e'!$B83="","",N('Classe 4e'!H83))</f>
        <v/>
      </c>
      <c r="L883" s="18" t="str">
        <f>IF('Classe 4e'!$B83="","",N('Classe 4e'!I83))</f>
        <v/>
      </c>
      <c r="M883" s="18" t="str">
        <f>IF('Classe 4e'!$B83="","",N('Classe 4e'!J83))</f>
        <v/>
      </c>
      <c r="N883" s="18" t="str">
        <f>IF('Classe 4e'!$B83="","",N('Classe 4e'!K83))</f>
        <v/>
      </c>
      <c r="O883" s="18" t="str">
        <f>IF('Classe 4e'!$B83="","",N('Classe 4e'!L83))</f>
        <v/>
      </c>
      <c r="P883" s="18" t="str">
        <f>IF('Classe 4e'!$B83="","",N('Classe 4e'!M83))</f>
        <v/>
      </c>
      <c r="Q883" s="17" t="str">
        <f>IF('Classe 4e'!$B83="","",IF('Classe 4e'!Q83="","",'Classe 4e'!Q83))</f>
        <v/>
      </c>
      <c r="R883" s="18" t="str">
        <f>IF('Classe 4e'!$B83="","",N('Classe 4e'!N83))</f>
        <v/>
      </c>
      <c r="S883" s="18" t="str">
        <f>IF('Classe 4e'!$B83="","",N('Classe 4e'!O83))</f>
        <v/>
      </c>
      <c r="T883" s="18" t="str">
        <f>IF('Classe 4e'!$B83="","",N('Classe 4e'!P83))</f>
        <v/>
      </c>
    </row>
    <row r="884">
      <c r="A884" s="20" t="str">
        <f>IF('Classe 3e'!$B4="","",IF('Classe 3e'!A4="","",'Classe 3e'!A4))</f>
        <v/>
      </c>
      <c r="B884" s="20" t="str">
        <f>IF('Classe 3e'!$B4="","",IF('Classe 3e'!B4="","",'Classe 3e'!B4))</f>
        <v/>
      </c>
      <c r="C884" s="20" t="str">
        <f>IF('Classe 3e'!$B4="","",IF('Classe 3e'!C4="","",'Classe 3e'!C4))</f>
        <v/>
      </c>
      <c r="D884" s="20" t="str">
        <f>IF($B884="","",C884&amp;" "&amp;B884&amp;" - "&amp;E884)</f>
        <v/>
      </c>
      <c r="E884" s="21" t="str">
        <f>IF($B884="","",Paramètres!$A$26)</f>
        <v/>
      </c>
      <c r="F884" s="21" t="str">
        <f>IF($B884="","",Paramètres!$B$26)</f>
        <v/>
      </c>
      <c r="G884" s="21" t="str">
        <f>IF('Classe 3e'!$B4="","",IF('Classe 3e'!D4="","",'Classe 3e'!D4))</f>
        <v/>
      </c>
      <c r="H884" s="77" t="str">
        <f>IF('Classe 3e'!$B4="","",IF('Classe 3e'!E4="","",'Classe 3e'!E4))</f>
        <v/>
      </c>
      <c r="I884" s="20" t="str">
        <f>IF('Classe 3e'!$B4="","",IF('Classe 3e'!F4="","",'Classe 3e'!F4))</f>
        <v/>
      </c>
      <c r="J884" s="20" t="str">
        <f>IF('Classe 3e'!$B4="","",IF('Classe 3e'!G4="","",'Classe 3e'!G4))</f>
        <v/>
      </c>
      <c r="K884" s="51" t="str">
        <f>IF('Classe 3e'!$B4="","",N('Classe 3e'!H4))</f>
        <v/>
      </c>
      <c r="L884" s="51" t="str">
        <f>IF('Classe 3e'!$B4="","",N('Classe 3e'!I4))</f>
        <v/>
      </c>
      <c r="M884" s="51" t="str">
        <f>IF('Classe 3e'!$B4="","",N('Classe 3e'!J4))</f>
        <v/>
      </c>
      <c r="N884" s="51" t="str">
        <f>IF('Classe 3e'!$B4="","",N('Classe 3e'!K4))</f>
        <v/>
      </c>
      <c r="O884" s="51" t="str">
        <f>IF('Classe 3e'!$B4="","",N('Classe 3e'!L4))</f>
        <v/>
      </c>
      <c r="P884" s="51" t="str">
        <f>IF('Classe 3e'!$B4="","",N('Classe 3e'!M4))</f>
        <v/>
      </c>
      <c r="Q884" s="21" t="str">
        <f>IF('Classe 3e'!$B4="","",IF('Classe 3e'!Q4="","",'Classe 3e'!Q4))</f>
        <v/>
      </c>
      <c r="R884" s="51" t="str">
        <f>IF('Classe 3e'!$B4="","",N('Classe 3e'!N4))</f>
        <v/>
      </c>
      <c r="S884" s="51" t="str">
        <f>IF('Classe 3e'!$B4="","",N('Classe 3e'!O4))</f>
        <v/>
      </c>
      <c r="T884" s="51" t="str">
        <f>IF('Classe 3e'!$B4="","",N('Classe 3e'!P4))</f>
        <v/>
      </c>
    </row>
    <row r="885">
      <c r="A885" s="16" t="str">
        <f>IF('Classe 3e'!$B5="","",IF('Classe 3e'!A5="","",'Classe 3e'!A5))</f>
        <v/>
      </c>
      <c r="B885" s="16" t="str">
        <f>IF('Classe 3e'!$B5="","",IF('Classe 3e'!B5="","",'Classe 3e'!B5))</f>
        <v/>
      </c>
      <c r="C885" s="16" t="str">
        <f>IF('Classe 3e'!$B5="","",IF('Classe 3e'!C5="","",'Classe 3e'!C5))</f>
        <v/>
      </c>
      <c r="D885" s="16" t="str">
        <f>IF($B885="","",C885&amp;" "&amp;B885&amp;" - "&amp;E885)</f>
        <v/>
      </c>
      <c r="E885" s="17" t="str">
        <f>IF($B885="","",Paramètres!$A$26)</f>
        <v/>
      </c>
      <c r="F885" s="17" t="str">
        <f>IF($B885="","",Paramètres!$B$26)</f>
        <v/>
      </c>
      <c r="G885" s="17" t="str">
        <f>IF('Classe 3e'!$B5="","",IF('Classe 3e'!D5="","",'Classe 3e'!D5))</f>
        <v/>
      </c>
      <c r="H885" s="78" t="str">
        <f>IF('Classe 3e'!$B5="","",IF('Classe 3e'!E5="","",'Classe 3e'!E5))</f>
        <v/>
      </c>
      <c r="I885" s="16" t="str">
        <f>IF('Classe 3e'!$B5="","",IF('Classe 3e'!F5="","",'Classe 3e'!F5))</f>
        <v/>
      </c>
      <c r="J885" s="16" t="str">
        <f>IF('Classe 3e'!$B5="","",IF('Classe 3e'!G5="","",'Classe 3e'!G5))</f>
        <v/>
      </c>
      <c r="K885" s="18" t="str">
        <f>IF('Classe 3e'!$B5="","",N('Classe 3e'!H5))</f>
        <v/>
      </c>
      <c r="L885" s="18" t="str">
        <f>IF('Classe 3e'!$B5="","",N('Classe 3e'!I5))</f>
        <v/>
      </c>
      <c r="M885" s="18" t="str">
        <f>IF('Classe 3e'!$B5="","",N('Classe 3e'!J5))</f>
        <v/>
      </c>
      <c r="N885" s="18" t="str">
        <f>IF('Classe 3e'!$B5="","",N('Classe 3e'!K5))</f>
        <v/>
      </c>
      <c r="O885" s="18" t="str">
        <f>IF('Classe 3e'!$B5="","",N('Classe 3e'!L5))</f>
        <v/>
      </c>
      <c r="P885" s="18" t="str">
        <f>IF('Classe 3e'!$B5="","",N('Classe 3e'!M5))</f>
        <v/>
      </c>
      <c r="Q885" s="17" t="str">
        <f>IF('Classe 3e'!$B5="","",IF('Classe 3e'!Q5="","",'Classe 3e'!Q5))</f>
        <v/>
      </c>
      <c r="R885" s="18" t="str">
        <f>IF('Classe 3e'!$B5="","",N('Classe 3e'!N5))</f>
        <v/>
      </c>
      <c r="S885" s="18" t="str">
        <f>IF('Classe 3e'!$B5="","",N('Classe 3e'!O5))</f>
        <v/>
      </c>
      <c r="T885" s="18" t="str">
        <f>IF('Classe 3e'!$B5="","",N('Classe 3e'!P5))</f>
        <v/>
      </c>
    </row>
    <row r="886">
      <c r="A886" s="20" t="str">
        <f>IF('Classe 3e'!$B6="","",IF('Classe 3e'!A6="","",'Classe 3e'!A6))</f>
        <v/>
      </c>
      <c r="B886" s="20" t="str">
        <f>IF('Classe 3e'!$B6="","",IF('Classe 3e'!B6="","",'Classe 3e'!B6))</f>
        <v/>
      </c>
      <c r="C886" s="20" t="str">
        <f>IF('Classe 3e'!$B6="","",IF('Classe 3e'!C6="","",'Classe 3e'!C6))</f>
        <v/>
      </c>
      <c r="D886" s="20" t="str">
        <f>IF($B886="","",C886&amp;" "&amp;B886&amp;" - "&amp;E886)</f>
        <v/>
      </c>
      <c r="E886" s="21" t="str">
        <f>IF($B886="","",Paramètres!$A$26)</f>
        <v/>
      </c>
      <c r="F886" s="21" t="str">
        <f>IF($B886="","",Paramètres!$B$26)</f>
        <v/>
      </c>
      <c r="G886" s="21" t="str">
        <f>IF('Classe 3e'!$B6="","",IF('Classe 3e'!D6="","",'Classe 3e'!D6))</f>
        <v/>
      </c>
      <c r="H886" s="77" t="str">
        <f>IF('Classe 3e'!$B6="","",IF('Classe 3e'!E6="","",'Classe 3e'!E6))</f>
        <v/>
      </c>
      <c r="I886" s="20" t="str">
        <f>IF('Classe 3e'!$B6="","",IF('Classe 3e'!F6="","",'Classe 3e'!F6))</f>
        <v/>
      </c>
      <c r="J886" s="20" t="str">
        <f>IF('Classe 3e'!$B6="","",IF('Classe 3e'!G6="","",'Classe 3e'!G6))</f>
        <v/>
      </c>
      <c r="K886" s="51" t="str">
        <f>IF('Classe 3e'!$B6="","",N('Classe 3e'!H6))</f>
        <v/>
      </c>
      <c r="L886" s="51" t="str">
        <f>IF('Classe 3e'!$B6="","",N('Classe 3e'!I6))</f>
        <v/>
      </c>
      <c r="M886" s="51" t="str">
        <f>IF('Classe 3e'!$B6="","",N('Classe 3e'!J6))</f>
        <v/>
      </c>
      <c r="N886" s="51" t="str">
        <f>IF('Classe 3e'!$B6="","",N('Classe 3e'!K6))</f>
        <v/>
      </c>
      <c r="O886" s="51" t="str">
        <f>IF('Classe 3e'!$B6="","",N('Classe 3e'!L6))</f>
        <v/>
      </c>
      <c r="P886" s="51" t="str">
        <f>IF('Classe 3e'!$B6="","",N('Classe 3e'!M6))</f>
        <v/>
      </c>
      <c r="Q886" s="21" t="str">
        <f>IF('Classe 3e'!$B6="","",IF('Classe 3e'!Q6="","",'Classe 3e'!Q6))</f>
        <v/>
      </c>
      <c r="R886" s="51" t="str">
        <f>IF('Classe 3e'!$B6="","",N('Classe 3e'!N6))</f>
        <v/>
      </c>
      <c r="S886" s="51" t="str">
        <f>IF('Classe 3e'!$B6="","",N('Classe 3e'!O6))</f>
        <v/>
      </c>
      <c r="T886" s="51" t="str">
        <f>IF('Classe 3e'!$B6="","",N('Classe 3e'!P6))</f>
        <v/>
      </c>
    </row>
    <row r="887">
      <c r="A887" s="16" t="str">
        <f>IF('Classe 3e'!$B7="","",IF('Classe 3e'!A7="","",'Classe 3e'!A7))</f>
        <v/>
      </c>
      <c r="B887" s="16" t="str">
        <f>IF('Classe 3e'!$B7="","",IF('Classe 3e'!B7="","",'Classe 3e'!B7))</f>
        <v/>
      </c>
      <c r="C887" s="16" t="str">
        <f>IF('Classe 3e'!$B7="","",IF('Classe 3e'!C7="","",'Classe 3e'!C7))</f>
        <v/>
      </c>
      <c r="D887" s="16" t="str">
        <f>IF($B887="","",C887&amp;" "&amp;B887&amp;" - "&amp;E887)</f>
        <v/>
      </c>
      <c r="E887" s="17" t="str">
        <f>IF($B887="","",Paramètres!$A$26)</f>
        <v/>
      </c>
      <c r="F887" s="17" t="str">
        <f>IF($B887="","",Paramètres!$B$26)</f>
        <v/>
      </c>
      <c r="G887" s="17" t="str">
        <f>IF('Classe 3e'!$B7="","",IF('Classe 3e'!D7="","",'Classe 3e'!D7))</f>
        <v/>
      </c>
      <c r="H887" s="78" t="str">
        <f>IF('Classe 3e'!$B7="","",IF('Classe 3e'!E7="","",'Classe 3e'!E7))</f>
        <v/>
      </c>
      <c r="I887" s="16" t="str">
        <f>IF('Classe 3e'!$B7="","",IF('Classe 3e'!F7="","",'Classe 3e'!F7))</f>
        <v/>
      </c>
      <c r="J887" s="16" t="str">
        <f>IF('Classe 3e'!$B7="","",IF('Classe 3e'!G7="","",'Classe 3e'!G7))</f>
        <v/>
      </c>
      <c r="K887" s="18" t="str">
        <f>IF('Classe 3e'!$B7="","",N('Classe 3e'!H7))</f>
        <v/>
      </c>
      <c r="L887" s="18" t="str">
        <f>IF('Classe 3e'!$B7="","",N('Classe 3e'!I7))</f>
        <v/>
      </c>
      <c r="M887" s="18" t="str">
        <f>IF('Classe 3e'!$B7="","",N('Classe 3e'!J7))</f>
        <v/>
      </c>
      <c r="N887" s="18" t="str">
        <f>IF('Classe 3e'!$B7="","",N('Classe 3e'!K7))</f>
        <v/>
      </c>
      <c r="O887" s="18" t="str">
        <f>IF('Classe 3e'!$B7="","",N('Classe 3e'!L7))</f>
        <v/>
      </c>
      <c r="P887" s="18" t="str">
        <f>IF('Classe 3e'!$B7="","",N('Classe 3e'!M7))</f>
        <v/>
      </c>
      <c r="Q887" s="17" t="str">
        <f>IF('Classe 3e'!$B7="","",IF('Classe 3e'!Q7="","",'Classe 3e'!Q7))</f>
        <v/>
      </c>
      <c r="R887" s="18" t="str">
        <f>IF('Classe 3e'!$B7="","",N('Classe 3e'!N7))</f>
        <v/>
      </c>
      <c r="S887" s="18" t="str">
        <f>IF('Classe 3e'!$B7="","",N('Classe 3e'!O7))</f>
        <v/>
      </c>
      <c r="T887" s="18" t="str">
        <f>IF('Classe 3e'!$B7="","",N('Classe 3e'!P7))</f>
        <v/>
      </c>
    </row>
    <row r="888">
      <c r="A888" s="20" t="str">
        <f>IF('Classe 3e'!$B8="","",IF('Classe 3e'!A8="","",'Classe 3e'!A8))</f>
        <v/>
      </c>
      <c r="B888" s="20" t="str">
        <f>IF('Classe 3e'!$B8="","",IF('Classe 3e'!B8="","",'Classe 3e'!B8))</f>
        <v/>
      </c>
      <c r="C888" s="20" t="str">
        <f>IF('Classe 3e'!$B8="","",IF('Classe 3e'!C8="","",'Classe 3e'!C8))</f>
        <v/>
      </c>
      <c r="D888" s="20" t="str">
        <f>IF($B888="","",C888&amp;" "&amp;B888&amp;" - "&amp;E888)</f>
        <v/>
      </c>
      <c r="E888" s="21" t="str">
        <f>IF($B888="","",Paramètres!$A$26)</f>
        <v/>
      </c>
      <c r="F888" s="21" t="str">
        <f>IF($B888="","",Paramètres!$B$26)</f>
        <v/>
      </c>
      <c r="G888" s="21" t="str">
        <f>IF('Classe 3e'!$B8="","",IF('Classe 3e'!D8="","",'Classe 3e'!D8))</f>
        <v/>
      </c>
      <c r="H888" s="77" t="str">
        <f>IF('Classe 3e'!$B8="","",IF('Classe 3e'!E8="","",'Classe 3e'!E8))</f>
        <v/>
      </c>
      <c r="I888" s="20" t="str">
        <f>IF('Classe 3e'!$B8="","",IF('Classe 3e'!F8="","",'Classe 3e'!F8))</f>
        <v/>
      </c>
      <c r="J888" s="20" t="str">
        <f>IF('Classe 3e'!$B8="","",IF('Classe 3e'!G8="","",'Classe 3e'!G8))</f>
        <v/>
      </c>
      <c r="K888" s="51" t="str">
        <f>IF('Classe 3e'!$B8="","",N('Classe 3e'!H8))</f>
        <v/>
      </c>
      <c r="L888" s="51" t="str">
        <f>IF('Classe 3e'!$B8="","",N('Classe 3e'!I8))</f>
        <v/>
      </c>
      <c r="M888" s="51" t="str">
        <f>IF('Classe 3e'!$B8="","",N('Classe 3e'!J8))</f>
        <v/>
      </c>
      <c r="N888" s="51" t="str">
        <f>IF('Classe 3e'!$B8="","",N('Classe 3e'!K8))</f>
        <v/>
      </c>
      <c r="O888" s="51" t="str">
        <f>IF('Classe 3e'!$B8="","",N('Classe 3e'!L8))</f>
        <v/>
      </c>
      <c r="P888" s="51" t="str">
        <f>IF('Classe 3e'!$B8="","",N('Classe 3e'!M8))</f>
        <v/>
      </c>
      <c r="Q888" s="21" t="str">
        <f>IF('Classe 3e'!$B8="","",IF('Classe 3e'!Q8="","",'Classe 3e'!Q8))</f>
        <v/>
      </c>
      <c r="R888" s="51" t="str">
        <f>IF('Classe 3e'!$B8="","",N('Classe 3e'!N8))</f>
        <v/>
      </c>
      <c r="S888" s="51" t="str">
        <f>IF('Classe 3e'!$B8="","",N('Classe 3e'!O8))</f>
        <v/>
      </c>
      <c r="T888" s="51" t="str">
        <f>IF('Classe 3e'!$B8="","",N('Classe 3e'!P8))</f>
        <v/>
      </c>
    </row>
    <row r="889">
      <c r="A889" s="16" t="str">
        <f>IF('Classe 3e'!$B9="","",IF('Classe 3e'!A9="","",'Classe 3e'!A9))</f>
        <v/>
      </c>
      <c r="B889" s="16" t="str">
        <f>IF('Classe 3e'!$B9="","",IF('Classe 3e'!B9="","",'Classe 3e'!B9))</f>
        <v/>
      </c>
      <c r="C889" s="16" t="str">
        <f>IF('Classe 3e'!$B9="","",IF('Classe 3e'!C9="","",'Classe 3e'!C9))</f>
        <v/>
      </c>
      <c r="D889" s="16" t="str">
        <f>IF($B889="","",C889&amp;" "&amp;B889&amp;" - "&amp;E889)</f>
        <v/>
      </c>
      <c r="E889" s="17" t="str">
        <f>IF($B889="","",Paramètres!$A$26)</f>
        <v/>
      </c>
      <c r="F889" s="17" t="str">
        <f>IF($B889="","",Paramètres!$B$26)</f>
        <v/>
      </c>
      <c r="G889" s="17" t="str">
        <f>IF('Classe 3e'!$B9="","",IF('Classe 3e'!D9="","",'Classe 3e'!D9))</f>
        <v/>
      </c>
      <c r="H889" s="78" t="str">
        <f>IF('Classe 3e'!$B9="","",IF('Classe 3e'!E9="","",'Classe 3e'!E9))</f>
        <v/>
      </c>
      <c r="I889" s="16" t="str">
        <f>IF('Classe 3e'!$B9="","",IF('Classe 3e'!F9="","",'Classe 3e'!F9))</f>
        <v/>
      </c>
      <c r="J889" s="16" t="str">
        <f>IF('Classe 3e'!$B9="","",IF('Classe 3e'!G9="","",'Classe 3e'!G9))</f>
        <v/>
      </c>
      <c r="K889" s="18" t="str">
        <f>IF('Classe 3e'!$B9="","",N('Classe 3e'!H9))</f>
        <v/>
      </c>
      <c r="L889" s="18" t="str">
        <f>IF('Classe 3e'!$B9="","",N('Classe 3e'!I9))</f>
        <v/>
      </c>
      <c r="M889" s="18" t="str">
        <f>IF('Classe 3e'!$B9="","",N('Classe 3e'!J9))</f>
        <v/>
      </c>
      <c r="N889" s="18" t="str">
        <f>IF('Classe 3e'!$B9="","",N('Classe 3e'!K9))</f>
        <v/>
      </c>
      <c r="O889" s="18" t="str">
        <f>IF('Classe 3e'!$B9="","",N('Classe 3e'!L9))</f>
        <v/>
      </c>
      <c r="P889" s="18" t="str">
        <f>IF('Classe 3e'!$B9="","",N('Classe 3e'!M9))</f>
        <v/>
      </c>
      <c r="Q889" s="17" t="str">
        <f>IF('Classe 3e'!$B9="","",IF('Classe 3e'!Q9="","",'Classe 3e'!Q9))</f>
        <v/>
      </c>
      <c r="R889" s="18" t="str">
        <f>IF('Classe 3e'!$B9="","",N('Classe 3e'!N9))</f>
        <v/>
      </c>
      <c r="S889" s="18" t="str">
        <f>IF('Classe 3e'!$B9="","",N('Classe 3e'!O9))</f>
        <v/>
      </c>
      <c r="T889" s="18" t="str">
        <f>IF('Classe 3e'!$B9="","",N('Classe 3e'!P9))</f>
        <v/>
      </c>
    </row>
    <row r="890">
      <c r="A890" s="20" t="str">
        <f>IF('Classe 3e'!$B10="","",IF('Classe 3e'!A10="","",'Classe 3e'!A10))</f>
        <v/>
      </c>
      <c r="B890" s="20" t="str">
        <f>IF('Classe 3e'!$B10="","",IF('Classe 3e'!B10="","",'Classe 3e'!B10))</f>
        <v/>
      </c>
      <c r="C890" s="20" t="str">
        <f>IF('Classe 3e'!$B10="","",IF('Classe 3e'!C10="","",'Classe 3e'!C10))</f>
        <v/>
      </c>
      <c r="D890" s="20" t="str">
        <f>IF($B890="","",C890&amp;" "&amp;B890&amp;" - "&amp;E890)</f>
        <v/>
      </c>
      <c r="E890" s="21" t="str">
        <f>IF($B890="","",Paramètres!$A$26)</f>
        <v/>
      </c>
      <c r="F890" s="21" t="str">
        <f>IF($B890="","",Paramètres!$B$26)</f>
        <v/>
      </c>
      <c r="G890" s="21" t="str">
        <f>IF('Classe 3e'!$B10="","",IF('Classe 3e'!D10="","",'Classe 3e'!D10))</f>
        <v/>
      </c>
      <c r="H890" s="77" t="str">
        <f>IF('Classe 3e'!$B10="","",IF('Classe 3e'!E10="","",'Classe 3e'!E10))</f>
        <v/>
      </c>
      <c r="I890" s="20" t="str">
        <f>IF('Classe 3e'!$B10="","",IF('Classe 3e'!F10="","",'Classe 3e'!F10))</f>
        <v/>
      </c>
      <c r="J890" s="20" t="str">
        <f>IF('Classe 3e'!$B10="","",IF('Classe 3e'!G10="","",'Classe 3e'!G10))</f>
        <v/>
      </c>
      <c r="K890" s="51" t="str">
        <f>IF('Classe 3e'!$B10="","",N('Classe 3e'!H10))</f>
        <v/>
      </c>
      <c r="L890" s="51" t="str">
        <f>IF('Classe 3e'!$B10="","",N('Classe 3e'!I10))</f>
        <v/>
      </c>
      <c r="M890" s="51" t="str">
        <f>IF('Classe 3e'!$B10="","",N('Classe 3e'!J10))</f>
        <v/>
      </c>
      <c r="N890" s="51" t="str">
        <f>IF('Classe 3e'!$B10="","",N('Classe 3e'!K10))</f>
        <v/>
      </c>
      <c r="O890" s="51" t="str">
        <f>IF('Classe 3e'!$B10="","",N('Classe 3e'!L10))</f>
        <v/>
      </c>
      <c r="P890" s="51" t="str">
        <f>IF('Classe 3e'!$B10="","",N('Classe 3e'!M10))</f>
        <v/>
      </c>
      <c r="Q890" s="21" t="str">
        <f>IF('Classe 3e'!$B10="","",IF('Classe 3e'!Q10="","",'Classe 3e'!Q10))</f>
        <v/>
      </c>
      <c r="R890" s="51" t="str">
        <f>IF('Classe 3e'!$B10="","",N('Classe 3e'!N10))</f>
        <v/>
      </c>
      <c r="S890" s="51" t="str">
        <f>IF('Classe 3e'!$B10="","",N('Classe 3e'!O10))</f>
        <v/>
      </c>
      <c r="T890" s="51" t="str">
        <f>IF('Classe 3e'!$B10="","",N('Classe 3e'!P10))</f>
        <v/>
      </c>
    </row>
    <row r="891">
      <c r="A891" s="16" t="str">
        <f>IF('Classe 3e'!$B11="","",IF('Classe 3e'!A11="","",'Classe 3e'!A11))</f>
        <v/>
      </c>
      <c r="B891" s="16" t="str">
        <f>IF('Classe 3e'!$B11="","",IF('Classe 3e'!B11="","",'Classe 3e'!B11))</f>
        <v/>
      </c>
      <c r="C891" s="16" t="str">
        <f>IF('Classe 3e'!$B11="","",IF('Classe 3e'!C11="","",'Classe 3e'!C11))</f>
        <v/>
      </c>
      <c r="D891" s="16" t="str">
        <f>IF($B891="","",C891&amp;" "&amp;B891&amp;" - "&amp;E891)</f>
        <v/>
      </c>
      <c r="E891" s="17" t="str">
        <f>IF($B891="","",Paramètres!$A$26)</f>
        <v/>
      </c>
      <c r="F891" s="17" t="str">
        <f>IF($B891="","",Paramètres!$B$26)</f>
        <v/>
      </c>
      <c r="G891" s="17" t="str">
        <f>IF('Classe 3e'!$B11="","",IF('Classe 3e'!D11="","",'Classe 3e'!D11))</f>
        <v/>
      </c>
      <c r="H891" s="78" t="str">
        <f>IF('Classe 3e'!$B11="","",IF('Classe 3e'!E11="","",'Classe 3e'!E11))</f>
        <v/>
      </c>
      <c r="I891" s="16" t="str">
        <f>IF('Classe 3e'!$B11="","",IF('Classe 3e'!F11="","",'Classe 3e'!F11))</f>
        <v/>
      </c>
      <c r="J891" s="16" t="str">
        <f>IF('Classe 3e'!$B11="","",IF('Classe 3e'!G11="","",'Classe 3e'!G11))</f>
        <v/>
      </c>
      <c r="K891" s="18" t="str">
        <f>IF('Classe 3e'!$B11="","",N('Classe 3e'!H11))</f>
        <v/>
      </c>
      <c r="L891" s="18" t="str">
        <f>IF('Classe 3e'!$B11="","",N('Classe 3e'!I11))</f>
        <v/>
      </c>
      <c r="M891" s="18" t="str">
        <f>IF('Classe 3e'!$B11="","",N('Classe 3e'!J11))</f>
        <v/>
      </c>
      <c r="N891" s="18" t="str">
        <f>IF('Classe 3e'!$B11="","",N('Classe 3e'!K11))</f>
        <v/>
      </c>
      <c r="O891" s="18" t="str">
        <f>IF('Classe 3e'!$B11="","",N('Classe 3e'!L11))</f>
        <v/>
      </c>
      <c r="P891" s="18" t="str">
        <f>IF('Classe 3e'!$B11="","",N('Classe 3e'!M11))</f>
        <v/>
      </c>
      <c r="Q891" s="17" t="str">
        <f>IF('Classe 3e'!$B11="","",IF('Classe 3e'!Q11="","",'Classe 3e'!Q11))</f>
        <v/>
      </c>
      <c r="R891" s="18" t="str">
        <f>IF('Classe 3e'!$B11="","",N('Classe 3e'!N11))</f>
        <v/>
      </c>
      <c r="S891" s="18" t="str">
        <f>IF('Classe 3e'!$B11="","",N('Classe 3e'!O11))</f>
        <v/>
      </c>
      <c r="T891" s="18" t="str">
        <f>IF('Classe 3e'!$B11="","",N('Classe 3e'!P11))</f>
        <v/>
      </c>
    </row>
    <row r="892">
      <c r="A892" s="20" t="str">
        <f>IF('Classe 3e'!$B12="","",IF('Classe 3e'!A12="","",'Classe 3e'!A12))</f>
        <v/>
      </c>
      <c r="B892" s="20" t="str">
        <f>IF('Classe 3e'!$B12="","",IF('Classe 3e'!B12="","",'Classe 3e'!B12))</f>
        <v/>
      </c>
      <c r="C892" s="20" t="str">
        <f>IF('Classe 3e'!$B12="","",IF('Classe 3e'!C12="","",'Classe 3e'!C12))</f>
        <v/>
      </c>
      <c r="D892" s="20" t="str">
        <f>IF($B892="","",C892&amp;" "&amp;B892&amp;" - "&amp;E892)</f>
        <v/>
      </c>
      <c r="E892" s="21" t="str">
        <f>IF($B892="","",Paramètres!$A$26)</f>
        <v/>
      </c>
      <c r="F892" s="21" t="str">
        <f>IF($B892="","",Paramètres!$B$26)</f>
        <v/>
      </c>
      <c r="G892" s="21" t="str">
        <f>IF('Classe 3e'!$B12="","",IF('Classe 3e'!D12="","",'Classe 3e'!D12))</f>
        <v/>
      </c>
      <c r="H892" s="77" t="str">
        <f>IF('Classe 3e'!$B12="","",IF('Classe 3e'!E12="","",'Classe 3e'!E12))</f>
        <v/>
      </c>
      <c r="I892" s="20" t="str">
        <f>IF('Classe 3e'!$B12="","",IF('Classe 3e'!F12="","",'Classe 3e'!F12))</f>
        <v/>
      </c>
      <c r="J892" s="20" t="str">
        <f>IF('Classe 3e'!$B12="","",IF('Classe 3e'!G12="","",'Classe 3e'!G12))</f>
        <v/>
      </c>
      <c r="K892" s="51" t="str">
        <f>IF('Classe 3e'!$B12="","",N('Classe 3e'!H12))</f>
        <v/>
      </c>
      <c r="L892" s="51" t="str">
        <f>IF('Classe 3e'!$B12="","",N('Classe 3e'!I12))</f>
        <v/>
      </c>
      <c r="M892" s="51" t="str">
        <f>IF('Classe 3e'!$B12="","",N('Classe 3e'!J12))</f>
        <v/>
      </c>
      <c r="N892" s="51" t="str">
        <f>IF('Classe 3e'!$B12="","",N('Classe 3e'!K12))</f>
        <v/>
      </c>
      <c r="O892" s="51" t="str">
        <f>IF('Classe 3e'!$B12="","",N('Classe 3e'!L12))</f>
        <v/>
      </c>
      <c r="P892" s="51" t="str">
        <f>IF('Classe 3e'!$B12="","",N('Classe 3e'!M12))</f>
        <v/>
      </c>
      <c r="Q892" s="21" t="str">
        <f>IF('Classe 3e'!$B12="","",IF('Classe 3e'!Q12="","",'Classe 3e'!Q12))</f>
        <v/>
      </c>
      <c r="R892" s="51" t="str">
        <f>IF('Classe 3e'!$B12="","",N('Classe 3e'!N12))</f>
        <v/>
      </c>
      <c r="S892" s="51" t="str">
        <f>IF('Classe 3e'!$B12="","",N('Classe 3e'!O12))</f>
        <v/>
      </c>
      <c r="T892" s="51" t="str">
        <f>IF('Classe 3e'!$B12="","",N('Classe 3e'!P12))</f>
        <v/>
      </c>
    </row>
    <row r="893">
      <c r="A893" s="16" t="str">
        <f>IF('Classe 3e'!$B13="","",IF('Classe 3e'!A13="","",'Classe 3e'!A13))</f>
        <v/>
      </c>
      <c r="B893" s="16" t="str">
        <f>IF('Classe 3e'!$B13="","",IF('Classe 3e'!B13="","",'Classe 3e'!B13))</f>
        <v/>
      </c>
      <c r="C893" s="16" t="str">
        <f>IF('Classe 3e'!$B13="","",IF('Classe 3e'!C13="","",'Classe 3e'!C13))</f>
        <v/>
      </c>
      <c r="D893" s="16" t="str">
        <f>IF($B893="","",C893&amp;" "&amp;B893&amp;" - "&amp;E893)</f>
        <v/>
      </c>
      <c r="E893" s="17" t="str">
        <f>IF($B893="","",Paramètres!$A$26)</f>
        <v/>
      </c>
      <c r="F893" s="17" t="str">
        <f>IF($B893="","",Paramètres!$B$26)</f>
        <v/>
      </c>
      <c r="G893" s="17" t="str">
        <f>IF('Classe 3e'!$B13="","",IF('Classe 3e'!D13="","",'Classe 3e'!D13))</f>
        <v/>
      </c>
      <c r="H893" s="78" t="str">
        <f>IF('Classe 3e'!$B13="","",IF('Classe 3e'!E13="","",'Classe 3e'!E13))</f>
        <v/>
      </c>
      <c r="I893" s="16" t="str">
        <f>IF('Classe 3e'!$B13="","",IF('Classe 3e'!F13="","",'Classe 3e'!F13))</f>
        <v/>
      </c>
      <c r="J893" s="16" t="str">
        <f>IF('Classe 3e'!$B13="","",IF('Classe 3e'!G13="","",'Classe 3e'!G13))</f>
        <v/>
      </c>
      <c r="K893" s="18" t="str">
        <f>IF('Classe 3e'!$B13="","",N('Classe 3e'!H13))</f>
        <v/>
      </c>
      <c r="L893" s="18" t="str">
        <f>IF('Classe 3e'!$B13="","",N('Classe 3e'!I13))</f>
        <v/>
      </c>
      <c r="M893" s="18" t="str">
        <f>IF('Classe 3e'!$B13="","",N('Classe 3e'!J13))</f>
        <v/>
      </c>
      <c r="N893" s="18" t="str">
        <f>IF('Classe 3e'!$B13="","",N('Classe 3e'!K13))</f>
        <v/>
      </c>
      <c r="O893" s="18" t="str">
        <f>IF('Classe 3e'!$B13="","",N('Classe 3e'!L13))</f>
        <v/>
      </c>
      <c r="P893" s="18" t="str">
        <f>IF('Classe 3e'!$B13="","",N('Classe 3e'!M13))</f>
        <v/>
      </c>
      <c r="Q893" s="17" t="str">
        <f>IF('Classe 3e'!$B13="","",IF('Classe 3e'!Q13="","",'Classe 3e'!Q13))</f>
        <v/>
      </c>
      <c r="R893" s="18" t="str">
        <f>IF('Classe 3e'!$B13="","",N('Classe 3e'!N13))</f>
        <v/>
      </c>
      <c r="S893" s="18" t="str">
        <f>IF('Classe 3e'!$B13="","",N('Classe 3e'!O13))</f>
        <v/>
      </c>
      <c r="T893" s="18" t="str">
        <f>IF('Classe 3e'!$B13="","",N('Classe 3e'!P13))</f>
        <v/>
      </c>
    </row>
    <row r="894">
      <c r="A894" s="20" t="str">
        <f>IF('Classe 3e'!$B14="","",IF('Classe 3e'!A14="","",'Classe 3e'!A14))</f>
        <v/>
      </c>
      <c r="B894" s="20" t="str">
        <f>IF('Classe 3e'!$B14="","",IF('Classe 3e'!B14="","",'Classe 3e'!B14))</f>
        <v/>
      </c>
      <c r="C894" s="20" t="str">
        <f>IF('Classe 3e'!$B14="","",IF('Classe 3e'!C14="","",'Classe 3e'!C14))</f>
        <v/>
      </c>
      <c r="D894" s="20" t="str">
        <f>IF($B894="","",C894&amp;" "&amp;B894&amp;" - "&amp;E894)</f>
        <v/>
      </c>
      <c r="E894" s="21" t="str">
        <f>IF($B894="","",Paramètres!$A$26)</f>
        <v/>
      </c>
      <c r="F894" s="21" t="str">
        <f>IF($B894="","",Paramètres!$B$26)</f>
        <v/>
      </c>
      <c r="G894" s="21" t="str">
        <f>IF('Classe 3e'!$B14="","",IF('Classe 3e'!D14="","",'Classe 3e'!D14))</f>
        <v/>
      </c>
      <c r="H894" s="77" t="str">
        <f>IF('Classe 3e'!$B14="","",IF('Classe 3e'!E14="","",'Classe 3e'!E14))</f>
        <v/>
      </c>
      <c r="I894" s="20" t="str">
        <f>IF('Classe 3e'!$B14="","",IF('Classe 3e'!F14="","",'Classe 3e'!F14))</f>
        <v/>
      </c>
      <c r="J894" s="20" t="str">
        <f>IF('Classe 3e'!$B14="","",IF('Classe 3e'!G14="","",'Classe 3e'!G14))</f>
        <v/>
      </c>
      <c r="K894" s="51" t="str">
        <f>IF('Classe 3e'!$B14="","",N('Classe 3e'!H14))</f>
        <v/>
      </c>
      <c r="L894" s="51" t="str">
        <f>IF('Classe 3e'!$B14="","",N('Classe 3e'!I14))</f>
        <v/>
      </c>
      <c r="M894" s="51" t="str">
        <f>IF('Classe 3e'!$B14="","",N('Classe 3e'!J14))</f>
        <v/>
      </c>
      <c r="N894" s="51" t="str">
        <f>IF('Classe 3e'!$B14="","",N('Classe 3e'!K14))</f>
        <v/>
      </c>
      <c r="O894" s="51" t="str">
        <f>IF('Classe 3e'!$B14="","",N('Classe 3e'!L14))</f>
        <v/>
      </c>
      <c r="P894" s="51" t="str">
        <f>IF('Classe 3e'!$B14="","",N('Classe 3e'!M14))</f>
        <v/>
      </c>
      <c r="Q894" s="21" t="str">
        <f>IF('Classe 3e'!$B14="","",IF('Classe 3e'!Q14="","",'Classe 3e'!Q14))</f>
        <v/>
      </c>
      <c r="R894" s="51" t="str">
        <f>IF('Classe 3e'!$B14="","",N('Classe 3e'!N14))</f>
        <v/>
      </c>
      <c r="S894" s="51" t="str">
        <f>IF('Classe 3e'!$B14="","",N('Classe 3e'!O14))</f>
        <v/>
      </c>
      <c r="T894" s="51" t="str">
        <f>IF('Classe 3e'!$B14="","",N('Classe 3e'!P14))</f>
        <v/>
      </c>
    </row>
    <row r="895">
      <c r="A895" s="16" t="str">
        <f>IF('Classe 3e'!$B15="","",IF('Classe 3e'!A15="","",'Classe 3e'!A15))</f>
        <v/>
      </c>
      <c r="B895" s="16" t="str">
        <f>IF('Classe 3e'!$B15="","",IF('Classe 3e'!B15="","",'Classe 3e'!B15))</f>
        <v/>
      </c>
      <c r="C895" s="16" t="str">
        <f>IF('Classe 3e'!$B15="","",IF('Classe 3e'!C15="","",'Classe 3e'!C15))</f>
        <v/>
      </c>
      <c r="D895" s="16" t="str">
        <f>IF($B895="","",C895&amp;" "&amp;B895&amp;" - "&amp;E895)</f>
        <v/>
      </c>
      <c r="E895" s="17" t="str">
        <f>IF($B895="","",Paramètres!$A$26)</f>
        <v/>
      </c>
      <c r="F895" s="17" t="str">
        <f>IF($B895="","",Paramètres!$B$26)</f>
        <v/>
      </c>
      <c r="G895" s="17" t="str">
        <f>IF('Classe 3e'!$B15="","",IF('Classe 3e'!D15="","",'Classe 3e'!D15))</f>
        <v/>
      </c>
      <c r="H895" s="78" t="str">
        <f>IF('Classe 3e'!$B15="","",IF('Classe 3e'!E15="","",'Classe 3e'!E15))</f>
        <v/>
      </c>
      <c r="I895" s="16" t="str">
        <f>IF('Classe 3e'!$B15="","",IF('Classe 3e'!F15="","",'Classe 3e'!F15))</f>
        <v/>
      </c>
      <c r="J895" s="16" t="str">
        <f>IF('Classe 3e'!$B15="","",IF('Classe 3e'!G15="","",'Classe 3e'!G15))</f>
        <v/>
      </c>
      <c r="K895" s="18" t="str">
        <f>IF('Classe 3e'!$B15="","",N('Classe 3e'!H15))</f>
        <v/>
      </c>
      <c r="L895" s="18" t="str">
        <f>IF('Classe 3e'!$B15="","",N('Classe 3e'!I15))</f>
        <v/>
      </c>
      <c r="M895" s="18" t="str">
        <f>IF('Classe 3e'!$B15="","",N('Classe 3e'!J15))</f>
        <v/>
      </c>
      <c r="N895" s="18" t="str">
        <f>IF('Classe 3e'!$B15="","",N('Classe 3e'!K15))</f>
        <v/>
      </c>
      <c r="O895" s="18" t="str">
        <f>IF('Classe 3e'!$B15="","",N('Classe 3e'!L15))</f>
        <v/>
      </c>
      <c r="P895" s="18" t="str">
        <f>IF('Classe 3e'!$B15="","",N('Classe 3e'!M15))</f>
        <v/>
      </c>
      <c r="Q895" s="17" t="str">
        <f>IF('Classe 3e'!$B15="","",IF('Classe 3e'!Q15="","",'Classe 3e'!Q15))</f>
        <v/>
      </c>
      <c r="R895" s="18" t="str">
        <f>IF('Classe 3e'!$B15="","",N('Classe 3e'!N15))</f>
        <v/>
      </c>
      <c r="S895" s="18" t="str">
        <f>IF('Classe 3e'!$B15="","",N('Classe 3e'!O15))</f>
        <v/>
      </c>
      <c r="T895" s="18" t="str">
        <f>IF('Classe 3e'!$B15="","",N('Classe 3e'!P15))</f>
        <v/>
      </c>
    </row>
    <row r="896">
      <c r="A896" s="20" t="str">
        <f>IF('Classe 3e'!$B16="","",IF('Classe 3e'!A16="","",'Classe 3e'!A16))</f>
        <v/>
      </c>
      <c r="B896" s="20" t="str">
        <f>IF('Classe 3e'!$B16="","",IF('Classe 3e'!B16="","",'Classe 3e'!B16))</f>
        <v/>
      </c>
      <c r="C896" s="20" t="str">
        <f>IF('Classe 3e'!$B16="","",IF('Classe 3e'!C16="","",'Classe 3e'!C16))</f>
        <v/>
      </c>
      <c r="D896" s="20" t="str">
        <f>IF($B896="","",C896&amp;" "&amp;B896&amp;" - "&amp;E896)</f>
        <v/>
      </c>
      <c r="E896" s="21" t="str">
        <f>IF($B896="","",Paramètres!$A$26)</f>
        <v/>
      </c>
      <c r="F896" s="21" t="str">
        <f>IF($B896="","",Paramètres!$B$26)</f>
        <v/>
      </c>
      <c r="G896" s="21" t="str">
        <f>IF('Classe 3e'!$B16="","",IF('Classe 3e'!D16="","",'Classe 3e'!D16))</f>
        <v/>
      </c>
      <c r="H896" s="77" t="str">
        <f>IF('Classe 3e'!$B16="","",IF('Classe 3e'!E16="","",'Classe 3e'!E16))</f>
        <v/>
      </c>
      <c r="I896" s="20" t="str">
        <f>IF('Classe 3e'!$B16="","",IF('Classe 3e'!F16="","",'Classe 3e'!F16))</f>
        <v/>
      </c>
      <c r="J896" s="20" t="str">
        <f>IF('Classe 3e'!$B16="","",IF('Classe 3e'!G16="","",'Classe 3e'!G16))</f>
        <v/>
      </c>
      <c r="K896" s="51" t="str">
        <f>IF('Classe 3e'!$B16="","",N('Classe 3e'!H16))</f>
        <v/>
      </c>
      <c r="L896" s="51" t="str">
        <f>IF('Classe 3e'!$B16="","",N('Classe 3e'!I16))</f>
        <v/>
      </c>
      <c r="M896" s="51" t="str">
        <f>IF('Classe 3e'!$B16="","",N('Classe 3e'!J16))</f>
        <v/>
      </c>
      <c r="N896" s="51" t="str">
        <f>IF('Classe 3e'!$B16="","",N('Classe 3e'!K16))</f>
        <v/>
      </c>
      <c r="O896" s="51" t="str">
        <f>IF('Classe 3e'!$B16="","",N('Classe 3e'!L16))</f>
        <v/>
      </c>
      <c r="P896" s="51" t="str">
        <f>IF('Classe 3e'!$B16="","",N('Classe 3e'!M16))</f>
        <v/>
      </c>
      <c r="Q896" s="21" t="str">
        <f>IF('Classe 3e'!$B16="","",IF('Classe 3e'!Q16="","",'Classe 3e'!Q16))</f>
        <v/>
      </c>
      <c r="R896" s="51" t="str">
        <f>IF('Classe 3e'!$B16="","",N('Classe 3e'!N16))</f>
        <v/>
      </c>
      <c r="S896" s="51" t="str">
        <f>IF('Classe 3e'!$B16="","",N('Classe 3e'!O16))</f>
        <v/>
      </c>
      <c r="T896" s="51" t="str">
        <f>IF('Classe 3e'!$B16="","",N('Classe 3e'!P16))</f>
        <v/>
      </c>
    </row>
    <row r="897">
      <c r="A897" s="16" t="str">
        <f>IF('Classe 3e'!$B17="","",IF('Classe 3e'!A17="","",'Classe 3e'!A17))</f>
        <v/>
      </c>
      <c r="B897" s="16" t="str">
        <f>IF('Classe 3e'!$B17="","",IF('Classe 3e'!B17="","",'Classe 3e'!B17))</f>
        <v/>
      </c>
      <c r="C897" s="16" t="str">
        <f>IF('Classe 3e'!$B17="","",IF('Classe 3e'!C17="","",'Classe 3e'!C17))</f>
        <v/>
      </c>
      <c r="D897" s="16" t="str">
        <f>IF($B897="","",C897&amp;" "&amp;B897&amp;" - "&amp;E897)</f>
        <v/>
      </c>
      <c r="E897" s="17" t="str">
        <f>IF($B897="","",Paramètres!$A$26)</f>
        <v/>
      </c>
      <c r="F897" s="17" t="str">
        <f>IF($B897="","",Paramètres!$B$26)</f>
        <v/>
      </c>
      <c r="G897" s="17" t="str">
        <f>IF('Classe 3e'!$B17="","",IF('Classe 3e'!D17="","",'Classe 3e'!D17))</f>
        <v/>
      </c>
      <c r="H897" s="78" t="str">
        <f>IF('Classe 3e'!$B17="","",IF('Classe 3e'!E17="","",'Classe 3e'!E17))</f>
        <v/>
      </c>
      <c r="I897" s="16" t="str">
        <f>IF('Classe 3e'!$B17="","",IF('Classe 3e'!F17="","",'Classe 3e'!F17))</f>
        <v/>
      </c>
      <c r="J897" s="16" t="str">
        <f>IF('Classe 3e'!$B17="","",IF('Classe 3e'!G17="","",'Classe 3e'!G17))</f>
        <v/>
      </c>
      <c r="K897" s="18" t="str">
        <f>IF('Classe 3e'!$B17="","",N('Classe 3e'!H17))</f>
        <v/>
      </c>
      <c r="L897" s="18" t="str">
        <f>IF('Classe 3e'!$B17="","",N('Classe 3e'!I17))</f>
        <v/>
      </c>
      <c r="M897" s="18" t="str">
        <f>IF('Classe 3e'!$B17="","",N('Classe 3e'!J17))</f>
        <v/>
      </c>
      <c r="N897" s="18" t="str">
        <f>IF('Classe 3e'!$B17="","",N('Classe 3e'!K17))</f>
        <v/>
      </c>
      <c r="O897" s="18" t="str">
        <f>IF('Classe 3e'!$B17="","",N('Classe 3e'!L17))</f>
        <v/>
      </c>
      <c r="P897" s="18" t="str">
        <f>IF('Classe 3e'!$B17="","",N('Classe 3e'!M17))</f>
        <v/>
      </c>
      <c r="Q897" s="17" t="str">
        <f>IF('Classe 3e'!$B17="","",IF('Classe 3e'!Q17="","",'Classe 3e'!Q17))</f>
        <v/>
      </c>
      <c r="R897" s="18" t="str">
        <f>IF('Classe 3e'!$B17="","",N('Classe 3e'!N17))</f>
        <v/>
      </c>
      <c r="S897" s="18" t="str">
        <f>IF('Classe 3e'!$B17="","",N('Classe 3e'!O17))</f>
        <v/>
      </c>
      <c r="T897" s="18" t="str">
        <f>IF('Classe 3e'!$B17="","",N('Classe 3e'!P17))</f>
        <v/>
      </c>
    </row>
    <row r="898">
      <c r="A898" s="20" t="str">
        <f>IF('Classe 3e'!$B18="","",IF('Classe 3e'!A18="","",'Classe 3e'!A18))</f>
        <v/>
      </c>
      <c r="B898" s="20" t="str">
        <f>IF('Classe 3e'!$B18="","",IF('Classe 3e'!B18="","",'Classe 3e'!B18))</f>
        <v/>
      </c>
      <c r="C898" s="20" t="str">
        <f>IF('Classe 3e'!$B18="","",IF('Classe 3e'!C18="","",'Classe 3e'!C18))</f>
        <v/>
      </c>
      <c r="D898" s="20" t="str">
        <f>IF($B898="","",C898&amp;" "&amp;B898&amp;" - "&amp;E898)</f>
        <v/>
      </c>
      <c r="E898" s="21" t="str">
        <f>IF($B898="","",Paramètres!$A$26)</f>
        <v/>
      </c>
      <c r="F898" s="21" t="str">
        <f>IF($B898="","",Paramètres!$B$26)</f>
        <v/>
      </c>
      <c r="G898" s="21" t="str">
        <f>IF('Classe 3e'!$B18="","",IF('Classe 3e'!D18="","",'Classe 3e'!D18))</f>
        <v/>
      </c>
      <c r="H898" s="77" t="str">
        <f>IF('Classe 3e'!$B18="","",IF('Classe 3e'!E18="","",'Classe 3e'!E18))</f>
        <v/>
      </c>
      <c r="I898" s="20" t="str">
        <f>IF('Classe 3e'!$B18="","",IF('Classe 3e'!F18="","",'Classe 3e'!F18))</f>
        <v/>
      </c>
      <c r="J898" s="20" t="str">
        <f>IF('Classe 3e'!$B18="","",IF('Classe 3e'!G18="","",'Classe 3e'!G18))</f>
        <v/>
      </c>
      <c r="K898" s="51" t="str">
        <f>IF('Classe 3e'!$B18="","",N('Classe 3e'!H18))</f>
        <v/>
      </c>
      <c r="L898" s="51" t="str">
        <f>IF('Classe 3e'!$B18="","",N('Classe 3e'!I18))</f>
        <v/>
      </c>
      <c r="M898" s="51" t="str">
        <f>IF('Classe 3e'!$B18="","",N('Classe 3e'!J18))</f>
        <v/>
      </c>
      <c r="N898" s="51" t="str">
        <f>IF('Classe 3e'!$B18="","",N('Classe 3e'!K18))</f>
        <v/>
      </c>
      <c r="O898" s="51" t="str">
        <f>IF('Classe 3e'!$B18="","",N('Classe 3e'!L18))</f>
        <v/>
      </c>
      <c r="P898" s="51" t="str">
        <f>IF('Classe 3e'!$B18="","",N('Classe 3e'!M18))</f>
        <v/>
      </c>
      <c r="Q898" s="21" t="str">
        <f>IF('Classe 3e'!$B18="","",IF('Classe 3e'!Q18="","",'Classe 3e'!Q18))</f>
        <v/>
      </c>
      <c r="R898" s="51" t="str">
        <f>IF('Classe 3e'!$B18="","",N('Classe 3e'!N18))</f>
        <v/>
      </c>
      <c r="S898" s="51" t="str">
        <f>IF('Classe 3e'!$B18="","",N('Classe 3e'!O18))</f>
        <v/>
      </c>
      <c r="T898" s="51" t="str">
        <f>IF('Classe 3e'!$B18="","",N('Classe 3e'!P18))</f>
        <v/>
      </c>
    </row>
    <row r="899">
      <c r="A899" s="16" t="str">
        <f>IF('Classe 3e'!$B19="","",IF('Classe 3e'!A19="","",'Classe 3e'!A19))</f>
        <v/>
      </c>
      <c r="B899" s="16" t="str">
        <f>IF('Classe 3e'!$B19="","",IF('Classe 3e'!B19="","",'Classe 3e'!B19))</f>
        <v/>
      </c>
      <c r="C899" s="16" t="str">
        <f>IF('Classe 3e'!$B19="","",IF('Classe 3e'!C19="","",'Classe 3e'!C19))</f>
        <v/>
      </c>
      <c r="D899" s="16" t="str">
        <f>IF($B899="","",C899&amp;" "&amp;B899&amp;" - "&amp;E899)</f>
        <v/>
      </c>
      <c r="E899" s="17" t="str">
        <f>IF($B899="","",Paramètres!$A$26)</f>
        <v/>
      </c>
      <c r="F899" s="17" t="str">
        <f>IF($B899="","",Paramètres!$B$26)</f>
        <v/>
      </c>
      <c r="G899" s="17" t="str">
        <f>IF('Classe 3e'!$B19="","",IF('Classe 3e'!D19="","",'Classe 3e'!D19))</f>
        <v/>
      </c>
      <c r="H899" s="78" t="str">
        <f>IF('Classe 3e'!$B19="","",IF('Classe 3e'!E19="","",'Classe 3e'!E19))</f>
        <v/>
      </c>
      <c r="I899" s="16" t="str">
        <f>IF('Classe 3e'!$B19="","",IF('Classe 3e'!F19="","",'Classe 3e'!F19))</f>
        <v/>
      </c>
      <c r="J899" s="16" t="str">
        <f>IF('Classe 3e'!$B19="","",IF('Classe 3e'!G19="","",'Classe 3e'!G19))</f>
        <v/>
      </c>
      <c r="K899" s="18" t="str">
        <f>IF('Classe 3e'!$B19="","",N('Classe 3e'!H19))</f>
        <v/>
      </c>
      <c r="L899" s="18" t="str">
        <f>IF('Classe 3e'!$B19="","",N('Classe 3e'!I19))</f>
        <v/>
      </c>
      <c r="M899" s="18" t="str">
        <f>IF('Classe 3e'!$B19="","",N('Classe 3e'!J19))</f>
        <v/>
      </c>
      <c r="N899" s="18" t="str">
        <f>IF('Classe 3e'!$B19="","",N('Classe 3e'!K19))</f>
        <v/>
      </c>
      <c r="O899" s="18" t="str">
        <f>IF('Classe 3e'!$B19="","",N('Classe 3e'!L19))</f>
        <v/>
      </c>
      <c r="P899" s="18" t="str">
        <f>IF('Classe 3e'!$B19="","",N('Classe 3e'!M19))</f>
        <v/>
      </c>
      <c r="Q899" s="17" t="str">
        <f>IF('Classe 3e'!$B19="","",IF('Classe 3e'!Q19="","",'Classe 3e'!Q19))</f>
        <v/>
      </c>
      <c r="R899" s="18" t="str">
        <f>IF('Classe 3e'!$B19="","",N('Classe 3e'!N19))</f>
        <v/>
      </c>
      <c r="S899" s="18" t="str">
        <f>IF('Classe 3e'!$B19="","",N('Classe 3e'!O19))</f>
        <v/>
      </c>
      <c r="T899" s="18" t="str">
        <f>IF('Classe 3e'!$B19="","",N('Classe 3e'!P19))</f>
        <v/>
      </c>
    </row>
    <row r="900">
      <c r="A900" s="20" t="str">
        <f>IF('Classe 3e'!$B20="","",IF('Classe 3e'!A20="","",'Classe 3e'!A20))</f>
        <v/>
      </c>
      <c r="B900" s="20" t="str">
        <f>IF('Classe 3e'!$B20="","",IF('Classe 3e'!B20="","",'Classe 3e'!B20))</f>
        <v/>
      </c>
      <c r="C900" s="20" t="str">
        <f>IF('Classe 3e'!$B20="","",IF('Classe 3e'!C20="","",'Classe 3e'!C20))</f>
        <v/>
      </c>
      <c r="D900" s="20" t="str">
        <f>IF($B900="","",C900&amp;" "&amp;B900&amp;" - "&amp;E900)</f>
        <v/>
      </c>
      <c r="E900" s="21" t="str">
        <f>IF($B900="","",Paramètres!$A$26)</f>
        <v/>
      </c>
      <c r="F900" s="21" t="str">
        <f>IF($B900="","",Paramètres!$B$26)</f>
        <v/>
      </c>
      <c r="G900" s="21" t="str">
        <f>IF('Classe 3e'!$B20="","",IF('Classe 3e'!D20="","",'Classe 3e'!D20))</f>
        <v/>
      </c>
      <c r="H900" s="77" t="str">
        <f>IF('Classe 3e'!$B20="","",IF('Classe 3e'!E20="","",'Classe 3e'!E20))</f>
        <v/>
      </c>
      <c r="I900" s="20" t="str">
        <f>IF('Classe 3e'!$B20="","",IF('Classe 3e'!F20="","",'Classe 3e'!F20))</f>
        <v/>
      </c>
      <c r="J900" s="20" t="str">
        <f>IF('Classe 3e'!$B20="","",IF('Classe 3e'!G20="","",'Classe 3e'!G20))</f>
        <v/>
      </c>
      <c r="K900" s="51" t="str">
        <f>IF('Classe 3e'!$B20="","",N('Classe 3e'!H20))</f>
        <v/>
      </c>
      <c r="L900" s="51" t="str">
        <f>IF('Classe 3e'!$B20="","",N('Classe 3e'!I20))</f>
        <v/>
      </c>
      <c r="M900" s="51" t="str">
        <f>IF('Classe 3e'!$B20="","",N('Classe 3e'!J20))</f>
        <v/>
      </c>
      <c r="N900" s="51" t="str">
        <f>IF('Classe 3e'!$B20="","",N('Classe 3e'!K20))</f>
        <v/>
      </c>
      <c r="O900" s="51" t="str">
        <f>IF('Classe 3e'!$B20="","",N('Classe 3e'!L20))</f>
        <v/>
      </c>
      <c r="P900" s="51" t="str">
        <f>IF('Classe 3e'!$B20="","",N('Classe 3e'!M20))</f>
        <v/>
      </c>
      <c r="Q900" s="21" t="str">
        <f>IF('Classe 3e'!$B20="","",IF('Classe 3e'!Q20="","",'Classe 3e'!Q20))</f>
        <v/>
      </c>
      <c r="R900" s="51" t="str">
        <f>IF('Classe 3e'!$B20="","",N('Classe 3e'!N20))</f>
        <v/>
      </c>
      <c r="S900" s="51" t="str">
        <f>IF('Classe 3e'!$B20="","",N('Classe 3e'!O20))</f>
        <v/>
      </c>
      <c r="T900" s="51" t="str">
        <f>IF('Classe 3e'!$B20="","",N('Classe 3e'!P20))</f>
        <v/>
      </c>
    </row>
    <row r="901">
      <c r="A901" s="16" t="str">
        <f>IF('Classe 3e'!$B21="","",IF('Classe 3e'!A21="","",'Classe 3e'!A21))</f>
        <v/>
      </c>
      <c r="B901" s="16" t="str">
        <f>IF('Classe 3e'!$B21="","",IF('Classe 3e'!B21="","",'Classe 3e'!B21))</f>
        <v/>
      </c>
      <c r="C901" s="16" t="str">
        <f>IF('Classe 3e'!$B21="","",IF('Classe 3e'!C21="","",'Classe 3e'!C21))</f>
        <v/>
      </c>
      <c r="D901" s="16" t="str">
        <f>IF($B901="","",C901&amp;" "&amp;B901&amp;" - "&amp;E901)</f>
        <v/>
      </c>
      <c r="E901" s="17" t="str">
        <f>IF($B901="","",Paramètres!$A$26)</f>
        <v/>
      </c>
      <c r="F901" s="17" t="str">
        <f>IF($B901="","",Paramètres!$B$26)</f>
        <v/>
      </c>
      <c r="G901" s="17" t="str">
        <f>IF('Classe 3e'!$B21="","",IF('Classe 3e'!D21="","",'Classe 3e'!D21))</f>
        <v/>
      </c>
      <c r="H901" s="78" t="str">
        <f>IF('Classe 3e'!$B21="","",IF('Classe 3e'!E21="","",'Classe 3e'!E21))</f>
        <v/>
      </c>
      <c r="I901" s="16" t="str">
        <f>IF('Classe 3e'!$B21="","",IF('Classe 3e'!F21="","",'Classe 3e'!F21))</f>
        <v/>
      </c>
      <c r="J901" s="16" t="str">
        <f>IF('Classe 3e'!$B21="","",IF('Classe 3e'!G21="","",'Classe 3e'!G21))</f>
        <v/>
      </c>
      <c r="K901" s="18" t="str">
        <f>IF('Classe 3e'!$B21="","",N('Classe 3e'!H21))</f>
        <v/>
      </c>
      <c r="L901" s="18" t="str">
        <f>IF('Classe 3e'!$B21="","",N('Classe 3e'!I21))</f>
        <v/>
      </c>
      <c r="M901" s="18" t="str">
        <f>IF('Classe 3e'!$B21="","",N('Classe 3e'!J21))</f>
        <v/>
      </c>
      <c r="N901" s="18" t="str">
        <f>IF('Classe 3e'!$B21="","",N('Classe 3e'!K21))</f>
        <v/>
      </c>
      <c r="O901" s="18" t="str">
        <f>IF('Classe 3e'!$B21="","",N('Classe 3e'!L21))</f>
        <v/>
      </c>
      <c r="P901" s="18" t="str">
        <f>IF('Classe 3e'!$B21="","",N('Classe 3e'!M21))</f>
        <v/>
      </c>
      <c r="Q901" s="17" t="str">
        <f>IF('Classe 3e'!$B21="","",IF('Classe 3e'!Q21="","",'Classe 3e'!Q21))</f>
        <v/>
      </c>
      <c r="R901" s="18" t="str">
        <f>IF('Classe 3e'!$B21="","",N('Classe 3e'!N21))</f>
        <v/>
      </c>
      <c r="S901" s="18" t="str">
        <f>IF('Classe 3e'!$B21="","",N('Classe 3e'!O21))</f>
        <v/>
      </c>
      <c r="T901" s="18" t="str">
        <f>IF('Classe 3e'!$B21="","",N('Classe 3e'!P21))</f>
        <v/>
      </c>
    </row>
    <row r="902">
      <c r="A902" s="20" t="str">
        <f>IF('Classe 3e'!$B22="","",IF('Classe 3e'!A22="","",'Classe 3e'!A22))</f>
        <v/>
      </c>
      <c r="B902" s="20" t="str">
        <f>IF('Classe 3e'!$B22="","",IF('Classe 3e'!B22="","",'Classe 3e'!B22))</f>
        <v/>
      </c>
      <c r="C902" s="20" t="str">
        <f>IF('Classe 3e'!$B22="","",IF('Classe 3e'!C22="","",'Classe 3e'!C22))</f>
        <v/>
      </c>
      <c r="D902" s="20" t="str">
        <f>IF($B902="","",C902&amp;" "&amp;B902&amp;" - "&amp;E902)</f>
        <v/>
      </c>
      <c r="E902" s="21" t="str">
        <f>IF($B902="","",Paramètres!$A$26)</f>
        <v/>
      </c>
      <c r="F902" s="21" t="str">
        <f>IF($B902="","",Paramètres!$B$26)</f>
        <v/>
      </c>
      <c r="G902" s="21" t="str">
        <f>IF('Classe 3e'!$B22="","",IF('Classe 3e'!D22="","",'Classe 3e'!D22))</f>
        <v/>
      </c>
      <c r="H902" s="77" t="str">
        <f>IF('Classe 3e'!$B22="","",IF('Classe 3e'!E22="","",'Classe 3e'!E22))</f>
        <v/>
      </c>
      <c r="I902" s="20" t="str">
        <f>IF('Classe 3e'!$B22="","",IF('Classe 3e'!F22="","",'Classe 3e'!F22))</f>
        <v/>
      </c>
      <c r="J902" s="20" t="str">
        <f>IF('Classe 3e'!$B22="","",IF('Classe 3e'!G22="","",'Classe 3e'!G22))</f>
        <v/>
      </c>
      <c r="K902" s="51" t="str">
        <f>IF('Classe 3e'!$B22="","",N('Classe 3e'!H22))</f>
        <v/>
      </c>
      <c r="L902" s="51" t="str">
        <f>IF('Classe 3e'!$B22="","",N('Classe 3e'!I22))</f>
        <v/>
      </c>
      <c r="M902" s="51" t="str">
        <f>IF('Classe 3e'!$B22="","",N('Classe 3e'!J22))</f>
        <v/>
      </c>
      <c r="N902" s="51" t="str">
        <f>IF('Classe 3e'!$B22="","",N('Classe 3e'!K22))</f>
        <v/>
      </c>
      <c r="O902" s="51" t="str">
        <f>IF('Classe 3e'!$B22="","",N('Classe 3e'!L22))</f>
        <v/>
      </c>
      <c r="P902" s="51" t="str">
        <f>IF('Classe 3e'!$B22="","",N('Classe 3e'!M22))</f>
        <v/>
      </c>
      <c r="Q902" s="21" t="str">
        <f>IF('Classe 3e'!$B22="","",IF('Classe 3e'!Q22="","",'Classe 3e'!Q22))</f>
        <v/>
      </c>
      <c r="R902" s="51" t="str">
        <f>IF('Classe 3e'!$B22="","",N('Classe 3e'!N22))</f>
        <v/>
      </c>
      <c r="S902" s="51" t="str">
        <f>IF('Classe 3e'!$B22="","",N('Classe 3e'!O22))</f>
        <v/>
      </c>
      <c r="T902" s="51" t="str">
        <f>IF('Classe 3e'!$B22="","",N('Classe 3e'!P22))</f>
        <v/>
      </c>
    </row>
    <row r="903">
      <c r="A903" s="16" t="str">
        <f>IF('Classe 3e'!$B23="","",IF('Classe 3e'!A23="","",'Classe 3e'!A23))</f>
        <v/>
      </c>
      <c r="B903" s="16" t="str">
        <f>IF('Classe 3e'!$B23="","",IF('Classe 3e'!B23="","",'Classe 3e'!B23))</f>
        <v/>
      </c>
      <c r="C903" s="16" t="str">
        <f>IF('Classe 3e'!$B23="","",IF('Classe 3e'!C23="","",'Classe 3e'!C23))</f>
        <v/>
      </c>
      <c r="D903" s="16" t="str">
        <f>IF($B903="","",C903&amp;" "&amp;B903&amp;" - "&amp;E903)</f>
        <v/>
      </c>
      <c r="E903" s="17" t="str">
        <f>IF($B903="","",Paramètres!$A$26)</f>
        <v/>
      </c>
      <c r="F903" s="17" t="str">
        <f>IF($B903="","",Paramètres!$B$26)</f>
        <v/>
      </c>
      <c r="G903" s="17" t="str">
        <f>IF('Classe 3e'!$B23="","",IF('Classe 3e'!D23="","",'Classe 3e'!D23))</f>
        <v/>
      </c>
      <c r="H903" s="78" t="str">
        <f>IF('Classe 3e'!$B23="","",IF('Classe 3e'!E23="","",'Classe 3e'!E23))</f>
        <v/>
      </c>
      <c r="I903" s="16" t="str">
        <f>IF('Classe 3e'!$B23="","",IF('Classe 3e'!F23="","",'Classe 3e'!F23))</f>
        <v/>
      </c>
      <c r="J903" s="16" t="str">
        <f>IF('Classe 3e'!$B23="","",IF('Classe 3e'!G23="","",'Classe 3e'!G23))</f>
        <v/>
      </c>
      <c r="K903" s="18" t="str">
        <f>IF('Classe 3e'!$B23="","",N('Classe 3e'!H23))</f>
        <v/>
      </c>
      <c r="L903" s="18" t="str">
        <f>IF('Classe 3e'!$B23="","",N('Classe 3e'!I23))</f>
        <v/>
      </c>
      <c r="M903" s="18" t="str">
        <f>IF('Classe 3e'!$B23="","",N('Classe 3e'!J23))</f>
        <v/>
      </c>
      <c r="N903" s="18" t="str">
        <f>IF('Classe 3e'!$B23="","",N('Classe 3e'!K23))</f>
        <v/>
      </c>
      <c r="O903" s="18" t="str">
        <f>IF('Classe 3e'!$B23="","",N('Classe 3e'!L23))</f>
        <v/>
      </c>
      <c r="P903" s="18" t="str">
        <f>IF('Classe 3e'!$B23="","",N('Classe 3e'!M23))</f>
        <v/>
      </c>
      <c r="Q903" s="17" t="str">
        <f>IF('Classe 3e'!$B23="","",IF('Classe 3e'!Q23="","",'Classe 3e'!Q23))</f>
        <v/>
      </c>
      <c r="R903" s="18" t="str">
        <f>IF('Classe 3e'!$B23="","",N('Classe 3e'!N23))</f>
        <v/>
      </c>
      <c r="S903" s="18" t="str">
        <f>IF('Classe 3e'!$B23="","",N('Classe 3e'!O23))</f>
        <v/>
      </c>
      <c r="T903" s="18" t="str">
        <f>IF('Classe 3e'!$B23="","",N('Classe 3e'!P23))</f>
        <v/>
      </c>
    </row>
    <row r="904">
      <c r="A904" s="20" t="str">
        <f>IF('Classe 3e'!$B24="","",IF('Classe 3e'!A24="","",'Classe 3e'!A24))</f>
        <v/>
      </c>
      <c r="B904" s="20" t="str">
        <f>IF('Classe 3e'!$B24="","",IF('Classe 3e'!B24="","",'Classe 3e'!B24))</f>
        <v/>
      </c>
      <c r="C904" s="20" t="str">
        <f>IF('Classe 3e'!$B24="","",IF('Classe 3e'!C24="","",'Classe 3e'!C24))</f>
        <v/>
      </c>
      <c r="D904" s="20" t="str">
        <f>IF($B904="","",C904&amp;" "&amp;B904&amp;" - "&amp;E904)</f>
        <v/>
      </c>
      <c r="E904" s="21" t="str">
        <f>IF($B904="","",Paramètres!$A$26)</f>
        <v/>
      </c>
      <c r="F904" s="21" t="str">
        <f>IF($B904="","",Paramètres!$B$26)</f>
        <v/>
      </c>
      <c r="G904" s="21" t="str">
        <f>IF('Classe 3e'!$B24="","",IF('Classe 3e'!D24="","",'Classe 3e'!D24))</f>
        <v/>
      </c>
      <c r="H904" s="77" t="str">
        <f>IF('Classe 3e'!$B24="","",IF('Classe 3e'!E24="","",'Classe 3e'!E24))</f>
        <v/>
      </c>
      <c r="I904" s="20" t="str">
        <f>IF('Classe 3e'!$B24="","",IF('Classe 3e'!F24="","",'Classe 3e'!F24))</f>
        <v/>
      </c>
      <c r="J904" s="20" t="str">
        <f>IF('Classe 3e'!$B24="","",IF('Classe 3e'!G24="","",'Classe 3e'!G24))</f>
        <v/>
      </c>
      <c r="K904" s="51" t="str">
        <f>IF('Classe 3e'!$B24="","",N('Classe 3e'!H24))</f>
        <v/>
      </c>
      <c r="L904" s="51" t="str">
        <f>IF('Classe 3e'!$B24="","",N('Classe 3e'!I24))</f>
        <v/>
      </c>
      <c r="M904" s="51" t="str">
        <f>IF('Classe 3e'!$B24="","",N('Classe 3e'!J24))</f>
        <v/>
      </c>
      <c r="N904" s="51" t="str">
        <f>IF('Classe 3e'!$B24="","",N('Classe 3e'!K24))</f>
        <v/>
      </c>
      <c r="O904" s="51" t="str">
        <f>IF('Classe 3e'!$B24="","",N('Classe 3e'!L24))</f>
        <v/>
      </c>
      <c r="P904" s="51" t="str">
        <f>IF('Classe 3e'!$B24="","",N('Classe 3e'!M24))</f>
        <v/>
      </c>
      <c r="Q904" s="21" t="str">
        <f>IF('Classe 3e'!$B24="","",IF('Classe 3e'!Q24="","",'Classe 3e'!Q24))</f>
        <v/>
      </c>
      <c r="R904" s="51" t="str">
        <f>IF('Classe 3e'!$B24="","",N('Classe 3e'!N24))</f>
        <v/>
      </c>
      <c r="S904" s="51" t="str">
        <f>IF('Classe 3e'!$B24="","",N('Classe 3e'!O24))</f>
        <v/>
      </c>
      <c r="T904" s="51" t="str">
        <f>IF('Classe 3e'!$B24="","",N('Classe 3e'!P24))</f>
        <v/>
      </c>
    </row>
    <row r="905">
      <c r="A905" s="16" t="str">
        <f>IF('Classe 3e'!$B25="","",IF('Classe 3e'!A25="","",'Classe 3e'!A25))</f>
        <v/>
      </c>
      <c r="B905" s="16" t="str">
        <f>IF('Classe 3e'!$B25="","",IF('Classe 3e'!B25="","",'Classe 3e'!B25))</f>
        <v/>
      </c>
      <c r="C905" s="16" t="str">
        <f>IF('Classe 3e'!$B25="","",IF('Classe 3e'!C25="","",'Classe 3e'!C25))</f>
        <v/>
      </c>
      <c r="D905" s="16" t="str">
        <f>IF($B905="","",C905&amp;" "&amp;B905&amp;" - "&amp;E905)</f>
        <v/>
      </c>
      <c r="E905" s="17" t="str">
        <f>IF($B905="","",Paramètres!$A$26)</f>
        <v/>
      </c>
      <c r="F905" s="17" t="str">
        <f>IF($B905="","",Paramètres!$B$26)</f>
        <v/>
      </c>
      <c r="G905" s="17" t="str">
        <f>IF('Classe 3e'!$B25="","",IF('Classe 3e'!D25="","",'Classe 3e'!D25))</f>
        <v/>
      </c>
      <c r="H905" s="78" t="str">
        <f>IF('Classe 3e'!$B25="","",IF('Classe 3e'!E25="","",'Classe 3e'!E25))</f>
        <v/>
      </c>
      <c r="I905" s="16" t="str">
        <f>IF('Classe 3e'!$B25="","",IF('Classe 3e'!F25="","",'Classe 3e'!F25))</f>
        <v/>
      </c>
      <c r="J905" s="16" t="str">
        <f>IF('Classe 3e'!$B25="","",IF('Classe 3e'!G25="","",'Classe 3e'!G25))</f>
        <v/>
      </c>
      <c r="K905" s="18" t="str">
        <f>IF('Classe 3e'!$B25="","",N('Classe 3e'!H25))</f>
        <v/>
      </c>
      <c r="L905" s="18" t="str">
        <f>IF('Classe 3e'!$B25="","",N('Classe 3e'!I25))</f>
        <v/>
      </c>
      <c r="M905" s="18" t="str">
        <f>IF('Classe 3e'!$B25="","",N('Classe 3e'!J25))</f>
        <v/>
      </c>
      <c r="N905" s="18" t="str">
        <f>IF('Classe 3e'!$B25="","",N('Classe 3e'!K25))</f>
        <v/>
      </c>
      <c r="O905" s="18" t="str">
        <f>IF('Classe 3e'!$B25="","",N('Classe 3e'!L25))</f>
        <v/>
      </c>
      <c r="P905" s="18" t="str">
        <f>IF('Classe 3e'!$B25="","",N('Classe 3e'!M25))</f>
        <v/>
      </c>
      <c r="Q905" s="17" t="str">
        <f>IF('Classe 3e'!$B25="","",IF('Classe 3e'!Q25="","",'Classe 3e'!Q25))</f>
        <v/>
      </c>
      <c r="R905" s="18" t="str">
        <f>IF('Classe 3e'!$B25="","",N('Classe 3e'!N25))</f>
        <v/>
      </c>
      <c r="S905" s="18" t="str">
        <f>IF('Classe 3e'!$B25="","",N('Classe 3e'!O25))</f>
        <v/>
      </c>
      <c r="T905" s="18" t="str">
        <f>IF('Classe 3e'!$B25="","",N('Classe 3e'!P25))</f>
        <v/>
      </c>
    </row>
    <row r="906">
      <c r="A906" s="20" t="str">
        <f>IF('Classe 3e'!$B26="","",IF('Classe 3e'!A26="","",'Classe 3e'!A26))</f>
        <v/>
      </c>
      <c r="B906" s="20" t="str">
        <f>IF('Classe 3e'!$B26="","",IF('Classe 3e'!B26="","",'Classe 3e'!B26))</f>
        <v/>
      </c>
      <c r="C906" s="20" t="str">
        <f>IF('Classe 3e'!$B26="","",IF('Classe 3e'!C26="","",'Classe 3e'!C26))</f>
        <v/>
      </c>
      <c r="D906" s="20" t="str">
        <f>IF($B906="","",C906&amp;" "&amp;B906&amp;" - "&amp;E906)</f>
        <v/>
      </c>
      <c r="E906" s="21" t="str">
        <f>IF($B906="","",Paramètres!$A$26)</f>
        <v/>
      </c>
      <c r="F906" s="21" t="str">
        <f>IF($B906="","",Paramètres!$B$26)</f>
        <v/>
      </c>
      <c r="G906" s="21" t="str">
        <f>IF('Classe 3e'!$B26="","",IF('Classe 3e'!D26="","",'Classe 3e'!D26))</f>
        <v/>
      </c>
      <c r="H906" s="77" t="str">
        <f>IF('Classe 3e'!$B26="","",IF('Classe 3e'!E26="","",'Classe 3e'!E26))</f>
        <v/>
      </c>
      <c r="I906" s="20" t="str">
        <f>IF('Classe 3e'!$B26="","",IF('Classe 3e'!F26="","",'Classe 3e'!F26))</f>
        <v/>
      </c>
      <c r="J906" s="20" t="str">
        <f>IF('Classe 3e'!$B26="","",IF('Classe 3e'!G26="","",'Classe 3e'!G26))</f>
        <v/>
      </c>
      <c r="K906" s="51" t="str">
        <f>IF('Classe 3e'!$B26="","",N('Classe 3e'!H26))</f>
        <v/>
      </c>
      <c r="L906" s="51" t="str">
        <f>IF('Classe 3e'!$B26="","",N('Classe 3e'!I26))</f>
        <v/>
      </c>
      <c r="M906" s="51" t="str">
        <f>IF('Classe 3e'!$B26="","",N('Classe 3e'!J26))</f>
        <v/>
      </c>
      <c r="N906" s="51" t="str">
        <f>IF('Classe 3e'!$B26="","",N('Classe 3e'!K26))</f>
        <v/>
      </c>
      <c r="O906" s="51" t="str">
        <f>IF('Classe 3e'!$B26="","",N('Classe 3e'!L26))</f>
        <v/>
      </c>
      <c r="P906" s="51" t="str">
        <f>IF('Classe 3e'!$B26="","",N('Classe 3e'!M26))</f>
        <v/>
      </c>
      <c r="Q906" s="21" t="str">
        <f>IF('Classe 3e'!$B26="","",IF('Classe 3e'!Q26="","",'Classe 3e'!Q26))</f>
        <v/>
      </c>
      <c r="R906" s="51" t="str">
        <f>IF('Classe 3e'!$B26="","",N('Classe 3e'!N26))</f>
        <v/>
      </c>
      <c r="S906" s="51" t="str">
        <f>IF('Classe 3e'!$B26="","",N('Classe 3e'!O26))</f>
        <v/>
      </c>
      <c r="T906" s="51" t="str">
        <f>IF('Classe 3e'!$B26="","",N('Classe 3e'!P26))</f>
        <v/>
      </c>
    </row>
    <row r="907">
      <c r="A907" s="16" t="str">
        <f>IF('Classe 3e'!$B27="","",IF('Classe 3e'!A27="","",'Classe 3e'!A27))</f>
        <v/>
      </c>
      <c r="B907" s="16" t="str">
        <f>IF('Classe 3e'!$B27="","",IF('Classe 3e'!B27="","",'Classe 3e'!B27))</f>
        <v/>
      </c>
      <c r="C907" s="16" t="str">
        <f>IF('Classe 3e'!$B27="","",IF('Classe 3e'!C27="","",'Classe 3e'!C27))</f>
        <v/>
      </c>
      <c r="D907" s="16" t="str">
        <f>IF($B907="","",C907&amp;" "&amp;B907&amp;" - "&amp;E907)</f>
        <v/>
      </c>
      <c r="E907" s="17" t="str">
        <f>IF($B907="","",Paramètres!$A$26)</f>
        <v/>
      </c>
      <c r="F907" s="17" t="str">
        <f>IF($B907="","",Paramètres!$B$26)</f>
        <v/>
      </c>
      <c r="G907" s="17" t="str">
        <f>IF('Classe 3e'!$B27="","",IF('Classe 3e'!D27="","",'Classe 3e'!D27))</f>
        <v/>
      </c>
      <c r="H907" s="78" t="str">
        <f>IF('Classe 3e'!$B27="","",IF('Classe 3e'!E27="","",'Classe 3e'!E27))</f>
        <v/>
      </c>
      <c r="I907" s="16" t="str">
        <f>IF('Classe 3e'!$B27="","",IF('Classe 3e'!F27="","",'Classe 3e'!F27))</f>
        <v/>
      </c>
      <c r="J907" s="16" t="str">
        <f>IF('Classe 3e'!$B27="","",IF('Classe 3e'!G27="","",'Classe 3e'!G27))</f>
        <v/>
      </c>
      <c r="K907" s="18" t="str">
        <f>IF('Classe 3e'!$B27="","",N('Classe 3e'!H27))</f>
        <v/>
      </c>
      <c r="L907" s="18" t="str">
        <f>IF('Classe 3e'!$B27="","",N('Classe 3e'!I27))</f>
        <v/>
      </c>
      <c r="M907" s="18" t="str">
        <f>IF('Classe 3e'!$B27="","",N('Classe 3e'!J27))</f>
        <v/>
      </c>
      <c r="N907" s="18" t="str">
        <f>IF('Classe 3e'!$B27="","",N('Classe 3e'!K27))</f>
        <v/>
      </c>
      <c r="O907" s="18" t="str">
        <f>IF('Classe 3e'!$B27="","",N('Classe 3e'!L27))</f>
        <v/>
      </c>
      <c r="P907" s="18" t="str">
        <f>IF('Classe 3e'!$B27="","",N('Classe 3e'!M27))</f>
        <v/>
      </c>
      <c r="Q907" s="17" t="str">
        <f>IF('Classe 3e'!$B27="","",IF('Classe 3e'!Q27="","",'Classe 3e'!Q27))</f>
        <v/>
      </c>
      <c r="R907" s="18" t="str">
        <f>IF('Classe 3e'!$B27="","",N('Classe 3e'!N27))</f>
        <v/>
      </c>
      <c r="S907" s="18" t="str">
        <f>IF('Classe 3e'!$B27="","",N('Classe 3e'!O27))</f>
        <v/>
      </c>
      <c r="T907" s="18" t="str">
        <f>IF('Classe 3e'!$B27="","",N('Classe 3e'!P27))</f>
        <v/>
      </c>
    </row>
    <row r="908">
      <c r="A908" s="20" t="str">
        <f>IF('Classe 3e'!$B28="","",IF('Classe 3e'!A28="","",'Classe 3e'!A28))</f>
        <v/>
      </c>
      <c r="B908" s="20" t="str">
        <f>IF('Classe 3e'!$B28="","",IF('Classe 3e'!B28="","",'Classe 3e'!B28))</f>
        <v/>
      </c>
      <c r="C908" s="20" t="str">
        <f>IF('Classe 3e'!$B28="","",IF('Classe 3e'!C28="","",'Classe 3e'!C28))</f>
        <v/>
      </c>
      <c r="D908" s="20" t="str">
        <f>IF($B908="","",C908&amp;" "&amp;B908&amp;" - "&amp;E908)</f>
        <v/>
      </c>
      <c r="E908" s="21" t="str">
        <f>IF($B908="","",Paramètres!$A$26)</f>
        <v/>
      </c>
      <c r="F908" s="21" t="str">
        <f>IF($B908="","",Paramètres!$B$26)</f>
        <v/>
      </c>
      <c r="G908" s="21" t="str">
        <f>IF('Classe 3e'!$B28="","",IF('Classe 3e'!D28="","",'Classe 3e'!D28))</f>
        <v/>
      </c>
      <c r="H908" s="77" t="str">
        <f>IF('Classe 3e'!$B28="","",IF('Classe 3e'!E28="","",'Classe 3e'!E28))</f>
        <v/>
      </c>
      <c r="I908" s="20" t="str">
        <f>IF('Classe 3e'!$B28="","",IF('Classe 3e'!F28="","",'Classe 3e'!F28))</f>
        <v/>
      </c>
      <c r="J908" s="20" t="str">
        <f>IF('Classe 3e'!$B28="","",IF('Classe 3e'!G28="","",'Classe 3e'!G28))</f>
        <v/>
      </c>
      <c r="K908" s="51" t="str">
        <f>IF('Classe 3e'!$B28="","",N('Classe 3e'!H28))</f>
        <v/>
      </c>
      <c r="L908" s="51" t="str">
        <f>IF('Classe 3e'!$B28="","",N('Classe 3e'!I28))</f>
        <v/>
      </c>
      <c r="M908" s="51" t="str">
        <f>IF('Classe 3e'!$B28="","",N('Classe 3e'!J28))</f>
        <v/>
      </c>
      <c r="N908" s="51" t="str">
        <f>IF('Classe 3e'!$B28="","",N('Classe 3e'!K28))</f>
        <v/>
      </c>
      <c r="O908" s="51" t="str">
        <f>IF('Classe 3e'!$B28="","",N('Classe 3e'!L28))</f>
        <v/>
      </c>
      <c r="P908" s="51" t="str">
        <f>IF('Classe 3e'!$B28="","",N('Classe 3e'!M28))</f>
        <v/>
      </c>
      <c r="Q908" s="21" t="str">
        <f>IF('Classe 3e'!$B28="","",IF('Classe 3e'!Q28="","",'Classe 3e'!Q28))</f>
        <v/>
      </c>
      <c r="R908" s="51" t="str">
        <f>IF('Classe 3e'!$B28="","",N('Classe 3e'!N28))</f>
        <v/>
      </c>
      <c r="S908" s="51" t="str">
        <f>IF('Classe 3e'!$B28="","",N('Classe 3e'!O28))</f>
        <v/>
      </c>
      <c r="T908" s="51" t="str">
        <f>IF('Classe 3e'!$B28="","",N('Classe 3e'!P28))</f>
        <v/>
      </c>
    </row>
    <row r="909">
      <c r="A909" s="16" t="str">
        <f>IF('Classe 3e'!$B29="","",IF('Classe 3e'!A29="","",'Classe 3e'!A29))</f>
        <v/>
      </c>
      <c r="B909" s="16" t="str">
        <f>IF('Classe 3e'!$B29="","",IF('Classe 3e'!B29="","",'Classe 3e'!B29))</f>
        <v/>
      </c>
      <c r="C909" s="16" t="str">
        <f>IF('Classe 3e'!$B29="","",IF('Classe 3e'!C29="","",'Classe 3e'!C29))</f>
        <v/>
      </c>
      <c r="D909" s="16" t="str">
        <f>IF($B909="","",C909&amp;" "&amp;B909&amp;" - "&amp;E909)</f>
        <v/>
      </c>
      <c r="E909" s="17" t="str">
        <f>IF($B909="","",Paramètres!$A$26)</f>
        <v/>
      </c>
      <c r="F909" s="17" t="str">
        <f>IF($B909="","",Paramètres!$B$26)</f>
        <v/>
      </c>
      <c r="G909" s="17" t="str">
        <f>IF('Classe 3e'!$B29="","",IF('Classe 3e'!D29="","",'Classe 3e'!D29))</f>
        <v/>
      </c>
      <c r="H909" s="78" t="str">
        <f>IF('Classe 3e'!$B29="","",IF('Classe 3e'!E29="","",'Classe 3e'!E29))</f>
        <v/>
      </c>
      <c r="I909" s="16" t="str">
        <f>IF('Classe 3e'!$B29="","",IF('Classe 3e'!F29="","",'Classe 3e'!F29))</f>
        <v/>
      </c>
      <c r="J909" s="16" t="str">
        <f>IF('Classe 3e'!$B29="","",IF('Classe 3e'!G29="","",'Classe 3e'!G29))</f>
        <v/>
      </c>
      <c r="K909" s="18" t="str">
        <f>IF('Classe 3e'!$B29="","",N('Classe 3e'!H29))</f>
        <v/>
      </c>
      <c r="L909" s="18" t="str">
        <f>IF('Classe 3e'!$B29="","",N('Classe 3e'!I29))</f>
        <v/>
      </c>
      <c r="M909" s="18" t="str">
        <f>IF('Classe 3e'!$B29="","",N('Classe 3e'!J29))</f>
        <v/>
      </c>
      <c r="N909" s="18" t="str">
        <f>IF('Classe 3e'!$B29="","",N('Classe 3e'!K29))</f>
        <v/>
      </c>
      <c r="O909" s="18" t="str">
        <f>IF('Classe 3e'!$B29="","",N('Classe 3e'!L29))</f>
        <v/>
      </c>
      <c r="P909" s="18" t="str">
        <f>IF('Classe 3e'!$B29="","",N('Classe 3e'!M29))</f>
        <v/>
      </c>
      <c r="Q909" s="17" t="str">
        <f>IF('Classe 3e'!$B29="","",IF('Classe 3e'!Q29="","",'Classe 3e'!Q29))</f>
        <v/>
      </c>
      <c r="R909" s="18" t="str">
        <f>IF('Classe 3e'!$B29="","",N('Classe 3e'!N29))</f>
        <v/>
      </c>
      <c r="S909" s="18" t="str">
        <f>IF('Classe 3e'!$B29="","",N('Classe 3e'!O29))</f>
        <v/>
      </c>
      <c r="T909" s="18" t="str">
        <f>IF('Classe 3e'!$B29="","",N('Classe 3e'!P29))</f>
        <v/>
      </c>
    </row>
    <row r="910">
      <c r="A910" s="20" t="str">
        <f>IF('Classe 3e'!$B30="","",IF('Classe 3e'!A30="","",'Classe 3e'!A30))</f>
        <v/>
      </c>
      <c r="B910" s="20" t="str">
        <f>IF('Classe 3e'!$B30="","",IF('Classe 3e'!B30="","",'Classe 3e'!B30))</f>
        <v/>
      </c>
      <c r="C910" s="20" t="str">
        <f>IF('Classe 3e'!$B30="","",IF('Classe 3e'!C30="","",'Classe 3e'!C30))</f>
        <v/>
      </c>
      <c r="D910" s="20" t="str">
        <f>IF($B910="","",C910&amp;" "&amp;B910&amp;" - "&amp;E910)</f>
        <v/>
      </c>
      <c r="E910" s="21" t="str">
        <f>IF($B910="","",Paramètres!$A$26)</f>
        <v/>
      </c>
      <c r="F910" s="21" t="str">
        <f>IF($B910="","",Paramètres!$B$26)</f>
        <v/>
      </c>
      <c r="G910" s="21" t="str">
        <f>IF('Classe 3e'!$B30="","",IF('Classe 3e'!D30="","",'Classe 3e'!D30))</f>
        <v/>
      </c>
      <c r="H910" s="77" t="str">
        <f>IF('Classe 3e'!$B30="","",IF('Classe 3e'!E30="","",'Classe 3e'!E30))</f>
        <v/>
      </c>
      <c r="I910" s="20" t="str">
        <f>IF('Classe 3e'!$B30="","",IF('Classe 3e'!F30="","",'Classe 3e'!F30))</f>
        <v/>
      </c>
      <c r="J910" s="20" t="str">
        <f>IF('Classe 3e'!$B30="","",IF('Classe 3e'!G30="","",'Classe 3e'!G30))</f>
        <v/>
      </c>
      <c r="K910" s="51" t="str">
        <f>IF('Classe 3e'!$B30="","",N('Classe 3e'!H30))</f>
        <v/>
      </c>
      <c r="L910" s="51" t="str">
        <f>IF('Classe 3e'!$B30="","",N('Classe 3e'!I30))</f>
        <v/>
      </c>
      <c r="M910" s="51" t="str">
        <f>IF('Classe 3e'!$B30="","",N('Classe 3e'!J30))</f>
        <v/>
      </c>
      <c r="N910" s="51" t="str">
        <f>IF('Classe 3e'!$B30="","",N('Classe 3e'!K30))</f>
        <v/>
      </c>
      <c r="O910" s="51" t="str">
        <f>IF('Classe 3e'!$B30="","",N('Classe 3e'!L30))</f>
        <v/>
      </c>
      <c r="P910" s="51" t="str">
        <f>IF('Classe 3e'!$B30="","",N('Classe 3e'!M30))</f>
        <v/>
      </c>
      <c r="Q910" s="21" t="str">
        <f>IF('Classe 3e'!$B30="","",IF('Classe 3e'!Q30="","",'Classe 3e'!Q30))</f>
        <v/>
      </c>
      <c r="R910" s="51" t="str">
        <f>IF('Classe 3e'!$B30="","",N('Classe 3e'!N30))</f>
        <v/>
      </c>
      <c r="S910" s="51" t="str">
        <f>IF('Classe 3e'!$B30="","",N('Classe 3e'!O30))</f>
        <v/>
      </c>
      <c r="T910" s="51" t="str">
        <f>IF('Classe 3e'!$B30="","",N('Classe 3e'!P30))</f>
        <v/>
      </c>
    </row>
    <row r="911">
      <c r="A911" s="16" t="str">
        <f>IF('Classe 3e'!$B31="","",IF('Classe 3e'!A31="","",'Classe 3e'!A31))</f>
        <v/>
      </c>
      <c r="B911" s="16" t="str">
        <f>IF('Classe 3e'!$B31="","",IF('Classe 3e'!B31="","",'Classe 3e'!B31))</f>
        <v/>
      </c>
      <c r="C911" s="16" t="str">
        <f>IF('Classe 3e'!$B31="","",IF('Classe 3e'!C31="","",'Classe 3e'!C31))</f>
        <v/>
      </c>
      <c r="D911" s="16" t="str">
        <f>IF($B911="","",C911&amp;" "&amp;B911&amp;" - "&amp;E911)</f>
        <v/>
      </c>
      <c r="E911" s="17" t="str">
        <f>IF($B911="","",Paramètres!$A$26)</f>
        <v/>
      </c>
      <c r="F911" s="17" t="str">
        <f>IF($B911="","",Paramètres!$B$26)</f>
        <v/>
      </c>
      <c r="G911" s="17" t="str">
        <f>IF('Classe 3e'!$B31="","",IF('Classe 3e'!D31="","",'Classe 3e'!D31))</f>
        <v/>
      </c>
      <c r="H911" s="78" t="str">
        <f>IF('Classe 3e'!$B31="","",IF('Classe 3e'!E31="","",'Classe 3e'!E31))</f>
        <v/>
      </c>
      <c r="I911" s="16" t="str">
        <f>IF('Classe 3e'!$B31="","",IF('Classe 3e'!F31="","",'Classe 3e'!F31))</f>
        <v/>
      </c>
      <c r="J911" s="16" t="str">
        <f>IF('Classe 3e'!$B31="","",IF('Classe 3e'!G31="","",'Classe 3e'!G31))</f>
        <v/>
      </c>
      <c r="K911" s="18" t="str">
        <f>IF('Classe 3e'!$B31="","",N('Classe 3e'!H31))</f>
        <v/>
      </c>
      <c r="L911" s="18" t="str">
        <f>IF('Classe 3e'!$B31="","",N('Classe 3e'!I31))</f>
        <v/>
      </c>
      <c r="M911" s="18" t="str">
        <f>IF('Classe 3e'!$B31="","",N('Classe 3e'!J31))</f>
        <v/>
      </c>
      <c r="N911" s="18" t="str">
        <f>IF('Classe 3e'!$B31="","",N('Classe 3e'!K31))</f>
        <v/>
      </c>
      <c r="O911" s="18" t="str">
        <f>IF('Classe 3e'!$B31="","",N('Classe 3e'!L31))</f>
        <v/>
      </c>
      <c r="P911" s="18" t="str">
        <f>IF('Classe 3e'!$B31="","",N('Classe 3e'!M31))</f>
        <v/>
      </c>
      <c r="Q911" s="17" t="str">
        <f>IF('Classe 3e'!$B31="","",IF('Classe 3e'!Q31="","",'Classe 3e'!Q31))</f>
        <v/>
      </c>
      <c r="R911" s="18" t="str">
        <f>IF('Classe 3e'!$B31="","",N('Classe 3e'!N31))</f>
        <v/>
      </c>
      <c r="S911" s="18" t="str">
        <f>IF('Classe 3e'!$B31="","",N('Classe 3e'!O31))</f>
        <v/>
      </c>
      <c r="T911" s="18" t="str">
        <f>IF('Classe 3e'!$B31="","",N('Classe 3e'!P31))</f>
        <v/>
      </c>
    </row>
    <row r="912">
      <c r="A912" s="20" t="str">
        <f>IF('Classe 3e'!$B32="","",IF('Classe 3e'!A32="","",'Classe 3e'!A32))</f>
        <v/>
      </c>
      <c r="B912" s="20" t="str">
        <f>IF('Classe 3e'!$B32="","",IF('Classe 3e'!B32="","",'Classe 3e'!B32))</f>
        <v/>
      </c>
      <c r="C912" s="20" t="str">
        <f>IF('Classe 3e'!$B32="","",IF('Classe 3e'!C32="","",'Classe 3e'!C32))</f>
        <v/>
      </c>
      <c r="D912" s="20" t="str">
        <f>IF($B912="","",C912&amp;" "&amp;B912&amp;" - "&amp;E912)</f>
        <v/>
      </c>
      <c r="E912" s="21" t="str">
        <f>IF($B912="","",Paramètres!$A$26)</f>
        <v/>
      </c>
      <c r="F912" s="21" t="str">
        <f>IF($B912="","",Paramètres!$B$26)</f>
        <v/>
      </c>
      <c r="G912" s="21" t="str">
        <f>IF('Classe 3e'!$B32="","",IF('Classe 3e'!D32="","",'Classe 3e'!D32))</f>
        <v/>
      </c>
      <c r="H912" s="77" t="str">
        <f>IF('Classe 3e'!$B32="","",IF('Classe 3e'!E32="","",'Classe 3e'!E32))</f>
        <v/>
      </c>
      <c r="I912" s="20" t="str">
        <f>IF('Classe 3e'!$B32="","",IF('Classe 3e'!F32="","",'Classe 3e'!F32))</f>
        <v/>
      </c>
      <c r="J912" s="20" t="str">
        <f>IF('Classe 3e'!$B32="","",IF('Classe 3e'!G32="","",'Classe 3e'!G32))</f>
        <v/>
      </c>
      <c r="K912" s="51" t="str">
        <f>IF('Classe 3e'!$B32="","",N('Classe 3e'!H32))</f>
        <v/>
      </c>
      <c r="L912" s="51" t="str">
        <f>IF('Classe 3e'!$B32="","",N('Classe 3e'!I32))</f>
        <v/>
      </c>
      <c r="M912" s="51" t="str">
        <f>IF('Classe 3e'!$B32="","",N('Classe 3e'!J32))</f>
        <v/>
      </c>
      <c r="N912" s="51" t="str">
        <f>IF('Classe 3e'!$B32="","",N('Classe 3e'!K32))</f>
        <v/>
      </c>
      <c r="O912" s="51" t="str">
        <f>IF('Classe 3e'!$B32="","",N('Classe 3e'!L32))</f>
        <v/>
      </c>
      <c r="P912" s="51" t="str">
        <f>IF('Classe 3e'!$B32="","",N('Classe 3e'!M32))</f>
        <v/>
      </c>
      <c r="Q912" s="21" t="str">
        <f>IF('Classe 3e'!$B32="","",IF('Classe 3e'!Q32="","",'Classe 3e'!Q32))</f>
        <v/>
      </c>
      <c r="R912" s="51" t="str">
        <f>IF('Classe 3e'!$B32="","",N('Classe 3e'!N32))</f>
        <v/>
      </c>
      <c r="S912" s="51" t="str">
        <f>IF('Classe 3e'!$B32="","",N('Classe 3e'!O32))</f>
        <v/>
      </c>
      <c r="T912" s="51" t="str">
        <f>IF('Classe 3e'!$B32="","",N('Classe 3e'!P32))</f>
        <v/>
      </c>
    </row>
    <row r="913">
      <c r="A913" s="16" t="str">
        <f>IF('Classe 3e'!$B33="","",IF('Classe 3e'!A33="","",'Classe 3e'!A33))</f>
        <v/>
      </c>
      <c r="B913" s="16" t="str">
        <f>IF('Classe 3e'!$B33="","",IF('Classe 3e'!B33="","",'Classe 3e'!B33))</f>
        <v/>
      </c>
      <c r="C913" s="16" t="str">
        <f>IF('Classe 3e'!$B33="","",IF('Classe 3e'!C33="","",'Classe 3e'!C33))</f>
        <v/>
      </c>
      <c r="D913" s="16" t="str">
        <f>IF($B913="","",C913&amp;" "&amp;B913&amp;" - "&amp;E913)</f>
        <v/>
      </c>
      <c r="E913" s="17" t="str">
        <f>IF($B913="","",Paramètres!$A$26)</f>
        <v/>
      </c>
      <c r="F913" s="17" t="str">
        <f>IF($B913="","",Paramètres!$B$26)</f>
        <v/>
      </c>
      <c r="G913" s="17" t="str">
        <f>IF('Classe 3e'!$B33="","",IF('Classe 3e'!D33="","",'Classe 3e'!D33))</f>
        <v/>
      </c>
      <c r="H913" s="78" t="str">
        <f>IF('Classe 3e'!$B33="","",IF('Classe 3e'!E33="","",'Classe 3e'!E33))</f>
        <v/>
      </c>
      <c r="I913" s="16" t="str">
        <f>IF('Classe 3e'!$B33="","",IF('Classe 3e'!F33="","",'Classe 3e'!F33))</f>
        <v/>
      </c>
      <c r="J913" s="16" t="str">
        <f>IF('Classe 3e'!$B33="","",IF('Classe 3e'!G33="","",'Classe 3e'!G33))</f>
        <v/>
      </c>
      <c r="K913" s="18" t="str">
        <f>IF('Classe 3e'!$B33="","",N('Classe 3e'!H33))</f>
        <v/>
      </c>
      <c r="L913" s="18" t="str">
        <f>IF('Classe 3e'!$B33="","",N('Classe 3e'!I33))</f>
        <v/>
      </c>
      <c r="M913" s="18" t="str">
        <f>IF('Classe 3e'!$B33="","",N('Classe 3e'!J33))</f>
        <v/>
      </c>
      <c r="N913" s="18" t="str">
        <f>IF('Classe 3e'!$B33="","",N('Classe 3e'!K33))</f>
        <v/>
      </c>
      <c r="O913" s="18" t="str">
        <f>IF('Classe 3e'!$B33="","",N('Classe 3e'!L33))</f>
        <v/>
      </c>
      <c r="P913" s="18" t="str">
        <f>IF('Classe 3e'!$B33="","",N('Classe 3e'!M33))</f>
        <v/>
      </c>
      <c r="Q913" s="17" t="str">
        <f>IF('Classe 3e'!$B33="","",IF('Classe 3e'!Q33="","",'Classe 3e'!Q33))</f>
        <v/>
      </c>
      <c r="R913" s="18" t="str">
        <f>IF('Classe 3e'!$B33="","",N('Classe 3e'!N33))</f>
        <v/>
      </c>
      <c r="S913" s="18" t="str">
        <f>IF('Classe 3e'!$B33="","",N('Classe 3e'!O33))</f>
        <v/>
      </c>
      <c r="T913" s="18" t="str">
        <f>IF('Classe 3e'!$B33="","",N('Classe 3e'!P33))</f>
        <v/>
      </c>
    </row>
    <row r="914">
      <c r="A914" s="20" t="str">
        <f>IF('Classe 3e'!$B34="","",IF('Classe 3e'!A34="","",'Classe 3e'!A34))</f>
        <v/>
      </c>
      <c r="B914" s="20" t="str">
        <f>IF('Classe 3e'!$B34="","",IF('Classe 3e'!B34="","",'Classe 3e'!B34))</f>
        <v/>
      </c>
      <c r="C914" s="20" t="str">
        <f>IF('Classe 3e'!$B34="","",IF('Classe 3e'!C34="","",'Classe 3e'!C34))</f>
        <v/>
      </c>
      <c r="D914" s="20" t="str">
        <f>IF($B914="","",C914&amp;" "&amp;B914&amp;" - "&amp;E914)</f>
        <v/>
      </c>
      <c r="E914" s="21" t="str">
        <f>IF($B914="","",Paramètres!$A$26)</f>
        <v/>
      </c>
      <c r="F914" s="21" t="str">
        <f>IF($B914="","",Paramètres!$B$26)</f>
        <v/>
      </c>
      <c r="G914" s="21" t="str">
        <f>IF('Classe 3e'!$B34="","",IF('Classe 3e'!D34="","",'Classe 3e'!D34))</f>
        <v/>
      </c>
      <c r="H914" s="77" t="str">
        <f>IF('Classe 3e'!$B34="","",IF('Classe 3e'!E34="","",'Classe 3e'!E34))</f>
        <v/>
      </c>
      <c r="I914" s="20" t="str">
        <f>IF('Classe 3e'!$B34="","",IF('Classe 3e'!F34="","",'Classe 3e'!F34))</f>
        <v/>
      </c>
      <c r="J914" s="20" t="str">
        <f>IF('Classe 3e'!$B34="","",IF('Classe 3e'!G34="","",'Classe 3e'!G34))</f>
        <v/>
      </c>
      <c r="K914" s="51" t="str">
        <f>IF('Classe 3e'!$B34="","",N('Classe 3e'!H34))</f>
        <v/>
      </c>
      <c r="L914" s="51" t="str">
        <f>IF('Classe 3e'!$B34="","",N('Classe 3e'!I34))</f>
        <v/>
      </c>
      <c r="M914" s="51" t="str">
        <f>IF('Classe 3e'!$B34="","",N('Classe 3e'!J34))</f>
        <v/>
      </c>
      <c r="N914" s="51" t="str">
        <f>IF('Classe 3e'!$B34="","",N('Classe 3e'!K34))</f>
        <v/>
      </c>
      <c r="O914" s="51" t="str">
        <f>IF('Classe 3e'!$B34="","",N('Classe 3e'!L34))</f>
        <v/>
      </c>
      <c r="P914" s="51" t="str">
        <f>IF('Classe 3e'!$B34="","",N('Classe 3e'!M34))</f>
        <v/>
      </c>
      <c r="Q914" s="21" t="str">
        <f>IF('Classe 3e'!$B34="","",IF('Classe 3e'!Q34="","",'Classe 3e'!Q34))</f>
        <v/>
      </c>
      <c r="R914" s="51" t="str">
        <f>IF('Classe 3e'!$B34="","",N('Classe 3e'!N34))</f>
        <v/>
      </c>
      <c r="S914" s="51" t="str">
        <f>IF('Classe 3e'!$B34="","",N('Classe 3e'!O34))</f>
        <v/>
      </c>
      <c r="T914" s="51" t="str">
        <f>IF('Classe 3e'!$B34="","",N('Classe 3e'!P34))</f>
        <v/>
      </c>
    </row>
    <row r="915">
      <c r="A915" s="16" t="str">
        <f>IF('Classe 3e'!$B35="","",IF('Classe 3e'!A35="","",'Classe 3e'!A35))</f>
        <v/>
      </c>
      <c r="B915" s="16" t="str">
        <f>IF('Classe 3e'!$B35="","",IF('Classe 3e'!B35="","",'Classe 3e'!B35))</f>
        <v/>
      </c>
      <c r="C915" s="16" t="str">
        <f>IF('Classe 3e'!$B35="","",IF('Classe 3e'!C35="","",'Classe 3e'!C35))</f>
        <v/>
      </c>
      <c r="D915" s="16" t="str">
        <f>IF($B915="","",C915&amp;" "&amp;B915&amp;" - "&amp;E915)</f>
        <v/>
      </c>
      <c r="E915" s="17" t="str">
        <f>IF($B915="","",Paramètres!$A$26)</f>
        <v/>
      </c>
      <c r="F915" s="17" t="str">
        <f>IF($B915="","",Paramètres!$B$26)</f>
        <v/>
      </c>
      <c r="G915" s="17" t="str">
        <f>IF('Classe 3e'!$B35="","",IF('Classe 3e'!D35="","",'Classe 3e'!D35))</f>
        <v/>
      </c>
      <c r="H915" s="78" t="str">
        <f>IF('Classe 3e'!$B35="","",IF('Classe 3e'!E35="","",'Classe 3e'!E35))</f>
        <v/>
      </c>
      <c r="I915" s="16" t="str">
        <f>IF('Classe 3e'!$B35="","",IF('Classe 3e'!F35="","",'Classe 3e'!F35))</f>
        <v/>
      </c>
      <c r="J915" s="16" t="str">
        <f>IF('Classe 3e'!$B35="","",IF('Classe 3e'!G35="","",'Classe 3e'!G35))</f>
        <v/>
      </c>
      <c r="K915" s="18" t="str">
        <f>IF('Classe 3e'!$B35="","",N('Classe 3e'!H35))</f>
        <v/>
      </c>
      <c r="L915" s="18" t="str">
        <f>IF('Classe 3e'!$B35="","",N('Classe 3e'!I35))</f>
        <v/>
      </c>
      <c r="M915" s="18" t="str">
        <f>IF('Classe 3e'!$B35="","",N('Classe 3e'!J35))</f>
        <v/>
      </c>
      <c r="N915" s="18" t="str">
        <f>IF('Classe 3e'!$B35="","",N('Classe 3e'!K35))</f>
        <v/>
      </c>
      <c r="O915" s="18" t="str">
        <f>IF('Classe 3e'!$B35="","",N('Classe 3e'!L35))</f>
        <v/>
      </c>
      <c r="P915" s="18" t="str">
        <f>IF('Classe 3e'!$B35="","",N('Classe 3e'!M35))</f>
        <v/>
      </c>
      <c r="Q915" s="17" t="str">
        <f>IF('Classe 3e'!$B35="","",IF('Classe 3e'!Q35="","",'Classe 3e'!Q35))</f>
        <v/>
      </c>
      <c r="R915" s="18" t="str">
        <f>IF('Classe 3e'!$B35="","",N('Classe 3e'!N35))</f>
        <v/>
      </c>
      <c r="S915" s="18" t="str">
        <f>IF('Classe 3e'!$B35="","",N('Classe 3e'!O35))</f>
        <v/>
      </c>
      <c r="T915" s="18" t="str">
        <f>IF('Classe 3e'!$B35="","",N('Classe 3e'!P35))</f>
        <v/>
      </c>
    </row>
    <row r="916">
      <c r="A916" s="20" t="str">
        <f>IF('Classe 3e'!$B36="","",IF('Classe 3e'!A36="","",'Classe 3e'!A36))</f>
        <v/>
      </c>
      <c r="B916" s="20" t="str">
        <f>IF('Classe 3e'!$B36="","",IF('Classe 3e'!B36="","",'Classe 3e'!B36))</f>
        <v/>
      </c>
      <c r="C916" s="20" t="str">
        <f>IF('Classe 3e'!$B36="","",IF('Classe 3e'!C36="","",'Classe 3e'!C36))</f>
        <v/>
      </c>
      <c r="D916" s="20" t="str">
        <f>IF($B916="","",C916&amp;" "&amp;B916&amp;" - "&amp;E916)</f>
        <v/>
      </c>
      <c r="E916" s="21" t="str">
        <f>IF($B916="","",Paramètres!$A$26)</f>
        <v/>
      </c>
      <c r="F916" s="21" t="str">
        <f>IF($B916="","",Paramètres!$B$26)</f>
        <v/>
      </c>
      <c r="G916" s="21" t="str">
        <f>IF('Classe 3e'!$B36="","",IF('Classe 3e'!D36="","",'Classe 3e'!D36))</f>
        <v/>
      </c>
      <c r="H916" s="77" t="str">
        <f>IF('Classe 3e'!$B36="","",IF('Classe 3e'!E36="","",'Classe 3e'!E36))</f>
        <v/>
      </c>
      <c r="I916" s="20" t="str">
        <f>IF('Classe 3e'!$B36="","",IF('Classe 3e'!F36="","",'Classe 3e'!F36))</f>
        <v/>
      </c>
      <c r="J916" s="20" t="str">
        <f>IF('Classe 3e'!$B36="","",IF('Classe 3e'!G36="","",'Classe 3e'!G36))</f>
        <v/>
      </c>
      <c r="K916" s="51" t="str">
        <f>IF('Classe 3e'!$B36="","",N('Classe 3e'!H36))</f>
        <v/>
      </c>
      <c r="L916" s="51" t="str">
        <f>IF('Classe 3e'!$B36="","",N('Classe 3e'!I36))</f>
        <v/>
      </c>
      <c r="M916" s="51" t="str">
        <f>IF('Classe 3e'!$B36="","",N('Classe 3e'!J36))</f>
        <v/>
      </c>
      <c r="N916" s="51" t="str">
        <f>IF('Classe 3e'!$B36="","",N('Classe 3e'!K36))</f>
        <v/>
      </c>
      <c r="O916" s="51" t="str">
        <f>IF('Classe 3e'!$B36="","",N('Classe 3e'!L36))</f>
        <v/>
      </c>
      <c r="P916" s="51" t="str">
        <f>IF('Classe 3e'!$B36="","",N('Classe 3e'!M36))</f>
        <v/>
      </c>
      <c r="Q916" s="21" t="str">
        <f>IF('Classe 3e'!$B36="","",IF('Classe 3e'!Q36="","",'Classe 3e'!Q36))</f>
        <v/>
      </c>
      <c r="R916" s="51" t="str">
        <f>IF('Classe 3e'!$B36="","",N('Classe 3e'!N36))</f>
        <v/>
      </c>
      <c r="S916" s="51" t="str">
        <f>IF('Classe 3e'!$B36="","",N('Classe 3e'!O36))</f>
        <v/>
      </c>
      <c r="T916" s="51" t="str">
        <f>IF('Classe 3e'!$B36="","",N('Classe 3e'!P36))</f>
        <v/>
      </c>
    </row>
    <row r="917">
      <c r="A917" s="16" t="str">
        <f>IF('Classe 3e'!$B37="","",IF('Classe 3e'!A37="","",'Classe 3e'!A37))</f>
        <v/>
      </c>
      <c r="B917" s="16" t="str">
        <f>IF('Classe 3e'!$B37="","",IF('Classe 3e'!B37="","",'Classe 3e'!B37))</f>
        <v/>
      </c>
      <c r="C917" s="16" t="str">
        <f>IF('Classe 3e'!$B37="","",IF('Classe 3e'!C37="","",'Classe 3e'!C37))</f>
        <v/>
      </c>
      <c r="D917" s="16" t="str">
        <f>IF($B917="","",C917&amp;" "&amp;B917&amp;" - "&amp;E917)</f>
        <v/>
      </c>
      <c r="E917" s="17" t="str">
        <f>IF($B917="","",Paramètres!$A$26)</f>
        <v/>
      </c>
      <c r="F917" s="17" t="str">
        <f>IF($B917="","",Paramètres!$B$26)</f>
        <v/>
      </c>
      <c r="G917" s="17" t="str">
        <f>IF('Classe 3e'!$B37="","",IF('Classe 3e'!D37="","",'Classe 3e'!D37))</f>
        <v/>
      </c>
      <c r="H917" s="78" t="str">
        <f>IF('Classe 3e'!$B37="","",IF('Classe 3e'!E37="","",'Classe 3e'!E37))</f>
        <v/>
      </c>
      <c r="I917" s="16" t="str">
        <f>IF('Classe 3e'!$B37="","",IF('Classe 3e'!F37="","",'Classe 3e'!F37))</f>
        <v/>
      </c>
      <c r="J917" s="16" t="str">
        <f>IF('Classe 3e'!$B37="","",IF('Classe 3e'!G37="","",'Classe 3e'!G37))</f>
        <v/>
      </c>
      <c r="K917" s="18" t="str">
        <f>IF('Classe 3e'!$B37="","",N('Classe 3e'!H37))</f>
        <v/>
      </c>
      <c r="L917" s="18" t="str">
        <f>IF('Classe 3e'!$B37="","",N('Classe 3e'!I37))</f>
        <v/>
      </c>
      <c r="M917" s="18" t="str">
        <f>IF('Classe 3e'!$B37="","",N('Classe 3e'!J37))</f>
        <v/>
      </c>
      <c r="N917" s="18" t="str">
        <f>IF('Classe 3e'!$B37="","",N('Classe 3e'!K37))</f>
        <v/>
      </c>
      <c r="O917" s="18" t="str">
        <f>IF('Classe 3e'!$B37="","",N('Classe 3e'!L37))</f>
        <v/>
      </c>
      <c r="P917" s="18" t="str">
        <f>IF('Classe 3e'!$B37="","",N('Classe 3e'!M37))</f>
        <v/>
      </c>
      <c r="Q917" s="17" t="str">
        <f>IF('Classe 3e'!$B37="","",IF('Classe 3e'!Q37="","",'Classe 3e'!Q37))</f>
        <v/>
      </c>
      <c r="R917" s="18" t="str">
        <f>IF('Classe 3e'!$B37="","",N('Classe 3e'!N37))</f>
        <v/>
      </c>
      <c r="S917" s="18" t="str">
        <f>IF('Classe 3e'!$B37="","",N('Classe 3e'!O37))</f>
        <v/>
      </c>
      <c r="T917" s="18" t="str">
        <f>IF('Classe 3e'!$B37="","",N('Classe 3e'!P37))</f>
        <v/>
      </c>
    </row>
    <row r="918">
      <c r="A918" s="20" t="str">
        <f>IF('Classe 3e'!$B38="","",IF('Classe 3e'!A38="","",'Classe 3e'!A38))</f>
        <v/>
      </c>
      <c r="B918" s="20" t="str">
        <f>IF('Classe 3e'!$B38="","",IF('Classe 3e'!B38="","",'Classe 3e'!B38))</f>
        <v/>
      </c>
      <c r="C918" s="20" t="str">
        <f>IF('Classe 3e'!$B38="","",IF('Classe 3e'!C38="","",'Classe 3e'!C38))</f>
        <v/>
      </c>
      <c r="D918" s="20" t="str">
        <f>IF($B918="","",C918&amp;" "&amp;B918&amp;" - "&amp;E918)</f>
        <v/>
      </c>
      <c r="E918" s="21" t="str">
        <f>IF($B918="","",Paramètres!$A$26)</f>
        <v/>
      </c>
      <c r="F918" s="21" t="str">
        <f>IF($B918="","",Paramètres!$B$26)</f>
        <v/>
      </c>
      <c r="G918" s="21" t="str">
        <f>IF('Classe 3e'!$B38="","",IF('Classe 3e'!D38="","",'Classe 3e'!D38))</f>
        <v/>
      </c>
      <c r="H918" s="77" t="str">
        <f>IF('Classe 3e'!$B38="","",IF('Classe 3e'!E38="","",'Classe 3e'!E38))</f>
        <v/>
      </c>
      <c r="I918" s="20" t="str">
        <f>IF('Classe 3e'!$B38="","",IF('Classe 3e'!F38="","",'Classe 3e'!F38))</f>
        <v/>
      </c>
      <c r="J918" s="20" t="str">
        <f>IF('Classe 3e'!$B38="","",IF('Classe 3e'!G38="","",'Classe 3e'!G38))</f>
        <v/>
      </c>
      <c r="K918" s="51" t="str">
        <f>IF('Classe 3e'!$B38="","",N('Classe 3e'!H38))</f>
        <v/>
      </c>
      <c r="L918" s="51" t="str">
        <f>IF('Classe 3e'!$B38="","",N('Classe 3e'!I38))</f>
        <v/>
      </c>
      <c r="M918" s="51" t="str">
        <f>IF('Classe 3e'!$B38="","",N('Classe 3e'!J38))</f>
        <v/>
      </c>
      <c r="N918" s="51" t="str">
        <f>IF('Classe 3e'!$B38="","",N('Classe 3e'!K38))</f>
        <v/>
      </c>
      <c r="O918" s="51" t="str">
        <f>IF('Classe 3e'!$B38="","",N('Classe 3e'!L38))</f>
        <v/>
      </c>
      <c r="P918" s="51" t="str">
        <f>IF('Classe 3e'!$B38="","",N('Classe 3e'!M38))</f>
        <v/>
      </c>
      <c r="Q918" s="21" t="str">
        <f>IF('Classe 3e'!$B38="","",IF('Classe 3e'!Q38="","",'Classe 3e'!Q38))</f>
        <v/>
      </c>
      <c r="R918" s="51" t="str">
        <f>IF('Classe 3e'!$B38="","",N('Classe 3e'!N38))</f>
        <v/>
      </c>
      <c r="S918" s="51" t="str">
        <f>IF('Classe 3e'!$B38="","",N('Classe 3e'!O38))</f>
        <v/>
      </c>
      <c r="T918" s="51" t="str">
        <f>IF('Classe 3e'!$B38="","",N('Classe 3e'!P38))</f>
        <v/>
      </c>
    </row>
    <row r="919">
      <c r="A919" s="16" t="str">
        <f>IF('Classe 3e'!$B39="","",IF('Classe 3e'!A39="","",'Classe 3e'!A39))</f>
        <v/>
      </c>
      <c r="B919" s="16" t="str">
        <f>IF('Classe 3e'!$B39="","",IF('Classe 3e'!B39="","",'Classe 3e'!B39))</f>
        <v/>
      </c>
      <c r="C919" s="16" t="str">
        <f>IF('Classe 3e'!$B39="","",IF('Classe 3e'!C39="","",'Classe 3e'!C39))</f>
        <v/>
      </c>
      <c r="D919" s="16" t="str">
        <f>IF($B919="","",C919&amp;" "&amp;B919&amp;" - "&amp;E919)</f>
        <v/>
      </c>
      <c r="E919" s="17" t="str">
        <f>IF($B919="","",Paramètres!$A$26)</f>
        <v/>
      </c>
      <c r="F919" s="17" t="str">
        <f>IF($B919="","",Paramètres!$B$26)</f>
        <v/>
      </c>
      <c r="G919" s="17" t="str">
        <f>IF('Classe 3e'!$B39="","",IF('Classe 3e'!D39="","",'Classe 3e'!D39))</f>
        <v/>
      </c>
      <c r="H919" s="78" t="str">
        <f>IF('Classe 3e'!$B39="","",IF('Classe 3e'!E39="","",'Classe 3e'!E39))</f>
        <v/>
      </c>
      <c r="I919" s="16" t="str">
        <f>IF('Classe 3e'!$B39="","",IF('Classe 3e'!F39="","",'Classe 3e'!F39))</f>
        <v/>
      </c>
      <c r="J919" s="16" t="str">
        <f>IF('Classe 3e'!$B39="","",IF('Classe 3e'!G39="","",'Classe 3e'!G39))</f>
        <v/>
      </c>
      <c r="K919" s="18" t="str">
        <f>IF('Classe 3e'!$B39="","",N('Classe 3e'!H39))</f>
        <v/>
      </c>
      <c r="L919" s="18" t="str">
        <f>IF('Classe 3e'!$B39="","",N('Classe 3e'!I39))</f>
        <v/>
      </c>
      <c r="M919" s="18" t="str">
        <f>IF('Classe 3e'!$B39="","",N('Classe 3e'!J39))</f>
        <v/>
      </c>
      <c r="N919" s="18" t="str">
        <f>IF('Classe 3e'!$B39="","",N('Classe 3e'!K39))</f>
        <v/>
      </c>
      <c r="O919" s="18" t="str">
        <f>IF('Classe 3e'!$B39="","",N('Classe 3e'!L39))</f>
        <v/>
      </c>
      <c r="P919" s="18" t="str">
        <f>IF('Classe 3e'!$B39="","",N('Classe 3e'!M39))</f>
        <v/>
      </c>
      <c r="Q919" s="17" t="str">
        <f>IF('Classe 3e'!$B39="","",IF('Classe 3e'!Q39="","",'Classe 3e'!Q39))</f>
        <v/>
      </c>
      <c r="R919" s="18" t="str">
        <f>IF('Classe 3e'!$B39="","",N('Classe 3e'!N39))</f>
        <v/>
      </c>
      <c r="S919" s="18" t="str">
        <f>IF('Classe 3e'!$B39="","",N('Classe 3e'!O39))</f>
        <v/>
      </c>
      <c r="T919" s="18" t="str">
        <f>IF('Classe 3e'!$B39="","",N('Classe 3e'!P39))</f>
        <v/>
      </c>
    </row>
    <row r="920">
      <c r="A920" s="20" t="str">
        <f>IF('Classe 3e'!$B40="","",IF('Classe 3e'!A40="","",'Classe 3e'!A40))</f>
        <v/>
      </c>
      <c r="B920" s="20" t="str">
        <f>IF('Classe 3e'!$B40="","",IF('Classe 3e'!B40="","",'Classe 3e'!B40))</f>
        <v/>
      </c>
      <c r="C920" s="20" t="str">
        <f>IF('Classe 3e'!$B40="","",IF('Classe 3e'!C40="","",'Classe 3e'!C40))</f>
        <v/>
      </c>
      <c r="D920" s="20" t="str">
        <f>IF($B920="","",C920&amp;" "&amp;B920&amp;" - "&amp;E920)</f>
        <v/>
      </c>
      <c r="E920" s="21" t="str">
        <f>IF($B920="","",Paramètres!$A$26)</f>
        <v/>
      </c>
      <c r="F920" s="21" t="str">
        <f>IF($B920="","",Paramètres!$B$26)</f>
        <v/>
      </c>
      <c r="G920" s="21" t="str">
        <f>IF('Classe 3e'!$B40="","",IF('Classe 3e'!D40="","",'Classe 3e'!D40))</f>
        <v/>
      </c>
      <c r="H920" s="77" t="str">
        <f>IF('Classe 3e'!$B40="","",IF('Classe 3e'!E40="","",'Classe 3e'!E40))</f>
        <v/>
      </c>
      <c r="I920" s="20" t="str">
        <f>IF('Classe 3e'!$B40="","",IF('Classe 3e'!F40="","",'Classe 3e'!F40))</f>
        <v/>
      </c>
      <c r="J920" s="20" t="str">
        <f>IF('Classe 3e'!$B40="","",IF('Classe 3e'!G40="","",'Classe 3e'!G40))</f>
        <v/>
      </c>
      <c r="K920" s="51" t="str">
        <f>IF('Classe 3e'!$B40="","",N('Classe 3e'!H40))</f>
        <v/>
      </c>
      <c r="L920" s="51" t="str">
        <f>IF('Classe 3e'!$B40="","",N('Classe 3e'!I40))</f>
        <v/>
      </c>
      <c r="M920" s="51" t="str">
        <f>IF('Classe 3e'!$B40="","",N('Classe 3e'!J40))</f>
        <v/>
      </c>
      <c r="N920" s="51" t="str">
        <f>IF('Classe 3e'!$B40="","",N('Classe 3e'!K40))</f>
        <v/>
      </c>
      <c r="O920" s="51" t="str">
        <f>IF('Classe 3e'!$B40="","",N('Classe 3e'!L40))</f>
        <v/>
      </c>
      <c r="P920" s="51" t="str">
        <f>IF('Classe 3e'!$B40="","",N('Classe 3e'!M40))</f>
        <v/>
      </c>
      <c r="Q920" s="21" t="str">
        <f>IF('Classe 3e'!$B40="","",IF('Classe 3e'!Q40="","",'Classe 3e'!Q40))</f>
        <v/>
      </c>
      <c r="R920" s="51" t="str">
        <f>IF('Classe 3e'!$B40="","",N('Classe 3e'!N40))</f>
        <v/>
      </c>
      <c r="S920" s="51" t="str">
        <f>IF('Classe 3e'!$B40="","",N('Classe 3e'!O40))</f>
        <v/>
      </c>
      <c r="T920" s="51" t="str">
        <f>IF('Classe 3e'!$B40="","",N('Classe 3e'!P40))</f>
        <v/>
      </c>
    </row>
    <row r="921">
      <c r="A921" s="16" t="str">
        <f>IF('Classe 3e'!$B41="","",IF('Classe 3e'!A41="","",'Classe 3e'!A41))</f>
        <v/>
      </c>
      <c r="B921" s="16" t="str">
        <f>IF('Classe 3e'!$B41="","",IF('Classe 3e'!B41="","",'Classe 3e'!B41))</f>
        <v/>
      </c>
      <c r="C921" s="16" t="str">
        <f>IF('Classe 3e'!$B41="","",IF('Classe 3e'!C41="","",'Classe 3e'!C41))</f>
        <v/>
      </c>
      <c r="D921" s="16" t="str">
        <f>IF($B921="","",C921&amp;" "&amp;B921&amp;" - "&amp;E921)</f>
        <v/>
      </c>
      <c r="E921" s="17" t="str">
        <f>IF($B921="","",Paramètres!$A$26)</f>
        <v/>
      </c>
      <c r="F921" s="17" t="str">
        <f>IF($B921="","",Paramètres!$B$26)</f>
        <v/>
      </c>
      <c r="G921" s="17" t="str">
        <f>IF('Classe 3e'!$B41="","",IF('Classe 3e'!D41="","",'Classe 3e'!D41))</f>
        <v/>
      </c>
      <c r="H921" s="78" t="str">
        <f>IF('Classe 3e'!$B41="","",IF('Classe 3e'!E41="","",'Classe 3e'!E41))</f>
        <v/>
      </c>
      <c r="I921" s="16" t="str">
        <f>IF('Classe 3e'!$B41="","",IF('Classe 3e'!F41="","",'Classe 3e'!F41))</f>
        <v/>
      </c>
      <c r="J921" s="16" t="str">
        <f>IF('Classe 3e'!$B41="","",IF('Classe 3e'!G41="","",'Classe 3e'!G41))</f>
        <v/>
      </c>
      <c r="K921" s="18" t="str">
        <f>IF('Classe 3e'!$B41="","",N('Classe 3e'!H41))</f>
        <v/>
      </c>
      <c r="L921" s="18" t="str">
        <f>IF('Classe 3e'!$B41="","",N('Classe 3e'!I41))</f>
        <v/>
      </c>
      <c r="M921" s="18" t="str">
        <f>IF('Classe 3e'!$B41="","",N('Classe 3e'!J41))</f>
        <v/>
      </c>
      <c r="N921" s="18" t="str">
        <f>IF('Classe 3e'!$B41="","",N('Classe 3e'!K41))</f>
        <v/>
      </c>
      <c r="O921" s="18" t="str">
        <f>IF('Classe 3e'!$B41="","",N('Classe 3e'!L41))</f>
        <v/>
      </c>
      <c r="P921" s="18" t="str">
        <f>IF('Classe 3e'!$B41="","",N('Classe 3e'!M41))</f>
        <v/>
      </c>
      <c r="Q921" s="17" t="str">
        <f>IF('Classe 3e'!$B41="","",IF('Classe 3e'!Q41="","",'Classe 3e'!Q41))</f>
        <v/>
      </c>
      <c r="R921" s="18" t="str">
        <f>IF('Classe 3e'!$B41="","",N('Classe 3e'!N41))</f>
        <v/>
      </c>
      <c r="S921" s="18" t="str">
        <f>IF('Classe 3e'!$B41="","",N('Classe 3e'!O41))</f>
        <v/>
      </c>
      <c r="T921" s="18" t="str">
        <f>IF('Classe 3e'!$B41="","",N('Classe 3e'!P41))</f>
        <v/>
      </c>
    </row>
    <row r="922">
      <c r="A922" s="20" t="str">
        <f>IF('Classe 3e'!$B42="","",IF('Classe 3e'!A42="","",'Classe 3e'!A42))</f>
        <v/>
      </c>
      <c r="B922" s="20" t="str">
        <f>IF('Classe 3e'!$B42="","",IF('Classe 3e'!B42="","",'Classe 3e'!B42))</f>
        <v/>
      </c>
      <c r="C922" s="20" t="str">
        <f>IF('Classe 3e'!$B42="","",IF('Classe 3e'!C42="","",'Classe 3e'!C42))</f>
        <v/>
      </c>
      <c r="D922" s="20" t="str">
        <f>IF($B922="","",C922&amp;" "&amp;B922&amp;" - "&amp;E922)</f>
        <v/>
      </c>
      <c r="E922" s="21" t="str">
        <f>IF($B922="","",Paramètres!$A$26)</f>
        <v/>
      </c>
      <c r="F922" s="21" t="str">
        <f>IF($B922="","",Paramètres!$B$26)</f>
        <v/>
      </c>
      <c r="G922" s="21" t="str">
        <f>IF('Classe 3e'!$B42="","",IF('Classe 3e'!D42="","",'Classe 3e'!D42))</f>
        <v/>
      </c>
      <c r="H922" s="77" t="str">
        <f>IF('Classe 3e'!$B42="","",IF('Classe 3e'!E42="","",'Classe 3e'!E42))</f>
        <v/>
      </c>
      <c r="I922" s="20" t="str">
        <f>IF('Classe 3e'!$B42="","",IF('Classe 3e'!F42="","",'Classe 3e'!F42))</f>
        <v/>
      </c>
      <c r="J922" s="20" t="str">
        <f>IF('Classe 3e'!$B42="","",IF('Classe 3e'!G42="","",'Classe 3e'!G42))</f>
        <v/>
      </c>
      <c r="K922" s="51" t="str">
        <f>IF('Classe 3e'!$B42="","",N('Classe 3e'!H42))</f>
        <v/>
      </c>
      <c r="L922" s="51" t="str">
        <f>IF('Classe 3e'!$B42="","",N('Classe 3e'!I42))</f>
        <v/>
      </c>
      <c r="M922" s="51" t="str">
        <f>IF('Classe 3e'!$B42="","",N('Classe 3e'!J42))</f>
        <v/>
      </c>
      <c r="N922" s="51" t="str">
        <f>IF('Classe 3e'!$B42="","",N('Classe 3e'!K42))</f>
        <v/>
      </c>
      <c r="O922" s="51" t="str">
        <f>IF('Classe 3e'!$B42="","",N('Classe 3e'!L42))</f>
        <v/>
      </c>
      <c r="P922" s="51" t="str">
        <f>IF('Classe 3e'!$B42="","",N('Classe 3e'!M42))</f>
        <v/>
      </c>
      <c r="Q922" s="21" t="str">
        <f>IF('Classe 3e'!$B42="","",IF('Classe 3e'!Q42="","",'Classe 3e'!Q42))</f>
        <v/>
      </c>
      <c r="R922" s="51" t="str">
        <f>IF('Classe 3e'!$B42="","",N('Classe 3e'!N42))</f>
        <v/>
      </c>
      <c r="S922" s="51" t="str">
        <f>IF('Classe 3e'!$B42="","",N('Classe 3e'!O42))</f>
        <v/>
      </c>
      <c r="T922" s="51" t="str">
        <f>IF('Classe 3e'!$B42="","",N('Classe 3e'!P42))</f>
        <v/>
      </c>
    </row>
    <row r="923">
      <c r="A923" s="16" t="str">
        <f>IF('Classe 3e'!$B43="","",IF('Classe 3e'!A43="","",'Classe 3e'!A43))</f>
        <v/>
      </c>
      <c r="B923" s="16" t="str">
        <f>IF('Classe 3e'!$B43="","",IF('Classe 3e'!B43="","",'Classe 3e'!B43))</f>
        <v/>
      </c>
      <c r="C923" s="16" t="str">
        <f>IF('Classe 3e'!$B43="","",IF('Classe 3e'!C43="","",'Classe 3e'!C43))</f>
        <v/>
      </c>
      <c r="D923" s="16" t="str">
        <f>IF($B923="","",C923&amp;" "&amp;B923&amp;" - "&amp;E923)</f>
        <v/>
      </c>
      <c r="E923" s="17" t="str">
        <f>IF($B923="","",Paramètres!$A$26)</f>
        <v/>
      </c>
      <c r="F923" s="17" t="str">
        <f>IF($B923="","",Paramètres!$B$26)</f>
        <v/>
      </c>
      <c r="G923" s="17" t="str">
        <f>IF('Classe 3e'!$B43="","",IF('Classe 3e'!D43="","",'Classe 3e'!D43))</f>
        <v/>
      </c>
      <c r="H923" s="78" t="str">
        <f>IF('Classe 3e'!$B43="","",IF('Classe 3e'!E43="","",'Classe 3e'!E43))</f>
        <v/>
      </c>
      <c r="I923" s="16" t="str">
        <f>IF('Classe 3e'!$B43="","",IF('Classe 3e'!F43="","",'Classe 3e'!F43))</f>
        <v/>
      </c>
      <c r="J923" s="16" t="str">
        <f>IF('Classe 3e'!$B43="","",IF('Classe 3e'!G43="","",'Classe 3e'!G43))</f>
        <v/>
      </c>
      <c r="K923" s="18" t="str">
        <f>IF('Classe 3e'!$B43="","",N('Classe 3e'!H43))</f>
        <v/>
      </c>
      <c r="L923" s="18" t="str">
        <f>IF('Classe 3e'!$B43="","",N('Classe 3e'!I43))</f>
        <v/>
      </c>
      <c r="M923" s="18" t="str">
        <f>IF('Classe 3e'!$B43="","",N('Classe 3e'!J43))</f>
        <v/>
      </c>
      <c r="N923" s="18" t="str">
        <f>IF('Classe 3e'!$B43="","",N('Classe 3e'!K43))</f>
        <v/>
      </c>
      <c r="O923" s="18" t="str">
        <f>IF('Classe 3e'!$B43="","",N('Classe 3e'!L43))</f>
        <v/>
      </c>
      <c r="P923" s="18" t="str">
        <f>IF('Classe 3e'!$B43="","",N('Classe 3e'!M43))</f>
        <v/>
      </c>
      <c r="Q923" s="17" t="str">
        <f>IF('Classe 3e'!$B43="","",IF('Classe 3e'!Q43="","",'Classe 3e'!Q43))</f>
        <v/>
      </c>
      <c r="R923" s="18" t="str">
        <f>IF('Classe 3e'!$B43="","",N('Classe 3e'!N43))</f>
        <v/>
      </c>
      <c r="S923" s="18" t="str">
        <f>IF('Classe 3e'!$B43="","",N('Classe 3e'!O43))</f>
        <v/>
      </c>
      <c r="T923" s="18" t="str">
        <f>IF('Classe 3e'!$B43="","",N('Classe 3e'!P43))</f>
        <v/>
      </c>
    </row>
    <row r="924">
      <c r="A924" s="20" t="str">
        <f>IF('Classe 3e'!$B44="","",IF('Classe 3e'!A44="","",'Classe 3e'!A44))</f>
        <v/>
      </c>
      <c r="B924" s="20" t="str">
        <f>IF('Classe 3e'!$B44="","",IF('Classe 3e'!B44="","",'Classe 3e'!B44))</f>
        <v/>
      </c>
      <c r="C924" s="20" t="str">
        <f>IF('Classe 3e'!$B44="","",IF('Classe 3e'!C44="","",'Classe 3e'!C44))</f>
        <v/>
      </c>
      <c r="D924" s="20" t="str">
        <f>IF($B924="","",C924&amp;" "&amp;B924&amp;" - "&amp;E924)</f>
        <v/>
      </c>
      <c r="E924" s="21" t="str">
        <f>IF($B924="","",Paramètres!$A$26)</f>
        <v/>
      </c>
      <c r="F924" s="21" t="str">
        <f>IF($B924="","",Paramètres!$B$26)</f>
        <v/>
      </c>
      <c r="G924" s="21" t="str">
        <f>IF('Classe 3e'!$B44="","",IF('Classe 3e'!D44="","",'Classe 3e'!D44))</f>
        <v/>
      </c>
      <c r="H924" s="77" t="str">
        <f>IF('Classe 3e'!$B44="","",IF('Classe 3e'!E44="","",'Classe 3e'!E44))</f>
        <v/>
      </c>
      <c r="I924" s="20" t="str">
        <f>IF('Classe 3e'!$B44="","",IF('Classe 3e'!F44="","",'Classe 3e'!F44))</f>
        <v/>
      </c>
      <c r="J924" s="20" t="str">
        <f>IF('Classe 3e'!$B44="","",IF('Classe 3e'!G44="","",'Classe 3e'!G44))</f>
        <v/>
      </c>
      <c r="K924" s="51" t="str">
        <f>IF('Classe 3e'!$B44="","",N('Classe 3e'!H44))</f>
        <v/>
      </c>
      <c r="L924" s="51" t="str">
        <f>IF('Classe 3e'!$B44="","",N('Classe 3e'!I44))</f>
        <v/>
      </c>
      <c r="M924" s="51" t="str">
        <f>IF('Classe 3e'!$B44="","",N('Classe 3e'!J44))</f>
        <v/>
      </c>
      <c r="N924" s="51" t="str">
        <f>IF('Classe 3e'!$B44="","",N('Classe 3e'!K44))</f>
        <v/>
      </c>
      <c r="O924" s="51" t="str">
        <f>IF('Classe 3e'!$B44="","",N('Classe 3e'!L44))</f>
        <v/>
      </c>
      <c r="P924" s="51" t="str">
        <f>IF('Classe 3e'!$B44="","",N('Classe 3e'!M44))</f>
        <v/>
      </c>
      <c r="Q924" s="21" t="str">
        <f>IF('Classe 3e'!$B44="","",IF('Classe 3e'!Q44="","",'Classe 3e'!Q44))</f>
        <v/>
      </c>
      <c r="R924" s="51" t="str">
        <f>IF('Classe 3e'!$B44="","",N('Classe 3e'!N44))</f>
        <v/>
      </c>
      <c r="S924" s="51" t="str">
        <f>IF('Classe 3e'!$B44="","",N('Classe 3e'!O44))</f>
        <v/>
      </c>
      <c r="T924" s="51" t="str">
        <f>IF('Classe 3e'!$B44="","",N('Classe 3e'!P44))</f>
        <v/>
      </c>
    </row>
    <row r="925">
      <c r="A925" s="16" t="str">
        <f>IF('Classe 3e'!$B45="","",IF('Classe 3e'!A45="","",'Classe 3e'!A45))</f>
        <v/>
      </c>
      <c r="B925" s="16" t="str">
        <f>IF('Classe 3e'!$B45="","",IF('Classe 3e'!B45="","",'Classe 3e'!B45))</f>
        <v/>
      </c>
      <c r="C925" s="16" t="str">
        <f>IF('Classe 3e'!$B45="","",IF('Classe 3e'!C45="","",'Classe 3e'!C45))</f>
        <v/>
      </c>
      <c r="D925" s="16" t="str">
        <f>IF($B925="","",C925&amp;" "&amp;B925&amp;" - "&amp;E925)</f>
        <v/>
      </c>
      <c r="E925" s="17" t="str">
        <f>IF($B925="","",Paramètres!$A$26)</f>
        <v/>
      </c>
      <c r="F925" s="17" t="str">
        <f>IF($B925="","",Paramètres!$B$26)</f>
        <v/>
      </c>
      <c r="G925" s="17" t="str">
        <f>IF('Classe 3e'!$B45="","",IF('Classe 3e'!D45="","",'Classe 3e'!D45))</f>
        <v/>
      </c>
      <c r="H925" s="78" t="str">
        <f>IF('Classe 3e'!$B45="","",IF('Classe 3e'!E45="","",'Classe 3e'!E45))</f>
        <v/>
      </c>
      <c r="I925" s="16" t="str">
        <f>IF('Classe 3e'!$B45="","",IF('Classe 3e'!F45="","",'Classe 3e'!F45))</f>
        <v/>
      </c>
      <c r="J925" s="16" t="str">
        <f>IF('Classe 3e'!$B45="","",IF('Classe 3e'!G45="","",'Classe 3e'!G45))</f>
        <v/>
      </c>
      <c r="K925" s="18" t="str">
        <f>IF('Classe 3e'!$B45="","",N('Classe 3e'!H45))</f>
        <v/>
      </c>
      <c r="L925" s="18" t="str">
        <f>IF('Classe 3e'!$B45="","",N('Classe 3e'!I45))</f>
        <v/>
      </c>
      <c r="M925" s="18" t="str">
        <f>IF('Classe 3e'!$B45="","",N('Classe 3e'!J45))</f>
        <v/>
      </c>
      <c r="N925" s="18" t="str">
        <f>IF('Classe 3e'!$B45="","",N('Classe 3e'!K45))</f>
        <v/>
      </c>
      <c r="O925" s="18" t="str">
        <f>IF('Classe 3e'!$B45="","",N('Classe 3e'!L45))</f>
        <v/>
      </c>
      <c r="P925" s="18" t="str">
        <f>IF('Classe 3e'!$B45="","",N('Classe 3e'!M45))</f>
        <v/>
      </c>
      <c r="Q925" s="17" t="str">
        <f>IF('Classe 3e'!$B45="","",IF('Classe 3e'!Q45="","",'Classe 3e'!Q45))</f>
        <v/>
      </c>
      <c r="R925" s="18" t="str">
        <f>IF('Classe 3e'!$B45="","",N('Classe 3e'!N45))</f>
        <v/>
      </c>
      <c r="S925" s="18" t="str">
        <f>IF('Classe 3e'!$B45="","",N('Classe 3e'!O45))</f>
        <v/>
      </c>
      <c r="T925" s="18" t="str">
        <f>IF('Classe 3e'!$B45="","",N('Classe 3e'!P45))</f>
        <v/>
      </c>
    </row>
    <row r="926">
      <c r="A926" s="20" t="str">
        <f>IF('Classe 3e'!$B46="","",IF('Classe 3e'!A46="","",'Classe 3e'!A46))</f>
        <v/>
      </c>
      <c r="B926" s="20" t="str">
        <f>IF('Classe 3e'!$B46="","",IF('Classe 3e'!B46="","",'Classe 3e'!B46))</f>
        <v/>
      </c>
      <c r="C926" s="20" t="str">
        <f>IF('Classe 3e'!$B46="","",IF('Classe 3e'!C46="","",'Classe 3e'!C46))</f>
        <v/>
      </c>
      <c r="D926" s="20" t="str">
        <f>IF($B926="","",C926&amp;" "&amp;B926&amp;" - "&amp;E926)</f>
        <v/>
      </c>
      <c r="E926" s="21" t="str">
        <f>IF($B926="","",Paramètres!$A$26)</f>
        <v/>
      </c>
      <c r="F926" s="21" t="str">
        <f>IF($B926="","",Paramètres!$B$26)</f>
        <v/>
      </c>
      <c r="G926" s="21" t="str">
        <f>IF('Classe 3e'!$B46="","",IF('Classe 3e'!D46="","",'Classe 3e'!D46))</f>
        <v/>
      </c>
      <c r="H926" s="77" t="str">
        <f>IF('Classe 3e'!$B46="","",IF('Classe 3e'!E46="","",'Classe 3e'!E46))</f>
        <v/>
      </c>
      <c r="I926" s="20" t="str">
        <f>IF('Classe 3e'!$B46="","",IF('Classe 3e'!F46="","",'Classe 3e'!F46))</f>
        <v/>
      </c>
      <c r="J926" s="20" t="str">
        <f>IF('Classe 3e'!$B46="","",IF('Classe 3e'!G46="","",'Classe 3e'!G46))</f>
        <v/>
      </c>
      <c r="K926" s="51" t="str">
        <f>IF('Classe 3e'!$B46="","",N('Classe 3e'!H46))</f>
        <v/>
      </c>
      <c r="L926" s="51" t="str">
        <f>IF('Classe 3e'!$B46="","",N('Classe 3e'!I46))</f>
        <v/>
      </c>
      <c r="M926" s="51" t="str">
        <f>IF('Classe 3e'!$B46="","",N('Classe 3e'!J46))</f>
        <v/>
      </c>
      <c r="N926" s="51" t="str">
        <f>IF('Classe 3e'!$B46="","",N('Classe 3e'!K46))</f>
        <v/>
      </c>
      <c r="O926" s="51" t="str">
        <f>IF('Classe 3e'!$B46="","",N('Classe 3e'!L46))</f>
        <v/>
      </c>
      <c r="P926" s="51" t="str">
        <f>IF('Classe 3e'!$B46="","",N('Classe 3e'!M46))</f>
        <v/>
      </c>
      <c r="Q926" s="21" t="str">
        <f>IF('Classe 3e'!$B46="","",IF('Classe 3e'!Q46="","",'Classe 3e'!Q46))</f>
        <v/>
      </c>
      <c r="R926" s="51" t="str">
        <f>IF('Classe 3e'!$B46="","",N('Classe 3e'!N46))</f>
        <v/>
      </c>
      <c r="S926" s="51" t="str">
        <f>IF('Classe 3e'!$B46="","",N('Classe 3e'!O46))</f>
        <v/>
      </c>
      <c r="T926" s="51" t="str">
        <f>IF('Classe 3e'!$B46="","",N('Classe 3e'!P46))</f>
        <v/>
      </c>
    </row>
    <row r="927">
      <c r="A927" s="16" t="str">
        <f>IF('Classe 3e'!$B47="","",IF('Classe 3e'!A47="","",'Classe 3e'!A47))</f>
        <v/>
      </c>
      <c r="B927" s="16" t="str">
        <f>IF('Classe 3e'!$B47="","",IF('Classe 3e'!B47="","",'Classe 3e'!B47))</f>
        <v/>
      </c>
      <c r="C927" s="16" t="str">
        <f>IF('Classe 3e'!$B47="","",IF('Classe 3e'!C47="","",'Classe 3e'!C47))</f>
        <v/>
      </c>
      <c r="D927" s="16" t="str">
        <f>IF($B927="","",C927&amp;" "&amp;B927&amp;" - "&amp;E927)</f>
        <v/>
      </c>
      <c r="E927" s="17" t="str">
        <f>IF($B927="","",Paramètres!$A$26)</f>
        <v/>
      </c>
      <c r="F927" s="17" t="str">
        <f>IF($B927="","",Paramètres!$B$26)</f>
        <v/>
      </c>
      <c r="G927" s="17" t="str">
        <f>IF('Classe 3e'!$B47="","",IF('Classe 3e'!D47="","",'Classe 3e'!D47))</f>
        <v/>
      </c>
      <c r="H927" s="78" t="str">
        <f>IF('Classe 3e'!$B47="","",IF('Classe 3e'!E47="","",'Classe 3e'!E47))</f>
        <v/>
      </c>
      <c r="I927" s="16" t="str">
        <f>IF('Classe 3e'!$B47="","",IF('Classe 3e'!F47="","",'Classe 3e'!F47))</f>
        <v/>
      </c>
      <c r="J927" s="16" t="str">
        <f>IF('Classe 3e'!$B47="","",IF('Classe 3e'!G47="","",'Classe 3e'!G47))</f>
        <v/>
      </c>
      <c r="K927" s="18" t="str">
        <f>IF('Classe 3e'!$B47="","",N('Classe 3e'!H47))</f>
        <v/>
      </c>
      <c r="L927" s="18" t="str">
        <f>IF('Classe 3e'!$B47="","",N('Classe 3e'!I47))</f>
        <v/>
      </c>
      <c r="M927" s="18" t="str">
        <f>IF('Classe 3e'!$B47="","",N('Classe 3e'!J47))</f>
        <v/>
      </c>
      <c r="N927" s="18" t="str">
        <f>IF('Classe 3e'!$B47="","",N('Classe 3e'!K47))</f>
        <v/>
      </c>
      <c r="O927" s="18" t="str">
        <f>IF('Classe 3e'!$B47="","",N('Classe 3e'!L47))</f>
        <v/>
      </c>
      <c r="P927" s="18" t="str">
        <f>IF('Classe 3e'!$B47="","",N('Classe 3e'!M47))</f>
        <v/>
      </c>
      <c r="Q927" s="17" t="str">
        <f>IF('Classe 3e'!$B47="","",IF('Classe 3e'!Q47="","",'Classe 3e'!Q47))</f>
        <v/>
      </c>
      <c r="R927" s="18" t="str">
        <f>IF('Classe 3e'!$B47="","",N('Classe 3e'!N47))</f>
        <v/>
      </c>
      <c r="S927" s="18" t="str">
        <f>IF('Classe 3e'!$B47="","",N('Classe 3e'!O47))</f>
        <v/>
      </c>
      <c r="T927" s="18" t="str">
        <f>IF('Classe 3e'!$B47="","",N('Classe 3e'!P47))</f>
        <v/>
      </c>
    </row>
    <row r="928">
      <c r="A928" s="20" t="str">
        <f>IF('Classe 3e'!$B48="","",IF('Classe 3e'!A48="","",'Classe 3e'!A48))</f>
        <v/>
      </c>
      <c r="B928" s="20" t="str">
        <f>IF('Classe 3e'!$B48="","",IF('Classe 3e'!B48="","",'Classe 3e'!B48))</f>
        <v/>
      </c>
      <c r="C928" s="20" t="str">
        <f>IF('Classe 3e'!$B48="","",IF('Classe 3e'!C48="","",'Classe 3e'!C48))</f>
        <v/>
      </c>
      <c r="D928" s="20" t="str">
        <f>IF($B928="","",C928&amp;" "&amp;B928&amp;" - "&amp;E928)</f>
        <v/>
      </c>
      <c r="E928" s="21" t="str">
        <f>IF($B928="","",Paramètres!$A$26)</f>
        <v/>
      </c>
      <c r="F928" s="21" t="str">
        <f>IF($B928="","",Paramètres!$B$26)</f>
        <v/>
      </c>
      <c r="G928" s="21" t="str">
        <f>IF('Classe 3e'!$B48="","",IF('Classe 3e'!D48="","",'Classe 3e'!D48))</f>
        <v/>
      </c>
      <c r="H928" s="77" t="str">
        <f>IF('Classe 3e'!$B48="","",IF('Classe 3e'!E48="","",'Classe 3e'!E48))</f>
        <v/>
      </c>
      <c r="I928" s="20" t="str">
        <f>IF('Classe 3e'!$B48="","",IF('Classe 3e'!F48="","",'Classe 3e'!F48))</f>
        <v/>
      </c>
      <c r="J928" s="20" t="str">
        <f>IF('Classe 3e'!$B48="","",IF('Classe 3e'!G48="","",'Classe 3e'!G48))</f>
        <v/>
      </c>
      <c r="K928" s="51" t="str">
        <f>IF('Classe 3e'!$B48="","",N('Classe 3e'!H48))</f>
        <v/>
      </c>
      <c r="L928" s="51" t="str">
        <f>IF('Classe 3e'!$B48="","",N('Classe 3e'!I48))</f>
        <v/>
      </c>
      <c r="M928" s="51" t="str">
        <f>IF('Classe 3e'!$B48="","",N('Classe 3e'!J48))</f>
        <v/>
      </c>
      <c r="N928" s="51" t="str">
        <f>IF('Classe 3e'!$B48="","",N('Classe 3e'!K48))</f>
        <v/>
      </c>
      <c r="O928" s="51" t="str">
        <f>IF('Classe 3e'!$B48="","",N('Classe 3e'!L48))</f>
        <v/>
      </c>
      <c r="P928" s="51" t="str">
        <f>IF('Classe 3e'!$B48="","",N('Classe 3e'!M48))</f>
        <v/>
      </c>
      <c r="Q928" s="21" t="str">
        <f>IF('Classe 3e'!$B48="","",IF('Classe 3e'!Q48="","",'Classe 3e'!Q48))</f>
        <v/>
      </c>
      <c r="R928" s="51" t="str">
        <f>IF('Classe 3e'!$B48="","",N('Classe 3e'!N48))</f>
        <v/>
      </c>
      <c r="S928" s="51" t="str">
        <f>IF('Classe 3e'!$B48="","",N('Classe 3e'!O48))</f>
        <v/>
      </c>
      <c r="T928" s="51" t="str">
        <f>IF('Classe 3e'!$B48="","",N('Classe 3e'!P48))</f>
        <v/>
      </c>
    </row>
    <row r="929">
      <c r="A929" s="16" t="str">
        <f>IF('Classe 3e'!$B49="","",IF('Classe 3e'!A49="","",'Classe 3e'!A49))</f>
        <v/>
      </c>
      <c r="B929" s="16" t="str">
        <f>IF('Classe 3e'!$B49="","",IF('Classe 3e'!B49="","",'Classe 3e'!B49))</f>
        <v/>
      </c>
      <c r="C929" s="16" t="str">
        <f>IF('Classe 3e'!$B49="","",IF('Classe 3e'!C49="","",'Classe 3e'!C49))</f>
        <v/>
      </c>
      <c r="D929" s="16" t="str">
        <f>IF($B929="","",C929&amp;" "&amp;B929&amp;" - "&amp;E929)</f>
        <v/>
      </c>
      <c r="E929" s="17" t="str">
        <f>IF($B929="","",Paramètres!$A$26)</f>
        <v/>
      </c>
      <c r="F929" s="17" t="str">
        <f>IF($B929="","",Paramètres!$B$26)</f>
        <v/>
      </c>
      <c r="G929" s="17" t="str">
        <f>IF('Classe 3e'!$B49="","",IF('Classe 3e'!D49="","",'Classe 3e'!D49))</f>
        <v/>
      </c>
      <c r="H929" s="78" t="str">
        <f>IF('Classe 3e'!$B49="","",IF('Classe 3e'!E49="","",'Classe 3e'!E49))</f>
        <v/>
      </c>
      <c r="I929" s="16" t="str">
        <f>IF('Classe 3e'!$B49="","",IF('Classe 3e'!F49="","",'Classe 3e'!F49))</f>
        <v/>
      </c>
      <c r="J929" s="16" t="str">
        <f>IF('Classe 3e'!$B49="","",IF('Classe 3e'!G49="","",'Classe 3e'!G49))</f>
        <v/>
      </c>
      <c r="K929" s="18" t="str">
        <f>IF('Classe 3e'!$B49="","",N('Classe 3e'!H49))</f>
        <v/>
      </c>
      <c r="L929" s="18" t="str">
        <f>IF('Classe 3e'!$B49="","",N('Classe 3e'!I49))</f>
        <v/>
      </c>
      <c r="M929" s="18" t="str">
        <f>IF('Classe 3e'!$B49="","",N('Classe 3e'!J49))</f>
        <v/>
      </c>
      <c r="N929" s="18" t="str">
        <f>IF('Classe 3e'!$B49="","",N('Classe 3e'!K49))</f>
        <v/>
      </c>
      <c r="O929" s="18" t="str">
        <f>IF('Classe 3e'!$B49="","",N('Classe 3e'!L49))</f>
        <v/>
      </c>
      <c r="P929" s="18" t="str">
        <f>IF('Classe 3e'!$B49="","",N('Classe 3e'!M49))</f>
        <v/>
      </c>
      <c r="Q929" s="17" t="str">
        <f>IF('Classe 3e'!$B49="","",IF('Classe 3e'!Q49="","",'Classe 3e'!Q49))</f>
        <v/>
      </c>
      <c r="R929" s="18" t="str">
        <f>IF('Classe 3e'!$B49="","",N('Classe 3e'!N49))</f>
        <v/>
      </c>
      <c r="S929" s="18" t="str">
        <f>IF('Classe 3e'!$B49="","",N('Classe 3e'!O49))</f>
        <v/>
      </c>
      <c r="T929" s="18" t="str">
        <f>IF('Classe 3e'!$B49="","",N('Classe 3e'!P49))</f>
        <v/>
      </c>
    </row>
    <row r="930">
      <c r="A930" s="20" t="str">
        <f>IF('Classe 3e'!$B50="","",IF('Classe 3e'!A50="","",'Classe 3e'!A50))</f>
        <v/>
      </c>
      <c r="B930" s="20" t="str">
        <f>IF('Classe 3e'!$B50="","",IF('Classe 3e'!B50="","",'Classe 3e'!B50))</f>
        <v/>
      </c>
      <c r="C930" s="20" t="str">
        <f>IF('Classe 3e'!$B50="","",IF('Classe 3e'!C50="","",'Classe 3e'!C50))</f>
        <v/>
      </c>
      <c r="D930" s="20" t="str">
        <f>IF($B930="","",C930&amp;" "&amp;B930&amp;" - "&amp;E930)</f>
        <v/>
      </c>
      <c r="E930" s="21" t="str">
        <f>IF($B930="","",Paramètres!$A$26)</f>
        <v/>
      </c>
      <c r="F930" s="21" t="str">
        <f>IF($B930="","",Paramètres!$B$26)</f>
        <v/>
      </c>
      <c r="G930" s="21" t="str">
        <f>IF('Classe 3e'!$B50="","",IF('Classe 3e'!D50="","",'Classe 3e'!D50))</f>
        <v/>
      </c>
      <c r="H930" s="77" t="str">
        <f>IF('Classe 3e'!$B50="","",IF('Classe 3e'!E50="","",'Classe 3e'!E50))</f>
        <v/>
      </c>
      <c r="I930" s="20" t="str">
        <f>IF('Classe 3e'!$B50="","",IF('Classe 3e'!F50="","",'Classe 3e'!F50))</f>
        <v/>
      </c>
      <c r="J930" s="20" t="str">
        <f>IF('Classe 3e'!$B50="","",IF('Classe 3e'!G50="","",'Classe 3e'!G50))</f>
        <v/>
      </c>
      <c r="K930" s="51" t="str">
        <f>IF('Classe 3e'!$B50="","",N('Classe 3e'!H50))</f>
        <v/>
      </c>
      <c r="L930" s="51" t="str">
        <f>IF('Classe 3e'!$B50="","",N('Classe 3e'!I50))</f>
        <v/>
      </c>
      <c r="M930" s="51" t="str">
        <f>IF('Classe 3e'!$B50="","",N('Classe 3e'!J50))</f>
        <v/>
      </c>
      <c r="N930" s="51" t="str">
        <f>IF('Classe 3e'!$B50="","",N('Classe 3e'!K50))</f>
        <v/>
      </c>
      <c r="O930" s="51" t="str">
        <f>IF('Classe 3e'!$B50="","",N('Classe 3e'!L50))</f>
        <v/>
      </c>
      <c r="P930" s="51" t="str">
        <f>IF('Classe 3e'!$B50="","",N('Classe 3e'!M50))</f>
        <v/>
      </c>
      <c r="Q930" s="21" t="str">
        <f>IF('Classe 3e'!$B50="","",IF('Classe 3e'!Q50="","",'Classe 3e'!Q50))</f>
        <v/>
      </c>
      <c r="R930" s="51" t="str">
        <f>IF('Classe 3e'!$B50="","",N('Classe 3e'!N50))</f>
        <v/>
      </c>
      <c r="S930" s="51" t="str">
        <f>IF('Classe 3e'!$B50="","",N('Classe 3e'!O50))</f>
        <v/>
      </c>
      <c r="T930" s="51" t="str">
        <f>IF('Classe 3e'!$B50="","",N('Classe 3e'!P50))</f>
        <v/>
      </c>
    </row>
    <row r="931">
      <c r="A931" s="16" t="str">
        <f>IF('Classe 3e'!$B51="","",IF('Classe 3e'!A51="","",'Classe 3e'!A51))</f>
        <v/>
      </c>
      <c r="B931" s="16" t="str">
        <f>IF('Classe 3e'!$B51="","",IF('Classe 3e'!B51="","",'Classe 3e'!B51))</f>
        <v/>
      </c>
      <c r="C931" s="16" t="str">
        <f>IF('Classe 3e'!$B51="","",IF('Classe 3e'!C51="","",'Classe 3e'!C51))</f>
        <v/>
      </c>
      <c r="D931" s="16" t="str">
        <f>IF($B931="","",C931&amp;" "&amp;B931&amp;" - "&amp;E931)</f>
        <v/>
      </c>
      <c r="E931" s="17" t="str">
        <f>IF($B931="","",Paramètres!$A$26)</f>
        <v/>
      </c>
      <c r="F931" s="17" t="str">
        <f>IF($B931="","",Paramètres!$B$26)</f>
        <v/>
      </c>
      <c r="G931" s="17" t="str">
        <f>IF('Classe 3e'!$B51="","",IF('Classe 3e'!D51="","",'Classe 3e'!D51))</f>
        <v/>
      </c>
      <c r="H931" s="78" t="str">
        <f>IF('Classe 3e'!$B51="","",IF('Classe 3e'!E51="","",'Classe 3e'!E51))</f>
        <v/>
      </c>
      <c r="I931" s="16" t="str">
        <f>IF('Classe 3e'!$B51="","",IF('Classe 3e'!F51="","",'Classe 3e'!F51))</f>
        <v/>
      </c>
      <c r="J931" s="16" t="str">
        <f>IF('Classe 3e'!$B51="","",IF('Classe 3e'!G51="","",'Classe 3e'!G51))</f>
        <v/>
      </c>
      <c r="K931" s="18" t="str">
        <f>IF('Classe 3e'!$B51="","",N('Classe 3e'!H51))</f>
        <v/>
      </c>
      <c r="L931" s="18" t="str">
        <f>IF('Classe 3e'!$B51="","",N('Classe 3e'!I51))</f>
        <v/>
      </c>
      <c r="M931" s="18" t="str">
        <f>IF('Classe 3e'!$B51="","",N('Classe 3e'!J51))</f>
        <v/>
      </c>
      <c r="N931" s="18" t="str">
        <f>IF('Classe 3e'!$B51="","",N('Classe 3e'!K51))</f>
        <v/>
      </c>
      <c r="O931" s="18" t="str">
        <f>IF('Classe 3e'!$B51="","",N('Classe 3e'!L51))</f>
        <v/>
      </c>
      <c r="P931" s="18" t="str">
        <f>IF('Classe 3e'!$B51="","",N('Classe 3e'!M51))</f>
        <v/>
      </c>
      <c r="Q931" s="17" t="str">
        <f>IF('Classe 3e'!$B51="","",IF('Classe 3e'!Q51="","",'Classe 3e'!Q51))</f>
        <v/>
      </c>
      <c r="R931" s="18" t="str">
        <f>IF('Classe 3e'!$B51="","",N('Classe 3e'!N51))</f>
        <v/>
      </c>
      <c r="S931" s="18" t="str">
        <f>IF('Classe 3e'!$B51="","",N('Classe 3e'!O51))</f>
        <v/>
      </c>
      <c r="T931" s="18" t="str">
        <f>IF('Classe 3e'!$B51="","",N('Classe 3e'!P51))</f>
        <v/>
      </c>
    </row>
    <row r="932">
      <c r="A932" s="20" t="str">
        <f>IF('Classe 3e'!$B52="","",IF('Classe 3e'!A52="","",'Classe 3e'!A52))</f>
        <v/>
      </c>
      <c r="B932" s="20" t="str">
        <f>IF('Classe 3e'!$B52="","",IF('Classe 3e'!B52="","",'Classe 3e'!B52))</f>
        <v/>
      </c>
      <c r="C932" s="20" t="str">
        <f>IF('Classe 3e'!$B52="","",IF('Classe 3e'!C52="","",'Classe 3e'!C52))</f>
        <v/>
      </c>
      <c r="D932" s="20" t="str">
        <f>IF($B932="","",C932&amp;" "&amp;B932&amp;" - "&amp;E932)</f>
        <v/>
      </c>
      <c r="E932" s="21" t="str">
        <f>IF($B932="","",Paramètres!$A$26)</f>
        <v/>
      </c>
      <c r="F932" s="21" t="str">
        <f>IF($B932="","",Paramètres!$B$26)</f>
        <v/>
      </c>
      <c r="G932" s="21" t="str">
        <f>IF('Classe 3e'!$B52="","",IF('Classe 3e'!D52="","",'Classe 3e'!D52))</f>
        <v/>
      </c>
      <c r="H932" s="77" t="str">
        <f>IF('Classe 3e'!$B52="","",IF('Classe 3e'!E52="","",'Classe 3e'!E52))</f>
        <v/>
      </c>
      <c r="I932" s="20" t="str">
        <f>IF('Classe 3e'!$B52="","",IF('Classe 3e'!F52="","",'Classe 3e'!F52))</f>
        <v/>
      </c>
      <c r="J932" s="20" t="str">
        <f>IF('Classe 3e'!$B52="","",IF('Classe 3e'!G52="","",'Classe 3e'!G52))</f>
        <v/>
      </c>
      <c r="K932" s="51" t="str">
        <f>IF('Classe 3e'!$B52="","",N('Classe 3e'!H52))</f>
        <v/>
      </c>
      <c r="L932" s="51" t="str">
        <f>IF('Classe 3e'!$B52="","",N('Classe 3e'!I52))</f>
        <v/>
      </c>
      <c r="M932" s="51" t="str">
        <f>IF('Classe 3e'!$B52="","",N('Classe 3e'!J52))</f>
        <v/>
      </c>
      <c r="N932" s="51" t="str">
        <f>IF('Classe 3e'!$B52="","",N('Classe 3e'!K52))</f>
        <v/>
      </c>
      <c r="O932" s="51" t="str">
        <f>IF('Classe 3e'!$B52="","",N('Classe 3e'!L52))</f>
        <v/>
      </c>
      <c r="P932" s="51" t="str">
        <f>IF('Classe 3e'!$B52="","",N('Classe 3e'!M52))</f>
        <v/>
      </c>
      <c r="Q932" s="21" t="str">
        <f>IF('Classe 3e'!$B52="","",IF('Classe 3e'!Q52="","",'Classe 3e'!Q52))</f>
        <v/>
      </c>
      <c r="R932" s="51" t="str">
        <f>IF('Classe 3e'!$B52="","",N('Classe 3e'!N52))</f>
        <v/>
      </c>
      <c r="S932" s="51" t="str">
        <f>IF('Classe 3e'!$B52="","",N('Classe 3e'!O52))</f>
        <v/>
      </c>
      <c r="T932" s="51" t="str">
        <f>IF('Classe 3e'!$B52="","",N('Classe 3e'!P52))</f>
        <v/>
      </c>
    </row>
    <row r="933">
      <c r="A933" s="16" t="str">
        <f>IF('Classe 3e'!$B53="","",IF('Classe 3e'!A53="","",'Classe 3e'!A53))</f>
        <v/>
      </c>
      <c r="B933" s="16" t="str">
        <f>IF('Classe 3e'!$B53="","",IF('Classe 3e'!B53="","",'Classe 3e'!B53))</f>
        <v/>
      </c>
      <c r="C933" s="16" t="str">
        <f>IF('Classe 3e'!$B53="","",IF('Classe 3e'!C53="","",'Classe 3e'!C53))</f>
        <v/>
      </c>
      <c r="D933" s="16" t="str">
        <f>IF($B933="","",C933&amp;" "&amp;B933&amp;" - "&amp;E933)</f>
        <v/>
      </c>
      <c r="E933" s="17" t="str">
        <f>IF($B933="","",Paramètres!$A$26)</f>
        <v/>
      </c>
      <c r="F933" s="17" t="str">
        <f>IF($B933="","",Paramètres!$B$26)</f>
        <v/>
      </c>
      <c r="G933" s="17" t="str">
        <f>IF('Classe 3e'!$B53="","",IF('Classe 3e'!D53="","",'Classe 3e'!D53))</f>
        <v/>
      </c>
      <c r="H933" s="78" t="str">
        <f>IF('Classe 3e'!$B53="","",IF('Classe 3e'!E53="","",'Classe 3e'!E53))</f>
        <v/>
      </c>
      <c r="I933" s="16" t="str">
        <f>IF('Classe 3e'!$B53="","",IF('Classe 3e'!F53="","",'Classe 3e'!F53))</f>
        <v/>
      </c>
      <c r="J933" s="16" t="str">
        <f>IF('Classe 3e'!$B53="","",IF('Classe 3e'!G53="","",'Classe 3e'!G53))</f>
        <v/>
      </c>
      <c r="K933" s="18" t="str">
        <f>IF('Classe 3e'!$B53="","",N('Classe 3e'!H53))</f>
        <v/>
      </c>
      <c r="L933" s="18" t="str">
        <f>IF('Classe 3e'!$B53="","",N('Classe 3e'!I53))</f>
        <v/>
      </c>
      <c r="M933" s="18" t="str">
        <f>IF('Classe 3e'!$B53="","",N('Classe 3e'!J53))</f>
        <v/>
      </c>
      <c r="N933" s="18" t="str">
        <f>IF('Classe 3e'!$B53="","",N('Classe 3e'!K53))</f>
        <v/>
      </c>
      <c r="O933" s="18" t="str">
        <f>IF('Classe 3e'!$B53="","",N('Classe 3e'!L53))</f>
        <v/>
      </c>
      <c r="P933" s="18" t="str">
        <f>IF('Classe 3e'!$B53="","",N('Classe 3e'!M53))</f>
        <v/>
      </c>
      <c r="Q933" s="17" t="str">
        <f>IF('Classe 3e'!$B53="","",IF('Classe 3e'!Q53="","",'Classe 3e'!Q53))</f>
        <v/>
      </c>
      <c r="R933" s="18" t="str">
        <f>IF('Classe 3e'!$B53="","",N('Classe 3e'!N53))</f>
        <v/>
      </c>
      <c r="S933" s="18" t="str">
        <f>IF('Classe 3e'!$B53="","",N('Classe 3e'!O53))</f>
        <v/>
      </c>
      <c r="T933" s="18" t="str">
        <f>IF('Classe 3e'!$B53="","",N('Classe 3e'!P53))</f>
        <v/>
      </c>
    </row>
    <row r="934">
      <c r="A934" s="20" t="str">
        <f>IF('Classe 3e'!$B54="","",IF('Classe 3e'!A54="","",'Classe 3e'!A54))</f>
        <v/>
      </c>
      <c r="B934" s="20" t="str">
        <f>IF('Classe 3e'!$B54="","",IF('Classe 3e'!B54="","",'Classe 3e'!B54))</f>
        <v/>
      </c>
      <c r="C934" s="20" t="str">
        <f>IF('Classe 3e'!$B54="","",IF('Classe 3e'!C54="","",'Classe 3e'!C54))</f>
        <v/>
      </c>
      <c r="D934" s="20" t="str">
        <f>IF($B934="","",C934&amp;" "&amp;B934&amp;" - "&amp;E934)</f>
        <v/>
      </c>
      <c r="E934" s="21" t="str">
        <f>IF($B934="","",Paramètres!$A$26)</f>
        <v/>
      </c>
      <c r="F934" s="21" t="str">
        <f>IF($B934="","",Paramètres!$B$26)</f>
        <v/>
      </c>
      <c r="G934" s="21" t="str">
        <f>IF('Classe 3e'!$B54="","",IF('Classe 3e'!D54="","",'Classe 3e'!D54))</f>
        <v/>
      </c>
      <c r="H934" s="77" t="str">
        <f>IF('Classe 3e'!$B54="","",IF('Classe 3e'!E54="","",'Classe 3e'!E54))</f>
        <v/>
      </c>
      <c r="I934" s="20" t="str">
        <f>IF('Classe 3e'!$B54="","",IF('Classe 3e'!F54="","",'Classe 3e'!F54))</f>
        <v/>
      </c>
      <c r="J934" s="20" t="str">
        <f>IF('Classe 3e'!$B54="","",IF('Classe 3e'!G54="","",'Classe 3e'!G54))</f>
        <v/>
      </c>
      <c r="K934" s="51" t="str">
        <f>IF('Classe 3e'!$B54="","",N('Classe 3e'!H54))</f>
        <v/>
      </c>
      <c r="L934" s="51" t="str">
        <f>IF('Classe 3e'!$B54="","",N('Classe 3e'!I54))</f>
        <v/>
      </c>
      <c r="M934" s="51" t="str">
        <f>IF('Classe 3e'!$B54="","",N('Classe 3e'!J54))</f>
        <v/>
      </c>
      <c r="N934" s="51" t="str">
        <f>IF('Classe 3e'!$B54="","",N('Classe 3e'!K54))</f>
        <v/>
      </c>
      <c r="O934" s="51" t="str">
        <f>IF('Classe 3e'!$B54="","",N('Classe 3e'!L54))</f>
        <v/>
      </c>
      <c r="P934" s="51" t="str">
        <f>IF('Classe 3e'!$B54="","",N('Classe 3e'!M54))</f>
        <v/>
      </c>
      <c r="Q934" s="21" t="str">
        <f>IF('Classe 3e'!$B54="","",IF('Classe 3e'!Q54="","",'Classe 3e'!Q54))</f>
        <v/>
      </c>
      <c r="R934" s="51" t="str">
        <f>IF('Classe 3e'!$B54="","",N('Classe 3e'!N54))</f>
        <v/>
      </c>
      <c r="S934" s="51" t="str">
        <f>IF('Classe 3e'!$B54="","",N('Classe 3e'!O54))</f>
        <v/>
      </c>
      <c r="T934" s="51" t="str">
        <f>IF('Classe 3e'!$B54="","",N('Classe 3e'!P54))</f>
        <v/>
      </c>
    </row>
    <row r="935">
      <c r="A935" s="16" t="str">
        <f>IF('Classe 3e'!$B55="","",IF('Classe 3e'!A55="","",'Classe 3e'!A55))</f>
        <v/>
      </c>
      <c r="B935" s="16" t="str">
        <f>IF('Classe 3e'!$B55="","",IF('Classe 3e'!B55="","",'Classe 3e'!B55))</f>
        <v/>
      </c>
      <c r="C935" s="16" t="str">
        <f>IF('Classe 3e'!$B55="","",IF('Classe 3e'!C55="","",'Classe 3e'!C55))</f>
        <v/>
      </c>
      <c r="D935" s="16" t="str">
        <f>IF($B935="","",C935&amp;" "&amp;B935&amp;" - "&amp;E935)</f>
        <v/>
      </c>
      <c r="E935" s="17" t="str">
        <f>IF($B935="","",Paramètres!$A$26)</f>
        <v/>
      </c>
      <c r="F935" s="17" t="str">
        <f>IF($B935="","",Paramètres!$B$26)</f>
        <v/>
      </c>
      <c r="G935" s="17" t="str">
        <f>IF('Classe 3e'!$B55="","",IF('Classe 3e'!D55="","",'Classe 3e'!D55))</f>
        <v/>
      </c>
      <c r="H935" s="78" t="str">
        <f>IF('Classe 3e'!$B55="","",IF('Classe 3e'!E55="","",'Classe 3e'!E55))</f>
        <v/>
      </c>
      <c r="I935" s="16" t="str">
        <f>IF('Classe 3e'!$B55="","",IF('Classe 3e'!F55="","",'Classe 3e'!F55))</f>
        <v/>
      </c>
      <c r="J935" s="16" t="str">
        <f>IF('Classe 3e'!$B55="","",IF('Classe 3e'!G55="","",'Classe 3e'!G55))</f>
        <v/>
      </c>
      <c r="K935" s="18" t="str">
        <f>IF('Classe 3e'!$B55="","",N('Classe 3e'!H55))</f>
        <v/>
      </c>
      <c r="L935" s="18" t="str">
        <f>IF('Classe 3e'!$B55="","",N('Classe 3e'!I55))</f>
        <v/>
      </c>
      <c r="M935" s="18" t="str">
        <f>IF('Classe 3e'!$B55="","",N('Classe 3e'!J55))</f>
        <v/>
      </c>
      <c r="N935" s="18" t="str">
        <f>IF('Classe 3e'!$B55="","",N('Classe 3e'!K55))</f>
        <v/>
      </c>
      <c r="O935" s="18" t="str">
        <f>IF('Classe 3e'!$B55="","",N('Classe 3e'!L55))</f>
        <v/>
      </c>
      <c r="P935" s="18" t="str">
        <f>IF('Classe 3e'!$B55="","",N('Classe 3e'!M55))</f>
        <v/>
      </c>
      <c r="Q935" s="17" t="str">
        <f>IF('Classe 3e'!$B55="","",IF('Classe 3e'!Q55="","",'Classe 3e'!Q55))</f>
        <v/>
      </c>
      <c r="R935" s="18" t="str">
        <f>IF('Classe 3e'!$B55="","",N('Classe 3e'!N55))</f>
        <v/>
      </c>
      <c r="S935" s="18" t="str">
        <f>IF('Classe 3e'!$B55="","",N('Classe 3e'!O55))</f>
        <v/>
      </c>
      <c r="T935" s="18" t="str">
        <f>IF('Classe 3e'!$B55="","",N('Classe 3e'!P55))</f>
        <v/>
      </c>
    </row>
    <row r="936">
      <c r="A936" s="20" t="str">
        <f>IF('Classe 3e'!$B56="","",IF('Classe 3e'!A56="","",'Classe 3e'!A56))</f>
        <v/>
      </c>
      <c r="B936" s="20" t="str">
        <f>IF('Classe 3e'!$B56="","",IF('Classe 3e'!B56="","",'Classe 3e'!B56))</f>
        <v/>
      </c>
      <c r="C936" s="20" t="str">
        <f>IF('Classe 3e'!$B56="","",IF('Classe 3e'!C56="","",'Classe 3e'!C56))</f>
        <v/>
      </c>
      <c r="D936" s="20" t="str">
        <f>IF($B936="","",C936&amp;" "&amp;B936&amp;" - "&amp;E936)</f>
        <v/>
      </c>
      <c r="E936" s="21" t="str">
        <f>IF($B936="","",Paramètres!$A$26)</f>
        <v/>
      </c>
      <c r="F936" s="21" t="str">
        <f>IF($B936="","",Paramètres!$B$26)</f>
        <v/>
      </c>
      <c r="G936" s="21" t="str">
        <f>IF('Classe 3e'!$B56="","",IF('Classe 3e'!D56="","",'Classe 3e'!D56))</f>
        <v/>
      </c>
      <c r="H936" s="77" t="str">
        <f>IF('Classe 3e'!$B56="","",IF('Classe 3e'!E56="","",'Classe 3e'!E56))</f>
        <v/>
      </c>
      <c r="I936" s="20" t="str">
        <f>IF('Classe 3e'!$B56="","",IF('Classe 3e'!F56="","",'Classe 3e'!F56))</f>
        <v/>
      </c>
      <c r="J936" s="20" t="str">
        <f>IF('Classe 3e'!$B56="","",IF('Classe 3e'!G56="","",'Classe 3e'!G56))</f>
        <v/>
      </c>
      <c r="K936" s="51" t="str">
        <f>IF('Classe 3e'!$B56="","",N('Classe 3e'!H56))</f>
        <v/>
      </c>
      <c r="L936" s="51" t="str">
        <f>IF('Classe 3e'!$B56="","",N('Classe 3e'!I56))</f>
        <v/>
      </c>
      <c r="M936" s="51" t="str">
        <f>IF('Classe 3e'!$B56="","",N('Classe 3e'!J56))</f>
        <v/>
      </c>
      <c r="N936" s="51" t="str">
        <f>IF('Classe 3e'!$B56="","",N('Classe 3e'!K56))</f>
        <v/>
      </c>
      <c r="O936" s="51" t="str">
        <f>IF('Classe 3e'!$B56="","",N('Classe 3e'!L56))</f>
        <v/>
      </c>
      <c r="P936" s="51" t="str">
        <f>IF('Classe 3e'!$B56="","",N('Classe 3e'!M56))</f>
        <v/>
      </c>
      <c r="Q936" s="21" t="str">
        <f>IF('Classe 3e'!$B56="","",IF('Classe 3e'!Q56="","",'Classe 3e'!Q56))</f>
        <v/>
      </c>
      <c r="R936" s="51" t="str">
        <f>IF('Classe 3e'!$B56="","",N('Classe 3e'!N56))</f>
        <v/>
      </c>
      <c r="S936" s="51" t="str">
        <f>IF('Classe 3e'!$B56="","",N('Classe 3e'!O56))</f>
        <v/>
      </c>
      <c r="T936" s="51" t="str">
        <f>IF('Classe 3e'!$B56="","",N('Classe 3e'!P56))</f>
        <v/>
      </c>
    </row>
    <row r="937">
      <c r="A937" s="16" t="str">
        <f>IF('Classe 3e'!$B57="","",IF('Classe 3e'!A57="","",'Classe 3e'!A57))</f>
        <v/>
      </c>
      <c r="B937" s="16" t="str">
        <f>IF('Classe 3e'!$B57="","",IF('Classe 3e'!B57="","",'Classe 3e'!B57))</f>
        <v/>
      </c>
      <c r="C937" s="16" t="str">
        <f>IF('Classe 3e'!$B57="","",IF('Classe 3e'!C57="","",'Classe 3e'!C57))</f>
        <v/>
      </c>
      <c r="D937" s="16" t="str">
        <f>IF($B937="","",C937&amp;" "&amp;B937&amp;" - "&amp;E937)</f>
        <v/>
      </c>
      <c r="E937" s="17" t="str">
        <f>IF($B937="","",Paramètres!$A$26)</f>
        <v/>
      </c>
      <c r="F937" s="17" t="str">
        <f>IF($B937="","",Paramètres!$B$26)</f>
        <v/>
      </c>
      <c r="G937" s="17" t="str">
        <f>IF('Classe 3e'!$B57="","",IF('Classe 3e'!D57="","",'Classe 3e'!D57))</f>
        <v/>
      </c>
      <c r="H937" s="78" t="str">
        <f>IF('Classe 3e'!$B57="","",IF('Classe 3e'!E57="","",'Classe 3e'!E57))</f>
        <v/>
      </c>
      <c r="I937" s="16" t="str">
        <f>IF('Classe 3e'!$B57="","",IF('Classe 3e'!F57="","",'Classe 3e'!F57))</f>
        <v/>
      </c>
      <c r="J937" s="16" t="str">
        <f>IF('Classe 3e'!$B57="","",IF('Classe 3e'!G57="","",'Classe 3e'!G57))</f>
        <v/>
      </c>
      <c r="K937" s="18" t="str">
        <f>IF('Classe 3e'!$B57="","",N('Classe 3e'!H57))</f>
        <v/>
      </c>
      <c r="L937" s="18" t="str">
        <f>IF('Classe 3e'!$B57="","",N('Classe 3e'!I57))</f>
        <v/>
      </c>
      <c r="M937" s="18" t="str">
        <f>IF('Classe 3e'!$B57="","",N('Classe 3e'!J57))</f>
        <v/>
      </c>
      <c r="N937" s="18" t="str">
        <f>IF('Classe 3e'!$B57="","",N('Classe 3e'!K57))</f>
        <v/>
      </c>
      <c r="O937" s="18" t="str">
        <f>IF('Classe 3e'!$B57="","",N('Classe 3e'!L57))</f>
        <v/>
      </c>
      <c r="P937" s="18" t="str">
        <f>IF('Classe 3e'!$B57="","",N('Classe 3e'!M57))</f>
        <v/>
      </c>
      <c r="Q937" s="17" t="str">
        <f>IF('Classe 3e'!$B57="","",IF('Classe 3e'!Q57="","",'Classe 3e'!Q57))</f>
        <v/>
      </c>
      <c r="R937" s="18" t="str">
        <f>IF('Classe 3e'!$B57="","",N('Classe 3e'!N57))</f>
        <v/>
      </c>
      <c r="S937" s="18" t="str">
        <f>IF('Classe 3e'!$B57="","",N('Classe 3e'!O57))</f>
        <v/>
      </c>
      <c r="T937" s="18" t="str">
        <f>IF('Classe 3e'!$B57="","",N('Classe 3e'!P57))</f>
        <v/>
      </c>
    </row>
    <row r="938">
      <c r="A938" s="20" t="str">
        <f>IF('Classe 3e'!$B58="","",IF('Classe 3e'!A58="","",'Classe 3e'!A58))</f>
        <v/>
      </c>
      <c r="B938" s="20" t="str">
        <f>IF('Classe 3e'!$B58="","",IF('Classe 3e'!B58="","",'Classe 3e'!B58))</f>
        <v/>
      </c>
      <c r="C938" s="20" t="str">
        <f>IF('Classe 3e'!$B58="","",IF('Classe 3e'!C58="","",'Classe 3e'!C58))</f>
        <v/>
      </c>
      <c r="D938" s="20" t="str">
        <f>IF($B938="","",C938&amp;" "&amp;B938&amp;" - "&amp;E938)</f>
        <v/>
      </c>
      <c r="E938" s="21" t="str">
        <f>IF($B938="","",Paramètres!$A$26)</f>
        <v/>
      </c>
      <c r="F938" s="21" t="str">
        <f>IF($B938="","",Paramètres!$B$26)</f>
        <v/>
      </c>
      <c r="G938" s="21" t="str">
        <f>IF('Classe 3e'!$B58="","",IF('Classe 3e'!D58="","",'Classe 3e'!D58))</f>
        <v/>
      </c>
      <c r="H938" s="77" t="str">
        <f>IF('Classe 3e'!$B58="","",IF('Classe 3e'!E58="","",'Classe 3e'!E58))</f>
        <v/>
      </c>
      <c r="I938" s="20" t="str">
        <f>IF('Classe 3e'!$B58="","",IF('Classe 3e'!F58="","",'Classe 3e'!F58))</f>
        <v/>
      </c>
      <c r="J938" s="20" t="str">
        <f>IF('Classe 3e'!$B58="","",IF('Classe 3e'!G58="","",'Classe 3e'!G58))</f>
        <v/>
      </c>
      <c r="K938" s="51" t="str">
        <f>IF('Classe 3e'!$B58="","",N('Classe 3e'!H58))</f>
        <v/>
      </c>
      <c r="L938" s="51" t="str">
        <f>IF('Classe 3e'!$B58="","",N('Classe 3e'!I58))</f>
        <v/>
      </c>
      <c r="M938" s="51" t="str">
        <f>IF('Classe 3e'!$B58="","",N('Classe 3e'!J58))</f>
        <v/>
      </c>
      <c r="N938" s="51" t="str">
        <f>IF('Classe 3e'!$B58="","",N('Classe 3e'!K58))</f>
        <v/>
      </c>
      <c r="O938" s="51" t="str">
        <f>IF('Classe 3e'!$B58="","",N('Classe 3e'!L58))</f>
        <v/>
      </c>
      <c r="P938" s="51" t="str">
        <f>IF('Classe 3e'!$B58="","",N('Classe 3e'!M58))</f>
        <v/>
      </c>
      <c r="Q938" s="21" t="str">
        <f>IF('Classe 3e'!$B58="","",IF('Classe 3e'!Q58="","",'Classe 3e'!Q58))</f>
        <v/>
      </c>
      <c r="R938" s="51" t="str">
        <f>IF('Classe 3e'!$B58="","",N('Classe 3e'!N58))</f>
        <v/>
      </c>
      <c r="S938" s="51" t="str">
        <f>IF('Classe 3e'!$B58="","",N('Classe 3e'!O58))</f>
        <v/>
      </c>
      <c r="T938" s="51" t="str">
        <f>IF('Classe 3e'!$B58="","",N('Classe 3e'!P58))</f>
        <v/>
      </c>
    </row>
    <row r="939">
      <c r="A939" s="16" t="str">
        <f>IF('Classe 3e'!$B59="","",IF('Classe 3e'!A59="","",'Classe 3e'!A59))</f>
        <v/>
      </c>
      <c r="B939" s="16" t="str">
        <f>IF('Classe 3e'!$B59="","",IF('Classe 3e'!B59="","",'Classe 3e'!B59))</f>
        <v/>
      </c>
      <c r="C939" s="16" t="str">
        <f>IF('Classe 3e'!$B59="","",IF('Classe 3e'!C59="","",'Classe 3e'!C59))</f>
        <v/>
      </c>
      <c r="D939" s="16" t="str">
        <f>IF($B939="","",C939&amp;" "&amp;B939&amp;" - "&amp;E939)</f>
        <v/>
      </c>
      <c r="E939" s="17" t="str">
        <f>IF($B939="","",Paramètres!$A$26)</f>
        <v/>
      </c>
      <c r="F939" s="17" t="str">
        <f>IF($B939="","",Paramètres!$B$26)</f>
        <v/>
      </c>
      <c r="G939" s="17" t="str">
        <f>IF('Classe 3e'!$B59="","",IF('Classe 3e'!D59="","",'Classe 3e'!D59))</f>
        <v/>
      </c>
      <c r="H939" s="78" t="str">
        <f>IF('Classe 3e'!$B59="","",IF('Classe 3e'!E59="","",'Classe 3e'!E59))</f>
        <v/>
      </c>
      <c r="I939" s="16" t="str">
        <f>IF('Classe 3e'!$B59="","",IF('Classe 3e'!F59="","",'Classe 3e'!F59))</f>
        <v/>
      </c>
      <c r="J939" s="16" t="str">
        <f>IF('Classe 3e'!$B59="","",IF('Classe 3e'!G59="","",'Classe 3e'!G59))</f>
        <v/>
      </c>
      <c r="K939" s="18" t="str">
        <f>IF('Classe 3e'!$B59="","",N('Classe 3e'!H59))</f>
        <v/>
      </c>
      <c r="L939" s="18" t="str">
        <f>IF('Classe 3e'!$B59="","",N('Classe 3e'!I59))</f>
        <v/>
      </c>
      <c r="M939" s="18" t="str">
        <f>IF('Classe 3e'!$B59="","",N('Classe 3e'!J59))</f>
        <v/>
      </c>
      <c r="N939" s="18" t="str">
        <f>IF('Classe 3e'!$B59="","",N('Classe 3e'!K59))</f>
        <v/>
      </c>
      <c r="O939" s="18" t="str">
        <f>IF('Classe 3e'!$B59="","",N('Classe 3e'!L59))</f>
        <v/>
      </c>
      <c r="P939" s="18" t="str">
        <f>IF('Classe 3e'!$B59="","",N('Classe 3e'!M59))</f>
        <v/>
      </c>
      <c r="Q939" s="17" t="str">
        <f>IF('Classe 3e'!$B59="","",IF('Classe 3e'!Q59="","",'Classe 3e'!Q59))</f>
        <v/>
      </c>
      <c r="R939" s="18" t="str">
        <f>IF('Classe 3e'!$B59="","",N('Classe 3e'!N59))</f>
        <v/>
      </c>
      <c r="S939" s="18" t="str">
        <f>IF('Classe 3e'!$B59="","",N('Classe 3e'!O59))</f>
        <v/>
      </c>
      <c r="T939" s="18" t="str">
        <f>IF('Classe 3e'!$B59="","",N('Classe 3e'!P59))</f>
        <v/>
      </c>
    </row>
    <row r="940">
      <c r="A940" s="20" t="str">
        <f>IF('Classe 3e'!$B60="","",IF('Classe 3e'!A60="","",'Classe 3e'!A60))</f>
        <v/>
      </c>
      <c r="B940" s="20" t="str">
        <f>IF('Classe 3e'!$B60="","",IF('Classe 3e'!B60="","",'Classe 3e'!B60))</f>
        <v/>
      </c>
      <c r="C940" s="20" t="str">
        <f>IF('Classe 3e'!$B60="","",IF('Classe 3e'!C60="","",'Classe 3e'!C60))</f>
        <v/>
      </c>
      <c r="D940" s="20" t="str">
        <f>IF($B940="","",C940&amp;" "&amp;B940&amp;" - "&amp;E940)</f>
        <v/>
      </c>
      <c r="E940" s="21" t="str">
        <f>IF($B940="","",Paramètres!$A$26)</f>
        <v/>
      </c>
      <c r="F940" s="21" t="str">
        <f>IF($B940="","",Paramètres!$B$26)</f>
        <v/>
      </c>
      <c r="G940" s="21" t="str">
        <f>IF('Classe 3e'!$B60="","",IF('Classe 3e'!D60="","",'Classe 3e'!D60))</f>
        <v/>
      </c>
      <c r="H940" s="77" t="str">
        <f>IF('Classe 3e'!$B60="","",IF('Classe 3e'!E60="","",'Classe 3e'!E60))</f>
        <v/>
      </c>
      <c r="I940" s="20" t="str">
        <f>IF('Classe 3e'!$B60="","",IF('Classe 3e'!F60="","",'Classe 3e'!F60))</f>
        <v/>
      </c>
      <c r="J940" s="20" t="str">
        <f>IF('Classe 3e'!$B60="","",IF('Classe 3e'!G60="","",'Classe 3e'!G60))</f>
        <v/>
      </c>
      <c r="K940" s="51" t="str">
        <f>IF('Classe 3e'!$B60="","",N('Classe 3e'!H60))</f>
        <v/>
      </c>
      <c r="L940" s="51" t="str">
        <f>IF('Classe 3e'!$B60="","",N('Classe 3e'!I60))</f>
        <v/>
      </c>
      <c r="M940" s="51" t="str">
        <f>IF('Classe 3e'!$B60="","",N('Classe 3e'!J60))</f>
        <v/>
      </c>
      <c r="N940" s="51" t="str">
        <f>IF('Classe 3e'!$B60="","",N('Classe 3e'!K60))</f>
        <v/>
      </c>
      <c r="O940" s="51" t="str">
        <f>IF('Classe 3e'!$B60="","",N('Classe 3e'!L60))</f>
        <v/>
      </c>
      <c r="P940" s="51" t="str">
        <f>IF('Classe 3e'!$B60="","",N('Classe 3e'!M60))</f>
        <v/>
      </c>
      <c r="Q940" s="21" t="str">
        <f>IF('Classe 3e'!$B60="","",IF('Classe 3e'!Q60="","",'Classe 3e'!Q60))</f>
        <v/>
      </c>
      <c r="R940" s="51" t="str">
        <f>IF('Classe 3e'!$B60="","",N('Classe 3e'!N60))</f>
        <v/>
      </c>
      <c r="S940" s="51" t="str">
        <f>IF('Classe 3e'!$B60="","",N('Classe 3e'!O60))</f>
        <v/>
      </c>
      <c r="T940" s="51" t="str">
        <f>IF('Classe 3e'!$B60="","",N('Classe 3e'!P60))</f>
        <v/>
      </c>
    </row>
    <row r="941">
      <c r="A941" s="16" t="str">
        <f>IF('Classe 3e'!$B61="","",IF('Classe 3e'!A61="","",'Classe 3e'!A61))</f>
        <v/>
      </c>
      <c r="B941" s="16" t="str">
        <f>IF('Classe 3e'!$B61="","",IF('Classe 3e'!B61="","",'Classe 3e'!B61))</f>
        <v/>
      </c>
      <c r="C941" s="16" t="str">
        <f>IF('Classe 3e'!$B61="","",IF('Classe 3e'!C61="","",'Classe 3e'!C61))</f>
        <v/>
      </c>
      <c r="D941" s="16" t="str">
        <f>IF($B941="","",C941&amp;" "&amp;B941&amp;" - "&amp;E941)</f>
        <v/>
      </c>
      <c r="E941" s="17" t="str">
        <f>IF($B941="","",Paramètres!$A$26)</f>
        <v/>
      </c>
      <c r="F941" s="17" t="str">
        <f>IF($B941="","",Paramètres!$B$26)</f>
        <v/>
      </c>
      <c r="G941" s="17" t="str">
        <f>IF('Classe 3e'!$B61="","",IF('Classe 3e'!D61="","",'Classe 3e'!D61))</f>
        <v/>
      </c>
      <c r="H941" s="78" t="str">
        <f>IF('Classe 3e'!$B61="","",IF('Classe 3e'!E61="","",'Classe 3e'!E61))</f>
        <v/>
      </c>
      <c r="I941" s="16" t="str">
        <f>IF('Classe 3e'!$B61="","",IF('Classe 3e'!F61="","",'Classe 3e'!F61))</f>
        <v/>
      </c>
      <c r="J941" s="16" t="str">
        <f>IF('Classe 3e'!$B61="","",IF('Classe 3e'!G61="","",'Classe 3e'!G61))</f>
        <v/>
      </c>
      <c r="K941" s="18" t="str">
        <f>IF('Classe 3e'!$B61="","",N('Classe 3e'!H61))</f>
        <v/>
      </c>
      <c r="L941" s="18" t="str">
        <f>IF('Classe 3e'!$B61="","",N('Classe 3e'!I61))</f>
        <v/>
      </c>
      <c r="M941" s="18" t="str">
        <f>IF('Classe 3e'!$B61="","",N('Classe 3e'!J61))</f>
        <v/>
      </c>
      <c r="N941" s="18" t="str">
        <f>IF('Classe 3e'!$B61="","",N('Classe 3e'!K61))</f>
        <v/>
      </c>
      <c r="O941" s="18" t="str">
        <f>IF('Classe 3e'!$B61="","",N('Classe 3e'!L61))</f>
        <v/>
      </c>
      <c r="P941" s="18" t="str">
        <f>IF('Classe 3e'!$B61="","",N('Classe 3e'!M61))</f>
        <v/>
      </c>
      <c r="Q941" s="17" t="str">
        <f>IF('Classe 3e'!$B61="","",IF('Classe 3e'!Q61="","",'Classe 3e'!Q61))</f>
        <v/>
      </c>
      <c r="R941" s="18" t="str">
        <f>IF('Classe 3e'!$B61="","",N('Classe 3e'!N61))</f>
        <v/>
      </c>
      <c r="S941" s="18" t="str">
        <f>IF('Classe 3e'!$B61="","",N('Classe 3e'!O61))</f>
        <v/>
      </c>
      <c r="T941" s="18" t="str">
        <f>IF('Classe 3e'!$B61="","",N('Classe 3e'!P61))</f>
        <v/>
      </c>
    </row>
    <row r="942">
      <c r="A942" s="20" t="str">
        <f>IF('Classe 3e'!$B62="","",IF('Classe 3e'!A62="","",'Classe 3e'!A62))</f>
        <v/>
      </c>
      <c r="B942" s="20" t="str">
        <f>IF('Classe 3e'!$B62="","",IF('Classe 3e'!B62="","",'Classe 3e'!B62))</f>
        <v/>
      </c>
      <c r="C942" s="20" t="str">
        <f>IF('Classe 3e'!$B62="","",IF('Classe 3e'!C62="","",'Classe 3e'!C62))</f>
        <v/>
      </c>
      <c r="D942" s="20" t="str">
        <f>IF($B942="","",C942&amp;" "&amp;B942&amp;" - "&amp;E942)</f>
        <v/>
      </c>
      <c r="E942" s="21" t="str">
        <f>IF($B942="","",Paramètres!$A$26)</f>
        <v/>
      </c>
      <c r="F942" s="21" t="str">
        <f>IF($B942="","",Paramètres!$B$26)</f>
        <v/>
      </c>
      <c r="G942" s="21" t="str">
        <f>IF('Classe 3e'!$B62="","",IF('Classe 3e'!D62="","",'Classe 3e'!D62))</f>
        <v/>
      </c>
      <c r="H942" s="77" t="str">
        <f>IF('Classe 3e'!$B62="","",IF('Classe 3e'!E62="","",'Classe 3e'!E62))</f>
        <v/>
      </c>
      <c r="I942" s="20" t="str">
        <f>IF('Classe 3e'!$B62="","",IF('Classe 3e'!F62="","",'Classe 3e'!F62))</f>
        <v/>
      </c>
      <c r="J942" s="20" t="str">
        <f>IF('Classe 3e'!$B62="","",IF('Classe 3e'!G62="","",'Classe 3e'!G62))</f>
        <v/>
      </c>
      <c r="K942" s="51" t="str">
        <f>IF('Classe 3e'!$B62="","",N('Classe 3e'!H62))</f>
        <v/>
      </c>
      <c r="L942" s="51" t="str">
        <f>IF('Classe 3e'!$B62="","",N('Classe 3e'!I62))</f>
        <v/>
      </c>
      <c r="M942" s="51" t="str">
        <f>IF('Classe 3e'!$B62="","",N('Classe 3e'!J62))</f>
        <v/>
      </c>
      <c r="N942" s="51" t="str">
        <f>IF('Classe 3e'!$B62="","",N('Classe 3e'!K62))</f>
        <v/>
      </c>
      <c r="O942" s="51" t="str">
        <f>IF('Classe 3e'!$B62="","",N('Classe 3e'!L62))</f>
        <v/>
      </c>
      <c r="P942" s="51" t="str">
        <f>IF('Classe 3e'!$B62="","",N('Classe 3e'!M62))</f>
        <v/>
      </c>
      <c r="Q942" s="21" t="str">
        <f>IF('Classe 3e'!$B62="","",IF('Classe 3e'!Q62="","",'Classe 3e'!Q62))</f>
        <v/>
      </c>
      <c r="R942" s="51" t="str">
        <f>IF('Classe 3e'!$B62="","",N('Classe 3e'!N62))</f>
        <v/>
      </c>
      <c r="S942" s="51" t="str">
        <f>IF('Classe 3e'!$B62="","",N('Classe 3e'!O62))</f>
        <v/>
      </c>
      <c r="T942" s="51" t="str">
        <f>IF('Classe 3e'!$B62="","",N('Classe 3e'!P62))</f>
        <v/>
      </c>
    </row>
    <row r="943">
      <c r="A943" s="16" t="str">
        <f>IF('Classe 3e'!$B63="","",IF('Classe 3e'!A63="","",'Classe 3e'!A63))</f>
        <v/>
      </c>
      <c r="B943" s="16" t="str">
        <f>IF('Classe 3e'!$B63="","",IF('Classe 3e'!B63="","",'Classe 3e'!B63))</f>
        <v/>
      </c>
      <c r="C943" s="16" t="str">
        <f>IF('Classe 3e'!$B63="","",IF('Classe 3e'!C63="","",'Classe 3e'!C63))</f>
        <v/>
      </c>
      <c r="D943" s="16" t="str">
        <f>IF($B943="","",C943&amp;" "&amp;B943&amp;" - "&amp;E943)</f>
        <v/>
      </c>
      <c r="E943" s="17" t="str">
        <f>IF($B943="","",Paramètres!$A$26)</f>
        <v/>
      </c>
      <c r="F943" s="17" t="str">
        <f>IF($B943="","",Paramètres!$B$26)</f>
        <v/>
      </c>
      <c r="G943" s="17" t="str">
        <f>IF('Classe 3e'!$B63="","",IF('Classe 3e'!D63="","",'Classe 3e'!D63))</f>
        <v/>
      </c>
      <c r="H943" s="78" t="str">
        <f>IF('Classe 3e'!$B63="","",IF('Classe 3e'!E63="","",'Classe 3e'!E63))</f>
        <v/>
      </c>
      <c r="I943" s="16" t="str">
        <f>IF('Classe 3e'!$B63="","",IF('Classe 3e'!F63="","",'Classe 3e'!F63))</f>
        <v/>
      </c>
      <c r="J943" s="16" t="str">
        <f>IF('Classe 3e'!$B63="","",IF('Classe 3e'!G63="","",'Classe 3e'!G63))</f>
        <v/>
      </c>
      <c r="K943" s="18" t="str">
        <f>IF('Classe 3e'!$B63="","",N('Classe 3e'!H63))</f>
        <v/>
      </c>
      <c r="L943" s="18" t="str">
        <f>IF('Classe 3e'!$B63="","",N('Classe 3e'!I63))</f>
        <v/>
      </c>
      <c r="M943" s="18" t="str">
        <f>IF('Classe 3e'!$B63="","",N('Classe 3e'!J63))</f>
        <v/>
      </c>
      <c r="N943" s="18" t="str">
        <f>IF('Classe 3e'!$B63="","",N('Classe 3e'!K63))</f>
        <v/>
      </c>
      <c r="O943" s="18" t="str">
        <f>IF('Classe 3e'!$B63="","",N('Classe 3e'!L63))</f>
        <v/>
      </c>
      <c r="P943" s="18" t="str">
        <f>IF('Classe 3e'!$B63="","",N('Classe 3e'!M63))</f>
        <v/>
      </c>
      <c r="Q943" s="17" t="str">
        <f>IF('Classe 3e'!$B63="","",IF('Classe 3e'!Q63="","",'Classe 3e'!Q63))</f>
        <v/>
      </c>
      <c r="R943" s="18" t="str">
        <f>IF('Classe 3e'!$B63="","",N('Classe 3e'!N63))</f>
        <v/>
      </c>
      <c r="S943" s="18" t="str">
        <f>IF('Classe 3e'!$B63="","",N('Classe 3e'!O63))</f>
        <v/>
      </c>
      <c r="T943" s="18" t="str">
        <f>IF('Classe 3e'!$B63="","",N('Classe 3e'!P63))</f>
        <v/>
      </c>
    </row>
    <row r="944">
      <c r="A944" s="20" t="str">
        <f>IF('Classe 3e'!$B64="","",IF('Classe 3e'!A64="","",'Classe 3e'!A64))</f>
        <v/>
      </c>
      <c r="B944" s="20" t="str">
        <f>IF('Classe 3e'!$B64="","",IF('Classe 3e'!B64="","",'Classe 3e'!B64))</f>
        <v/>
      </c>
      <c r="C944" s="20" t="str">
        <f>IF('Classe 3e'!$B64="","",IF('Classe 3e'!C64="","",'Classe 3e'!C64))</f>
        <v/>
      </c>
      <c r="D944" s="20" t="str">
        <f>IF($B944="","",C944&amp;" "&amp;B944&amp;" - "&amp;E944)</f>
        <v/>
      </c>
      <c r="E944" s="21" t="str">
        <f>IF($B944="","",Paramètres!$A$26)</f>
        <v/>
      </c>
      <c r="F944" s="21" t="str">
        <f>IF($B944="","",Paramètres!$B$26)</f>
        <v/>
      </c>
      <c r="G944" s="21" t="str">
        <f>IF('Classe 3e'!$B64="","",IF('Classe 3e'!D64="","",'Classe 3e'!D64))</f>
        <v/>
      </c>
      <c r="H944" s="77" t="str">
        <f>IF('Classe 3e'!$B64="","",IF('Classe 3e'!E64="","",'Classe 3e'!E64))</f>
        <v/>
      </c>
      <c r="I944" s="20" t="str">
        <f>IF('Classe 3e'!$B64="","",IF('Classe 3e'!F64="","",'Classe 3e'!F64))</f>
        <v/>
      </c>
      <c r="J944" s="20" t="str">
        <f>IF('Classe 3e'!$B64="","",IF('Classe 3e'!G64="","",'Classe 3e'!G64))</f>
        <v/>
      </c>
      <c r="K944" s="51" t="str">
        <f>IF('Classe 3e'!$B64="","",N('Classe 3e'!H64))</f>
        <v/>
      </c>
      <c r="L944" s="51" t="str">
        <f>IF('Classe 3e'!$B64="","",N('Classe 3e'!I64))</f>
        <v/>
      </c>
      <c r="M944" s="51" t="str">
        <f>IF('Classe 3e'!$B64="","",N('Classe 3e'!J64))</f>
        <v/>
      </c>
      <c r="N944" s="51" t="str">
        <f>IF('Classe 3e'!$B64="","",N('Classe 3e'!K64))</f>
        <v/>
      </c>
      <c r="O944" s="51" t="str">
        <f>IF('Classe 3e'!$B64="","",N('Classe 3e'!L64))</f>
        <v/>
      </c>
      <c r="P944" s="51" t="str">
        <f>IF('Classe 3e'!$B64="","",N('Classe 3e'!M64))</f>
        <v/>
      </c>
      <c r="Q944" s="21" t="str">
        <f>IF('Classe 3e'!$B64="","",IF('Classe 3e'!Q64="","",'Classe 3e'!Q64))</f>
        <v/>
      </c>
      <c r="R944" s="51" t="str">
        <f>IF('Classe 3e'!$B64="","",N('Classe 3e'!N64))</f>
        <v/>
      </c>
      <c r="S944" s="51" t="str">
        <f>IF('Classe 3e'!$B64="","",N('Classe 3e'!O64))</f>
        <v/>
      </c>
      <c r="T944" s="51" t="str">
        <f>IF('Classe 3e'!$B64="","",N('Classe 3e'!P64))</f>
        <v/>
      </c>
    </row>
    <row r="945">
      <c r="A945" s="16" t="str">
        <f>IF('Classe 3e'!$B65="","",IF('Classe 3e'!A65="","",'Classe 3e'!A65))</f>
        <v/>
      </c>
      <c r="B945" s="16" t="str">
        <f>IF('Classe 3e'!$B65="","",IF('Classe 3e'!B65="","",'Classe 3e'!B65))</f>
        <v/>
      </c>
      <c r="C945" s="16" t="str">
        <f>IF('Classe 3e'!$B65="","",IF('Classe 3e'!C65="","",'Classe 3e'!C65))</f>
        <v/>
      </c>
      <c r="D945" s="16" t="str">
        <f>IF($B945="","",C945&amp;" "&amp;B945&amp;" - "&amp;E945)</f>
        <v/>
      </c>
      <c r="E945" s="17" t="str">
        <f>IF($B945="","",Paramètres!$A$26)</f>
        <v/>
      </c>
      <c r="F945" s="17" t="str">
        <f>IF($B945="","",Paramètres!$B$26)</f>
        <v/>
      </c>
      <c r="G945" s="17" t="str">
        <f>IF('Classe 3e'!$B65="","",IF('Classe 3e'!D65="","",'Classe 3e'!D65))</f>
        <v/>
      </c>
      <c r="H945" s="78" t="str">
        <f>IF('Classe 3e'!$B65="","",IF('Classe 3e'!E65="","",'Classe 3e'!E65))</f>
        <v/>
      </c>
      <c r="I945" s="16" t="str">
        <f>IF('Classe 3e'!$B65="","",IF('Classe 3e'!F65="","",'Classe 3e'!F65))</f>
        <v/>
      </c>
      <c r="J945" s="16" t="str">
        <f>IF('Classe 3e'!$B65="","",IF('Classe 3e'!G65="","",'Classe 3e'!G65))</f>
        <v/>
      </c>
      <c r="K945" s="18" t="str">
        <f>IF('Classe 3e'!$B65="","",N('Classe 3e'!H65))</f>
        <v/>
      </c>
      <c r="L945" s="18" t="str">
        <f>IF('Classe 3e'!$B65="","",N('Classe 3e'!I65))</f>
        <v/>
      </c>
      <c r="M945" s="18" t="str">
        <f>IF('Classe 3e'!$B65="","",N('Classe 3e'!J65))</f>
        <v/>
      </c>
      <c r="N945" s="18" t="str">
        <f>IF('Classe 3e'!$B65="","",N('Classe 3e'!K65))</f>
        <v/>
      </c>
      <c r="O945" s="18" t="str">
        <f>IF('Classe 3e'!$B65="","",N('Classe 3e'!L65))</f>
        <v/>
      </c>
      <c r="P945" s="18" t="str">
        <f>IF('Classe 3e'!$B65="","",N('Classe 3e'!M65))</f>
        <v/>
      </c>
      <c r="Q945" s="17" t="str">
        <f>IF('Classe 3e'!$B65="","",IF('Classe 3e'!Q65="","",'Classe 3e'!Q65))</f>
        <v/>
      </c>
      <c r="R945" s="18" t="str">
        <f>IF('Classe 3e'!$B65="","",N('Classe 3e'!N65))</f>
        <v/>
      </c>
      <c r="S945" s="18" t="str">
        <f>IF('Classe 3e'!$B65="","",N('Classe 3e'!O65))</f>
        <v/>
      </c>
      <c r="T945" s="18" t="str">
        <f>IF('Classe 3e'!$B65="","",N('Classe 3e'!P65))</f>
        <v/>
      </c>
    </row>
    <row r="946">
      <c r="A946" s="20" t="str">
        <f>IF('Classe 3e'!$B66="","",IF('Classe 3e'!A66="","",'Classe 3e'!A66))</f>
        <v/>
      </c>
      <c r="B946" s="20" t="str">
        <f>IF('Classe 3e'!$B66="","",IF('Classe 3e'!B66="","",'Classe 3e'!B66))</f>
        <v/>
      </c>
      <c r="C946" s="20" t="str">
        <f>IF('Classe 3e'!$B66="","",IF('Classe 3e'!C66="","",'Classe 3e'!C66))</f>
        <v/>
      </c>
      <c r="D946" s="20" t="str">
        <f>IF($B946="","",C946&amp;" "&amp;B946&amp;" - "&amp;E946)</f>
        <v/>
      </c>
      <c r="E946" s="21" t="str">
        <f>IF($B946="","",Paramètres!$A$26)</f>
        <v/>
      </c>
      <c r="F946" s="21" t="str">
        <f>IF($B946="","",Paramètres!$B$26)</f>
        <v/>
      </c>
      <c r="G946" s="21" t="str">
        <f>IF('Classe 3e'!$B66="","",IF('Classe 3e'!D66="","",'Classe 3e'!D66))</f>
        <v/>
      </c>
      <c r="H946" s="77" t="str">
        <f>IF('Classe 3e'!$B66="","",IF('Classe 3e'!E66="","",'Classe 3e'!E66))</f>
        <v/>
      </c>
      <c r="I946" s="20" t="str">
        <f>IF('Classe 3e'!$B66="","",IF('Classe 3e'!F66="","",'Classe 3e'!F66))</f>
        <v/>
      </c>
      <c r="J946" s="20" t="str">
        <f>IF('Classe 3e'!$B66="","",IF('Classe 3e'!G66="","",'Classe 3e'!G66))</f>
        <v/>
      </c>
      <c r="K946" s="51" t="str">
        <f>IF('Classe 3e'!$B66="","",N('Classe 3e'!H66))</f>
        <v/>
      </c>
      <c r="L946" s="51" t="str">
        <f>IF('Classe 3e'!$B66="","",N('Classe 3e'!I66))</f>
        <v/>
      </c>
      <c r="M946" s="51" t="str">
        <f>IF('Classe 3e'!$B66="","",N('Classe 3e'!J66))</f>
        <v/>
      </c>
      <c r="N946" s="51" t="str">
        <f>IF('Classe 3e'!$B66="","",N('Classe 3e'!K66))</f>
        <v/>
      </c>
      <c r="O946" s="51" t="str">
        <f>IF('Classe 3e'!$B66="","",N('Classe 3e'!L66))</f>
        <v/>
      </c>
      <c r="P946" s="51" t="str">
        <f>IF('Classe 3e'!$B66="","",N('Classe 3e'!M66))</f>
        <v/>
      </c>
      <c r="Q946" s="21" t="str">
        <f>IF('Classe 3e'!$B66="","",IF('Classe 3e'!Q66="","",'Classe 3e'!Q66))</f>
        <v/>
      </c>
      <c r="R946" s="51" t="str">
        <f>IF('Classe 3e'!$B66="","",N('Classe 3e'!N66))</f>
        <v/>
      </c>
      <c r="S946" s="51" t="str">
        <f>IF('Classe 3e'!$B66="","",N('Classe 3e'!O66))</f>
        <v/>
      </c>
      <c r="T946" s="51" t="str">
        <f>IF('Classe 3e'!$B66="","",N('Classe 3e'!P66))</f>
        <v/>
      </c>
    </row>
    <row r="947">
      <c r="A947" s="16" t="str">
        <f>IF('Classe 3e'!$B67="","",IF('Classe 3e'!A67="","",'Classe 3e'!A67))</f>
        <v/>
      </c>
      <c r="B947" s="16" t="str">
        <f>IF('Classe 3e'!$B67="","",IF('Classe 3e'!B67="","",'Classe 3e'!B67))</f>
        <v/>
      </c>
      <c r="C947" s="16" t="str">
        <f>IF('Classe 3e'!$B67="","",IF('Classe 3e'!C67="","",'Classe 3e'!C67))</f>
        <v/>
      </c>
      <c r="D947" s="16" t="str">
        <f>IF($B947="","",C947&amp;" "&amp;B947&amp;" - "&amp;E947)</f>
        <v/>
      </c>
      <c r="E947" s="17" t="str">
        <f>IF($B947="","",Paramètres!$A$26)</f>
        <v/>
      </c>
      <c r="F947" s="17" t="str">
        <f>IF($B947="","",Paramètres!$B$26)</f>
        <v/>
      </c>
      <c r="G947" s="17" t="str">
        <f>IF('Classe 3e'!$B67="","",IF('Classe 3e'!D67="","",'Classe 3e'!D67))</f>
        <v/>
      </c>
      <c r="H947" s="78" t="str">
        <f>IF('Classe 3e'!$B67="","",IF('Classe 3e'!E67="","",'Classe 3e'!E67))</f>
        <v/>
      </c>
      <c r="I947" s="16" t="str">
        <f>IF('Classe 3e'!$B67="","",IF('Classe 3e'!F67="","",'Classe 3e'!F67))</f>
        <v/>
      </c>
      <c r="J947" s="16" t="str">
        <f>IF('Classe 3e'!$B67="","",IF('Classe 3e'!G67="","",'Classe 3e'!G67))</f>
        <v/>
      </c>
      <c r="K947" s="18" t="str">
        <f>IF('Classe 3e'!$B67="","",N('Classe 3e'!H67))</f>
        <v/>
      </c>
      <c r="L947" s="18" t="str">
        <f>IF('Classe 3e'!$B67="","",N('Classe 3e'!I67))</f>
        <v/>
      </c>
      <c r="M947" s="18" t="str">
        <f>IF('Classe 3e'!$B67="","",N('Classe 3e'!J67))</f>
        <v/>
      </c>
      <c r="N947" s="18" t="str">
        <f>IF('Classe 3e'!$B67="","",N('Classe 3e'!K67))</f>
        <v/>
      </c>
      <c r="O947" s="18" t="str">
        <f>IF('Classe 3e'!$B67="","",N('Classe 3e'!L67))</f>
        <v/>
      </c>
      <c r="P947" s="18" t="str">
        <f>IF('Classe 3e'!$B67="","",N('Classe 3e'!M67))</f>
        <v/>
      </c>
      <c r="Q947" s="17" t="str">
        <f>IF('Classe 3e'!$B67="","",IF('Classe 3e'!Q67="","",'Classe 3e'!Q67))</f>
        <v/>
      </c>
      <c r="R947" s="18" t="str">
        <f>IF('Classe 3e'!$B67="","",N('Classe 3e'!N67))</f>
        <v/>
      </c>
      <c r="S947" s="18" t="str">
        <f>IF('Classe 3e'!$B67="","",N('Classe 3e'!O67))</f>
        <v/>
      </c>
      <c r="T947" s="18" t="str">
        <f>IF('Classe 3e'!$B67="","",N('Classe 3e'!P67))</f>
        <v/>
      </c>
    </row>
    <row r="948">
      <c r="A948" s="20" t="str">
        <f>IF('Classe 3e'!$B68="","",IF('Classe 3e'!A68="","",'Classe 3e'!A68))</f>
        <v/>
      </c>
      <c r="B948" s="20" t="str">
        <f>IF('Classe 3e'!$B68="","",IF('Classe 3e'!B68="","",'Classe 3e'!B68))</f>
        <v/>
      </c>
      <c r="C948" s="20" t="str">
        <f>IF('Classe 3e'!$B68="","",IF('Classe 3e'!C68="","",'Classe 3e'!C68))</f>
        <v/>
      </c>
      <c r="D948" s="20" t="str">
        <f>IF($B948="","",C948&amp;" "&amp;B948&amp;" - "&amp;E948)</f>
        <v/>
      </c>
      <c r="E948" s="21" t="str">
        <f>IF($B948="","",Paramètres!$A$26)</f>
        <v/>
      </c>
      <c r="F948" s="21" t="str">
        <f>IF($B948="","",Paramètres!$B$26)</f>
        <v/>
      </c>
      <c r="G948" s="21" t="str">
        <f>IF('Classe 3e'!$B68="","",IF('Classe 3e'!D68="","",'Classe 3e'!D68))</f>
        <v/>
      </c>
      <c r="H948" s="77" t="str">
        <f>IF('Classe 3e'!$B68="","",IF('Classe 3e'!E68="","",'Classe 3e'!E68))</f>
        <v/>
      </c>
      <c r="I948" s="20" t="str">
        <f>IF('Classe 3e'!$B68="","",IF('Classe 3e'!F68="","",'Classe 3e'!F68))</f>
        <v/>
      </c>
      <c r="J948" s="20" t="str">
        <f>IF('Classe 3e'!$B68="","",IF('Classe 3e'!G68="","",'Classe 3e'!G68))</f>
        <v/>
      </c>
      <c r="K948" s="51" t="str">
        <f>IF('Classe 3e'!$B68="","",N('Classe 3e'!H68))</f>
        <v/>
      </c>
      <c r="L948" s="51" t="str">
        <f>IF('Classe 3e'!$B68="","",N('Classe 3e'!I68))</f>
        <v/>
      </c>
      <c r="M948" s="51" t="str">
        <f>IF('Classe 3e'!$B68="","",N('Classe 3e'!J68))</f>
        <v/>
      </c>
      <c r="N948" s="51" t="str">
        <f>IF('Classe 3e'!$B68="","",N('Classe 3e'!K68))</f>
        <v/>
      </c>
      <c r="O948" s="51" t="str">
        <f>IF('Classe 3e'!$B68="","",N('Classe 3e'!L68))</f>
        <v/>
      </c>
      <c r="P948" s="51" t="str">
        <f>IF('Classe 3e'!$B68="","",N('Classe 3e'!M68))</f>
        <v/>
      </c>
      <c r="Q948" s="21" t="str">
        <f>IF('Classe 3e'!$B68="","",IF('Classe 3e'!Q68="","",'Classe 3e'!Q68))</f>
        <v/>
      </c>
      <c r="R948" s="51" t="str">
        <f>IF('Classe 3e'!$B68="","",N('Classe 3e'!N68))</f>
        <v/>
      </c>
      <c r="S948" s="51" t="str">
        <f>IF('Classe 3e'!$B68="","",N('Classe 3e'!O68))</f>
        <v/>
      </c>
      <c r="T948" s="51" t="str">
        <f>IF('Classe 3e'!$B68="","",N('Classe 3e'!P68))</f>
        <v/>
      </c>
    </row>
    <row r="949">
      <c r="A949" s="16" t="str">
        <f>IF('Classe 3e'!$B69="","",IF('Classe 3e'!A69="","",'Classe 3e'!A69))</f>
        <v/>
      </c>
      <c r="B949" s="16" t="str">
        <f>IF('Classe 3e'!$B69="","",IF('Classe 3e'!B69="","",'Classe 3e'!B69))</f>
        <v/>
      </c>
      <c r="C949" s="16" t="str">
        <f>IF('Classe 3e'!$B69="","",IF('Classe 3e'!C69="","",'Classe 3e'!C69))</f>
        <v/>
      </c>
      <c r="D949" s="16" t="str">
        <f>IF($B949="","",C949&amp;" "&amp;B949&amp;" - "&amp;E949)</f>
        <v/>
      </c>
      <c r="E949" s="17" t="str">
        <f>IF($B949="","",Paramètres!$A$26)</f>
        <v/>
      </c>
      <c r="F949" s="17" t="str">
        <f>IF($B949="","",Paramètres!$B$26)</f>
        <v/>
      </c>
      <c r="G949" s="17" t="str">
        <f>IF('Classe 3e'!$B69="","",IF('Classe 3e'!D69="","",'Classe 3e'!D69))</f>
        <v/>
      </c>
      <c r="H949" s="78" t="str">
        <f>IF('Classe 3e'!$B69="","",IF('Classe 3e'!E69="","",'Classe 3e'!E69))</f>
        <v/>
      </c>
      <c r="I949" s="16" t="str">
        <f>IF('Classe 3e'!$B69="","",IF('Classe 3e'!F69="","",'Classe 3e'!F69))</f>
        <v/>
      </c>
      <c r="J949" s="16" t="str">
        <f>IF('Classe 3e'!$B69="","",IF('Classe 3e'!G69="","",'Classe 3e'!G69))</f>
        <v/>
      </c>
      <c r="K949" s="18" t="str">
        <f>IF('Classe 3e'!$B69="","",N('Classe 3e'!H69))</f>
        <v/>
      </c>
      <c r="L949" s="18" t="str">
        <f>IF('Classe 3e'!$B69="","",N('Classe 3e'!I69))</f>
        <v/>
      </c>
      <c r="M949" s="18" t="str">
        <f>IF('Classe 3e'!$B69="","",N('Classe 3e'!J69))</f>
        <v/>
      </c>
      <c r="N949" s="18" t="str">
        <f>IF('Classe 3e'!$B69="","",N('Classe 3e'!K69))</f>
        <v/>
      </c>
      <c r="O949" s="18" t="str">
        <f>IF('Classe 3e'!$B69="","",N('Classe 3e'!L69))</f>
        <v/>
      </c>
      <c r="P949" s="18" t="str">
        <f>IF('Classe 3e'!$B69="","",N('Classe 3e'!M69))</f>
        <v/>
      </c>
      <c r="Q949" s="17" t="str">
        <f>IF('Classe 3e'!$B69="","",IF('Classe 3e'!Q69="","",'Classe 3e'!Q69))</f>
        <v/>
      </c>
      <c r="R949" s="18" t="str">
        <f>IF('Classe 3e'!$B69="","",N('Classe 3e'!N69))</f>
        <v/>
      </c>
      <c r="S949" s="18" t="str">
        <f>IF('Classe 3e'!$B69="","",N('Classe 3e'!O69))</f>
        <v/>
      </c>
      <c r="T949" s="18" t="str">
        <f>IF('Classe 3e'!$B69="","",N('Classe 3e'!P69))</f>
        <v/>
      </c>
    </row>
    <row r="950">
      <c r="A950" s="20" t="str">
        <f>IF('Classe 3e'!$B70="","",IF('Classe 3e'!A70="","",'Classe 3e'!A70))</f>
        <v/>
      </c>
      <c r="B950" s="20" t="str">
        <f>IF('Classe 3e'!$B70="","",IF('Classe 3e'!B70="","",'Classe 3e'!B70))</f>
        <v/>
      </c>
      <c r="C950" s="20" t="str">
        <f>IF('Classe 3e'!$B70="","",IF('Classe 3e'!C70="","",'Classe 3e'!C70))</f>
        <v/>
      </c>
      <c r="D950" s="20" t="str">
        <f>IF($B950="","",C950&amp;" "&amp;B950&amp;" - "&amp;E950)</f>
        <v/>
      </c>
      <c r="E950" s="21" t="str">
        <f>IF($B950="","",Paramètres!$A$26)</f>
        <v/>
      </c>
      <c r="F950" s="21" t="str">
        <f>IF($B950="","",Paramètres!$B$26)</f>
        <v/>
      </c>
      <c r="G950" s="21" t="str">
        <f>IF('Classe 3e'!$B70="","",IF('Classe 3e'!D70="","",'Classe 3e'!D70))</f>
        <v/>
      </c>
      <c r="H950" s="77" t="str">
        <f>IF('Classe 3e'!$B70="","",IF('Classe 3e'!E70="","",'Classe 3e'!E70))</f>
        <v/>
      </c>
      <c r="I950" s="20" t="str">
        <f>IF('Classe 3e'!$B70="","",IF('Classe 3e'!F70="","",'Classe 3e'!F70))</f>
        <v/>
      </c>
      <c r="J950" s="20" t="str">
        <f>IF('Classe 3e'!$B70="","",IF('Classe 3e'!G70="","",'Classe 3e'!G70))</f>
        <v/>
      </c>
      <c r="K950" s="51" t="str">
        <f>IF('Classe 3e'!$B70="","",N('Classe 3e'!H70))</f>
        <v/>
      </c>
      <c r="L950" s="51" t="str">
        <f>IF('Classe 3e'!$B70="","",N('Classe 3e'!I70))</f>
        <v/>
      </c>
      <c r="M950" s="51" t="str">
        <f>IF('Classe 3e'!$B70="","",N('Classe 3e'!J70))</f>
        <v/>
      </c>
      <c r="N950" s="51" t="str">
        <f>IF('Classe 3e'!$B70="","",N('Classe 3e'!K70))</f>
        <v/>
      </c>
      <c r="O950" s="51" t="str">
        <f>IF('Classe 3e'!$B70="","",N('Classe 3e'!L70))</f>
        <v/>
      </c>
      <c r="P950" s="51" t="str">
        <f>IF('Classe 3e'!$B70="","",N('Classe 3e'!M70))</f>
        <v/>
      </c>
      <c r="Q950" s="21" t="str">
        <f>IF('Classe 3e'!$B70="","",IF('Classe 3e'!Q70="","",'Classe 3e'!Q70))</f>
        <v/>
      </c>
      <c r="R950" s="51" t="str">
        <f>IF('Classe 3e'!$B70="","",N('Classe 3e'!N70))</f>
        <v/>
      </c>
      <c r="S950" s="51" t="str">
        <f>IF('Classe 3e'!$B70="","",N('Classe 3e'!O70))</f>
        <v/>
      </c>
      <c r="T950" s="51" t="str">
        <f>IF('Classe 3e'!$B70="","",N('Classe 3e'!P70))</f>
        <v/>
      </c>
    </row>
    <row r="951">
      <c r="A951" s="16" t="str">
        <f>IF('Classe 3e'!$B71="","",IF('Classe 3e'!A71="","",'Classe 3e'!A71))</f>
        <v/>
      </c>
      <c r="B951" s="16" t="str">
        <f>IF('Classe 3e'!$B71="","",IF('Classe 3e'!B71="","",'Classe 3e'!B71))</f>
        <v/>
      </c>
      <c r="C951" s="16" t="str">
        <f>IF('Classe 3e'!$B71="","",IF('Classe 3e'!C71="","",'Classe 3e'!C71))</f>
        <v/>
      </c>
      <c r="D951" s="16" t="str">
        <f>IF($B951="","",C951&amp;" "&amp;B951&amp;" - "&amp;E951)</f>
        <v/>
      </c>
      <c r="E951" s="17" t="str">
        <f>IF($B951="","",Paramètres!$A$26)</f>
        <v/>
      </c>
      <c r="F951" s="17" t="str">
        <f>IF($B951="","",Paramètres!$B$26)</f>
        <v/>
      </c>
      <c r="G951" s="17" t="str">
        <f>IF('Classe 3e'!$B71="","",IF('Classe 3e'!D71="","",'Classe 3e'!D71))</f>
        <v/>
      </c>
      <c r="H951" s="78" t="str">
        <f>IF('Classe 3e'!$B71="","",IF('Classe 3e'!E71="","",'Classe 3e'!E71))</f>
        <v/>
      </c>
      <c r="I951" s="16" t="str">
        <f>IF('Classe 3e'!$B71="","",IF('Classe 3e'!F71="","",'Classe 3e'!F71))</f>
        <v/>
      </c>
      <c r="J951" s="16" t="str">
        <f>IF('Classe 3e'!$B71="","",IF('Classe 3e'!G71="","",'Classe 3e'!G71))</f>
        <v/>
      </c>
      <c r="K951" s="18" t="str">
        <f>IF('Classe 3e'!$B71="","",N('Classe 3e'!H71))</f>
        <v/>
      </c>
      <c r="L951" s="18" t="str">
        <f>IF('Classe 3e'!$B71="","",N('Classe 3e'!I71))</f>
        <v/>
      </c>
      <c r="M951" s="18" t="str">
        <f>IF('Classe 3e'!$B71="","",N('Classe 3e'!J71))</f>
        <v/>
      </c>
      <c r="N951" s="18" t="str">
        <f>IF('Classe 3e'!$B71="","",N('Classe 3e'!K71))</f>
        <v/>
      </c>
      <c r="O951" s="18" t="str">
        <f>IF('Classe 3e'!$B71="","",N('Classe 3e'!L71))</f>
        <v/>
      </c>
      <c r="P951" s="18" t="str">
        <f>IF('Classe 3e'!$B71="","",N('Classe 3e'!M71))</f>
        <v/>
      </c>
      <c r="Q951" s="17" t="str">
        <f>IF('Classe 3e'!$B71="","",IF('Classe 3e'!Q71="","",'Classe 3e'!Q71))</f>
        <v/>
      </c>
      <c r="R951" s="18" t="str">
        <f>IF('Classe 3e'!$B71="","",N('Classe 3e'!N71))</f>
        <v/>
      </c>
      <c r="S951" s="18" t="str">
        <f>IF('Classe 3e'!$B71="","",N('Classe 3e'!O71))</f>
        <v/>
      </c>
      <c r="T951" s="18" t="str">
        <f>IF('Classe 3e'!$B71="","",N('Classe 3e'!P71))</f>
        <v/>
      </c>
    </row>
    <row r="952">
      <c r="A952" s="20" t="str">
        <f>IF('Classe 3e'!$B72="","",IF('Classe 3e'!A72="","",'Classe 3e'!A72))</f>
        <v/>
      </c>
      <c r="B952" s="20" t="str">
        <f>IF('Classe 3e'!$B72="","",IF('Classe 3e'!B72="","",'Classe 3e'!B72))</f>
        <v/>
      </c>
      <c r="C952" s="20" t="str">
        <f>IF('Classe 3e'!$B72="","",IF('Classe 3e'!C72="","",'Classe 3e'!C72))</f>
        <v/>
      </c>
      <c r="D952" s="20" t="str">
        <f>IF($B952="","",C952&amp;" "&amp;B952&amp;" - "&amp;E952)</f>
        <v/>
      </c>
      <c r="E952" s="21" t="str">
        <f>IF($B952="","",Paramètres!$A$26)</f>
        <v/>
      </c>
      <c r="F952" s="21" t="str">
        <f>IF($B952="","",Paramètres!$B$26)</f>
        <v/>
      </c>
      <c r="G952" s="21" t="str">
        <f>IF('Classe 3e'!$B72="","",IF('Classe 3e'!D72="","",'Classe 3e'!D72))</f>
        <v/>
      </c>
      <c r="H952" s="77" t="str">
        <f>IF('Classe 3e'!$B72="","",IF('Classe 3e'!E72="","",'Classe 3e'!E72))</f>
        <v/>
      </c>
      <c r="I952" s="20" t="str">
        <f>IF('Classe 3e'!$B72="","",IF('Classe 3e'!F72="","",'Classe 3e'!F72))</f>
        <v/>
      </c>
      <c r="J952" s="20" t="str">
        <f>IF('Classe 3e'!$B72="","",IF('Classe 3e'!G72="","",'Classe 3e'!G72))</f>
        <v/>
      </c>
      <c r="K952" s="51" t="str">
        <f>IF('Classe 3e'!$B72="","",N('Classe 3e'!H72))</f>
        <v/>
      </c>
      <c r="L952" s="51" t="str">
        <f>IF('Classe 3e'!$B72="","",N('Classe 3e'!I72))</f>
        <v/>
      </c>
      <c r="M952" s="51" t="str">
        <f>IF('Classe 3e'!$B72="","",N('Classe 3e'!J72))</f>
        <v/>
      </c>
      <c r="N952" s="51" t="str">
        <f>IF('Classe 3e'!$B72="","",N('Classe 3e'!K72))</f>
        <v/>
      </c>
      <c r="O952" s="51" t="str">
        <f>IF('Classe 3e'!$B72="","",N('Classe 3e'!L72))</f>
        <v/>
      </c>
      <c r="P952" s="51" t="str">
        <f>IF('Classe 3e'!$B72="","",N('Classe 3e'!M72))</f>
        <v/>
      </c>
      <c r="Q952" s="21" t="str">
        <f>IF('Classe 3e'!$B72="","",IF('Classe 3e'!Q72="","",'Classe 3e'!Q72))</f>
        <v/>
      </c>
      <c r="R952" s="51" t="str">
        <f>IF('Classe 3e'!$B72="","",N('Classe 3e'!N72))</f>
        <v/>
      </c>
      <c r="S952" s="51" t="str">
        <f>IF('Classe 3e'!$B72="","",N('Classe 3e'!O72))</f>
        <v/>
      </c>
      <c r="T952" s="51" t="str">
        <f>IF('Classe 3e'!$B72="","",N('Classe 3e'!P72))</f>
        <v/>
      </c>
    </row>
    <row r="953">
      <c r="A953" s="16" t="str">
        <f>IF('Classe 3e'!$B73="","",IF('Classe 3e'!A73="","",'Classe 3e'!A73))</f>
        <v/>
      </c>
      <c r="B953" s="16" t="str">
        <f>IF('Classe 3e'!$B73="","",IF('Classe 3e'!B73="","",'Classe 3e'!B73))</f>
        <v/>
      </c>
      <c r="C953" s="16" t="str">
        <f>IF('Classe 3e'!$B73="","",IF('Classe 3e'!C73="","",'Classe 3e'!C73))</f>
        <v/>
      </c>
      <c r="D953" s="16" t="str">
        <f>IF($B953="","",C953&amp;" "&amp;B953&amp;" - "&amp;E953)</f>
        <v/>
      </c>
      <c r="E953" s="17" t="str">
        <f>IF($B953="","",Paramètres!$A$26)</f>
        <v/>
      </c>
      <c r="F953" s="17" t="str">
        <f>IF($B953="","",Paramètres!$B$26)</f>
        <v/>
      </c>
      <c r="G953" s="17" t="str">
        <f>IF('Classe 3e'!$B73="","",IF('Classe 3e'!D73="","",'Classe 3e'!D73))</f>
        <v/>
      </c>
      <c r="H953" s="78" t="str">
        <f>IF('Classe 3e'!$B73="","",IF('Classe 3e'!E73="","",'Classe 3e'!E73))</f>
        <v/>
      </c>
      <c r="I953" s="16" t="str">
        <f>IF('Classe 3e'!$B73="","",IF('Classe 3e'!F73="","",'Classe 3e'!F73))</f>
        <v/>
      </c>
      <c r="J953" s="16" t="str">
        <f>IF('Classe 3e'!$B73="","",IF('Classe 3e'!G73="","",'Classe 3e'!G73))</f>
        <v/>
      </c>
      <c r="K953" s="18" t="str">
        <f>IF('Classe 3e'!$B73="","",N('Classe 3e'!H73))</f>
        <v/>
      </c>
      <c r="L953" s="18" t="str">
        <f>IF('Classe 3e'!$B73="","",N('Classe 3e'!I73))</f>
        <v/>
      </c>
      <c r="M953" s="18" t="str">
        <f>IF('Classe 3e'!$B73="","",N('Classe 3e'!J73))</f>
        <v/>
      </c>
      <c r="N953" s="18" t="str">
        <f>IF('Classe 3e'!$B73="","",N('Classe 3e'!K73))</f>
        <v/>
      </c>
      <c r="O953" s="18" t="str">
        <f>IF('Classe 3e'!$B73="","",N('Classe 3e'!L73))</f>
        <v/>
      </c>
      <c r="P953" s="18" t="str">
        <f>IF('Classe 3e'!$B73="","",N('Classe 3e'!M73))</f>
        <v/>
      </c>
      <c r="Q953" s="17" t="str">
        <f>IF('Classe 3e'!$B73="","",IF('Classe 3e'!Q73="","",'Classe 3e'!Q73))</f>
        <v/>
      </c>
      <c r="R953" s="18" t="str">
        <f>IF('Classe 3e'!$B73="","",N('Classe 3e'!N73))</f>
        <v/>
      </c>
      <c r="S953" s="18" t="str">
        <f>IF('Classe 3e'!$B73="","",N('Classe 3e'!O73))</f>
        <v/>
      </c>
      <c r="T953" s="18" t="str">
        <f>IF('Classe 3e'!$B73="","",N('Classe 3e'!P73))</f>
        <v/>
      </c>
    </row>
    <row r="954">
      <c r="A954" s="20" t="str">
        <f>IF('Classe 3e'!$B74="","",IF('Classe 3e'!A74="","",'Classe 3e'!A74))</f>
        <v/>
      </c>
      <c r="B954" s="20" t="str">
        <f>IF('Classe 3e'!$B74="","",IF('Classe 3e'!B74="","",'Classe 3e'!B74))</f>
        <v/>
      </c>
      <c r="C954" s="20" t="str">
        <f>IF('Classe 3e'!$B74="","",IF('Classe 3e'!C74="","",'Classe 3e'!C74))</f>
        <v/>
      </c>
      <c r="D954" s="20" t="str">
        <f>IF($B954="","",C954&amp;" "&amp;B954&amp;" - "&amp;E954)</f>
        <v/>
      </c>
      <c r="E954" s="21" t="str">
        <f>IF($B954="","",Paramètres!$A$26)</f>
        <v/>
      </c>
      <c r="F954" s="21" t="str">
        <f>IF($B954="","",Paramètres!$B$26)</f>
        <v/>
      </c>
      <c r="G954" s="21" t="str">
        <f>IF('Classe 3e'!$B74="","",IF('Classe 3e'!D74="","",'Classe 3e'!D74))</f>
        <v/>
      </c>
      <c r="H954" s="77" t="str">
        <f>IF('Classe 3e'!$B74="","",IF('Classe 3e'!E74="","",'Classe 3e'!E74))</f>
        <v/>
      </c>
      <c r="I954" s="20" t="str">
        <f>IF('Classe 3e'!$B74="","",IF('Classe 3e'!F74="","",'Classe 3e'!F74))</f>
        <v/>
      </c>
      <c r="J954" s="20" t="str">
        <f>IF('Classe 3e'!$B74="","",IF('Classe 3e'!G74="","",'Classe 3e'!G74))</f>
        <v/>
      </c>
      <c r="K954" s="51" t="str">
        <f>IF('Classe 3e'!$B74="","",N('Classe 3e'!H74))</f>
        <v/>
      </c>
      <c r="L954" s="51" t="str">
        <f>IF('Classe 3e'!$B74="","",N('Classe 3e'!I74))</f>
        <v/>
      </c>
      <c r="M954" s="51" t="str">
        <f>IF('Classe 3e'!$B74="","",N('Classe 3e'!J74))</f>
        <v/>
      </c>
      <c r="N954" s="51" t="str">
        <f>IF('Classe 3e'!$B74="","",N('Classe 3e'!K74))</f>
        <v/>
      </c>
      <c r="O954" s="51" t="str">
        <f>IF('Classe 3e'!$B74="","",N('Classe 3e'!L74))</f>
        <v/>
      </c>
      <c r="P954" s="51" t="str">
        <f>IF('Classe 3e'!$B74="","",N('Classe 3e'!M74))</f>
        <v/>
      </c>
      <c r="Q954" s="21" t="str">
        <f>IF('Classe 3e'!$B74="","",IF('Classe 3e'!Q74="","",'Classe 3e'!Q74))</f>
        <v/>
      </c>
      <c r="R954" s="51" t="str">
        <f>IF('Classe 3e'!$B74="","",N('Classe 3e'!N74))</f>
        <v/>
      </c>
      <c r="S954" s="51" t="str">
        <f>IF('Classe 3e'!$B74="","",N('Classe 3e'!O74))</f>
        <v/>
      </c>
      <c r="T954" s="51" t="str">
        <f>IF('Classe 3e'!$B74="","",N('Classe 3e'!P74))</f>
        <v/>
      </c>
    </row>
    <row r="955">
      <c r="A955" s="16" t="str">
        <f>IF('Classe 3e'!$B75="","",IF('Classe 3e'!A75="","",'Classe 3e'!A75))</f>
        <v/>
      </c>
      <c r="B955" s="16" t="str">
        <f>IF('Classe 3e'!$B75="","",IF('Classe 3e'!B75="","",'Classe 3e'!B75))</f>
        <v/>
      </c>
      <c r="C955" s="16" t="str">
        <f>IF('Classe 3e'!$B75="","",IF('Classe 3e'!C75="","",'Classe 3e'!C75))</f>
        <v/>
      </c>
      <c r="D955" s="16" t="str">
        <f>IF($B955="","",C955&amp;" "&amp;B955&amp;" - "&amp;E955)</f>
        <v/>
      </c>
      <c r="E955" s="17" t="str">
        <f>IF($B955="","",Paramètres!$A$26)</f>
        <v/>
      </c>
      <c r="F955" s="17" t="str">
        <f>IF($B955="","",Paramètres!$B$26)</f>
        <v/>
      </c>
      <c r="G955" s="17" t="str">
        <f>IF('Classe 3e'!$B75="","",IF('Classe 3e'!D75="","",'Classe 3e'!D75))</f>
        <v/>
      </c>
      <c r="H955" s="78" t="str">
        <f>IF('Classe 3e'!$B75="","",IF('Classe 3e'!E75="","",'Classe 3e'!E75))</f>
        <v/>
      </c>
      <c r="I955" s="16" t="str">
        <f>IF('Classe 3e'!$B75="","",IF('Classe 3e'!F75="","",'Classe 3e'!F75))</f>
        <v/>
      </c>
      <c r="J955" s="16" t="str">
        <f>IF('Classe 3e'!$B75="","",IF('Classe 3e'!G75="","",'Classe 3e'!G75))</f>
        <v/>
      </c>
      <c r="K955" s="18" t="str">
        <f>IF('Classe 3e'!$B75="","",N('Classe 3e'!H75))</f>
        <v/>
      </c>
      <c r="L955" s="18" t="str">
        <f>IF('Classe 3e'!$B75="","",N('Classe 3e'!I75))</f>
        <v/>
      </c>
      <c r="M955" s="18" t="str">
        <f>IF('Classe 3e'!$B75="","",N('Classe 3e'!J75))</f>
        <v/>
      </c>
      <c r="N955" s="18" t="str">
        <f>IF('Classe 3e'!$B75="","",N('Classe 3e'!K75))</f>
        <v/>
      </c>
      <c r="O955" s="18" t="str">
        <f>IF('Classe 3e'!$B75="","",N('Classe 3e'!L75))</f>
        <v/>
      </c>
      <c r="P955" s="18" t="str">
        <f>IF('Classe 3e'!$B75="","",N('Classe 3e'!M75))</f>
        <v/>
      </c>
      <c r="Q955" s="17" t="str">
        <f>IF('Classe 3e'!$B75="","",IF('Classe 3e'!Q75="","",'Classe 3e'!Q75))</f>
        <v/>
      </c>
      <c r="R955" s="18" t="str">
        <f>IF('Classe 3e'!$B75="","",N('Classe 3e'!N75))</f>
        <v/>
      </c>
      <c r="S955" s="18" t="str">
        <f>IF('Classe 3e'!$B75="","",N('Classe 3e'!O75))</f>
        <v/>
      </c>
      <c r="T955" s="18" t="str">
        <f>IF('Classe 3e'!$B75="","",N('Classe 3e'!P75))</f>
        <v/>
      </c>
    </row>
    <row r="956">
      <c r="A956" s="20" t="str">
        <f>IF('Classe 3e'!$B76="","",IF('Classe 3e'!A76="","",'Classe 3e'!A76))</f>
        <v/>
      </c>
      <c r="B956" s="20" t="str">
        <f>IF('Classe 3e'!$B76="","",IF('Classe 3e'!B76="","",'Classe 3e'!B76))</f>
        <v/>
      </c>
      <c r="C956" s="20" t="str">
        <f>IF('Classe 3e'!$B76="","",IF('Classe 3e'!C76="","",'Classe 3e'!C76))</f>
        <v/>
      </c>
      <c r="D956" s="20" t="str">
        <f>IF($B956="","",C956&amp;" "&amp;B956&amp;" - "&amp;E956)</f>
        <v/>
      </c>
      <c r="E956" s="21" t="str">
        <f>IF($B956="","",Paramètres!$A$26)</f>
        <v/>
      </c>
      <c r="F956" s="21" t="str">
        <f>IF($B956="","",Paramètres!$B$26)</f>
        <v/>
      </c>
      <c r="G956" s="21" t="str">
        <f>IF('Classe 3e'!$B76="","",IF('Classe 3e'!D76="","",'Classe 3e'!D76))</f>
        <v/>
      </c>
      <c r="H956" s="77" t="str">
        <f>IF('Classe 3e'!$B76="","",IF('Classe 3e'!E76="","",'Classe 3e'!E76))</f>
        <v/>
      </c>
      <c r="I956" s="20" t="str">
        <f>IF('Classe 3e'!$B76="","",IF('Classe 3e'!F76="","",'Classe 3e'!F76))</f>
        <v/>
      </c>
      <c r="J956" s="20" t="str">
        <f>IF('Classe 3e'!$B76="","",IF('Classe 3e'!G76="","",'Classe 3e'!G76))</f>
        <v/>
      </c>
      <c r="K956" s="51" t="str">
        <f>IF('Classe 3e'!$B76="","",N('Classe 3e'!H76))</f>
        <v/>
      </c>
      <c r="L956" s="51" t="str">
        <f>IF('Classe 3e'!$B76="","",N('Classe 3e'!I76))</f>
        <v/>
      </c>
      <c r="M956" s="51" t="str">
        <f>IF('Classe 3e'!$B76="","",N('Classe 3e'!J76))</f>
        <v/>
      </c>
      <c r="N956" s="51" t="str">
        <f>IF('Classe 3e'!$B76="","",N('Classe 3e'!K76))</f>
        <v/>
      </c>
      <c r="O956" s="51" t="str">
        <f>IF('Classe 3e'!$B76="","",N('Classe 3e'!L76))</f>
        <v/>
      </c>
      <c r="P956" s="51" t="str">
        <f>IF('Classe 3e'!$B76="","",N('Classe 3e'!M76))</f>
        <v/>
      </c>
      <c r="Q956" s="21" t="str">
        <f>IF('Classe 3e'!$B76="","",IF('Classe 3e'!Q76="","",'Classe 3e'!Q76))</f>
        <v/>
      </c>
      <c r="R956" s="51" t="str">
        <f>IF('Classe 3e'!$B76="","",N('Classe 3e'!N76))</f>
        <v/>
      </c>
      <c r="S956" s="51" t="str">
        <f>IF('Classe 3e'!$B76="","",N('Classe 3e'!O76))</f>
        <v/>
      </c>
      <c r="T956" s="51" t="str">
        <f>IF('Classe 3e'!$B76="","",N('Classe 3e'!P76))</f>
        <v/>
      </c>
    </row>
    <row r="957">
      <c r="A957" s="16" t="str">
        <f>IF('Classe 3e'!$B77="","",IF('Classe 3e'!A77="","",'Classe 3e'!A77))</f>
        <v/>
      </c>
      <c r="B957" s="16" t="str">
        <f>IF('Classe 3e'!$B77="","",IF('Classe 3e'!B77="","",'Classe 3e'!B77))</f>
        <v/>
      </c>
      <c r="C957" s="16" t="str">
        <f>IF('Classe 3e'!$B77="","",IF('Classe 3e'!C77="","",'Classe 3e'!C77))</f>
        <v/>
      </c>
      <c r="D957" s="16" t="str">
        <f>IF($B957="","",C957&amp;" "&amp;B957&amp;" - "&amp;E957)</f>
        <v/>
      </c>
      <c r="E957" s="17" t="str">
        <f>IF($B957="","",Paramètres!$A$26)</f>
        <v/>
      </c>
      <c r="F957" s="17" t="str">
        <f>IF($B957="","",Paramètres!$B$26)</f>
        <v/>
      </c>
      <c r="G957" s="17" t="str">
        <f>IF('Classe 3e'!$B77="","",IF('Classe 3e'!D77="","",'Classe 3e'!D77))</f>
        <v/>
      </c>
      <c r="H957" s="78" t="str">
        <f>IF('Classe 3e'!$B77="","",IF('Classe 3e'!E77="","",'Classe 3e'!E77))</f>
        <v/>
      </c>
      <c r="I957" s="16" t="str">
        <f>IF('Classe 3e'!$B77="","",IF('Classe 3e'!F77="","",'Classe 3e'!F77))</f>
        <v/>
      </c>
      <c r="J957" s="16" t="str">
        <f>IF('Classe 3e'!$B77="","",IF('Classe 3e'!G77="","",'Classe 3e'!G77))</f>
        <v/>
      </c>
      <c r="K957" s="18" t="str">
        <f>IF('Classe 3e'!$B77="","",N('Classe 3e'!H77))</f>
        <v/>
      </c>
      <c r="L957" s="18" t="str">
        <f>IF('Classe 3e'!$B77="","",N('Classe 3e'!I77))</f>
        <v/>
      </c>
      <c r="M957" s="18" t="str">
        <f>IF('Classe 3e'!$B77="","",N('Classe 3e'!J77))</f>
        <v/>
      </c>
      <c r="N957" s="18" t="str">
        <f>IF('Classe 3e'!$B77="","",N('Classe 3e'!K77))</f>
        <v/>
      </c>
      <c r="O957" s="18" t="str">
        <f>IF('Classe 3e'!$B77="","",N('Classe 3e'!L77))</f>
        <v/>
      </c>
      <c r="P957" s="18" t="str">
        <f>IF('Classe 3e'!$B77="","",N('Classe 3e'!M77))</f>
        <v/>
      </c>
      <c r="Q957" s="17" t="str">
        <f>IF('Classe 3e'!$B77="","",IF('Classe 3e'!Q77="","",'Classe 3e'!Q77))</f>
        <v/>
      </c>
      <c r="R957" s="18" t="str">
        <f>IF('Classe 3e'!$B77="","",N('Classe 3e'!N77))</f>
        <v/>
      </c>
      <c r="S957" s="18" t="str">
        <f>IF('Classe 3e'!$B77="","",N('Classe 3e'!O77))</f>
        <v/>
      </c>
      <c r="T957" s="18" t="str">
        <f>IF('Classe 3e'!$B77="","",N('Classe 3e'!P77))</f>
        <v/>
      </c>
    </row>
    <row r="958">
      <c r="A958" s="20" t="str">
        <f>IF('Classe 3e'!$B78="","",IF('Classe 3e'!A78="","",'Classe 3e'!A78))</f>
        <v/>
      </c>
      <c r="B958" s="20" t="str">
        <f>IF('Classe 3e'!$B78="","",IF('Classe 3e'!B78="","",'Classe 3e'!B78))</f>
        <v/>
      </c>
      <c r="C958" s="20" t="str">
        <f>IF('Classe 3e'!$B78="","",IF('Classe 3e'!C78="","",'Classe 3e'!C78))</f>
        <v/>
      </c>
      <c r="D958" s="20" t="str">
        <f>IF($B958="","",C958&amp;" "&amp;B958&amp;" - "&amp;E958)</f>
        <v/>
      </c>
      <c r="E958" s="21" t="str">
        <f>IF($B958="","",Paramètres!$A$26)</f>
        <v/>
      </c>
      <c r="F958" s="21" t="str">
        <f>IF($B958="","",Paramètres!$B$26)</f>
        <v/>
      </c>
      <c r="G958" s="21" t="str">
        <f>IF('Classe 3e'!$B78="","",IF('Classe 3e'!D78="","",'Classe 3e'!D78))</f>
        <v/>
      </c>
      <c r="H958" s="77" t="str">
        <f>IF('Classe 3e'!$B78="","",IF('Classe 3e'!E78="","",'Classe 3e'!E78))</f>
        <v/>
      </c>
      <c r="I958" s="20" t="str">
        <f>IF('Classe 3e'!$B78="","",IF('Classe 3e'!F78="","",'Classe 3e'!F78))</f>
        <v/>
      </c>
      <c r="J958" s="20" t="str">
        <f>IF('Classe 3e'!$B78="","",IF('Classe 3e'!G78="","",'Classe 3e'!G78))</f>
        <v/>
      </c>
      <c r="K958" s="51" t="str">
        <f>IF('Classe 3e'!$B78="","",N('Classe 3e'!H78))</f>
        <v/>
      </c>
      <c r="L958" s="51" t="str">
        <f>IF('Classe 3e'!$B78="","",N('Classe 3e'!I78))</f>
        <v/>
      </c>
      <c r="M958" s="51" t="str">
        <f>IF('Classe 3e'!$B78="","",N('Classe 3e'!J78))</f>
        <v/>
      </c>
      <c r="N958" s="51" t="str">
        <f>IF('Classe 3e'!$B78="","",N('Classe 3e'!K78))</f>
        <v/>
      </c>
      <c r="O958" s="51" t="str">
        <f>IF('Classe 3e'!$B78="","",N('Classe 3e'!L78))</f>
        <v/>
      </c>
      <c r="P958" s="51" t="str">
        <f>IF('Classe 3e'!$B78="","",N('Classe 3e'!M78))</f>
        <v/>
      </c>
      <c r="Q958" s="21" t="str">
        <f>IF('Classe 3e'!$B78="","",IF('Classe 3e'!Q78="","",'Classe 3e'!Q78))</f>
        <v/>
      </c>
      <c r="R958" s="51" t="str">
        <f>IF('Classe 3e'!$B78="","",N('Classe 3e'!N78))</f>
        <v/>
      </c>
      <c r="S958" s="51" t="str">
        <f>IF('Classe 3e'!$B78="","",N('Classe 3e'!O78))</f>
        <v/>
      </c>
      <c r="T958" s="51" t="str">
        <f>IF('Classe 3e'!$B78="","",N('Classe 3e'!P78))</f>
        <v/>
      </c>
    </row>
    <row r="959">
      <c r="A959" s="16" t="str">
        <f>IF('Classe 3e'!$B79="","",IF('Classe 3e'!A79="","",'Classe 3e'!A79))</f>
        <v/>
      </c>
      <c r="B959" s="16" t="str">
        <f>IF('Classe 3e'!$B79="","",IF('Classe 3e'!B79="","",'Classe 3e'!B79))</f>
        <v/>
      </c>
      <c r="C959" s="16" t="str">
        <f>IF('Classe 3e'!$B79="","",IF('Classe 3e'!C79="","",'Classe 3e'!C79))</f>
        <v/>
      </c>
      <c r="D959" s="16" t="str">
        <f>IF($B959="","",C959&amp;" "&amp;B959&amp;" - "&amp;E959)</f>
        <v/>
      </c>
      <c r="E959" s="17" t="str">
        <f>IF($B959="","",Paramètres!$A$26)</f>
        <v/>
      </c>
      <c r="F959" s="17" t="str">
        <f>IF($B959="","",Paramètres!$B$26)</f>
        <v/>
      </c>
      <c r="G959" s="17" t="str">
        <f>IF('Classe 3e'!$B79="","",IF('Classe 3e'!D79="","",'Classe 3e'!D79))</f>
        <v/>
      </c>
      <c r="H959" s="78" t="str">
        <f>IF('Classe 3e'!$B79="","",IF('Classe 3e'!E79="","",'Classe 3e'!E79))</f>
        <v/>
      </c>
      <c r="I959" s="16" t="str">
        <f>IF('Classe 3e'!$B79="","",IF('Classe 3e'!F79="","",'Classe 3e'!F79))</f>
        <v/>
      </c>
      <c r="J959" s="16" t="str">
        <f>IF('Classe 3e'!$B79="","",IF('Classe 3e'!G79="","",'Classe 3e'!G79))</f>
        <v/>
      </c>
      <c r="K959" s="18" t="str">
        <f>IF('Classe 3e'!$B79="","",N('Classe 3e'!H79))</f>
        <v/>
      </c>
      <c r="L959" s="18" t="str">
        <f>IF('Classe 3e'!$B79="","",N('Classe 3e'!I79))</f>
        <v/>
      </c>
      <c r="M959" s="18" t="str">
        <f>IF('Classe 3e'!$B79="","",N('Classe 3e'!J79))</f>
        <v/>
      </c>
      <c r="N959" s="18" t="str">
        <f>IF('Classe 3e'!$B79="","",N('Classe 3e'!K79))</f>
        <v/>
      </c>
      <c r="O959" s="18" t="str">
        <f>IF('Classe 3e'!$B79="","",N('Classe 3e'!L79))</f>
        <v/>
      </c>
      <c r="P959" s="18" t="str">
        <f>IF('Classe 3e'!$B79="","",N('Classe 3e'!M79))</f>
        <v/>
      </c>
      <c r="Q959" s="17" t="str">
        <f>IF('Classe 3e'!$B79="","",IF('Classe 3e'!Q79="","",'Classe 3e'!Q79))</f>
        <v/>
      </c>
      <c r="R959" s="18" t="str">
        <f>IF('Classe 3e'!$B79="","",N('Classe 3e'!N79))</f>
        <v/>
      </c>
      <c r="S959" s="18" t="str">
        <f>IF('Classe 3e'!$B79="","",N('Classe 3e'!O79))</f>
        <v/>
      </c>
      <c r="T959" s="18" t="str">
        <f>IF('Classe 3e'!$B79="","",N('Classe 3e'!P79))</f>
        <v/>
      </c>
    </row>
    <row r="960">
      <c r="A960" s="20" t="str">
        <f>IF('Classe 3e'!$B80="","",IF('Classe 3e'!A80="","",'Classe 3e'!A80))</f>
        <v/>
      </c>
      <c r="B960" s="20" t="str">
        <f>IF('Classe 3e'!$B80="","",IF('Classe 3e'!B80="","",'Classe 3e'!B80))</f>
        <v/>
      </c>
      <c r="C960" s="20" t="str">
        <f>IF('Classe 3e'!$B80="","",IF('Classe 3e'!C80="","",'Classe 3e'!C80))</f>
        <v/>
      </c>
      <c r="D960" s="20" t="str">
        <f>IF($B960="","",C960&amp;" "&amp;B960&amp;" - "&amp;E960)</f>
        <v/>
      </c>
      <c r="E960" s="21" t="str">
        <f>IF($B960="","",Paramètres!$A$26)</f>
        <v/>
      </c>
      <c r="F960" s="21" t="str">
        <f>IF($B960="","",Paramètres!$B$26)</f>
        <v/>
      </c>
      <c r="G960" s="21" t="str">
        <f>IF('Classe 3e'!$B80="","",IF('Classe 3e'!D80="","",'Classe 3e'!D80))</f>
        <v/>
      </c>
      <c r="H960" s="77" t="str">
        <f>IF('Classe 3e'!$B80="","",IF('Classe 3e'!E80="","",'Classe 3e'!E80))</f>
        <v/>
      </c>
      <c r="I960" s="20" t="str">
        <f>IF('Classe 3e'!$B80="","",IF('Classe 3e'!F80="","",'Classe 3e'!F80))</f>
        <v/>
      </c>
      <c r="J960" s="20" t="str">
        <f>IF('Classe 3e'!$B80="","",IF('Classe 3e'!G80="","",'Classe 3e'!G80))</f>
        <v/>
      </c>
      <c r="K960" s="51" t="str">
        <f>IF('Classe 3e'!$B80="","",N('Classe 3e'!H80))</f>
        <v/>
      </c>
      <c r="L960" s="51" t="str">
        <f>IF('Classe 3e'!$B80="","",N('Classe 3e'!I80))</f>
        <v/>
      </c>
      <c r="M960" s="51" t="str">
        <f>IF('Classe 3e'!$B80="","",N('Classe 3e'!J80))</f>
        <v/>
      </c>
      <c r="N960" s="51" t="str">
        <f>IF('Classe 3e'!$B80="","",N('Classe 3e'!K80))</f>
        <v/>
      </c>
      <c r="O960" s="51" t="str">
        <f>IF('Classe 3e'!$B80="","",N('Classe 3e'!L80))</f>
        <v/>
      </c>
      <c r="P960" s="51" t="str">
        <f>IF('Classe 3e'!$B80="","",N('Classe 3e'!M80))</f>
        <v/>
      </c>
      <c r="Q960" s="21" t="str">
        <f>IF('Classe 3e'!$B80="","",IF('Classe 3e'!Q80="","",'Classe 3e'!Q80))</f>
        <v/>
      </c>
      <c r="R960" s="51" t="str">
        <f>IF('Classe 3e'!$B80="","",N('Classe 3e'!N80))</f>
        <v/>
      </c>
      <c r="S960" s="51" t="str">
        <f>IF('Classe 3e'!$B80="","",N('Classe 3e'!O80))</f>
        <v/>
      </c>
      <c r="T960" s="51" t="str">
        <f>IF('Classe 3e'!$B80="","",N('Classe 3e'!P80))</f>
        <v/>
      </c>
    </row>
    <row r="961">
      <c r="A961" s="16" t="str">
        <f>IF('Classe 3e'!$B81="","",IF('Classe 3e'!A81="","",'Classe 3e'!A81))</f>
        <v/>
      </c>
      <c r="B961" s="16" t="str">
        <f>IF('Classe 3e'!$B81="","",IF('Classe 3e'!B81="","",'Classe 3e'!B81))</f>
        <v/>
      </c>
      <c r="C961" s="16" t="str">
        <f>IF('Classe 3e'!$B81="","",IF('Classe 3e'!C81="","",'Classe 3e'!C81))</f>
        <v/>
      </c>
      <c r="D961" s="16" t="str">
        <f>IF($B961="","",C961&amp;" "&amp;B961&amp;" - "&amp;E961)</f>
        <v/>
      </c>
      <c r="E961" s="17" t="str">
        <f>IF($B961="","",Paramètres!$A$26)</f>
        <v/>
      </c>
      <c r="F961" s="17" t="str">
        <f>IF($B961="","",Paramètres!$B$26)</f>
        <v/>
      </c>
      <c r="G961" s="17" t="str">
        <f>IF('Classe 3e'!$B81="","",IF('Classe 3e'!D81="","",'Classe 3e'!D81))</f>
        <v/>
      </c>
      <c r="H961" s="78" t="str">
        <f>IF('Classe 3e'!$B81="","",IF('Classe 3e'!E81="","",'Classe 3e'!E81))</f>
        <v/>
      </c>
      <c r="I961" s="16" t="str">
        <f>IF('Classe 3e'!$B81="","",IF('Classe 3e'!F81="","",'Classe 3e'!F81))</f>
        <v/>
      </c>
      <c r="J961" s="16" t="str">
        <f>IF('Classe 3e'!$B81="","",IF('Classe 3e'!G81="","",'Classe 3e'!G81))</f>
        <v/>
      </c>
      <c r="K961" s="18" t="str">
        <f>IF('Classe 3e'!$B81="","",N('Classe 3e'!H81))</f>
        <v/>
      </c>
      <c r="L961" s="18" t="str">
        <f>IF('Classe 3e'!$B81="","",N('Classe 3e'!I81))</f>
        <v/>
      </c>
      <c r="M961" s="18" t="str">
        <f>IF('Classe 3e'!$B81="","",N('Classe 3e'!J81))</f>
        <v/>
      </c>
      <c r="N961" s="18" t="str">
        <f>IF('Classe 3e'!$B81="","",N('Classe 3e'!K81))</f>
        <v/>
      </c>
      <c r="O961" s="18" t="str">
        <f>IF('Classe 3e'!$B81="","",N('Classe 3e'!L81))</f>
        <v/>
      </c>
      <c r="P961" s="18" t="str">
        <f>IF('Classe 3e'!$B81="","",N('Classe 3e'!M81))</f>
        <v/>
      </c>
      <c r="Q961" s="17" t="str">
        <f>IF('Classe 3e'!$B81="","",IF('Classe 3e'!Q81="","",'Classe 3e'!Q81))</f>
        <v/>
      </c>
      <c r="R961" s="18" t="str">
        <f>IF('Classe 3e'!$B81="","",N('Classe 3e'!N81))</f>
        <v/>
      </c>
      <c r="S961" s="18" t="str">
        <f>IF('Classe 3e'!$B81="","",N('Classe 3e'!O81))</f>
        <v/>
      </c>
      <c r="T961" s="18" t="str">
        <f>IF('Classe 3e'!$B81="","",N('Classe 3e'!P81))</f>
        <v/>
      </c>
    </row>
    <row r="962">
      <c r="A962" s="20" t="str">
        <f>IF('Classe 3e'!$B82="","",IF('Classe 3e'!A82="","",'Classe 3e'!A82))</f>
        <v/>
      </c>
      <c r="B962" s="20" t="str">
        <f>IF('Classe 3e'!$B82="","",IF('Classe 3e'!B82="","",'Classe 3e'!B82))</f>
        <v/>
      </c>
      <c r="C962" s="20" t="str">
        <f>IF('Classe 3e'!$B82="","",IF('Classe 3e'!C82="","",'Classe 3e'!C82))</f>
        <v/>
      </c>
      <c r="D962" s="20" t="str">
        <f>IF($B962="","",C962&amp;" "&amp;B962&amp;" - "&amp;E962)</f>
        <v/>
      </c>
      <c r="E962" s="21" t="str">
        <f>IF($B962="","",Paramètres!$A$26)</f>
        <v/>
      </c>
      <c r="F962" s="21" t="str">
        <f>IF($B962="","",Paramètres!$B$26)</f>
        <v/>
      </c>
      <c r="G962" s="21" t="str">
        <f>IF('Classe 3e'!$B82="","",IF('Classe 3e'!D82="","",'Classe 3e'!D82))</f>
        <v/>
      </c>
      <c r="H962" s="77" t="str">
        <f>IF('Classe 3e'!$B82="","",IF('Classe 3e'!E82="","",'Classe 3e'!E82))</f>
        <v/>
      </c>
      <c r="I962" s="20" t="str">
        <f>IF('Classe 3e'!$B82="","",IF('Classe 3e'!F82="","",'Classe 3e'!F82))</f>
        <v/>
      </c>
      <c r="J962" s="20" t="str">
        <f>IF('Classe 3e'!$B82="","",IF('Classe 3e'!G82="","",'Classe 3e'!G82))</f>
        <v/>
      </c>
      <c r="K962" s="51" t="str">
        <f>IF('Classe 3e'!$B82="","",N('Classe 3e'!H82))</f>
        <v/>
      </c>
      <c r="L962" s="51" t="str">
        <f>IF('Classe 3e'!$B82="","",N('Classe 3e'!I82))</f>
        <v/>
      </c>
      <c r="M962" s="51" t="str">
        <f>IF('Classe 3e'!$B82="","",N('Classe 3e'!J82))</f>
        <v/>
      </c>
      <c r="N962" s="51" t="str">
        <f>IF('Classe 3e'!$B82="","",N('Classe 3e'!K82))</f>
        <v/>
      </c>
      <c r="O962" s="51" t="str">
        <f>IF('Classe 3e'!$B82="","",N('Classe 3e'!L82))</f>
        <v/>
      </c>
      <c r="P962" s="51" t="str">
        <f>IF('Classe 3e'!$B82="","",N('Classe 3e'!M82))</f>
        <v/>
      </c>
      <c r="Q962" s="21" t="str">
        <f>IF('Classe 3e'!$B82="","",IF('Classe 3e'!Q82="","",'Classe 3e'!Q82))</f>
        <v/>
      </c>
      <c r="R962" s="51" t="str">
        <f>IF('Classe 3e'!$B82="","",N('Classe 3e'!N82))</f>
        <v/>
      </c>
      <c r="S962" s="51" t="str">
        <f>IF('Classe 3e'!$B82="","",N('Classe 3e'!O82))</f>
        <v/>
      </c>
      <c r="T962" s="51" t="str">
        <f>IF('Classe 3e'!$B82="","",N('Classe 3e'!P82))</f>
        <v/>
      </c>
    </row>
    <row r="963">
      <c r="A963" s="16" t="str">
        <f>IF('Classe 3e'!$B83="","",IF('Classe 3e'!A83="","",'Classe 3e'!A83))</f>
        <v/>
      </c>
      <c r="B963" s="16" t="str">
        <f>IF('Classe 3e'!$B83="","",IF('Classe 3e'!B83="","",'Classe 3e'!B83))</f>
        <v/>
      </c>
      <c r="C963" s="16" t="str">
        <f>IF('Classe 3e'!$B83="","",IF('Classe 3e'!C83="","",'Classe 3e'!C83))</f>
        <v/>
      </c>
      <c r="D963" s="16" t="str">
        <f>IF($B963="","",C963&amp;" "&amp;B963&amp;" - "&amp;E963)</f>
        <v/>
      </c>
      <c r="E963" s="17" t="str">
        <f>IF($B963="","",Paramètres!$A$26)</f>
        <v/>
      </c>
      <c r="F963" s="17" t="str">
        <f>IF($B963="","",Paramètres!$B$26)</f>
        <v/>
      </c>
      <c r="G963" s="17" t="str">
        <f>IF('Classe 3e'!$B83="","",IF('Classe 3e'!D83="","",'Classe 3e'!D83))</f>
        <v/>
      </c>
      <c r="H963" s="78" t="str">
        <f>IF('Classe 3e'!$B83="","",IF('Classe 3e'!E83="","",'Classe 3e'!E83))</f>
        <v/>
      </c>
      <c r="I963" s="16" t="str">
        <f>IF('Classe 3e'!$B83="","",IF('Classe 3e'!F83="","",'Classe 3e'!F83))</f>
        <v/>
      </c>
      <c r="J963" s="16" t="str">
        <f>IF('Classe 3e'!$B83="","",IF('Classe 3e'!G83="","",'Classe 3e'!G83))</f>
        <v/>
      </c>
      <c r="K963" s="18" t="str">
        <f>IF('Classe 3e'!$B83="","",N('Classe 3e'!H83))</f>
        <v/>
      </c>
      <c r="L963" s="18" t="str">
        <f>IF('Classe 3e'!$B83="","",N('Classe 3e'!I83))</f>
        <v/>
      </c>
      <c r="M963" s="18" t="str">
        <f>IF('Classe 3e'!$B83="","",N('Classe 3e'!J83))</f>
        <v/>
      </c>
      <c r="N963" s="18" t="str">
        <f>IF('Classe 3e'!$B83="","",N('Classe 3e'!K83))</f>
        <v/>
      </c>
      <c r="O963" s="18" t="str">
        <f>IF('Classe 3e'!$B83="","",N('Classe 3e'!L83))</f>
        <v/>
      </c>
      <c r="P963" s="18" t="str">
        <f>IF('Classe 3e'!$B83="","",N('Classe 3e'!M83))</f>
        <v/>
      </c>
      <c r="Q963" s="17" t="str">
        <f>IF('Classe 3e'!$B83="","",IF('Classe 3e'!Q83="","",'Classe 3e'!Q83))</f>
        <v/>
      </c>
      <c r="R963" s="18" t="str">
        <f>IF('Classe 3e'!$B83="","",N('Classe 3e'!N83))</f>
        <v/>
      </c>
      <c r="S963" s="18" t="str">
        <f>IF('Classe 3e'!$B83="","",N('Classe 3e'!O83))</f>
        <v/>
      </c>
      <c r="T963" s="18" t="str">
        <f>IF('Classe 3e'!$B83="","",N('Classe 3e'!P83))</f>
        <v/>
      </c>
    </row>
    <row r="964">
      <c r="A964" s="20" t="str">
        <f>IF('Classe 2nde'!$B4="","",IF('Classe 2nde'!A4="","",'Classe 2nde'!A4))</f>
        <v>2025-002</v>
      </c>
      <c r="B964" s="20" t="str">
        <f>IF('Classe 2nde'!$B4="","",IF('Classe 2nde'!B4="","",'Classe 2nde'!B4))</f>
        <v>DAOUDA</v>
      </c>
      <c r="C964" s="20" t="str">
        <f>IF('Classe 2nde'!$B4="","",IF('Classe 2nde'!C4="","",'Classe 2nde'!C4))</f>
        <v>Arimi</v>
      </c>
      <c r="D964" s="20" t="str">
        <f>IF($B964="","",C964&amp;" "&amp;B964&amp;" - "&amp;E964)</f>
        <v>Arimi DAOUDA - 2nde</v>
      </c>
      <c r="E964" s="21" t="str">
        <f>IF($B964="","",Paramètres!$A$27)</f>
        <v>2nde</v>
      </c>
      <c r="F964" s="21" t="str">
        <f>IF($B964="","",Paramètres!$B$27)</f>
        <v>Lycée</v>
      </c>
      <c r="G964" s="21" t="str">
        <f>IF('Classe 2nde'!$B4="","",IF('Classe 2nde'!D4="","",'Classe 2nde'!D4))</f>
        <v>M</v>
      </c>
      <c r="H964" s="77">
        <f>IF('Classe 2nde'!$B4="","",IF('Classe 2nde'!E4="","",'Classe 2nde'!E4))</f>
        <v>36804</v>
      </c>
      <c r="I964" s="20" t="str">
        <f>IF('Classe 2nde'!$B4="","",IF('Classe 2nde'!F4="","",'Classe 2nde'!F4))</f>
        <v>Daouda Marthé</v>
      </c>
      <c r="J964" s="20" t="str">
        <f>IF('Classe 2nde'!$B4="","",IF('Classe 2nde'!G4="","",'Classe 2nde'!G4))</f>
        <v>+227 90 00 00 00</v>
      </c>
      <c r="K964" s="51">
        <f>IF('Classe 2nde'!$B4="","",N('Classe 2nde'!H4))</f>
        <v>150000</v>
      </c>
      <c r="L964" s="51">
        <f>IF('Classe 2nde'!$B4="","",N('Classe 2nde'!I4))</f>
        <v>50000</v>
      </c>
      <c r="M964" s="51">
        <f>IF('Classe 2nde'!$B4="","",N('Classe 2nde'!J4))</f>
        <v>0</v>
      </c>
      <c r="N964" s="51">
        <f>IF('Classe 2nde'!$B4="","",N('Classe 2nde'!K4))</f>
        <v>0</v>
      </c>
      <c r="O964" s="51">
        <f>IF('Classe 2nde'!$B4="","",N('Classe 2nde'!L4))</f>
        <v>50000</v>
      </c>
      <c r="P964" s="51">
        <f>IF('Classe 2nde'!$B4="","",N('Classe 2nde'!M4))</f>
        <v>100000</v>
      </c>
      <c r="Q964" s="21" t="str">
        <f>IF('Classe 2nde'!$B4="","",IF('Classe 2nde'!Q4="","",'Classe 2nde'!Q4))</f>
        <v>En retard</v>
      </c>
      <c r="R964" s="51">
        <f>IF('Classe 2nde'!$B4="","",N('Classe 2nde'!N4))</f>
        <v>3000</v>
      </c>
      <c r="S964" s="51">
        <f>IF('Classe 2nde'!$B4="","",N('Classe 2nde'!O4))</f>
        <v>0</v>
      </c>
      <c r="T964" s="51">
        <f>IF('Classe 2nde'!$B4="","",N('Classe 2nde'!P4))</f>
        <v>3000</v>
      </c>
    </row>
    <row r="965">
      <c r="A965" s="16" t="str">
        <f>IF('Classe 2nde'!$B5="","",IF('Classe 2nde'!A5="","",'Classe 2nde'!A5))</f>
        <v/>
      </c>
      <c r="B965" s="16" t="str">
        <f>IF('Classe 2nde'!$B5="","",IF('Classe 2nde'!B5="","",'Classe 2nde'!B5))</f>
        <v/>
      </c>
      <c r="C965" s="16" t="str">
        <f>IF('Classe 2nde'!$B5="","",IF('Classe 2nde'!C5="","",'Classe 2nde'!C5))</f>
        <v/>
      </c>
      <c r="D965" s="16" t="str">
        <f>IF($B965="","",C965&amp;" "&amp;B965&amp;" - "&amp;E965)</f>
        <v/>
      </c>
      <c r="E965" s="17" t="str">
        <f>IF($B965="","",Paramètres!$A$27)</f>
        <v/>
      </c>
      <c r="F965" s="17" t="str">
        <f>IF($B965="","",Paramètres!$B$27)</f>
        <v/>
      </c>
      <c r="G965" s="17" t="str">
        <f>IF('Classe 2nde'!$B5="","",IF('Classe 2nde'!D5="","",'Classe 2nde'!D5))</f>
        <v/>
      </c>
      <c r="H965" s="78" t="str">
        <f>IF('Classe 2nde'!$B5="","",IF('Classe 2nde'!E5="","",'Classe 2nde'!E5))</f>
        <v/>
      </c>
      <c r="I965" s="16" t="str">
        <f>IF('Classe 2nde'!$B5="","",IF('Classe 2nde'!F5="","",'Classe 2nde'!F5))</f>
        <v/>
      </c>
      <c r="J965" s="16" t="str">
        <f>IF('Classe 2nde'!$B5="","",IF('Classe 2nde'!G5="","",'Classe 2nde'!G5))</f>
        <v/>
      </c>
      <c r="K965" s="18" t="str">
        <f>IF('Classe 2nde'!$B5="","",N('Classe 2nde'!H5))</f>
        <v/>
      </c>
      <c r="L965" s="18" t="str">
        <f>IF('Classe 2nde'!$B5="","",N('Classe 2nde'!I5))</f>
        <v/>
      </c>
      <c r="M965" s="18" t="str">
        <f>IF('Classe 2nde'!$B5="","",N('Classe 2nde'!J5))</f>
        <v/>
      </c>
      <c r="N965" s="18" t="str">
        <f>IF('Classe 2nde'!$B5="","",N('Classe 2nde'!K5))</f>
        <v/>
      </c>
      <c r="O965" s="18" t="str">
        <f>IF('Classe 2nde'!$B5="","",N('Classe 2nde'!L5))</f>
        <v/>
      </c>
      <c r="P965" s="18" t="str">
        <f>IF('Classe 2nde'!$B5="","",N('Classe 2nde'!M5))</f>
        <v/>
      </c>
      <c r="Q965" s="17" t="str">
        <f>IF('Classe 2nde'!$B5="","",IF('Classe 2nde'!Q5="","",'Classe 2nde'!Q5))</f>
        <v/>
      </c>
      <c r="R965" s="18" t="str">
        <f>IF('Classe 2nde'!$B5="","",N('Classe 2nde'!N5))</f>
        <v/>
      </c>
      <c r="S965" s="18" t="str">
        <f>IF('Classe 2nde'!$B5="","",N('Classe 2nde'!O5))</f>
        <v/>
      </c>
      <c r="T965" s="18" t="str">
        <f>IF('Classe 2nde'!$B5="","",N('Classe 2nde'!P5))</f>
        <v/>
      </c>
    </row>
    <row r="966">
      <c r="A966" s="20" t="str">
        <f>IF('Classe 2nde'!$B6="","",IF('Classe 2nde'!A6="","",'Classe 2nde'!A6))</f>
        <v/>
      </c>
      <c r="B966" s="20" t="str">
        <f>IF('Classe 2nde'!$B6="","",IF('Classe 2nde'!B6="","",'Classe 2nde'!B6))</f>
        <v/>
      </c>
      <c r="C966" s="20" t="str">
        <f>IF('Classe 2nde'!$B6="","",IF('Classe 2nde'!C6="","",'Classe 2nde'!C6))</f>
        <v/>
      </c>
      <c r="D966" s="20" t="str">
        <f>IF($B966="","",C966&amp;" "&amp;B966&amp;" - "&amp;E966)</f>
        <v/>
      </c>
      <c r="E966" s="21" t="str">
        <f>IF($B966="","",Paramètres!$A$27)</f>
        <v/>
      </c>
      <c r="F966" s="21" t="str">
        <f>IF($B966="","",Paramètres!$B$27)</f>
        <v/>
      </c>
      <c r="G966" s="21" t="str">
        <f>IF('Classe 2nde'!$B6="","",IF('Classe 2nde'!D6="","",'Classe 2nde'!D6))</f>
        <v/>
      </c>
      <c r="H966" s="77" t="str">
        <f>IF('Classe 2nde'!$B6="","",IF('Classe 2nde'!E6="","",'Classe 2nde'!E6))</f>
        <v/>
      </c>
      <c r="I966" s="20" t="str">
        <f>IF('Classe 2nde'!$B6="","",IF('Classe 2nde'!F6="","",'Classe 2nde'!F6))</f>
        <v/>
      </c>
      <c r="J966" s="20" t="str">
        <f>IF('Classe 2nde'!$B6="","",IF('Classe 2nde'!G6="","",'Classe 2nde'!G6))</f>
        <v/>
      </c>
      <c r="K966" s="51" t="str">
        <f>IF('Classe 2nde'!$B6="","",N('Classe 2nde'!H6))</f>
        <v/>
      </c>
      <c r="L966" s="51" t="str">
        <f>IF('Classe 2nde'!$B6="","",N('Classe 2nde'!I6))</f>
        <v/>
      </c>
      <c r="M966" s="51" t="str">
        <f>IF('Classe 2nde'!$B6="","",N('Classe 2nde'!J6))</f>
        <v/>
      </c>
      <c r="N966" s="51" t="str">
        <f>IF('Classe 2nde'!$B6="","",N('Classe 2nde'!K6))</f>
        <v/>
      </c>
      <c r="O966" s="51" t="str">
        <f>IF('Classe 2nde'!$B6="","",N('Classe 2nde'!L6))</f>
        <v/>
      </c>
      <c r="P966" s="51" t="str">
        <f>IF('Classe 2nde'!$B6="","",N('Classe 2nde'!M6))</f>
        <v/>
      </c>
      <c r="Q966" s="21" t="str">
        <f>IF('Classe 2nde'!$B6="","",IF('Classe 2nde'!Q6="","",'Classe 2nde'!Q6))</f>
        <v/>
      </c>
      <c r="R966" s="51" t="str">
        <f>IF('Classe 2nde'!$B6="","",N('Classe 2nde'!N6))</f>
        <v/>
      </c>
      <c r="S966" s="51" t="str">
        <f>IF('Classe 2nde'!$B6="","",N('Classe 2nde'!O6))</f>
        <v/>
      </c>
      <c r="T966" s="51" t="str">
        <f>IF('Classe 2nde'!$B6="","",N('Classe 2nde'!P6))</f>
        <v/>
      </c>
    </row>
    <row r="967">
      <c r="A967" s="16" t="str">
        <f>IF('Classe 2nde'!$B7="","",IF('Classe 2nde'!A7="","",'Classe 2nde'!A7))</f>
        <v/>
      </c>
      <c r="B967" s="16" t="str">
        <f>IF('Classe 2nde'!$B7="","",IF('Classe 2nde'!B7="","",'Classe 2nde'!B7))</f>
        <v/>
      </c>
      <c r="C967" s="16" t="str">
        <f>IF('Classe 2nde'!$B7="","",IF('Classe 2nde'!C7="","",'Classe 2nde'!C7))</f>
        <v/>
      </c>
      <c r="D967" s="16" t="str">
        <f>IF($B967="","",C967&amp;" "&amp;B967&amp;" - "&amp;E967)</f>
        <v/>
      </c>
      <c r="E967" s="17" t="str">
        <f>IF($B967="","",Paramètres!$A$27)</f>
        <v/>
      </c>
      <c r="F967" s="17" t="str">
        <f>IF($B967="","",Paramètres!$B$27)</f>
        <v/>
      </c>
      <c r="G967" s="17" t="str">
        <f>IF('Classe 2nde'!$B7="","",IF('Classe 2nde'!D7="","",'Classe 2nde'!D7))</f>
        <v/>
      </c>
      <c r="H967" s="78" t="str">
        <f>IF('Classe 2nde'!$B7="","",IF('Classe 2nde'!E7="","",'Classe 2nde'!E7))</f>
        <v/>
      </c>
      <c r="I967" s="16" t="str">
        <f>IF('Classe 2nde'!$B7="","",IF('Classe 2nde'!F7="","",'Classe 2nde'!F7))</f>
        <v/>
      </c>
      <c r="J967" s="16" t="str">
        <f>IF('Classe 2nde'!$B7="","",IF('Classe 2nde'!G7="","",'Classe 2nde'!G7))</f>
        <v/>
      </c>
      <c r="K967" s="18" t="str">
        <f>IF('Classe 2nde'!$B7="","",N('Classe 2nde'!H7))</f>
        <v/>
      </c>
      <c r="L967" s="18" t="str">
        <f>IF('Classe 2nde'!$B7="","",N('Classe 2nde'!I7))</f>
        <v/>
      </c>
      <c r="M967" s="18" t="str">
        <f>IF('Classe 2nde'!$B7="","",N('Classe 2nde'!J7))</f>
        <v/>
      </c>
      <c r="N967" s="18" t="str">
        <f>IF('Classe 2nde'!$B7="","",N('Classe 2nde'!K7))</f>
        <v/>
      </c>
      <c r="O967" s="18" t="str">
        <f>IF('Classe 2nde'!$B7="","",N('Classe 2nde'!L7))</f>
        <v/>
      </c>
      <c r="P967" s="18" t="str">
        <f>IF('Classe 2nde'!$B7="","",N('Classe 2nde'!M7))</f>
        <v/>
      </c>
      <c r="Q967" s="17" t="str">
        <f>IF('Classe 2nde'!$B7="","",IF('Classe 2nde'!Q7="","",'Classe 2nde'!Q7))</f>
        <v/>
      </c>
      <c r="R967" s="18" t="str">
        <f>IF('Classe 2nde'!$B7="","",N('Classe 2nde'!N7))</f>
        <v/>
      </c>
      <c r="S967" s="18" t="str">
        <f>IF('Classe 2nde'!$B7="","",N('Classe 2nde'!O7))</f>
        <v/>
      </c>
      <c r="T967" s="18" t="str">
        <f>IF('Classe 2nde'!$B7="","",N('Classe 2nde'!P7))</f>
        <v/>
      </c>
    </row>
    <row r="968">
      <c r="A968" s="20" t="str">
        <f>IF('Classe 2nde'!$B8="","",IF('Classe 2nde'!A8="","",'Classe 2nde'!A8))</f>
        <v/>
      </c>
      <c r="B968" s="20" t="str">
        <f>IF('Classe 2nde'!$B8="","",IF('Classe 2nde'!B8="","",'Classe 2nde'!B8))</f>
        <v/>
      </c>
      <c r="C968" s="20" t="str">
        <f>IF('Classe 2nde'!$B8="","",IF('Classe 2nde'!C8="","",'Classe 2nde'!C8))</f>
        <v/>
      </c>
      <c r="D968" s="20" t="str">
        <f>IF($B968="","",C968&amp;" "&amp;B968&amp;" - "&amp;E968)</f>
        <v/>
      </c>
      <c r="E968" s="21" t="str">
        <f>IF($B968="","",Paramètres!$A$27)</f>
        <v/>
      </c>
      <c r="F968" s="21" t="str">
        <f>IF($B968="","",Paramètres!$B$27)</f>
        <v/>
      </c>
      <c r="G968" s="21" t="str">
        <f>IF('Classe 2nde'!$B8="","",IF('Classe 2nde'!D8="","",'Classe 2nde'!D8))</f>
        <v/>
      </c>
      <c r="H968" s="77" t="str">
        <f>IF('Classe 2nde'!$B8="","",IF('Classe 2nde'!E8="","",'Classe 2nde'!E8))</f>
        <v/>
      </c>
      <c r="I968" s="20" t="str">
        <f>IF('Classe 2nde'!$B8="","",IF('Classe 2nde'!F8="","",'Classe 2nde'!F8))</f>
        <v/>
      </c>
      <c r="J968" s="20" t="str">
        <f>IF('Classe 2nde'!$B8="","",IF('Classe 2nde'!G8="","",'Classe 2nde'!G8))</f>
        <v/>
      </c>
      <c r="K968" s="51" t="str">
        <f>IF('Classe 2nde'!$B8="","",N('Classe 2nde'!H8))</f>
        <v/>
      </c>
      <c r="L968" s="51" t="str">
        <f>IF('Classe 2nde'!$B8="","",N('Classe 2nde'!I8))</f>
        <v/>
      </c>
      <c r="M968" s="51" t="str">
        <f>IF('Classe 2nde'!$B8="","",N('Classe 2nde'!J8))</f>
        <v/>
      </c>
      <c r="N968" s="51" t="str">
        <f>IF('Classe 2nde'!$B8="","",N('Classe 2nde'!K8))</f>
        <v/>
      </c>
      <c r="O968" s="51" t="str">
        <f>IF('Classe 2nde'!$B8="","",N('Classe 2nde'!L8))</f>
        <v/>
      </c>
      <c r="P968" s="51" t="str">
        <f>IF('Classe 2nde'!$B8="","",N('Classe 2nde'!M8))</f>
        <v/>
      </c>
      <c r="Q968" s="21" t="str">
        <f>IF('Classe 2nde'!$B8="","",IF('Classe 2nde'!Q8="","",'Classe 2nde'!Q8))</f>
        <v/>
      </c>
      <c r="R968" s="51" t="str">
        <f>IF('Classe 2nde'!$B8="","",N('Classe 2nde'!N8))</f>
        <v/>
      </c>
      <c r="S968" s="51" t="str">
        <f>IF('Classe 2nde'!$B8="","",N('Classe 2nde'!O8))</f>
        <v/>
      </c>
      <c r="T968" s="51" t="str">
        <f>IF('Classe 2nde'!$B8="","",N('Classe 2nde'!P8))</f>
        <v/>
      </c>
    </row>
    <row r="969">
      <c r="A969" s="16" t="str">
        <f>IF('Classe 2nde'!$B9="","",IF('Classe 2nde'!A9="","",'Classe 2nde'!A9))</f>
        <v/>
      </c>
      <c r="B969" s="16" t="str">
        <f>IF('Classe 2nde'!$B9="","",IF('Classe 2nde'!B9="","",'Classe 2nde'!B9))</f>
        <v/>
      </c>
      <c r="C969" s="16" t="str">
        <f>IF('Classe 2nde'!$B9="","",IF('Classe 2nde'!C9="","",'Classe 2nde'!C9))</f>
        <v/>
      </c>
      <c r="D969" s="16" t="str">
        <f>IF($B969="","",C969&amp;" "&amp;B969&amp;" - "&amp;E969)</f>
        <v/>
      </c>
      <c r="E969" s="17" t="str">
        <f>IF($B969="","",Paramètres!$A$27)</f>
        <v/>
      </c>
      <c r="F969" s="17" t="str">
        <f>IF($B969="","",Paramètres!$B$27)</f>
        <v/>
      </c>
      <c r="G969" s="17" t="str">
        <f>IF('Classe 2nde'!$B9="","",IF('Classe 2nde'!D9="","",'Classe 2nde'!D9))</f>
        <v/>
      </c>
      <c r="H969" s="78" t="str">
        <f>IF('Classe 2nde'!$B9="","",IF('Classe 2nde'!E9="","",'Classe 2nde'!E9))</f>
        <v/>
      </c>
      <c r="I969" s="16" t="str">
        <f>IF('Classe 2nde'!$B9="","",IF('Classe 2nde'!F9="","",'Classe 2nde'!F9))</f>
        <v/>
      </c>
      <c r="J969" s="16" t="str">
        <f>IF('Classe 2nde'!$B9="","",IF('Classe 2nde'!G9="","",'Classe 2nde'!G9))</f>
        <v/>
      </c>
      <c r="K969" s="18" t="str">
        <f>IF('Classe 2nde'!$B9="","",N('Classe 2nde'!H9))</f>
        <v/>
      </c>
      <c r="L969" s="18" t="str">
        <f>IF('Classe 2nde'!$B9="","",N('Classe 2nde'!I9))</f>
        <v/>
      </c>
      <c r="M969" s="18" t="str">
        <f>IF('Classe 2nde'!$B9="","",N('Classe 2nde'!J9))</f>
        <v/>
      </c>
      <c r="N969" s="18" t="str">
        <f>IF('Classe 2nde'!$B9="","",N('Classe 2nde'!K9))</f>
        <v/>
      </c>
      <c r="O969" s="18" t="str">
        <f>IF('Classe 2nde'!$B9="","",N('Classe 2nde'!L9))</f>
        <v/>
      </c>
      <c r="P969" s="18" t="str">
        <f>IF('Classe 2nde'!$B9="","",N('Classe 2nde'!M9))</f>
        <v/>
      </c>
      <c r="Q969" s="17" t="str">
        <f>IF('Classe 2nde'!$B9="","",IF('Classe 2nde'!Q9="","",'Classe 2nde'!Q9))</f>
        <v/>
      </c>
      <c r="R969" s="18" t="str">
        <f>IF('Classe 2nde'!$B9="","",N('Classe 2nde'!N9))</f>
        <v/>
      </c>
      <c r="S969" s="18" t="str">
        <f>IF('Classe 2nde'!$B9="","",N('Classe 2nde'!O9))</f>
        <v/>
      </c>
      <c r="T969" s="18" t="str">
        <f>IF('Classe 2nde'!$B9="","",N('Classe 2nde'!P9))</f>
        <v/>
      </c>
    </row>
    <row r="970">
      <c r="A970" s="20" t="str">
        <f>IF('Classe 2nde'!$B10="","",IF('Classe 2nde'!A10="","",'Classe 2nde'!A10))</f>
        <v/>
      </c>
      <c r="B970" s="20" t="str">
        <f>IF('Classe 2nde'!$B10="","",IF('Classe 2nde'!B10="","",'Classe 2nde'!B10))</f>
        <v/>
      </c>
      <c r="C970" s="20" t="str">
        <f>IF('Classe 2nde'!$B10="","",IF('Classe 2nde'!C10="","",'Classe 2nde'!C10))</f>
        <v/>
      </c>
      <c r="D970" s="20" t="str">
        <f>IF($B970="","",C970&amp;" "&amp;B970&amp;" - "&amp;E970)</f>
        <v/>
      </c>
      <c r="E970" s="21" t="str">
        <f>IF($B970="","",Paramètres!$A$27)</f>
        <v/>
      </c>
      <c r="F970" s="21" t="str">
        <f>IF($B970="","",Paramètres!$B$27)</f>
        <v/>
      </c>
      <c r="G970" s="21" t="str">
        <f>IF('Classe 2nde'!$B10="","",IF('Classe 2nde'!D10="","",'Classe 2nde'!D10))</f>
        <v/>
      </c>
      <c r="H970" s="77" t="str">
        <f>IF('Classe 2nde'!$B10="","",IF('Classe 2nde'!E10="","",'Classe 2nde'!E10))</f>
        <v/>
      </c>
      <c r="I970" s="20" t="str">
        <f>IF('Classe 2nde'!$B10="","",IF('Classe 2nde'!F10="","",'Classe 2nde'!F10))</f>
        <v/>
      </c>
      <c r="J970" s="20" t="str">
        <f>IF('Classe 2nde'!$B10="","",IF('Classe 2nde'!G10="","",'Classe 2nde'!G10))</f>
        <v/>
      </c>
      <c r="K970" s="51" t="str">
        <f>IF('Classe 2nde'!$B10="","",N('Classe 2nde'!H10))</f>
        <v/>
      </c>
      <c r="L970" s="51" t="str">
        <f>IF('Classe 2nde'!$B10="","",N('Classe 2nde'!I10))</f>
        <v/>
      </c>
      <c r="M970" s="51" t="str">
        <f>IF('Classe 2nde'!$B10="","",N('Classe 2nde'!J10))</f>
        <v/>
      </c>
      <c r="N970" s="51" t="str">
        <f>IF('Classe 2nde'!$B10="","",N('Classe 2nde'!K10))</f>
        <v/>
      </c>
      <c r="O970" s="51" t="str">
        <f>IF('Classe 2nde'!$B10="","",N('Classe 2nde'!L10))</f>
        <v/>
      </c>
      <c r="P970" s="51" t="str">
        <f>IF('Classe 2nde'!$B10="","",N('Classe 2nde'!M10))</f>
        <v/>
      </c>
      <c r="Q970" s="21" t="str">
        <f>IF('Classe 2nde'!$B10="","",IF('Classe 2nde'!Q10="","",'Classe 2nde'!Q10))</f>
        <v/>
      </c>
      <c r="R970" s="51" t="str">
        <f>IF('Classe 2nde'!$B10="","",N('Classe 2nde'!N10))</f>
        <v/>
      </c>
      <c r="S970" s="51" t="str">
        <f>IF('Classe 2nde'!$B10="","",N('Classe 2nde'!O10))</f>
        <v/>
      </c>
      <c r="T970" s="51" t="str">
        <f>IF('Classe 2nde'!$B10="","",N('Classe 2nde'!P10))</f>
        <v/>
      </c>
    </row>
    <row r="971">
      <c r="A971" s="16" t="str">
        <f>IF('Classe 2nde'!$B11="","",IF('Classe 2nde'!A11="","",'Classe 2nde'!A11))</f>
        <v/>
      </c>
      <c r="B971" s="16" t="str">
        <f>IF('Classe 2nde'!$B11="","",IF('Classe 2nde'!B11="","",'Classe 2nde'!B11))</f>
        <v/>
      </c>
      <c r="C971" s="16" t="str">
        <f>IF('Classe 2nde'!$B11="","",IF('Classe 2nde'!C11="","",'Classe 2nde'!C11))</f>
        <v/>
      </c>
      <c r="D971" s="16" t="str">
        <f>IF($B971="","",C971&amp;" "&amp;B971&amp;" - "&amp;E971)</f>
        <v/>
      </c>
      <c r="E971" s="17" t="str">
        <f>IF($B971="","",Paramètres!$A$27)</f>
        <v/>
      </c>
      <c r="F971" s="17" t="str">
        <f>IF($B971="","",Paramètres!$B$27)</f>
        <v/>
      </c>
      <c r="G971" s="17" t="str">
        <f>IF('Classe 2nde'!$B11="","",IF('Classe 2nde'!D11="","",'Classe 2nde'!D11))</f>
        <v/>
      </c>
      <c r="H971" s="78" t="str">
        <f>IF('Classe 2nde'!$B11="","",IF('Classe 2nde'!E11="","",'Classe 2nde'!E11))</f>
        <v/>
      </c>
      <c r="I971" s="16" t="str">
        <f>IF('Classe 2nde'!$B11="","",IF('Classe 2nde'!F11="","",'Classe 2nde'!F11))</f>
        <v/>
      </c>
      <c r="J971" s="16" t="str">
        <f>IF('Classe 2nde'!$B11="","",IF('Classe 2nde'!G11="","",'Classe 2nde'!G11))</f>
        <v/>
      </c>
      <c r="K971" s="18" t="str">
        <f>IF('Classe 2nde'!$B11="","",N('Classe 2nde'!H11))</f>
        <v/>
      </c>
      <c r="L971" s="18" t="str">
        <f>IF('Classe 2nde'!$B11="","",N('Classe 2nde'!I11))</f>
        <v/>
      </c>
      <c r="M971" s="18" t="str">
        <f>IF('Classe 2nde'!$B11="","",N('Classe 2nde'!J11))</f>
        <v/>
      </c>
      <c r="N971" s="18" t="str">
        <f>IF('Classe 2nde'!$B11="","",N('Classe 2nde'!K11))</f>
        <v/>
      </c>
      <c r="O971" s="18" t="str">
        <f>IF('Classe 2nde'!$B11="","",N('Classe 2nde'!L11))</f>
        <v/>
      </c>
      <c r="P971" s="18" t="str">
        <f>IF('Classe 2nde'!$B11="","",N('Classe 2nde'!M11))</f>
        <v/>
      </c>
      <c r="Q971" s="17" t="str">
        <f>IF('Classe 2nde'!$B11="","",IF('Classe 2nde'!Q11="","",'Classe 2nde'!Q11))</f>
        <v/>
      </c>
      <c r="R971" s="18" t="str">
        <f>IF('Classe 2nde'!$B11="","",N('Classe 2nde'!N11))</f>
        <v/>
      </c>
      <c r="S971" s="18" t="str">
        <f>IF('Classe 2nde'!$B11="","",N('Classe 2nde'!O11))</f>
        <v/>
      </c>
      <c r="T971" s="18" t="str">
        <f>IF('Classe 2nde'!$B11="","",N('Classe 2nde'!P11))</f>
        <v/>
      </c>
    </row>
    <row r="972">
      <c r="A972" s="20" t="str">
        <f>IF('Classe 2nde'!$B12="","",IF('Classe 2nde'!A12="","",'Classe 2nde'!A12))</f>
        <v/>
      </c>
      <c r="B972" s="20" t="str">
        <f>IF('Classe 2nde'!$B12="","",IF('Classe 2nde'!B12="","",'Classe 2nde'!B12))</f>
        <v/>
      </c>
      <c r="C972" s="20" t="str">
        <f>IF('Classe 2nde'!$B12="","",IF('Classe 2nde'!C12="","",'Classe 2nde'!C12))</f>
        <v/>
      </c>
      <c r="D972" s="20" t="str">
        <f>IF($B972="","",C972&amp;" "&amp;B972&amp;" - "&amp;E972)</f>
        <v/>
      </c>
      <c r="E972" s="21" t="str">
        <f>IF($B972="","",Paramètres!$A$27)</f>
        <v/>
      </c>
      <c r="F972" s="21" t="str">
        <f>IF($B972="","",Paramètres!$B$27)</f>
        <v/>
      </c>
      <c r="G972" s="21" t="str">
        <f>IF('Classe 2nde'!$B12="","",IF('Classe 2nde'!D12="","",'Classe 2nde'!D12))</f>
        <v/>
      </c>
      <c r="H972" s="77" t="str">
        <f>IF('Classe 2nde'!$B12="","",IF('Classe 2nde'!E12="","",'Classe 2nde'!E12))</f>
        <v/>
      </c>
      <c r="I972" s="20" t="str">
        <f>IF('Classe 2nde'!$B12="","",IF('Classe 2nde'!F12="","",'Classe 2nde'!F12))</f>
        <v/>
      </c>
      <c r="J972" s="20" t="str">
        <f>IF('Classe 2nde'!$B12="","",IF('Classe 2nde'!G12="","",'Classe 2nde'!G12))</f>
        <v/>
      </c>
      <c r="K972" s="51" t="str">
        <f>IF('Classe 2nde'!$B12="","",N('Classe 2nde'!H12))</f>
        <v/>
      </c>
      <c r="L972" s="51" t="str">
        <f>IF('Classe 2nde'!$B12="","",N('Classe 2nde'!I12))</f>
        <v/>
      </c>
      <c r="M972" s="51" t="str">
        <f>IF('Classe 2nde'!$B12="","",N('Classe 2nde'!J12))</f>
        <v/>
      </c>
      <c r="N972" s="51" t="str">
        <f>IF('Classe 2nde'!$B12="","",N('Classe 2nde'!K12))</f>
        <v/>
      </c>
      <c r="O972" s="51" t="str">
        <f>IF('Classe 2nde'!$B12="","",N('Classe 2nde'!L12))</f>
        <v/>
      </c>
      <c r="P972" s="51" t="str">
        <f>IF('Classe 2nde'!$B12="","",N('Classe 2nde'!M12))</f>
        <v/>
      </c>
      <c r="Q972" s="21" t="str">
        <f>IF('Classe 2nde'!$B12="","",IF('Classe 2nde'!Q12="","",'Classe 2nde'!Q12))</f>
        <v/>
      </c>
      <c r="R972" s="51" t="str">
        <f>IF('Classe 2nde'!$B12="","",N('Classe 2nde'!N12))</f>
        <v/>
      </c>
      <c r="S972" s="51" t="str">
        <f>IF('Classe 2nde'!$B12="","",N('Classe 2nde'!O12))</f>
        <v/>
      </c>
      <c r="T972" s="51" t="str">
        <f>IF('Classe 2nde'!$B12="","",N('Classe 2nde'!P12))</f>
        <v/>
      </c>
    </row>
    <row r="973">
      <c r="A973" s="16" t="str">
        <f>IF('Classe 2nde'!$B13="","",IF('Classe 2nde'!A13="","",'Classe 2nde'!A13))</f>
        <v/>
      </c>
      <c r="B973" s="16" t="str">
        <f>IF('Classe 2nde'!$B13="","",IF('Classe 2nde'!B13="","",'Classe 2nde'!B13))</f>
        <v/>
      </c>
      <c r="C973" s="16" t="str">
        <f>IF('Classe 2nde'!$B13="","",IF('Classe 2nde'!C13="","",'Classe 2nde'!C13))</f>
        <v/>
      </c>
      <c r="D973" s="16" t="str">
        <f>IF($B973="","",C973&amp;" "&amp;B973&amp;" - "&amp;E973)</f>
        <v/>
      </c>
      <c r="E973" s="17" t="str">
        <f>IF($B973="","",Paramètres!$A$27)</f>
        <v/>
      </c>
      <c r="F973" s="17" t="str">
        <f>IF($B973="","",Paramètres!$B$27)</f>
        <v/>
      </c>
      <c r="G973" s="17" t="str">
        <f>IF('Classe 2nde'!$B13="","",IF('Classe 2nde'!D13="","",'Classe 2nde'!D13))</f>
        <v/>
      </c>
      <c r="H973" s="78" t="str">
        <f>IF('Classe 2nde'!$B13="","",IF('Classe 2nde'!E13="","",'Classe 2nde'!E13))</f>
        <v/>
      </c>
      <c r="I973" s="16" t="str">
        <f>IF('Classe 2nde'!$B13="","",IF('Classe 2nde'!F13="","",'Classe 2nde'!F13))</f>
        <v/>
      </c>
      <c r="J973" s="16" t="str">
        <f>IF('Classe 2nde'!$B13="","",IF('Classe 2nde'!G13="","",'Classe 2nde'!G13))</f>
        <v/>
      </c>
      <c r="K973" s="18" t="str">
        <f>IF('Classe 2nde'!$B13="","",N('Classe 2nde'!H13))</f>
        <v/>
      </c>
      <c r="L973" s="18" t="str">
        <f>IF('Classe 2nde'!$B13="","",N('Classe 2nde'!I13))</f>
        <v/>
      </c>
      <c r="M973" s="18" t="str">
        <f>IF('Classe 2nde'!$B13="","",N('Classe 2nde'!J13))</f>
        <v/>
      </c>
      <c r="N973" s="18" t="str">
        <f>IF('Classe 2nde'!$B13="","",N('Classe 2nde'!K13))</f>
        <v/>
      </c>
      <c r="O973" s="18" t="str">
        <f>IF('Classe 2nde'!$B13="","",N('Classe 2nde'!L13))</f>
        <v/>
      </c>
      <c r="P973" s="18" t="str">
        <f>IF('Classe 2nde'!$B13="","",N('Classe 2nde'!M13))</f>
        <v/>
      </c>
      <c r="Q973" s="17" t="str">
        <f>IF('Classe 2nde'!$B13="","",IF('Classe 2nde'!Q13="","",'Classe 2nde'!Q13))</f>
        <v/>
      </c>
      <c r="R973" s="18" t="str">
        <f>IF('Classe 2nde'!$B13="","",N('Classe 2nde'!N13))</f>
        <v/>
      </c>
      <c r="S973" s="18" t="str">
        <f>IF('Classe 2nde'!$B13="","",N('Classe 2nde'!O13))</f>
        <v/>
      </c>
      <c r="T973" s="18" t="str">
        <f>IF('Classe 2nde'!$B13="","",N('Classe 2nde'!P13))</f>
        <v/>
      </c>
    </row>
    <row r="974">
      <c r="A974" s="20" t="str">
        <f>IF('Classe 2nde'!$B14="","",IF('Classe 2nde'!A14="","",'Classe 2nde'!A14))</f>
        <v/>
      </c>
      <c r="B974" s="20" t="str">
        <f>IF('Classe 2nde'!$B14="","",IF('Classe 2nde'!B14="","",'Classe 2nde'!B14))</f>
        <v/>
      </c>
      <c r="C974" s="20" t="str">
        <f>IF('Classe 2nde'!$B14="","",IF('Classe 2nde'!C14="","",'Classe 2nde'!C14))</f>
        <v/>
      </c>
      <c r="D974" s="20" t="str">
        <f>IF($B974="","",C974&amp;" "&amp;B974&amp;" - "&amp;E974)</f>
        <v/>
      </c>
      <c r="E974" s="21" t="str">
        <f>IF($B974="","",Paramètres!$A$27)</f>
        <v/>
      </c>
      <c r="F974" s="21" t="str">
        <f>IF($B974="","",Paramètres!$B$27)</f>
        <v/>
      </c>
      <c r="G974" s="21" t="str">
        <f>IF('Classe 2nde'!$B14="","",IF('Classe 2nde'!D14="","",'Classe 2nde'!D14))</f>
        <v/>
      </c>
      <c r="H974" s="77" t="str">
        <f>IF('Classe 2nde'!$B14="","",IF('Classe 2nde'!E14="","",'Classe 2nde'!E14))</f>
        <v/>
      </c>
      <c r="I974" s="20" t="str">
        <f>IF('Classe 2nde'!$B14="","",IF('Classe 2nde'!F14="","",'Classe 2nde'!F14))</f>
        <v/>
      </c>
      <c r="J974" s="20" t="str">
        <f>IF('Classe 2nde'!$B14="","",IF('Classe 2nde'!G14="","",'Classe 2nde'!G14))</f>
        <v/>
      </c>
      <c r="K974" s="51" t="str">
        <f>IF('Classe 2nde'!$B14="","",N('Classe 2nde'!H14))</f>
        <v/>
      </c>
      <c r="L974" s="51" t="str">
        <f>IF('Classe 2nde'!$B14="","",N('Classe 2nde'!I14))</f>
        <v/>
      </c>
      <c r="M974" s="51" t="str">
        <f>IF('Classe 2nde'!$B14="","",N('Classe 2nde'!J14))</f>
        <v/>
      </c>
      <c r="N974" s="51" t="str">
        <f>IF('Classe 2nde'!$B14="","",N('Classe 2nde'!K14))</f>
        <v/>
      </c>
      <c r="O974" s="51" t="str">
        <f>IF('Classe 2nde'!$B14="","",N('Classe 2nde'!L14))</f>
        <v/>
      </c>
      <c r="P974" s="51" t="str">
        <f>IF('Classe 2nde'!$B14="","",N('Classe 2nde'!M14))</f>
        <v/>
      </c>
      <c r="Q974" s="21" t="str">
        <f>IF('Classe 2nde'!$B14="","",IF('Classe 2nde'!Q14="","",'Classe 2nde'!Q14))</f>
        <v/>
      </c>
      <c r="R974" s="51" t="str">
        <f>IF('Classe 2nde'!$B14="","",N('Classe 2nde'!N14))</f>
        <v/>
      </c>
      <c r="S974" s="51" t="str">
        <f>IF('Classe 2nde'!$B14="","",N('Classe 2nde'!O14))</f>
        <v/>
      </c>
      <c r="T974" s="51" t="str">
        <f>IF('Classe 2nde'!$B14="","",N('Classe 2nde'!P14))</f>
        <v/>
      </c>
    </row>
    <row r="975">
      <c r="A975" s="16" t="str">
        <f>IF('Classe 2nde'!$B15="","",IF('Classe 2nde'!A15="","",'Classe 2nde'!A15))</f>
        <v/>
      </c>
      <c r="B975" s="16" t="str">
        <f>IF('Classe 2nde'!$B15="","",IF('Classe 2nde'!B15="","",'Classe 2nde'!B15))</f>
        <v/>
      </c>
      <c r="C975" s="16" t="str">
        <f>IF('Classe 2nde'!$B15="","",IF('Classe 2nde'!C15="","",'Classe 2nde'!C15))</f>
        <v/>
      </c>
      <c r="D975" s="16" t="str">
        <f>IF($B975="","",C975&amp;" "&amp;B975&amp;" - "&amp;E975)</f>
        <v/>
      </c>
      <c r="E975" s="17" t="str">
        <f>IF($B975="","",Paramètres!$A$27)</f>
        <v/>
      </c>
      <c r="F975" s="17" t="str">
        <f>IF($B975="","",Paramètres!$B$27)</f>
        <v/>
      </c>
      <c r="G975" s="17" t="str">
        <f>IF('Classe 2nde'!$B15="","",IF('Classe 2nde'!D15="","",'Classe 2nde'!D15))</f>
        <v/>
      </c>
      <c r="H975" s="78" t="str">
        <f>IF('Classe 2nde'!$B15="","",IF('Classe 2nde'!E15="","",'Classe 2nde'!E15))</f>
        <v/>
      </c>
      <c r="I975" s="16" t="str">
        <f>IF('Classe 2nde'!$B15="","",IF('Classe 2nde'!F15="","",'Classe 2nde'!F15))</f>
        <v/>
      </c>
      <c r="J975" s="16" t="str">
        <f>IF('Classe 2nde'!$B15="","",IF('Classe 2nde'!G15="","",'Classe 2nde'!G15))</f>
        <v/>
      </c>
      <c r="K975" s="18" t="str">
        <f>IF('Classe 2nde'!$B15="","",N('Classe 2nde'!H15))</f>
        <v/>
      </c>
      <c r="L975" s="18" t="str">
        <f>IF('Classe 2nde'!$B15="","",N('Classe 2nde'!I15))</f>
        <v/>
      </c>
      <c r="M975" s="18" t="str">
        <f>IF('Classe 2nde'!$B15="","",N('Classe 2nde'!J15))</f>
        <v/>
      </c>
      <c r="N975" s="18" t="str">
        <f>IF('Classe 2nde'!$B15="","",N('Classe 2nde'!K15))</f>
        <v/>
      </c>
      <c r="O975" s="18" t="str">
        <f>IF('Classe 2nde'!$B15="","",N('Classe 2nde'!L15))</f>
        <v/>
      </c>
      <c r="P975" s="18" t="str">
        <f>IF('Classe 2nde'!$B15="","",N('Classe 2nde'!M15))</f>
        <v/>
      </c>
      <c r="Q975" s="17" t="str">
        <f>IF('Classe 2nde'!$B15="","",IF('Classe 2nde'!Q15="","",'Classe 2nde'!Q15))</f>
        <v/>
      </c>
      <c r="R975" s="18" t="str">
        <f>IF('Classe 2nde'!$B15="","",N('Classe 2nde'!N15))</f>
        <v/>
      </c>
      <c r="S975" s="18" t="str">
        <f>IF('Classe 2nde'!$B15="","",N('Classe 2nde'!O15))</f>
        <v/>
      </c>
      <c r="T975" s="18" t="str">
        <f>IF('Classe 2nde'!$B15="","",N('Classe 2nde'!P15))</f>
        <v/>
      </c>
    </row>
    <row r="976">
      <c r="A976" s="20" t="str">
        <f>IF('Classe 2nde'!$B16="","",IF('Classe 2nde'!A16="","",'Classe 2nde'!A16))</f>
        <v/>
      </c>
      <c r="B976" s="20" t="str">
        <f>IF('Classe 2nde'!$B16="","",IF('Classe 2nde'!B16="","",'Classe 2nde'!B16))</f>
        <v/>
      </c>
      <c r="C976" s="20" t="str">
        <f>IF('Classe 2nde'!$B16="","",IF('Classe 2nde'!C16="","",'Classe 2nde'!C16))</f>
        <v/>
      </c>
      <c r="D976" s="20" t="str">
        <f>IF($B976="","",C976&amp;" "&amp;B976&amp;" - "&amp;E976)</f>
        <v/>
      </c>
      <c r="E976" s="21" t="str">
        <f>IF($B976="","",Paramètres!$A$27)</f>
        <v/>
      </c>
      <c r="F976" s="21" t="str">
        <f>IF($B976="","",Paramètres!$B$27)</f>
        <v/>
      </c>
      <c r="G976" s="21" t="str">
        <f>IF('Classe 2nde'!$B16="","",IF('Classe 2nde'!D16="","",'Classe 2nde'!D16))</f>
        <v/>
      </c>
      <c r="H976" s="77" t="str">
        <f>IF('Classe 2nde'!$B16="","",IF('Classe 2nde'!E16="","",'Classe 2nde'!E16))</f>
        <v/>
      </c>
      <c r="I976" s="20" t="str">
        <f>IF('Classe 2nde'!$B16="","",IF('Classe 2nde'!F16="","",'Classe 2nde'!F16))</f>
        <v/>
      </c>
      <c r="J976" s="20" t="str">
        <f>IF('Classe 2nde'!$B16="","",IF('Classe 2nde'!G16="","",'Classe 2nde'!G16))</f>
        <v/>
      </c>
      <c r="K976" s="51" t="str">
        <f>IF('Classe 2nde'!$B16="","",N('Classe 2nde'!H16))</f>
        <v/>
      </c>
      <c r="L976" s="51" t="str">
        <f>IF('Classe 2nde'!$B16="","",N('Classe 2nde'!I16))</f>
        <v/>
      </c>
      <c r="M976" s="51" t="str">
        <f>IF('Classe 2nde'!$B16="","",N('Classe 2nde'!J16))</f>
        <v/>
      </c>
      <c r="N976" s="51" t="str">
        <f>IF('Classe 2nde'!$B16="","",N('Classe 2nde'!K16))</f>
        <v/>
      </c>
      <c r="O976" s="51" t="str">
        <f>IF('Classe 2nde'!$B16="","",N('Classe 2nde'!L16))</f>
        <v/>
      </c>
      <c r="P976" s="51" t="str">
        <f>IF('Classe 2nde'!$B16="","",N('Classe 2nde'!M16))</f>
        <v/>
      </c>
      <c r="Q976" s="21" t="str">
        <f>IF('Classe 2nde'!$B16="","",IF('Classe 2nde'!Q16="","",'Classe 2nde'!Q16))</f>
        <v/>
      </c>
      <c r="R976" s="51" t="str">
        <f>IF('Classe 2nde'!$B16="","",N('Classe 2nde'!N16))</f>
        <v/>
      </c>
      <c r="S976" s="51" t="str">
        <f>IF('Classe 2nde'!$B16="","",N('Classe 2nde'!O16))</f>
        <v/>
      </c>
      <c r="T976" s="51" t="str">
        <f>IF('Classe 2nde'!$B16="","",N('Classe 2nde'!P16))</f>
        <v/>
      </c>
    </row>
    <row r="977">
      <c r="A977" s="16" t="str">
        <f>IF('Classe 2nde'!$B17="","",IF('Classe 2nde'!A17="","",'Classe 2nde'!A17))</f>
        <v/>
      </c>
      <c r="B977" s="16" t="str">
        <f>IF('Classe 2nde'!$B17="","",IF('Classe 2nde'!B17="","",'Classe 2nde'!B17))</f>
        <v/>
      </c>
      <c r="C977" s="16" t="str">
        <f>IF('Classe 2nde'!$B17="","",IF('Classe 2nde'!C17="","",'Classe 2nde'!C17))</f>
        <v/>
      </c>
      <c r="D977" s="16" t="str">
        <f>IF($B977="","",C977&amp;" "&amp;B977&amp;" - "&amp;E977)</f>
        <v/>
      </c>
      <c r="E977" s="17" t="str">
        <f>IF($B977="","",Paramètres!$A$27)</f>
        <v/>
      </c>
      <c r="F977" s="17" t="str">
        <f>IF($B977="","",Paramètres!$B$27)</f>
        <v/>
      </c>
      <c r="G977" s="17" t="str">
        <f>IF('Classe 2nde'!$B17="","",IF('Classe 2nde'!D17="","",'Classe 2nde'!D17))</f>
        <v/>
      </c>
      <c r="H977" s="78" t="str">
        <f>IF('Classe 2nde'!$B17="","",IF('Classe 2nde'!E17="","",'Classe 2nde'!E17))</f>
        <v/>
      </c>
      <c r="I977" s="16" t="str">
        <f>IF('Classe 2nde'!$B17="","",IF('Classe 2nde'!F17="","",'Classe 2nde'!F17))</f>
        <v/>
      </c>
      <c r="J977" s="16" t="str">
        <f>IF('Classe 2nde'!$B17="","",IF('Classe 2nde'!G17="","",'Classe 2nde'!G17))</f>
        <v/>
      </c>
      <c r="K977" s="18" t="str">
        <f>IF('Classe 2nde'!$B17="","",N('Classe 2nde'!H17))</f>
        <v/>
      </c>
      <c r="L977" s="18" t="str">
        <f>IF('Classe 2nde'!$B17="","",N('Classe 2nde'!I17))</f>
        <v/>
      </c>
      <c r="M977" s="18" t="str">
        <f>IF('Classe 2nde'!$B17="","",N('Classe 2nde'!J17))</f>
        <v/>
      </c>
      <c r="N977" s="18" t="str">
        <f>IF('Classe 2nde'!$B17="","",N('Classe 2nde'!K17))</f>
        <v/>
      </c>
      <c r="O977" s="18" t="str">
        <f>IF('Classe 2nde'!$B17="","",N('Classe 2nde'!L17))</f>
        <v/>
      </c>
      <c r="P977" s="18" t="str">
        <f>IF('Classe 2nde'!$B17="","",N('Classe 2nde'!M17))</f>
        <v/>
      </c>
      <c r="Q977" s="17" t="str">
        <f>IF('Classe 2nde'!$B17="","",IF('Classe 2nde'!Q17="","",'Classe 2nde'!Q17))</f>
        <v/>
      </c>
      <c r="R977" s="18" t="str">
        <f>IF('Classe 2nde'!$B17="","",N('Classe 2nde'!N17))</f>
        <v/>
      </c>
      <c r="S977" s="18" t="str">
        <f>IF('Classe 2nde'!$B17="","",N('Classe 2nde'!O17))</f>
        <v/>
      </c>
      <c r="T977" s="18" t="str">
        <f>IF('Classe 2nde'!$B17="","",N('Classe 2nde'!P17))</f>
        <v/>
      </c>
    </row>
    <row r="978">
      <c r="A978" s="20" t="str">
        <f>IF('Classe 2nde'!$B18="","",IF('Classe 2nde'!A18="","",'Classe 2nde'!A18))</f>
        <v/>
      </c>
      <c r="B978" s="20" t="str">
        <f>IF('Classe 2nde'!$B18="","",IF('Classe 2nde'!B18="","",'Classe 2nde'!B18))</f>
        <v/>
      </c>
      <c r="C978" s="20" t="str">
        <f>IF('Classe 2nde'!$B18="","",IF('Classe 2nde'!C18="","",'Classe 2nde'!C18))</f>
        <v/>
      </c>
      <c r="D978" s="20" t="str">
        <f>IF($B978="","",C978&amp;" "&amp;B978&amp;" - "&amp;E978)</f>
        <v/>
      </c>
      <c r="E978" s="21" t="str">
        <f>IF($B978="","",Paramètres!$A$27)</f>
        <v/>
      </c>
      <c r="F978" s="21" t="str">
        <f>IF($B978="","",Paramètres!$B$27)</f>
        <v/>
      </c>
      <c r="G978" s="21" t="str">
        <f>IF('Classe 2nde'!$B18="","",IF('Classe 2nde'!D18="","",'Classe 2nde'!D18))</f>
        <v/>
      </c>
      <c r="H978" s="77" t="str">
        <f>IF('Classe 2nde'!$B18="","",IF('Classe 2nde'!E18="","",'Classe 2nde'!E18))</f>
        <v/>
      </c>
      <c r="I978" s="20" t="str">
        <f>IF('Classe 2nde'!$B18="","",IF('Classe 2nde'!F18="","",'Classe 2nde'!F18))</f>
        <v/>
      </c>
      <c r="J978" s="20" t="str">
        <f>IF('Classe 2nde'!$B18="","",IF('Classe 2nde'!G18="","",'Classe 2nde'!G18))</f>
        <v/>
      </c>
      <c r="K978" s="51" t="str">
        <f>IF('Classe 2nde'!$B18="","",N('Classe 2nde'!H18))</f>
        <v/>
      </c>
      <c r="L978" s="51" t="str">
        <f>IF('Classe 2nde'!$B18="","",N('Classe 2nde'!I18))</f>
        <v/>
      </c>
      <c r="M978" s="51" t="str">
        <f>IF('Classe 2nde'!$B18="","",N('Classe 2nde'!J18))</f>
        <v/>
      </c>
      <c r="N978" s="51" t="str">
        <f>IF('Classe 2nde'!$B18="","",N('Classe 2nde'!K18))</f>
        <v/>
      </c>
      <c r="O978" s="51" t="str">
        <f>IF('Classe 2nde'!$B18="","",N('Classe 2nde'!L18))</f>
        <v/>
      </c>
      <c r="P978" s="51" t="str">
        <f>IF('Classe 2nde'!$B18="","",N('Classe 2nde'!M18))</f>
        <v/>
      </c>
      <c r="Q978" s="21" t="str">
        <f>IF('Classe 2nde'!$B18="","",IF('Classe 2nde'!Q18="","",'Classe 2nde'!Q18))</f>
        <v/>
      </c>
      <c r="R978" s="51" t="str">
        <f>IF('Classe 2nde'!$B18="","",N('Classe 2nde'!N18))</f>
        <v/>
      </c>
      <c r="S978" s="51" t="str">
        <f>IF('Classe 2nde'!$B18="","",N('Classe 2nde'!O18))</f>
        <v/>
      </c>
      <c r="T978" s="51" t="str">
        <f>IF('Classe 2nde'!$B18="","",N('Classe 2nde'!P18))</f>
        <v/>
      </c>
    </row>
    <row r="979">
      <c r="A979" s="16" t="str">
        <f>IF('Classe 2nde'!$B19="","",IF('Classe 2nde'!A19="","",'Classe 2nde'!A19))</f>
        <v/>
      </c>
      <c r="B979" s="16" t="str">
        <f>IF('Classe 2nde'!$B19="","",IF('Classe 2nde'!B19="","",'Classe 2nde'!B19))</f>
        <v/>
      </c>
      <c r="C979" s="16" t="str">
        <f>IF('Classe 2nde'!$B19="","",IF('Classe 2nde'!C19="","",'Classe 2nde'!C19))</f>
        <v/>
      </c>
      <c r="D979" s="16" t="str">
        <f>IF($B979="","",C979&amp;" "&amp;B979&amp;" - "&amp;E979)</f>
        <v/>
      </c>
      <c r="E979" s="17" t="str">
        <f>IF($B979="","",Paramètres!$A$27)</f>
        <v/>
      </c>
      <c r="F979" s="17" t="str">
        <f>IF($B979="","",Paramètres!$B$27)</f>
        <v/>
      </c>
      <c r="G979" s="17" t="str">
        <f>IF('Classe 2nde'!$B19="","",IF('Classe 2nde'!D19="","",'Classe 2nde'!D19))</f>
        <v/>
      </c>
      <c r="H979" s="78" t="str">
        <f>IF('Classe 2nde'!$B19="","",IF('Classe 2nde'!E19="","",'Classe 2nde'!E19))</f>
        <v/>
      </c>
      <c r="I979" s="16" t="str">
        <f>IF('Classe 2nde'!$B19="","",IF('Classe 2nde'!F19="","",'Classe 2nde'!F19))</f>
        <v/>
      </c>
      <c r="J979" s="16" t="str">
        <f>IF('Classe 2nde'!$B19="","",IF('Classe 2nde'!G19="","",'Classe 2nde'!G19))</f>
        <v/>
      </c>
      <c r="K979" s="18" t="str">
        <f>IF('Classe 2nde'!$B19="","",N('Classe 2nde'!H19))</f>
        <v/>
      </c>
      <c r="L979" s="18" t="str">
        <f>IF('Classe 2nde'!$B19="","",N('Classe 2nde'!I19))</f>
        <v/>
      </c>
      <c r="M979" s="18" t="str">
        <f>IF('Classe 2nde'!$B19="","",N('Classe 2nde'!J19))</f>
        <v/>
      </c>
      <c r="N979" s="18" t="str">
        <f>IF('Classe 2nde'!$B19="","",N('Classe 2nde'!K19))</f>
        <v/>
      </c>
      <c r="O979" s="18" t="str">
        <f>IF('Classe 2nde'!$B19="","",N('Classe 2nde'!L19))</f>
        <v/>
      </c>
      <c r="P979" s="18" t="str">
        <f>IF('Classe 2nde'!$B19="","",N('Classe 2nde'!M19))</f>
        <v/>
      </c>
      <c r="Q979" s="17" t="str">
        <f>IF('Classe 2nde'!$B19="","",IF('Classe 2nde'!Q19="","",'Classe 2nde'!Q19))</f>
        <v/>
      </c>
      <c r="R979" s="18" t="str">
        <f>IF('Classe 2nde'!$B19="","",N('Classe 2nde'!N19))</f>
        <v/>
      </c>
      <c r="S979" s="18" t="str">
        <f>IF('Classe 2nde'!$B19="","",N('Classe 2nde'!O19))</f>
        <v/>
      </c>
      <c r="T979" s="18" t="str">
        <f>IF('Classe 2nde'!$B19="","",N('Classe 2nde'!P19))</f>
        <v/>
      </c>
    </row>
    <row r="980">
      <c r="A980" s="20" t="str">
        <f>IF('Classe 2nde'!$B20="","",IF('Classe 2nde'!A20="","",'Classe 2nde'!A20))</f>
        <v/>
      </c>
      <c r="B980" s="20" t="str">
        <f>IF('Classe 2nde'!$B20="","",IF('Classe 2nde'!B20="","",'Classe 2nde'!B20))</f>
        <v/>
      </c>
      <c r="C980" s="20" t="str">
        <f>IF('Classe 2nde'!$B20="","",IF('Classe 2nde'!C20="","",'Classe 2nde'!C20))</f>
        <v/>
      </c>
      <c r="D980" s="20" t="str">
        <f>IF($B980="","",C980&amp;" "&amp;B980&amp;" - "&amp;E980)</f>
        <v/>
      </c>
      <c r="E980" s="21" t="str">
        <f>IF($B980="","",Paramètres!$A$27)</f>
        <v/>
      </c>
      <c r="F980" s="21" t="str">
        <f>IF($B980="","",Paramètres!$B$27)</f>
        <v/>
      </c>
      <c r="G980" s="21" t="str">
        <f>IF('Classe 2nde'!$B20="","",IF('Classe 2nde'!D20="","",'Classe 2nde'!D20))</f>
        <v/>
      </c>
      <c r="H980" s="77" t="str">
        <f>IF('Classe 2nde'!$B20="","",IF('Classe 2nde'!E20="","",'Classe 2nde'!E20))</f>
        <v/>
      </c>
      <c r="I980" s="20" t="str">
        <f>IF('Classe 2nde'!$B20="","",IF('Classe 2nde'!F20="","",'Classe 2nde'!F20))</f>
        <v/>
      </c>
      <c r="J980" s="20" t="str">
        <f>IF('Classe 2nde'!$B20="","",IF('Classe 2nde'!G20="","",'Classe 2nde'!G20))</f>
        <v/>
      </c>
      <c r="K980" s="51" t="str">
        <f>IF('Classe 2nde'!$B20="","",N('Classe 2nde'!H20))</f>
        <v/>
      </c>
      <c r="L980" s="51" t="str">
        <f>IF('Classe 2nde'!$B20="","",N('Classe 2nde'!I20))</f>
        <v/>
      </c>
      <c r="M980" s="51" t="str">
        <f>IF('Classe 2nde'!$B20="","",N('Classe 2nde'!J20))</f>
        <v/>
      </c>
      <c r="N980" s="51" t="str">
        <f>IF('Classe 2nde'!$B20="","",N('Classe 2nde'!K20))</f>
        <v/>
      </c>
      <c r="O980" s="51" t="str">
        <f>IF('Classe 2nde'!$B20="","",N('Classe 2nde'!L20))</f>
        <v/>
      </c>
      <c r="P980" s="51" t="str">
        <f>IF('Classe 2nde'!$B20="","",N('Classe 2nde'!M20))</f>
        <v/>
      </c>
      <c r="Q980" s="21" t="str">
        <f>IF('Classe 2nde'!$B20="","",IF('Classe 2nde'!Q20="","",'Classe 2nde'!Q20))</f>
        <v/>
      </c>
      <c r="R980" s="51" t="str">
        <f>IF('Classe 2nde'!$B20="","",N('Classe 2nde'!N20))</f>
        <v/>
      </c>
      <c r="S980" s="51" t="str">
        <f>IF('Classe 2nde'!$B20="","",N('Classe 2nde'!O20))</f>
        <v/>
      </c>
      <c r="T980" s="51" t="str">
        <f>IF('Classe 2nde'!$B20="","",N('Classe 2nde'!P20))</f>
        <v/>
      </c>
    </row>
    <row r="981">
      <c r="A981" s="16" t="str">
        <f>IF('Classe 2nde'!$B21="","",IF('Classe 2nde'!A21="","",'Classe 2nde'!A21))</f>
        <v/>
      </c>
      <c r="B981" s="16" t="str">
        <f>IF('Classe 2nde'!$B21="","",IF('Classe 2nde'!B21="","",'Classe 2nde'!B21))</f>
        <v/>
      </c>
      <c r="C981" s="16" t="str">
        <f>IF('Classe 2nde'!$B21="","",IF('Classe 2nde'!C21="","",'Classe 2nde'!C21))</f>
        <v/>
      </c>
      <c r="D981" s="16" t="str">
        <f>IF($B981="","",C981&amp;" "&amp;B981&amp;" - "&amp;E981)</f>
        <v/>
      </c>
      <c r="E981" s="17" t="str">
        <f>IF($B981="","",Paramètres!$A$27)</f>
        <v/>
      </c>
      <c r="F981" s="17" t="str">
        <f>IF($B981="","",Paramètres!$B$27)</f>
        <v/>
      </c>
      <c r="G981" s="17" t="str">
        <f>IF('Classe 2nde'!$B21="","",IF('Classe 2nde'!D21="","",'Classe 2nde'!D21))</f>
        <v/>
      </c>
      <c r="H981" s="78" t="str">
        <f>IF('Classe 2nde'!$B21="","",IF('Classe 2nde'!E21="","",'Classe 2nde'!E21))</f>
        <v/>
      </c>
      <c r="I981" s="16" t="str">
        <f>IF('Classe 2nde'!$B21="","",IF('Classe 2nde'!F21="","",'Classe 2nde'!F21))</f>
        <v/>
      </c>
      <c r="J981" s="16" t="str">
        <f>IF('Classe 2nde'!$B21="","",IF('Classe 2nde'!G21="","",'Classe 2nde'!G21))</f>
        <v/>
      </c>
      <c r="K981" s="18" t="str">
        <f>IF('Classe 2nde'!$B21="","",N('Classe 2nde'!H21))</f>
        <v/>
      </c>
      <c r="L981" s="18" t="str">
        <f>IF('Classe 2nde'!$B21="","",N('Classe 2nde'!I21))</f>
        <v/>
      </c>
      <c r="M981" s="18" t="str">
        <f>IF('Classe 2nde'!$B21="","",N('Classe 2nde'!J21))</f>
        <v/>
      </c>
      <c r="N981" s="18" t="str">
        <f>IF('Classe 2nde'!$B21="","",N('Classe 2nde'!K21))</f>
        <v/>
      </c>
      <c r="O981" s="18" t="str">
        <f>IF('Classe 2nde'!$B21="","",N('Classe 2nde'!L21))</f>
        <v/>
      </c>
      <c r="P981" s="18" t="str">
        <f>IF('Classe 2nde'!$B21="","",N('Classe 2nde'!M21))</f>
        <v/>
      </c>
      <c r="Q981" s="17" t="str">
        <f>IF('Classe 2nde'!$B21="","",IF('Classe 2nde'!Q21="","",'Classe 2nde'!Q21))</f>
        <v/>
      </c>
      <c r="R981" s="18" t="str">
        <f>IF('Classe 2nde'!$B21="","",N('Classe 2nde'!N21))</f>
        <v/>
      </c>
      <c r="S981" s="18" t="str">
        <f>IF('Classe 2nde'!$B21="","",N('Classe 2nde'!O21))</f>
        <v/>
      </c>
      <c r="T981" s="18" t="str">
        <f>IF('Classe 2nde'!$B21="","",N('Classe 2nde'!P21))</f>
        <v/>
      </c>
    </row>
    <row r="982">
      <c r="A982" s="20" t="str">
        <f>IF('Classe 2nde'!$B22="","",IF('Classe 2nde'!A22="","",'Classe 2nde'!A22))</f>
        <v/>
      </c>
      <c r="B982" s="20" t="str">
        <f>IF('Classe 2nde'!$B22="","",IF('Classe 2nde'!B22="","",'Classe 2nde'!B22))</f>
        <v/>
      </c>
      <c r="C982" s="20" t="str">
        <f>IF('Classe 2nde'!$B22="","",IF('Classe 2nde'!C22="","",'Classe 2nde'!C22))</f>
        <v/>
      </c>
      <c r="D982" s="20" t="str">
        <f>IF($B982="","",C982&amp;" "&amp;B982&amp;" - "&amp;E982)</f>
        <v/>
      </c>
      <c r="E982" s="21" t="str">
        <f>IF($B982="","",Paramètres!$A$27)</f>
        <v/>
      </c>
      <c r="F982" s="21" t="str">
        <f>IF($B982="","",Paramètres!$B$27)</f>
        <v/>
      </c>
      <c r="G982" s="21" t="str">
        <f>IF('Classe 2nde'!$B22="","",IF('Classe 2nde'!D22="","",'Classe 2nde'!D22))</f>
        <v/>
      </c>
      <c r="H982" s="77" t="str">
        <f>IF('Classe 2nde'!$B22="","",IF('Classe 2nde'!E22="","",'Classe 2nde'!E22))</f>
        <v/>
      </c>
      <c r="I982" s="20" t="str">
        <f>IF('Classe 2nde'!$B22="","",IF('Classe 2nde'!F22="","",'Classe 2nde'!F22))</f>
        <v/>
      </c>
      <c r="J982" s="20" t="str">
        <f>IF('Classe 2nde'!$B22="","",IF('Classe 2nde'!G22="","",'Classe 2nde'!G22))</f>
        <v/>
      </c>
      <c r="K982" s="51" t="str">
        <f>IF('Classe 2nde'!$B22="","",N('Classe 2nde'!H22))</f>
        <v/>
      </c>
      <c r="L982" s="51" t="str">
        <f>IF('Classe 2nde'!$B22="","",N('Classe 2nde'!I22))</f>
        <v/>
      </c>
      <c r="M982" s="51" t="str">
        <f>IF('Classe 2nde'!$B22="","",N('Classe 2nde'!J22))</f>
        <v/>
      </c>
      <c r="N982" s="51" t="str">
        <f>IF('Classe 2nde'!$B22="","",N('Classe 2nde'!K22))</f>
        <v/>
      </c>
      <c r="O982" s="51" t="str">
        <f>IF('Classe 2nde'!$B22="","",N('Classe 2nde'!L22))</f>
        <v/>
      </c>
      <c r="P982" s="51" t="str">
        <f>IF('Classe 2nde'!$B22="","",N('Classe 2nde'!M22))</f>
        <v/>
      </c>
      <c r="Q982" s="21" t="str">
        <f>IF('Classe 2nde'!$B22="","",IF('Classe 2nde'!Q22="","",'Classe 2nde'!Q22))</f>
        <v/>
      </c>
      <c r="R982" s="51" t="str">
        <f>IF('Classe 2nde'!$B22="","",N('Classe 2nde'!N22))</f>
        <v/>
      </c>
      <c r="S982" s="51" t="str">
        <f>IF('Classe 2nde'!$B22="","",N('Classe 2nde'!O22))</f>
        <v/>
      </c>
      <c r="T982" s="51" t="str">
        <f>IF('Classe 2nde'!$B22="","",N('Classe 2nde'!P22))</f>
        <v/>
      </c>
    </row>
    <row r="983">
      <c r="A983" s="16" t="str">
        <f>IF('Classe 2nde'!$B23="","",IF('Classe 2nde'!A23="","",'Classe 2nde'!A23))</f>
        <v/>
      </c>
      <c r="B983" s="16" t="str">
        <f>IF('Classe 2nde'!$B23="","",IF('Classe 2nde'!B23="","",'Classe 2nde'!B23))</f>
        <v/>
      </c>
      <c r="C983" s="16" t="str">
        <f>IF('Classe 2nde'!$B23="","",IF('Classe 2nde'!C23="","",'Classe 2nde'!C23))</f>
        <v/>
      </c>
      <c r="D983" s="16" t="str">
        <f>IF($B983="","",C983&amp;" "&amp;B983&amp;" - "&amp;E983)</f>
        <v/>
      </c>
      <c r="E983" s="17" t="str">
        <f>IF($B983="","",Paramètres!$A$27)</f>
        <v/>
      </c>
      <c r="F983" s="17" t="str">
        <f>IF($B983="","",Paramètres!$B$27)</f>
        <v/>
      </c>
      <c r="G983" s="17" t="str">
        <f>IF('Classe 2nde'!$B23="","",IF('Classe 2nde'!D23="","",'Classe 2nde'!D23))</f>
        <v/>
      </c>
      <c r="H983" s="78" t="str">
        <f>IF('Classe 2nde'!$B23="","",IF('Classe 2nde'!E23="","",'Classe 2nde'!E23))</f>
        <v/>
      </c>
      <c r="I983" s="16" t="str">
        <f>IF('Classe 2nde'!$B23="","",IF('Classe 2nde'!F23="","",'Classe 2nde'!F23))</f>
        <v/>
      </c>
      <c r="J983" s="16" t="str">
        <f>IF('Classe 2nde'!$B23="","",IF('Classe 2nde'!G23="","",'Classe 2nde'!G23))</f>
        <v/>
      </c>
      <c r="K983" s="18" t="str">
        <f>IF('Classe 2nde'!$B23="","",N('Classe 2nde'!H23))</f>
        <v/>
      </c>
      <c r="L983" s="18" t="str">
        <f>IF('Classe 2nde'!$B23="","",N('Classe 2nde'!I23))</f>
        <v/>
      </c>
      <c r="M983" s="18" t="str">
        <f>IF('Classe 2nde'!$B23="","",N('Classe 2nde'!J23))</f>
        <v/>
      </c>
      <c r="N983" s="18" t="str">
        <f>IF('Classe 2nde'!$B23="","",N('Classe 2nde'!K23))</f>
        <v/>
      </c>
      <c r="O983" s="18" t="str">
        <f>IF('Classe 2nde'!$B23="","",N('Classe 2nde'!L23))</f>
        <v/>
      </c>
      <c r="P983" s="18" t="str">
        <f>IF('Classe 2nde'!$B23="","",N('Classe 2nde'!M23))</f>
        <v/>
      </c>
      <c r="Q983" s="17" t="str">
        <f>IF('Classe 2nde'!$B23="","",IF('Classe 2nde'!Q23="","",'Classe 2nde'!Q23))</f>
        <v/>
      </c>
      <c r="R983" s="18" t="str">
        <f>IF('Classe 2nde'!$B23="","",N('Classe 2nde'!N23))</f>
        <v/>
      </c>
      <c r="S983" s="18" t="str">
        <f>IF('Classe 2nde'!$B23="","",N('Classe 2nde'!O23))</f>
        <v/>
      </c>
      <c r="T983" s="18" t="str">
        <f>IF('Classe 2nde'!$B23="","",N('Classe 2nde'!P23))</f>
        <v/>
      </c>
    </row>
    <row r="984">
      <c r="A984" s="20" t="str">
        <f>IF('Classe 2nde'!$B24="","",IF('Classe 2nde'!A24="","",'Classe 2nde'!A24))</f>
        <v/>
      </c>
      <c r="B984" s="20" t="str">
        <f>IF('Classe 2nde'!$B24="","",IF('Classe 2nde'!B24="","",'Classe 2nde'!B24))</f>
        <v/>
      </c>
      <c r="C984" s="20" t="str">
        <f>IF('Classe 2nde'!$B24="","",IF('Classe 2nde'!C24="","",'Classe 2nde'!C24))</f>
        <v/>
      </c>
      <c r="D984" s="20" t="str">
        <f>IF($B984="","",C984&amp;" "&amp;B984&amp;" - "&amp;E984)</f>
        <v/>
      </c>
      <c r="E984" s="21" t="str">
        <f>IF($B984="","",Paramètres!$A$27)</f>
        <v/>
      </c>
      <c r="F984" s="21" t="str">
        <f>IF($B984="","",Paramètres!$B$27)</f>
        <v/>
      </c>
      <c r="G984" s="21" t="str">
        <f>IF('Classe 2nde'!$B24="","",IF('Classe 2nde'!D24="","",'Classe 2nde'!D24))</f>
        <v/>
      </c>
      <c r="H984" s="77" t="str">
        <f>IF('Classe 2nde'!$B24="","",IF('Classe 2nde'!E24="","",'Classe 2nde'!E24))</f>
        <v/>
      </c>
      <c r="I984" s="20" t="str">
        <f>IF('Classe 2nde'!$B24="","",IF('Classe 2nde'!F24="","",'Classe 2nde'!F24))</f>
        <v/>
      </c>
      <c r="J984" s="20" t="str">
        <f>IF('Classe 2nde'!$B24="","",IF('Classe 2nde'!G24="","",'Classe 2nde'!G24))</f>
        <v/>
      </c>
      <c r="K984" s="51" t="str">
        <f>IF('Classe 2nde'!$B24="","",N('Classe 2nde'!H24))</f>
        <v/>
      </c>
      <c r="L984" s="51" t="str">
        <f>IF('Classe 2nde'!$B24="","",N('Classe 2nde'!I24))</f>
        <v/>
      </c>
      <c r="M984" s="51" t="str">
        <f>IF('Classe 2nde'!$B24="","",N('Classe 2nde'!J24))</f>
        <v/>
      </c>
      <c r="N984" s="51" t="str">
        <f>IF('Classe 2nde'!$B24="","",N('Classe 2nde'!K24))</f>
        <v/>
      </c>
      <c r="O984" s="51" t="str">
        <f>IF('Classe 2nde'!$B24="","",N('Classe 2nde'!L24))</f>
        <v/>
      </c>
      <c r="P984" s="51" t="str">
        <f>IF('Classe 2nde'!$B24="","",N('Classe 2nde'!M24))</f>
        <v/>
      </c>
      <c r="Q984" s="21" t="str">
        <f>IF('Classe 2nde'!$B24="","",IF('Classe 2nde'!Q24="","",'Classe 2nde'!Q24))</f>
        <v/>
      </c>
      <c r="R984" s="51" t="str">
        <f>IF('Classe 2nde'!$B24="","",N('Classe 2nde'!N24))</f>
        <v/>
      </c>
      <c r="S984" s="51" t="str">
        <f>IF('Classe 2nde'!$B24="","",N('Classe 2nde'!O24))</f>
        <v/>
      </c>
      <c r="T984" s="51" t="str">
        <f>IF('Classe 2nde'!$B24="","",N('Classe 2nde'!P24))</f>
        <v/>
      </c>
    </row>
    <row r="985">
      <c r="A985" s="16" t="str">
        <f>IF('Classe 2nde'!$B25="","",IF('Classe 2nde'!A25="","",'Classe 2nde'!A25))</f>
        <v/>
      </c>
      <c r="B985" s="16" t="str">
        <f>IF('Classe 2nde'!$B25="","",IF('Classe 2nde'!B25="","",'Classe 2nde'!B25))</f>
        <v/>
      </c>
      <c r="C985" s="16" t="str">
        <f>IF('Classe 2nde'!$B25="","",IF('Classe 2nde'!C25="","",'Classe 2nde'!C25))</f>
        <v/>
      </c>
      <c r="D985" s="16" t="str">
        <f>IF($B985="","",C985&amp;" "&amp;B985&amp;" - "&amp;E985)</f>
        <v/>
      </c>
      <c r="E985" s="17" t="str">
        <f>IF($B985="","",Paramètres!$A$27)</f>
        <v/>
      </c>
      <c r="F985" s="17" t="str">
        <f>IF($B985="","",Paramètres!$B$27)</f>
        <v/>
      </c>
      <c r="G985" s="17" t="str">
        <f>IF('Classe 2nde'!$B25="","",IF('Classe 2nde'!D25="","",'Classe 2nde'!D25))</f>
        <v/>
      </c>
      <c r="H985" s="78" t="str">
        <f>IF('Classe 2nde'!$B25="","",IF('Classe 2nde'!E25="","",'Classe 2nde'!E25))</f>
        <v/>
      </c>
      <c r="I985" s="16" t="str">
        <f>IF('Classe 2nde'!$B25="","",IF('Classe 2nde'!F25="","",'Classe 2nde'!F25))</f>
        <v/>
      </c>
      <c r="J985" s="16" t="str">
        <f>IF('Classe 2nde'!$B25="","",IF('Classe 2nde'!G25="","",'Classe 2nde'!G25))</f>
        <v/>
      </c>
      <c r="K985" s="18" t="str">
        <f>IF('Classe 2nde'!$B25="","",N('Classe 2nde'!H25))</f>
        <v/>
      </c>
      <c r="L985" s="18" t="str">
        <f>IF('Classe 2nde'!$B25="","",N('Classe 2nde'!I25))</f>
        <v/>
      </c>
      <c r="M985" s="18" t="str">
        <f>IF('Classe 2nde'!$B25="","",N('Classe 2nde'!J25))</f>
        <v/>
      </c>
      <c r="N985" s="18" t="str">
        <f>IF('Classe 2nde'!$B25="","",N('Classe 2nde'!K25))</f>
        <v/>
      </c>
      <c r="O985" s="18" t="str">
        <f>IF('Classe 2nde'!$B25="","",N('Classe 2nde'!L25))</f>
        <v/>
      </c>
      <c r="P985" s="18" t="str">
        <f>IF('Classe 2nde'!$B25="","",N('Classe 2nde'!M25))</f>
        <v/>
      </c>
      <c r="Q985" s="17" t="str">
        <f>IF('Classe 2nde'!$B25="","",IF('Classe 2nde'!Q25="","",'Classe 2nde'!Q25))</f>
        <v/>
      </c>
      <c r="R985" s="18" t="str">
        <f>IF('Classe 2nde'!$B25="","",N('Classe 2nde'!N25))</f>
        <v/>
      </c>
      <c r="S985" s="18" t="str">
        <f>IF('Classe 2nde'!$B25="","",N('Classe 2nde'!O25))</f>
        <v/>
      </c>
      <c r="T985" s="18" t="str">
        <f>IF('Classe 2nde'!$B25="","",N('Classe 2nde'!P25))</f>
        <v/>
      </c>
    </row>
    <row r="986">
      <c r="A986" s="20" t="str">
        <f>IF('Classe 2nde'!$B26="","",IF('Classe 2nde'!A26="","",'Classe 2nde'!A26))</f>
        <v/>
      </c>
      <c r="B986" s="20" t="str">
        <f>IF('Classe 2nde'!$B26="","",IF('Classe 2nde'!B26="","",'Classe 2nde'!B26))</f>
        <v/>
      </c>
      <c r="C986" s="20" t="str">
        <f>IF('Classe 2nde'!$B26="","",IF('Classe 2nde'!C26="","",'Classe 2nde'!C26))</f>
        <v/>
      </c>
      <c r="D986" s="20" t="str">
        <f>IF($B986="","",C986&amp;" "&amp;B986&amp;" - "&amp;E986)</f>
        <v/>
      </c>
      <c r="E986" s="21" t="str">
        <f>IF($B986="","",Paramètres!$A$27)</f>
        <v/>
      </c>
      <c r="F986" s="21" t="str">
        <f>IF($B986="","",Paramètres!$B$27)</f>
        <v/>
      </c>
      <c r="G986" s="21" t="str">
        <f>IF('Classe 2nde'!$B26="","",IF('Classe 2nde'!D26="","",'Classe 2nde'!D26))</f>
        <v/>
      </c>
      <c r="H986" s="77" t="str">
        <f>IF('Classe 2nde'!$B26="","",IF('Classe 2nde'!E26="","",'Classe 2nde'!E26))</f>
        <v/>
      </c>
      <c r="I986" s="20" t="str">
        <f>IF('Classe 2nde'!$B26="","",IF('Classe 2nde'!F26="","",'Classe 2nde'!F26))</f>
        <v/>
      </c>
      <c r="J986" s="20" t="str">
        <f>IF('Classe 2nde'!$B26="","",IF('Classe 2nde'!G26="","",'Classe 2nde'!G26))</f>
        <v/>
      </c>
      <c r="K986" s="51" t="str">
        <f>IF('Classe 2nde'!$B26="","",N('Classe 2nde'!H26))</f>
        <v/>
      </c>
      <c r="L986" s="51" t="str">
        <f>IF('Classe 2nde'!$B26="","",N('Classe 2nde'!I26))</f>
        <v/>
      </c>
      <c r="M986" s="51" t="str">
        <f>IF('Classe 2nde'!$B26="","",N('Classe 2nde'!J26))</f>
        <v/>
      </c>
      <c r="N986" s="51" t="str">
        <f>IF('Classe 2nde'!$B26="","",N('Classe 2nde'!K26))</f>
        <v/>
      </c>
      <c r="O986" s="51" t="str">
        <f>IF('Classe 2nde'!$B26="","",N('Classe 2nde'!L26))</f>
        <v/>
      </c>
      <c r="P986" s="51" t="str">
        <f>IF('Classe 2nde'!$B26="","",N('Classe 2nde'!M26))</f>
        <v/>
      </c>
      <c r="Q986" s="21" t="str">
        <f>IF('Classe 2nde'!$B26="","",IF('Classe 2nde'!Q26="","",'Classe 2nde'!Q26))</f>
        <v/>
      </c>
      <c r="R986" s="51" t="str">
        <f>IF('Classe 2nde'!$B26="","",N('Classe 2nde'!N26))</f>
        <v/>
      </c>
      <c r="S986" s="51" t="str">
        <f>IF('Classe 2nde'!$B26="","",N('Classe 2nde'!O26))</f>
        <v/>
      </c>
      <c r="T986" s="51" t="str">
        <f>IF('Classe 2nde'!$B26="","",N('Classe 2nde'!P26))</f>
        <v/>
      </c>
    </row>
    <row r="987">
      <c r="A987" s="16" t="str">
        <f>IF('Classe 2nde'!$B27="","",IF('Classe 2nde'!A27="","",'Classe 2nde'!A27))</f>
        <v/>
      </c>
      <c r="B987" s="16" t="str">
        <f>IF('Classe 2nde'!$B27="","",IF('Classe 2nde'!B27="","",'Classe 2nde'!B27))</f>
        <v/>
      </c>
      <c r="C987" s="16" t="str">
        <f>IF('Classe 2nde'!$B27="","",IF('Classe 2nde'!C27="","",'Classe 2nde'!C27))</f>
        <v/>
      </c>
      <c r="D987" s="16" t="str">
        <f>IF($B987="","",C987&amp;" "&amp;B987&amp;" - "&amp;E987)</f>
        <v/>
      </c>
      <c r="E987" s="17" t="str">
        <f>IF($B987="","",Paramètres!$A$27)</f>
        <v/>
      </c>
      <c r="F987" s="17" t="str">
        <f>IF($B987="","",Paramètres!$B$27)</f>
        <v/>
      </c>
      <c r="G987" s="17" t="str">
        <f>IF('Classe 2nde'!$B27="","",IF('Classe 2nde'!D27="","",'Classe 2nde'!D27))</f>
        <v/>
      </c>
      <c r="H987" s="78" t="str">
        <f>IF('Classe 2nde'!$B27="","",IF('Classe 2nde'!E27="","",'Classe 2nde'!E27))</f>
        <v/>
      </c>
      <c r="I987" s="16" t="str">
        <f>IF('Classe 2nde'!$B27="","",IF('Classe 2nde'!F27="","",'Classe 2nde'!F27))</f>
        <v/>
      </c>
      <c r="J987" s="16" t="str">
        <f>IF('Classe 2nde'!$B27="","",IF('Classe 2nde'!G27="","",'Classe 2nde'!G27))</f>
        <v/>
      </c>
      <c r="K987" s="18" t="str">
        <f>IF('Classe 2nde'!$B27="","",N('Classe 2nde'!H27))</f>
        <v/>
      </c>
      <c r="L987" s="18" t="str">
        <f>IF('Classe 2nde'!$B27="","",N('Classe 2nde'!I27))</f>
        <v/>
      </c>
      <c r="M987" s="18" t="str">
        <f>IF('Classe 2nde'!$B27="","",N('Classe 2nde'!J27))</f>
        <v/>
      </c>
      <c r="N987" s="18" t="str">
        <f>IF('Classe 2nde'!$B27="","",N('Classe 2nde'!K27))</f>
        <v/>
      </c>
      <c r="O987" s="18" t="str">
        <f>IF('Classe 2nde'!$B27="","",N('Classe 2nde'!L27))</f>
        <v/>
      </c>
      <c r="P987" s="18" t="str">
        <f>IF('Classe 2nde'!$B27="","",N('Classe 2nde'!M27))</f>
        <v/>
      </c>
      <c r="Q987" s="17" t="str">
        <f>IF('Classe 2nde'!$B27="","",IF('Classe 2nde'!Q27="","",'Classe 2nde'!Q27))</f>
        <v/>
      </c>
      <c r="R987" s="18" t="str">
        <f>IF('Classe 2nde'!$B27="","",N('Classe 2nde'!N27))</f>
        <v/>
      </c>
      <c r="S987" s="18" t="str">
        <f>IF('Classe 2nde'!$B27="","",N('Classe 2nde'!O27))</f>
        <v/>
      </c>
      <c r="T987" s="18" t="str">
        <f>IF('Classe 2nde'!$B27="","",N('Classe 2nde'!P27))</f>
        <v/>
      </c>
    </row>
    <row r="988">
      <c r="A988" s="20" t="str">
        <f>IF('Classe 2nde'!$B28="","",IF('Classe 2nde'!A28="","",'Classe 2nde'!A28))</f>
        <v/>
      </c>
      <c r="B988" s="20" t="str">
        <f>IF('Classe 2nde'!$B28="","",IF('Classe 2nde'!B28="","",'Classe 2nde'!B28))</f>
        <v/>
      </c>
      <c r="C988" s="20" t="str">
        <f>IF('Classe 2nde'!$B28="","",IF('Classe 2nde'!C28="","",'Classe 2nde'!C28))</f>
        <v/>
      </c>
      <c r="D988" s="20" t="str">
        <f>IF($B988="","",C988&amp;" "&amp;B988&amp;" - "&amp;E988)</f>
        <v/>
      </c>
      <c r="E988" s="21" t="str">
        <f>IF($B988="","",Paramètres!$A$27)</f>
        <v/>
      </c>
      <c r="F988" s="21" t="str">
        <f>IF($B988="","",Paramètres!$B$27)</f>
        <v/>
      </c>
      <c r="G988" s="21" t="str">
        <f>IF('Classe 2nde'!$B28="","",IF('Classe 2nde'!D28="","",'Classe 2nde'!D28))</f>
        <v/>
      </c>
      <c r="H988" s="77" t="str">
        <f>IF('Classe 2nde'!$B28="","",IF('Classe 2nde'!E28="","",'Classe 2nde'!E28))</f>
        <v/>
      </c>
      <c r="I988" s="20" t="str">
        <f>IF('Classe 2nde'!$B28="","",IF('Classe 2nde'!F28="","",'Classe 2nde'!F28))</f>
        <v/>
      </c>
      <c r="J988" s="20" t="str">
        <f>IF('Classe 2nde'!$B28="","",IF('Classe 2nde'!G28="","",'Classe 2nde'!G28))</f>
        <v/>
      </c>
      <c r="K988" s="51" t="str">
        <f>IF('Classe 2nde'!$B28="","",N('Classe 2nde'!H28))</f>
        <v/>
      </c>
      <c r="L988" s="51" t="str">
        <f>IF('Classe 2nde'!$B28="","",N('Classe 2nde'!I28))</f>
        <v/>
      </c>
      <c r="M988" s="51" t="str">
        <f>IF('Classe 2nde'!$B28="","",N('Classe 2nde'!J28))</f>
        <v/>
      </c>
      <c r="N988" s="51" t="str">
        <f>IF('Classe 2nde'!$B28="","",N('Classe 2nde'!K28))</f>
        <v/>
      </c>
      <c r="O988" s="51" t="str">
        <f>IF('Classe 2nde'!$B28="","",N('Classe 2nde'!L28))</f>
        <v/>
      </c>
      <c r="P988" s="51" t="str">
        <f>IF('Classe 2nde'!$B28="","",N('Classe 2nde'!M28))</f>
        <v/>
      </c>
      <c r="Q988" s="21" t="str">
        <f>IF('Classe 2nde'!$B28="","",IF('Classe 2nde'!Q28="","",'Classe 2nde'!Q28))</f>
        <v/>
      </c>
      <c r="R988" s="51" t="str">
        <f>IF('Classe 2nde'!$B28="","",N('Classe 2nde'!N28))</f>
        <v/>
      </c>
      <c r="S988" s="51" t="str">
        <f>IF('Classe 2nde'!$B28="","",N('Classe 2nde'!O28))</f>
        <v/>
      </c>
      <c r="T988" s="51" t="str">
        <f>IF('Classe 2nde'!$B28="","",N('Classe 2nde'!P28))</f>
        <v/>
      </c>
    </row>
    <row r="989">
      <c r="A989" s="16" t="str">
        <f>IF('Classe 2nde'!$B29="","",IF('Classe 2nde'!A29="","",'Classe 2nde'!A29))</f>
        <v/>
      </c>
      <c r="B989" s="16" t="str">
        <f>IF('Classe 2nde'!$B29="","",IF('Classe 2nde'!B29="","",'Classe 2nde'!B29))</f>
        <v/>
      </c>
      <c r="C989" s="16" t="str">
        <f>IF('Classe 2nde'!$B29="","",IF('Classe 2nde'!C29="","",'Classe 2nde'!C29))</f>
        <v/>
      </c>
      <c r="D989" s="16" t="str">
        <f>IF($B989="","",C989&amp;" "&amp;B989&amp;" - "&amp;E989)</f>
        <v/>
      </c>
      <c r="E989" s="17" t="str">
        <f>IF($B989="","",Paramètres!$A$27)</f>
        <v/>
      </c>
      <c r="F989" s="17" t="str">
        <f>IF($B989="","",Paramètres!$B$27)</f>
        <v/>
      </c>
      <c r="G989" s="17" t="str">
        <f>IF('Classe 2nde'!$B29="","",IF('Classe 2nde'!D29="","",'Classe 2nde'!D29))</f>
        <v/>
      </c>
      <c r="H989" s="78" t="str">
        <f>IF('Classe 2nde'!$B29="","",IF('Classe 2nde'!E29="","",'Classe 2nde'!E29))</f>
        <v/>
      </c>
      <c r="I989" s="16" t="str">
        <f>IF('Classe 2nde'!$B29="","",IF('Classe 2nde'!F29="","",'Classe 2nde'!F29))</f>
        <v/>
      </c>
      <c r="J989" s="16" t="str">
        <f>IF('Classe 2nde'!$B29="","",IF('Classe 2nde'!G29="","",'Classe 2nde'!G29))</f>
        <v/>
      </c>
      <c r="K989" s="18" t="str">
        <f>IF('Classe 2nde'!$B29="","",N('Classe 2nde'!H29))</f>
        <v/>
      </c>
      <c r="L989" s="18" t="str">
        <f>IF('Classe 2nde'!$B29="","",N('Classe 2nde'!I29))</f>
        <v/>
      </c>
      <c r="M989" s="18" t="str">
        <f>IF('Classe 2nde'!$B29="","",N('Classe 2nde'!J29))</f>
        <v/>
      </c>
      <c r="N989" s="18" t="str">
        <f>IF('Classe 2nde'!$B29="","",N('Classe 2nde'!K29))</f>
        <v/>
      </c>
      <c r="O989" s="18" t="str">
        <f>IF('Classe 2nde'!$B29="","",N('Classe 2nde'!L29))</f>
        <v/>
      </c>
      <c r="P989" s="18" t="str">
        <f>IF('Classe 2nde'!$B29="","",N('Classe 2nde'!M29))</f>
        <v/>
      </c>
      <c r="Q989" s="17" t="str">
        <f>IF('Classe 2nde'!$B29="","",IF('Classe 2nde'!Q29="","",'Classe 2nde'!Q29))</f>
        <v/>
      </c>
      <c r="R989" s="18" t="str">
        <f>IF('Classe 2nde'!$B29="","",N('Classe 2nde'!N29))</f>
        <v/>
      </c>
      <c r="S989" s="18" t="str">
        <f>IF('Classe 2nde'!$B29="","",N('Classe 2nde'!O29))</f>
        <v/>
      </c>
      <c r="T989" s="18" t="str">
        <f>IF('Classe 2nde'!$B29="","",N('Classe 2nde'!P29))</f>
        <v/>
      </c>
    </row>
    <row r="990">
      <c r="A990" s="20" t="str">
        <f>IF('Classe 2nde'!$B30="","",IF('Classe 2nde'!A30="","",'Classe 2nde'!A30))</f>
        <v/>
      </c>
      <c r="B990" s="20" t="str">
        <f>IF('Classe 2nde'!$B30="","",IF('Classe 2nde'!B30="","",'Classe 2nde'!B30))</f>
        <v/>
      </c>
      <c r="C990" s="20" t="str">
        <f>IF('Classe 2nde'!$B30="","",IF('Classe 2nde'!C30="","",'Classe 2nde'!C30))</f>
        <v/>
      </c>
      <c r="D990" s="20" t="str">
        <f>IF($B990="","",C990&amp;" "&amp;B990&amp;" - "&amp;E990)</f>
        <v/>
      </c>
      <c r="E990" s="21" t="str">
        <f>IF($B990="","",Paramètres!$A$27)</f>
        <v/>
      </c>
      <c r="F990" s="21" t="str">
        <f>IF($B990="","",Paramètres!$B$27)</f>
        <v/>
      </c>
      <c r="G990" s="21" t="str">
        <f>IF('Classe 2nde'!$B30="","",IF('Classe 2nde'!D30="","",'Classe 2nde'!D30))</f>
        <v/>
      </c>
      <c r="H990" s="77" t="str">
        <f>IF('Classe 2nde'!$B30="","",IF('Classe 2nde'!E30="","",'Classe 2nde'!E30))</f>
        <v/>
      </c>
      <c r="I990" s="20" t="str">
        <f>IF('Classe 2nde'!$B30="","",IF('Classe 2nde'!F30="","",'Classe 2nde'!F30))</f>
        <v/>
      </c>
      <c r="J990" s="20" t="str">
        <f>IF('Classe 2nde'!$B30="","",IF('Classe 2nde'!G30="","",'Classe 2nde'!G30))</f>
        <v/>
      </c>
      <c r="K990" s="51" t="str">
        <f>IF('Classe 2nde'!$B30="","",N('Classe 2nde'!H30))</f>
        <v/>
      </c>
      <c r="L990" s="51" t="str">
        <f>IF('Classe 2nde'!$B30="","",N('Classe 2nde'!I30))</f>
        <v/>
      </c>
      <c r="M990" s="51" t="str">
        <f>IF('Classe 2nde'!$B30="","",N('Classe 2nde'!J30))</f>
        <v/>
      </c>
      <c r="N990" s="51" t="str">
        <f>IF('Classe 2nde'!$B30="","",N('Classe 2nde'!K30))</f>
        <v/>
      </c>
      <c r="O990" s="51" t="str">
        <f>IF('Classe 2nde'!$B30="","",N('Classe 2nde'!L30))</f>
        <v/>
      </c>
      <c r="P990" s="51" t="str">
        <f>IF('Classe 2nde'!$B30="","",N('Classe 2nde'!M30))</f>
        <v/>
      </c>
      <c r="Q990" s="21" t="str">
        <f>IF('Classe 2nde'!$B30="","",IF('Classe 2nde'!Q30="","",'Classe 2nde'!Q30))</f>
        <v/>
      </c>
      <c r="R990" s="51" t="str">
        <f>IF('Classe 2nde'!$B30="","",N('Classe 2nde'!N30))</f>
        <v/>
      </c>
      <c r="S990" s="51" t="str">
        <f>IF('Classe 2nde'!$B30="","",N('Classe 2nde'!O30))</f>
        <v/>
      </c>
      <c r="T990" s="51" t="str">
        <f>IF('Classe 2nde'!$B30="","",N('Classe 2nde'!P30))</f>
        <v/>
      </c>
    </row>
    <row r="991">
      <c r="A991" s="16" t="str">
        <f>IF('Classe 2nde'!$B31="","",IF('Classe 2nde'!A31="","",'Classe 2nde'!A31))</f>
        <v/>
      </c>
      <c r="B991" s="16" t="str">
        <f>IF('Classe 2nde'!$B31="","",IF('Classe 2nde'!B31="","",'Classe 2nde'!B31))</f>
        <v/>
      </c>
      <c r="C991" s="16" t="str">
        <f>IF('Classe 2nde'!$B31="","",IF('Classe 2nde'!C31="","",'Classe 2nde'!C31))</f>
        <v/>
      </c>
      <c r="D991" s="16" t="str">
        <f>IF($B991="","",C991&amp;" "&amp;B991&amp;" - "&amp;E991)</f>
        <v/>
      </c>
      <c r="E991" s="17" t="str">
        <f>IF($B991="","",Paramètres!$A$27)</f>
        <v/>
      </c>
      <c r="F991" s="17" t="str">
        <f>IF($B991="","",Paramètres!$B$27)</f>
        <v/>
      </c>
      <c r="G991" s="17" t="str">
        <f>IF('Classe 2nde'!$B31="","",IF('Classe 2nde'!D31="","",'Classe 2nde'!D31))</f>
        <v/>
      </c>
      <c r="H991" s="78" t="str">
        <f>IF('Classe 2nde'!$B31="","",IF('Classe 2nde'!E31="","",'Classe 2nde'!E31))</f>
        <v/>
      </c>
      <c r="I991" s="16" t="str">
        <f>IF('Classe 2nde'!$B31="","",IF('Classe 2nde'!F31="","",'Classe 2nde'!F31))</f>
        <v/>
      </c>
      <c r="J991" s="16" t="str">
        <f>IF('Classe 2nde'!$B31="","",IF('Classe 2nde'!G31="","",'Classe 2nde'!G31))</f>
        <v/>
      </c>
      <c r="K991" s="18" t="str">
        <f>IF('Classe 2nde'!$B31="","",N('Classe 2nde'!H31))</f>
        <v/>
      </c>
      <c r="L991" s="18" t="str">
        <f>IF('Classe 2nde'!$B31="","",N('Classe 2nde'!I31))</f>
        <v/>
      </c>
      <c r="M991" s="18" t="str">
        <f>IF('Classe 2nde'!$B31="","",N('Classe 2nde'!J31))</f>
        <v/>
      </c>
      <c r="N991" s="18" t="str">
        <f>IF('Classe 2nde'!$B31="","",N('Classe 2nde'!K31))</f>
        <v/>
      </c>
      <c r="O991" s="18" t="str">
        <f>IF('Classe 2nde'!$B31="","",N('Classe 2nde'!L31))</f>
        <v/>
      </c>
      <c r="P991" s="18" t="str">
        <f>IF('Classe 2nde'!$B31="","",N('Classe 2nde'!M31))</f>
        <v/>
      </c>
      <c r="Q991" s="17" t="str">
        <f>IF('Classe 2nde'!$B31="","",IF('Classe 2nde'!Q31="","",'Classe 2nde'!Q31))</f>
        <v/>
      </c>
      <c r="R991" s="18" t="str">
        <f>IF('Classe 2nde'!$B31="","",N('Classe 2nde'!N31))</f>
        <v/>
      </c>
      <c r="S991" s="18" t="str">
        <f>IF('Classe 2nde'!$B31="","",N('Classe 2nde'!O31))</f>
        <v/>
      </c>
      <c r="T991" s="18" t="str">
        <f>IF('Classe 2nde'!$B31="","",N('Classe 2nde'!P31))</f>
        <v/>
      </c>
    </row>
    <row r="992">
      <c r="A992" s="20" t="str">
        <f>IF('Classe 2nde'!$B32="","",IF('Classe 2nde'!A32="","",'Classe 2nde'!A32))</f>
        <v/>
      </c>
      <c r="B992" s="20" t="str">
        <f>IF('Classe 2nde'!$B32="","",IF('Classe 2nde'!B32="","",'Classe 2nde'!B32))</f>
        <v/>
      </c>
      <c r="C992" s="20" t="str">
        <f>IF('Classe 2nde'!$B32="","",IF('Classe 2nde'!C32="","",'Classe 2nde'!C32))</f>
        <v/>
      </c>
      <c r="D992" s="20" t="str">
        <f>IF($B992="","",C992&amp;" "&amp;B992&amp;" - "&amp;E992)</f>
        <v/>
      </c>
      <c r="E992" s="21" t="str">
        <f>IF($B992="","",Paramètres!$A$27)</f>
        <v/>
      </c>
      <c r="F992" s="21" t="str">
        <f>IF($B992="","",Paramètres!$B$27)</f>
        <v/>
      </c>
      <c r="G992" s="21" t="str">
        <f>IF('Classe 2nde'!$B32="","",IF('Classe 2nde'!D32="","",'Classe 2nde'!D32))</f>
        <v/>
      </c>
      <c r="H992" s="77" t="str">
        <f>IF('Classe 2nde'!$B32="","",IF('Classe 2nde'!E32="","",'Classe 2nde'!E32))</f>
        <v/>
      </c>
      <c r="I992" s="20" t="str">
        <f>IF('Classe 2nde'!$B32="","",IF('Classe 2nde'!F32="","",'Classe 2nde'!F32))</f>
        <v/>
      </c>
      <c r="J992" s="20" t="str">
        <f>IF('Classe 2nde'!$B32="","",IF('Classe 2nde'!G32="","",'Classe 2nde'!G32))</f>
        <v/>
      </c>
      <c r="K992" s="51" t="str">
        <f>IF('Classe 2nde'!$B32="","",N('Classe 2nde'!H32))</f>
        <v/>
      </c>
      <c r="L992" s="51" t="str">
        <f>IF('Classe 2nde'!$B32="","",N('Classe 2nde'!I32))</f>
        <v/>
      </c>
      <c r="M992" s="51" t="str">
        <f>IF('Classe 2nde'!$B32="","",N('Classe 2nde'!J32))</f>
        <v/>
      </c>
      <c r="N992" s="51" t="str">
        <f>IF('Classe 2nde'!$B32="","",N('Classe 2nde'!K32))</f>
        <v/>
      </c>
      <c r="O992" s="51" t="str">
        <f>IF('Classe 2nde'!$B32="","",N('Classe 2nde'!L32))</f>
        <v/>
      </c>
      <c r="P992" s="51" t="str">
        <f>IF('Classe 2nde'!$B32="","",N('Classe 2nde'!M32))</f>
        <v/>
      </c>
      <c r="Q992" s="21" t="str">
        <f>IF('Classe 2nde'!$B32="","",IF('Classe 2nde'!Q32="","",'Classe 2nde'!Q32))</f>
        <v/>
      </c>
      <c r="R992" s="51" t="str">
        <f>IF('Classe 2nde'!$B32="","",N('Classe 2nde'!N32))</f>
        <v/>
      </c>
      <c r="S992" s="51" t="str">
        <f>IF('Classe 2nde'!$B32="","",N('Classe 2nde'!O32))</f>
        <v/>
      </c>
      <c r="T992" s="51" t="str">
        <f>IF('Classe 2nde'!$B32="","",N('Classe 2nde'!P32))</f>
        <v/>
      </c>
    </row>
    <row r="993">
      <c r="A993" s="16" t="str">
        <f>IF('Classe 2nde'!$B33="","",IF('Classe 2nde'!A33="","",'Classe 2nde'!A33))</f>
        <v/>
      </c>
      <c r="B993" s="16" t="str">
        <f>IF('Classe 2nde'!$B33="","",IF('Classe 2nde'!B33="","",'Classe 2nde'!B33))</f>
        <v/>
      </c>
      <c r="C993" s="16" t="str">
        <f>IF('Classe 2nde'!$B33="","",IF('Classe 2nde'!C33="","",'Classe 2nde'!C33))</f>
        <v/>
      </c>
      <c r="D993" s="16" t="str">
        <f>IF($B993="","",C993&amp;" "&amp;B993&amp;" - "&amp;E993)</f>
        <v/>
      </c>
      <c r="E993" s="17" t="str">
        <f>IF($B993="","",Paramètres!$A$27)</f>
        <v/>
      </c>
      <c r="F993" s="17" t="str">
        <f>IF($B993="","",Paramètres!$B$27)</f>
        <v/>
      </c>
      <c r="G993" s="17" t="str">
        <f>IF('Classe 2nde'!$B33="","",IF('Classe 2nde'!D33="","",'Classe 2nde'!D33))</f>
        <v/>
      </c>
      <c r="H993" s="78" t="str">
        <f>IF('Classe 2nde'!$B33="","",IF('Classe 2nde'!E33="","",'Classe 2nde'!E33))</f>
        <v/>
      </c>
      <c r="I993" s="16" t="str">
        <f>IF('Classe 2nde'!$B33="","",IF('Classe 2nde'!F33="","",'Classe 2nde'!F33))</f>
        <v/>
      </c>
      <c r="J993" s="16" t="str">
        <f>IF('Classe 2nde'!$B33="","",IF('Classe 2nde'!G33="","",'Classe 2nde'!G33))</f>
        <v/>
      </c>
      <c r="K993" s="18" t="str">
        <f>IF('Classe 2nde'!$B33="","",N('Classe 2nde'!H33))</f>
        <v/>
      </c>
      <c r="L993" s="18" t="str">
        <f>IF('Classe 2nde'!$B33="","",N('Classe 2nde'!I33))</f>
        <v/>
      </c>
      <c r="M993" s="18" t="str">
        <f>IF('Classe 2nde'!$B33="","",N('Classe 2nde'!J33))</f>
        <v/>
      </c>
      <c r="N993" s="18" t="str">
        <f>IF('Classe 2nde'!$B33="","",N('Classe 2nde'!K33))</f>
        <v/>
      </c>
      <c r="O993" s="18" t="str">
        <f>IF('Classe 2nde'!$B33="","",N('Classe 2nde'!L33))</f>
        <v/>
      </c>
      <c r="P993" s="18" t="str">
        <f>IF('Classe 2nde'!$B33="","",N('Classe 2nde'!M33))</f>
        <v/>
      </c>
      <c r="Q993" s="17" t="str">
        <f>IF('Classe 2nde'!$B33="","",IF('Classe 2nde'!Q33="","",'Classe 2nde'!Q33))</f>
        <v/>
      </c>
      <c r="R993" s="18" t="str">
        <f>IF('Classe 2nde'!$B33="","",N('Classe 2nde'!N33))</f>
        <v/>
      </c>
      <c r="S993" s="18" t="str">
        <f>IF('Classe 2nde'!$B33="","",N('Classe 2nde'!O33))</f>
        <v/>
      </c>
      <c r="T993" s="18" t="str">
        <f>IF('Classe 2nde'!$B33="","",N('Classe 2nde'!P33))</f>
        <v/>
      </c>
    </row>
    <row r="994">
      <c r="A994" s="20" t="str">
        <f>IF('Classe 2nde'!$B34="","",IF('Classe 2nde'!A34="","",'Classe 2nde'!A34))</f>
        <v/>
      </c>
      <c r="B994" s="20" t="str">
        <f>IF('Classe 2nde'!$B34="","",IF('Classe 2nde'!B34="","",'Classe 2nde'!B34))</f>
        <v/>
      </c>
      <c r="C994" s="20" t="str">
        <f>IF('Classe 2nde'!$B34="","",IF('Classe 2nde'!C34="","",'Classe 2nde'!C34))</f>
        <v/>
      </c>
      <c r="D994" s="20" t="str">
        <f>IF($B994="","",C994&amp;" "&amp;B994&amp;" - "&amp;E994)</f>
        <v/>
      </c>
      <c r="E994" s="21" t="str">
        <f>IF($B994="","",Paramètres!$A$27)</f>
        <v/>
      </c>
      <c r="F994" s="21" t="str">
        <f>IF($B994="","",Paramètres!$B$27)</f>
        <v/>
      </c>
      <c r="G994" s="21" t="str">
        <f>IF('Classe 2nde'!$B34="","",IF('Classe 2nde'!D34="","",'Classe 2nde'!D34))</f>
        <v/>
      </c>
      <c r="H994" s="77" t="str">
        <f>IF('Classe 2nde'!$B34="","",IF('Classe 2nde'!E34="","",'Classe 2nde'!E34))</f>
        <v/>
      </c>
      <c r="I994" s="20" t="str">
        <f>IF('Classe 2nde'!$B34="","",IF('Classe 2nde'!F34="","",'Classe 2nde'!F34))</f>
        <v/>
      </c>
      <c r="J994" s="20" t="str">
        <f>IF('Classe 2nde'!$B34="","",IF('Classe 2nde'!G34="","",'Classe 2nde'!G34))</f>
        <v/>
      </c>
      <c r="K994" s="51" t="str">
        <f>IF('Classe 2nde'!$B34="","",N('Classe 2nde'!H34))</f>
        <v/>
      </c>
      <c r="L994" s="51" t="str">
        <f>IF('Classe 2nde'!$B34="","",N('Classe 2nde'!I34))</f>
        <v/>
      </c>
      <c r="M994" s="51" t="str">
        <f>IF('Classe 2nde'!$B34="","",N('Classe 2nde'!J34))</f>
        <v/>
      </c>
      <c r="N994" s="51" t="str">
        <f>IF('Classe 2nde'!$B34="","",N('Classe 2nde'!K34))</f>
        <v/>
      </c>
      <c r="O994" s="51" t="str">
        <f>IF('Classe 2nde'!$B34="","",N('Classe 2nde'!L34))</f>
        <v/>
      </c>
      <c r="P994" s="51" t="str">
        <f>IF('Classe 2nde'!$B34="","",N('Classe 2nde'!M34))</f>
        <v/>
      </c>
      <c r="Q994" s="21" t="str">
        <f>IF('Classe 2nde'!$B34="","",IF('Classe 2nde'!Q34="","",'Classe 2nde'!Q34))</f>
        <v/>
      </c>
      <c r="R994" s="51" t="str">
        <f>IF('Classe 2nde'!$B34="","",N('Classe 2nde'!N34))</f>
        <v/>
      </c>
      <c r="S994" s="51" t="str">
        <f>IF('Classe 2nde'!$B34="","",N('Classe 2nde'!O34))</f>
        <v/>
      </c>
      <c r="T994" s="51" t="str">
        <f>IF('Classe 2nde'!$B34="","",N('Classe 2nde'!P34))</f>
        <v/>
      </c>
    </row>
    <row r="995">
      <c r="A995" s="16" t="str">
        <f>IF('Classe 2nde'!$B35="","",IF('Classe 2nde'!A35="","",'Classe 2nde'!A35))</f>
        <v/>
      </c>
      <c r="B995" s="16" t="str">
        <f>IF('Classe 2nde'!$B35="","",IF('Classe 2nde'!B35="","",'Classe 2nde'!B35))</f>
        <v/>
      </c>
      <c r="C995" s="16" t="str">
        <f>IF('Classe 2nde'!$B35="","",IF('Classe 2nde'!C35="","",'Classe 2nde'!C35))</f>
        <v/>
      </c>
      <c r="D995" s="16" t="str">
        <f>IF($B995="","",C995&amp;" "&amp;B995&amp;" - "&amp;E995)</f>
        <v/>
      </c>
      <c r="E995" s="17" t="str">
        <f>IF($B995="","",Paramètres!$A$27)</f>
        <v/>
      </c>
      <c r="F995" s="17" t="str">
        <f>IF($B995="","",Paramètres!$B$27)</f>
        <v/>
      </c>
      <c r="G995" s="17" t="str">
        <f>IF('Classe 2nde'!$B35="","",IF('Classe 2nde'!D35="","",'Classe 2nde'!D35))</f>
        <v/>
      </c>
      <c r="H995" s="78" t="str">
        <f>IF('Classe 2nde'!$B35="","",IF('Classe 2nde'!E35="","",'Classe 2nde'!E35))</f>
        <v/>
      </c>
      <c r="I995" s="16" t="str">
        <f>IF('Classe 2nde'!$B35="","",IF('Classe 2nde'!F35="","",'Classe 2nde'!F35))</f>
        <v/>
      </c>
      <c r="J995" s="16" t="str">
        <f>IF('Classe 2nde'!$B35="","",IF('Classe 2nde'!G35="","",'Classe 2nde'!G35))</f>
        <v/>
      </c>
      <c r="K995" s="18" t="str">
        <f>IF('Classe 2nde'!$B35="","",N('Classe 2nde'!H35))</f>
        <v/>
      </c>
      <c r="L995" s="18" t="str">
        <f>IF('Classe 2nde'!$B35="","",N('Classe 2nde'!I35))</f>
        <v/>
      </c>
      <c r="M995" s="18" t="str">
        <f>IF('Classe 2nde'!$B35="","",N('Classe 2nde'!J35))</f>
        <v/>
      </c>
      <c r="N995" s="18" t="str">
        <f>IF('Classe 2nde'!$B35="","",N('Classe 2nde'!K35))</f>
        <v/>
      </c>
      <c r="O995" s="18" t="str">
        <f>IF('Classe 2nde'!$B35="","",N('Classe 2nde'!L35))</f>
        <v/>
      </c>
      <c r="P995" s="18" t="str">
        <f>IF('Classe 2nde'!$B35="","",N('Classe 2nde'!M35))</f>
        <v/>
      </c>
      <c r="Q995" s="17" t="str">
        <f>IF('Classe 2nde'!$B35="","",IF('Classe 2nde'!Q35="","",'Classe 2nde'!Q35))</f>
        <v/>
      </c>
      <c r="R995" s="18" t="str">
        <f>IF('Classe 2nde'!$B35="","",N('Classe 2nde'!N35))</f>
        <v/>
      </c>
      <c r="S995" s="18" t="str">
        <f>IF('Classe 2nde'!$B35="","",N('Classe 2nde'!O35))</f>
        <v/>
      </c>
      <c r="T995" s="18" t="str">
        <f>IF('Classe 2nde'!$B35="","",N('Classe 2nde'!P35))</f>
        <v/>
      </c>
    </row>
    <row r="996">
      <c r="A996" s="20" t="str">
        <f>IF('Classe 2nde'!$B36="","",IF('Classe 2nde'!A36="","",'Classe 2nde'!A36))</f>
        <v/>
      </c>
      <c r="B996" s="20" t="str">
        <f>IF('Classe 2nde'!$B36="","",IF('Classe 2nde'!B36="","",'Classe 2nde'!B36))</f>
        <v/>
      </c>
      <c r="C996" s="20" t="str">
        <f>IF('Classe 2nde'!$B36="","",IF('Classe 2nde'!C36="","",'Classe 2nde'!C36))</f>
        <v/>
      </c>
      <c r="D996" s="20" t="str">
        <f>IF($B996="","",C996&amp;" "&amp;B996&amp;" - "&amp;E996)</f>
        <v/>
      </c>
      <c r="E996" s="21" t="str">
        <f>IF($B996="","",Paramètres!$A$27)</f>
        <v/>
      </c>
      <c r="F996" s="21" t="str">
        <f>IF($B996="","",Paramètres!$B$27)</f>
        <v/>
      </c>
      <c r="G996" s="21" t="str">
        <f>IF('Classe 2nde'!$B36="","",IF('Classe 2nde'!D36="","",'Classe 2nde'!D36))</f>
        <v/>
      </c>
      <c r="H996" s="77" t="str">
        <f>IF('Classe 2nde'!$B36="","",IF('Classe 2nde'!E36="","",'Classe 2nde'!E36))</f>
        <v/>
      </c>
      <c r="I996" s="20" t="str">
        <f>IF('Classe 2nde'!$B36="","",IF('Classe 2nde'!F36="","",'Classe 2nde'!F36))</f>
        <v/>
      </c>
      <c r="J996" s="20" t="str">
        <f>IF('Classe 2nde'!$B36="","",IF('Classe 2nde'!G36="","",'Classe 2nde'!G36))</f>
        <v/>
      </c>
      <c r="K996" s="51" t="str">
        <f>IF('Classe 2nde'!$B36="","",N('Classe 2nde'!H36))</f>
        <v/>
      </c>
      <c r="L996" s="51" t="str">
        <f>IF('Classe 2nde'!$B36="","",N('Classe 2nde'!I36))</f>
        <v/>
      </c>
      <c r="M996" s="51" t="str">
        <f>IF('Classe 2nde'!$B36="","",N('Classe 2nde'!J36))</f>
        <v/>
      </c>
      <c r="N996" s="51" t="str">
        <f>IF('Classe 2nde'!$B36="","",N('Classe 2nde'!K36))</f>
        <v/>
      </c>
      <c r="O996" s="51" t="str">
        <f>IF('Classe 2nde'!$B36="","",N('Classe 2nde'!L36))</f>
        <v/>
      </c>
      <c r="P996" s="51" t="str">
        <f>IF('Classe 2nde'!$B36="","",N('Classe 2nde'!M36))</f>
        <v/>
      </c>
      <c r="Q996" s="21" t="str">
        <f>IF('Classe 2nde'!$B36="","",IF('Classe 2nde'!Q36="","",'Classe 2nde'!Q36))</f>
        <v/>
      </c>
      <c r="R996" s="51" t="str">
        <f>IF('Classe 2nde'!$B36="","",N('Classe 2nde'!N36))</f>
        <v/>
      </c>
      <c r="S996" s="51" t="str">
        <f>IF('Classe 2nde'!$B36="","",N('Classe 2nde'!O36))</f>
        <v/>
      </c>
      <c r="T996" s="51" t="str">
        <f>IF('Classe 2nde'!$B36="","",N('Classe 2nde'!P36))</f>
        <v/>
      </c>
    </row>
    <row r="997">
      <c r="A997" s="16" t="str">
        <f>IF('Classe 2nde'!$B37="","",IF('Classe 2nde'!A37="","",'Classe 2nde'!A37))</f>
        <v/>
      </c>
      <c r="B997" s="16" t="str">
        <f>IF('Classe 2nde'!$B37="","",IF('Classe 2nde'!B37="","",'Classe 2nde'!B37))</f>
        <v/>
      </c>
      <c r="C997" s="16" t="str">
        <f>IF('Classe 2nde'!$B37="","",IF('Classe 2nde'!C37="","",'Classe 2nde'!C37))</f>
        <v/>
      </c>
      <c r="D997" s="16" t="str">
        <f>IF($B997="","",C997&amp;" "&amp;B997&amp;" - "&amp;E997)</f>
        <v/>
      </c>
      <c r="E997" s="17" t="str">
        <f>IF($B997="","",Paramètres!$A$27)</f>
        <v/>
      </c>
      <c r="F997" s="17" t="str">
        <f>IF($B997="","",Paramètres!$B$27)</f>
        <v/>
      </c>
      <c r="G997" s="17" t="str">
        <f>IF('Classe 2nde'!$B37="","",IF('Classe 2nde'!D37="","",'Classe 2nde'!D37))</f>
        <v/>
      </c>
      <c r="H997" s="78" t="str">
        <f>IF('Classe 2nde'!$B37="","",IF('Classe 2nde'!E37="","",'Classe 2nde'!E37))</f>
        <v/>
      </c>
      <c r="I997" s="16" t="str">
        <f>IF('Classe 2nde'!$B37="","",IF('Classe 2nde'!F37="","",'Classe 2nde'!F37))</f>
        <v/>
      </c>
      <c r="J997" s="16" t="str">
        <f>IF('Classe 2nde'!$B37="","",IF('Classe 2nde'!G37="","",'Classe 2nde'!G37))</f>
        <v/>
      </c>
      <c r="K997" s="18" t="str">
        <f>IF('Classe 2nde'!$B37="","",N('Classe 2nde'!H37))</f>
        <v/>
      </c>
      <c r="L997" s="18" t="str">
        <f>IF('Classe 2nde'!$B37="","",N('Classe 2nde'!I37))</f>
        <v/>
      </c>
      <c r="M997" s="18" t="str">
        <f>IF('Classe 2nde'!$B37="","",N('Classe 2nde'!J37))</f>
        <v/>
      </c>
      <c r="N997" s="18" t="str">
        <f>IF('Classe 2nde'!$B37="","",N('Classe 2nde'!K37))</f>
        <v/>
      </c>
      <c r="O997" s="18" t="str">
        <f>IF('Classe 2nde'!$B37="","",N('Classe 2nde'!L37))</f>
        <v/>
      </c>
      <c r="P997" s="18" t="str">
        <f>IF('Classe 2nde'!$B37="","",N('Classe 2nde'!M37))</f>
        <v/>
      </c>
      <c r="Q997" s="17" t="str">
        <f>IF('Classe 2nde'!$B37="","",IF('Classe 2nde'!Q37="","",'Classe 2nde'!Q37))</f>
        <v/>
      </c>
      <c r="R997" s="18" t="str">
        <f>IF('Classe 2nde'!$B37="","",N('Classe 2nde'!N37))</f>
        <v/>
      </c>
      <c r="S997" s="18" t="str">
        <f>IF('Classe 2nde'!$B37="","",N('Classe 2nde'!O37))</f>
        <v/>
      </c>
      <c r="T997" s="18" t="str">
        <f>IF('Classe 2nde'!$B37="","",N('Classe 2nde'!P37))</f>
        <v/>
      </c>
    </row>
    <row r="998">
      <c r="A998" s="20" t="str">
        <f>IF('Classe 2nde'!$B38="","",IF('Classe 2nde'!A38="","",'Classe 2nde'!A38))</f>
        <v/>
      </c>
      <c r="B998" s="20" t="str">
        <f>IF('Classe 2nde'!$B38="","",IF('Classe 2nde'!B38="","",'Classe 2nde'!B38))</f>
        <v/>
      </c>
      <c r="C998" s="20" t="str">
        <f>IF('Classe 2nde'!$B38="","",IF('Classe 2nde'!C38="","",'Classe 2nde'!C38))</f>
        <v/>
      </c>
      <c r="D998" s="20" t="str">
        <f>IF($B998="","",C998&amp;" "&amp;B998&amp;" - "&amp;E998)</f>
        <v/>
      </c>
      <c r="E998" s="21" t="str">
        <f>IF($B998="","",Paramètres!$A$27)</f>
        <v/>
      </c>
      <c r="F998" s="21" t="str">
        <f>IF($B998="","",Paramètres!$B$27)</f>
        <v/>
      </c>
      <c r="G998" s="21" t="str">
        <f>IF('Classe 2nde'!$B38="","",IF('Classe 2nde'!D38="","",'Classe 2nde'!D38))</f>
        <v/>
      </c>
      <c r="H998" s="77" t="str">
        <f>IF('Classe 2nde'!$B38="","",IF('Classe 2nde'!E38="","",'Classe 2nde'!E38))</f>
        <v/>
      </c>
      <c r="I998" s="20" t="str">
        <f>IF('Classe 2nde'!$B38="","",IF('Classe 2nde'!F38="","",'Classe 2nde'!F38))</f>
        <v/>
      </c>
      <c r="J998" s="20" t="str">
        <f>IF('Classe 2nde'!$B38="","",IF('Classe 2nde'!G38="","",'Classe 2nde'!G38))</f>
        <v/>
      </c>
      <c r="K998" s="51" t="str">
        <f>IF('Classe 2nde'!$B38="","",N('Classe 2nde'!H38))</f>
        <v/>
      </c>
      <c r="L998" s="51" t="str">
        <f>IF('Classe 2nde'!$B38="","",N('Classe 2nde'!I38))</f>
        <v/>
      </c>
      <c r="M998" s="51" t="str">
        <f>IF('Classe 2nde'!$B38="","",N('Classe 2nde'!J38))</f>
        <v/>
      </c>
      <c r="N998" s="51" t="str">
        <f>IF('Classe 2nde'!$B38="","",N('Classe 2nde'!K38))</f>
        <v/>
      </c>
      <c r="O998" s="51" t="str">
        <f>IF('Classe 2nde'!$B38="","",N('Classe 2nde'!L38))</f>
        <v/>
      </c>
      <c r="P998" s="51" t="str">
        <f>IF('Classe 2nde'!$B38="","",N('Classe 2nde'!M38))</f>
        <v/>
      </c>
      <c r="Q998" s="21" t="str">
        <f>IF('Classe 2nde'!$B38="","",IF('Classe 2nde'!Q38="","",'Classe 2nde'!Q38))</f>
        <v/>
      </c>
      <c r="R998" s="51" t="str">
        <f>IF('Classe 2nde'!$B38="","",N('Classe 2nde'!N38))</f>
        <v/>
      </c>
      <c r="S998" s="51" t="str">
        <f>IF('Classe 2nde'!$B38="","",N('Classe 2nde'!O38))</f>
        <v/>
      </c>
      <c r="T998" s="51" t="str">
        <f>IF('Classe 2nde'!$B38="","",N('Classe 2nde'!P38))</f>
        <v/>
      </c>
    </row>
    <row r="999">
      <c r="A999" s="16" t="str">
        <f>IF('Classe 2nde'!$B39="","",IF('Classe 2nde'!A39="","",'Classe 2nde'!A39))</f>
        <v/>
      </c>
      <c r="B999" s="16" t="str">
        <f>IF('Classe 2nde'!$B39="","",IF('Classe 2nde'!B39="","",'Classe 2nde'!B39))</f>
        <v/>
      </c>
      <c r="C999" s="16" t="str">
        <f>IF('Classe 2nde'!$B39="","",IF('Classe 2nde'!C39="","",'Classe 2nde'!C39))</f>
        <v/>
      </c>
      <c r="D999" s="16" t="str">
        <f>IF($B999="","",C999&amp;" "&amp;B999&amp;" - "&amp;E999)</f>
        <v/>
      </c>
      <c r="E999" s="17" t="str">
        <f>IF($B999="","",Paramètres!$A$27)</f>
        <v/>
      </c>
      <c r="F999" s="17" t="str">
        <f>IF($B999="","",Paramètres!$B$27)</f>
        <v/>
      </c>
      <c r="G999" s="17" t="str">
        <f>IF('Classe 2nde'!$B39="","",IF('Classe 2nde'!D39="","",'Classe 2nde'!D39))</f>
        <v/>
      </c>
      <c r="H999" s="78" t="str">
        <f>IF('Classe 2nde'!$B39="","",IF('Classe 2nde'!E39="","",'Classe 2nde'!E39))</f>
        <v/>
      </c>
      <c r="I999" s="16" t="str">
        <f>IF('Classe 2nde'!$B39="","",IF('Classe 2nde'!F39="","",'Classe 2nde'!F39))</f>
        <v/>
      </c>
      <c r="J999" s="16" t="str">
        <f>IF('Classe 2nde'!$B39="","",IF('Classe 2nde'!G39="","",'Classe 2nde'!G39))</f>
        <v/>
      </c>
      <c r="K999" s="18" t="str">
        <f>IF('Classe 2nde'!$B39="","",N('Classe 2nde'!H39))</f>
        <v/>
      </c>
      <c r="L999" s="18" t="str">
        <f>IF('Classe 2nde'!$B39="","",N('Classe 2nde'!I39))</f>
        <v/>
      </c>
      <c r="M999" s="18" t="str">
        <f>IF('Classe 2nde'!$B39="","",N('Classe 2nde'!J39))</f>
        <v/>
      </c>
      <c r="N999" s="18" t="str">
        <f>IF('Classe 2nde'!$B39="","",N('Classe 2nde'!K39))</f>
        <v/>
      </c>
      <c r="O999" s="18" t="str">
        <f>IF('Classe 2nde'!$B39="","",N('Classe 2nde'!L39))</f>
        <v/>
      </c>
      <c r="P999" s="18" t="str">
        <f>IF('Classe 2nde'!$B39="","",N('Classe 2nde'!M39))</f>
        <v/>
      </c>
      <c r="Q999" s="17" t="str">
        <f>IF('Classe 2nde'!$B39="","",IF('Classe 2nde'!Q39="","",'Classe 2nde'!Q39))</f>
        <v/>
      </c>
      <c r="R999" s="18" t="str">
        <f>IF('Classe 2nde'!$B39="","",N('Classe 2nde'!N39))</f>
        <v/>
      </c>
      <c r="S999" s="18" t="str">
        <f>IF('Classe 2nde'!$B39="","",N('Classe 2nde'!O39))</f>
        <v/>
      </c>
      <c r="T999" s="18" t="str">
        <f>IF('Classe 2nde'!$B39="","",N('Classe 2nde'!P39))</f>
        <v/>
      </c>
    </row>
    <row r="1000">
      <c r="A1000" s="20" t="str">
        <f>IF('Classe 2nde'!$B40="","",IF('Classe 2nde'!A40="","",'Classe 2nde'!A40))</f>
        <v/>
      </c>
      <c r="B1000" s="20" t="str">
        <f>IF('Classe 2nde'!$B40="","",IF('Classe 2nde'!B40="","",'Classe 2nde'!B40))</f>
        <v/>
      </c>
      <c r="C1000" s="20" t="str">
        <f>IF('Classe 2nde'!$B40="","",IF('Classe 2nde'!C40="","",'Classe 2nde'!C40))</f>
        <v/>
      </c>
      <c r="D1000" s="20" t="str">
        <f>IF($B1000="","",C1000&amp;" "&amp;B1000&amp;" - "&amp;E1000)</f>
        <v/>
      </c>
      <c r="E1000" s="21" t="str">
        <f>IF($B1000="","",Paramètres!$A$27)</f>
        <v/>
      </c>
      <c r="F1000" s="21" t="str">
        <f>IF($B1000="","",Paramètres!$B$27)</f>
        <v/>
      </c>
      <c r="G1000" s="21" t="str">
        <f>IF('Classe 2nde'!$B40="","",IF('Classe 2nde'!D40="","",'Classe 2nde'!D40))</f>
        <v/>
      </c>
      <c r="H1000" s="77" t="str">
        <f>IF('Classe 2nde'!$B40="","",IF('Classe 2nde'!E40="","",'Classe 2nde'!E40))</f>
        <v/>
      </c>
      <c r="I1000" s="20" t="str">
        <f>IF('Classe 2nde'!$B40="","",IF('Classe 2nde'!F40="","",'Classe 2nde'!F40))</f>
        <v/>
      </c>
      <c r="J1000" s="20" t="str">
        <f>IF('Classe 2nde'!$B40="","",IF('Classe 2nde'!G40="","",'Classe 2nde'!G40))</f>
        <v/>
      </c>
      <c r="K1000" s="51" t="str">
        <f>IF('Classe 2nde'!$B40="","",N('Classe 2nde'!H40))</f>
        <v/>
      </c>
      <c r="L1000" s="51" t="str">
        <f>IF('Classe 2nde'!$B40="","",N('Classe 2nde'!I40))</f>
        <v/>
      </c>
      <c r="M1000" s="51" t="str">
        <f>IF('Classe 2nde'!$B40="","",N('Classe 2nde'!J40))</f>
        <v/>
      </c>
      <c r="N1000" s="51" t="str">
        <f>IF('Classe 2nde'!$B40="","",N('Classe 2nde'!K40))</f>
        <v/>
      </c>
      <c r="O1000" s="51" t="str">
        <f>IF('Classe 2nde'!$B40="","",N('Classe 2nde'!L40))</f>
        <v/>
      </c>
      <c r="P1000" s="51" t="str">
        <f>IF('Classe 2nde'!$B40="","",N('Classe 2nde'!M40))</f>
        <v/>
      </c>
      <c r="Q1000" s="21" t="str">
        <f>IF('Classe 2nde'!$B40="","",IF('Classe 2nde'!Q40="","",'Classe 2nde'!Q40))</f>
        <v/>
      </c>
      <c r="R1000" s="51" t="str">
        <f>IF('Classe 2nde'!$B40="","",N('Classe 2nde'!N40))</f>
        <v/>
      </c>
      <c r="S1000" s="51" t="str">
        <f>IF('Classe 2nde'!$B40="","",N('Classe 2nde'!O40))</f>
        <v/>
      </c>
      <c r="T1000" s="51" t="str">
        <f>IF('Classe 2nde'!$B40="","",N('Classe 2nde'!P40))</f>
        <v/>
      </c>
    </row>
    <row r="1001">
      <c r="A1001" s="16" t="str">
        <f>IF('Classe 2nde'!$B41="","",IF('Classe 2nde'!A41="","",'Classe 2nde'!A41))</f>
        <v/>
      </c>
      <c r="B1001" s="16" t="str">
        <f>IF('Classe 2nde'!$B41="","",IF('Classe 2nde'!B41="","",'Classe 2nde'!B41))</f>
        <v/>
      </c>
      <c r="C1001" s="16" t="str">
        <f>IF('Classe 2nde'!$B41="","",IF('Classe 2nde'!C41="","",'Classe 2nde'!C41))</f>
        <v/>
      </c>
      <c r="D1001" s="16" t="str">
        <f>IF($B1001="","",C1001&amp;" "&amp;B1001&amp;" - "&amp;E1001)</f>
        <v/>
      </c>
      <c r="E1001" s="17" t="str">
        <f>IF($B1001="","",Paramètres!$A$27)</f>
        <v/>
      </c>
      <c r="F1001" s="17" t="str">
        <f>IF($B1001="","",Paramètres!$B$27)</f>
        <v/>
      </c>
      <c r="G1001" s="17" t="str">
        <f>IF('Classe 2nde'!$B41="","",IF('Classe 2nde'!D41="","",'Classe 2nde'!D41))</f>
        <v/>
      </c>
      <c r="H1001" s="78" t="str">
        <f>IF('Classe 2nde'!$B41="","",IF('Classe 2nde'!E41="","",'Classe 2nde'!E41))</f>
        <v/>
      </c>
      <c r="I1001" s="16" t="str">
        <f>IF('Classe 2nde'!$B41="","",IF('Classe 2nde'!F41="","",'Classe 2nde'!F41))</f>
        <v/>
      </c>
      <c r="J1001" s="16" t="str">
        <f>IF('Classe 2nde'!$B41="","",IF('Classe 2nde'!G41="","",'Classe 2nde'!G41))</f>
        <v/>
      </c>
      <c r="K1001" s="18" t="str">
        <f>IF('Classe 2nde'!$B41="","",N('Classe 2nde'!H41))</f>
        <v/>
      </c>
      <c r="L1001" s="18" t="str">
        <f>IF('Classe 2nde'!$B41="","",N('Classe 2nde'!I41))</f>
        <v/>
      </c>
      <c r="M1001" s="18" t="str">
        <f>IF('Classe 2nde'!$B41="","",N('Classe 2nde'!J41))</f>
        <v/>
      </c>
      <c r="N1001" s="18" t="str">
        <f>IF('Classe 2nde'!$B41="","",N('Classe 2nde'!K41))</f>
        <v/>
      </c>
      <c r="O1001" s="18" t="str">
        <f>IF('Classe 2nde'!$B41="","",N('Classe 2nde'!L41))</f>
        <v/>
      </c>
      <c r="P1001" s="18" t="str">
        <f>IF('Classe 2nde'!$B41="","",N('Classe 2nde'!M41))</f>
        <v/>
      </c>
      <c r="Q1001" s="17" t="str">
        <f>IF('Classe 2nde'!$B41="","",IF('Classe 2nde'!Q41="","",'Classe 2nde'!Q41))</f>
        <v/>
      </c>
      <c r="R1001" s="18" t="str">
        <f>IF('Classe 2nde'!$B41="","",N('Classe 2nde'!N41))</f>
        <v/>
      </c>
      <c r="S1001" s="18" t="str">
        <f>IF('Classe 2nde'!$B41="","",N('Classe 2nde'!O41))</f>
        <v/>
      </c>
      <c r="T1001" s="18" t="str">
        <f>IF('Classe 2nde'!$B41="","",N('Classe 2nde'!P41))</f>
        <v/>
      </c>
    </row>
    <row r="1002">
      <c r="A1002" s="20" t="str">
        <f>IF('Classe 2nde'!$B42="","",IF('Classe 2nde'!A42="","",'Classe 2nde'!A42))</f>
        <v/>
      </c>
      <c r="B1002" s="20" t="str">
        <f>IF('Classe 2nde'!$B42="","",IF('Classe 2nde'!B42="","",'Classe 2nde'!B42))</f>
        <v/>
      </c>
      <c r="C1002" s="20" t="str">
        <f>IF('Classe 2nde'!$B42="","",IF('Classe 2nde'!C42="","",'Classe 2nde'!C42))</f>
        <v/>
      </c>
      <c r="D1002" s="20" t="str">
        <f>IF($B1002="","",C1002&amp;" "&amp;B1002&amp;" - "&amp;E1002)</f>
        <v/>
      </c>
      <c r="E1002" s="21" t="str">
        <f>IF($B1002="","",Paramètres!$A$27)</f>
        <v/>
      </c>
      <c r="F1002" s="21" t="str">
        <f>IF($B1002="","",Paramètres!$B$27)</f>
        <v/>
      </c>
      <c r="G1002" s="21" t="str">
        <f>IF('Classe 2nde'!$B42="","",IF('Classe 2nde'!D42="","",'Classe 2nde'!D42))</f>
        <v/>
      </c>
      <c r="H1002" s="77" t="str">
        <f>IF('Classe 2nde'!$B42="","",IF('Classe 2nde'!E42="","",'Classe 2nde'!E42))</f>
        <v/>
      </c>
      <c r="I1002" s="20" t="str">
        <f>IF('Classe 2nde'!$B42="","",IF('Classe 2nde'!F42="","",'Classe 2nde'!F42))</f>
        <v/>
      </c>
      <c r="J1002" s="20" t="str">
        <f>IF('Classe 2nde'!$B42="","",IF('Classe 2nde'!G42="","",'Classe 2nde'!G42))</f>
        <v/>
      </c>
      <c r="K1002" s="51" t="str">
        <f>IF('Classe 2nde'!$B42="","",N('Classe 2nde'!H42))</f>
        <v/>
      </c>
      <c r="L1002" s="51" t="str">
        <f>IF('Classe 2nde'!$B42="","",N('Classe 2nde'!I42))</f>
        <v/>
      </c>
      <c r="M1002" s="51" t="str">
        <f>IF('Classe 2nde'!$B42="","",N('Classe 2nde'!J42))</f>
        <v/>
      </c>
      <c r="N1002" s="51" t="str">
        <f>IF('Classe 2nde'!$B42="","",N('Classe 2nde'!K42))</f>
        <v/>
      </c>
      <c r="O1002" s="51" t="str">
        <f>IF('Classe 2nde'!$B42="","",N('Classe 2nde'!L42))</f>
        <v/>
      </c>
      <c r="P1002" s="51" t="str">
        <f>IF('Classe 2nde'!$B42="","",N('Classe 2nde'!M42))</f>
        <v/>
      </c>
      <c r="Q1002" s="21" t="str">
        <f>IF('Classe 2nde'!$B42="","",IF('Classe 2nde'!Q42="","",'Classe 2nde'!Q42))</f>
        <v/>
      </c>
      <c r="R1002" s="51" t="str">
        <f>IF('Classe 2nde'!$B42="","",N('Classe 2nde'!N42))</f>
        <v/>
      </c>
      <c r="S1002" s="51" t="str">
        <f>IF('Classe 2nde'!$B42="","",N('Classe 2nde'!O42))</f>
        <v/>
      </c>
      <c r="T1002" s="51" t="str">
        <f>IF('Classe 2nde'!$B42="","",N('Classe 2nde'!P42))</f>
        <v/>
      </c>
    </row>
    <row r="1003">
      <c r="A1003" s="16" t="str">
        <f>IF('Classe 2nde'!$B43="","",IF('Classe 2nde'!A43="","",'Classe 2nde'!A43))</f>
        <v/>
      </c>
      <c r="B1003" s="16" t="str">
        <f>IF('Classe 2nde'!$B43="","",IF('Classe 2nde'!B43="","",'Classe 2nde'!B43))</f>
        <v/>
      </c>
      <c r="C1003" s="16" t="str">
        <f>IF('Classe 2nde'!$B43="","",IF('Classe 2nde'!C43="","",'Classe 2nde'!C43))</f>
        <v/>
      </c>
      <c r="D1003" s="16" t="str">
        <f>IF($B1003="","",C1003&amp;" "&amp;B1003&amp;" - "&amp;E1003)</f>
        <v/>
      </c>
      <c r="E1003" s="17" t="str">
        <f>IF($B1003="","",Paramètres!$A$27)</f>
        <v/>
      </c>
      <c r="F1003" s="17" t="str">
        <f>IF($B1003="","",Paramètres!$B$27)</f>
        <v/>
      </c>
      <c r="G1003" s="17" t="str">
        <f>IF('Classe 2nde'!$B43="","",IF('Classe 2nde'!D43="","",'Classe 2nde'!D43))</f>
        <v/>
      </c>
      <c r="H1003" s="78" t="str">
        <f>IF('Classe 2nde'!$B43="","",IF('Classe 2nde'!E43="","",'Classe 2nde'!E43))</f>
        <v/>
      </c>
      <c r="I1003" s="16" t="str">
        <f>IF('Classe 2nde'!$B43="","",IF('Classe 2nde'!F43="","",'Classe 2nde'!F43))</f>
        <v/>
      </c>
      <c r="J1003" s="16" t="str">
        <f>IF('Classe 2nde'!$B43="","",IF('Classe 2nde'!G43="","",'Classe 2nde'!G43))</f>
        <v/>
      </c>
      <c r="K1003" s="18" t="str">
        <f>IF('Classe 2nde'!$B43="","",N('Classe 2nde'!H43))</f>
        <v/>
      </c>
      <c r="L1003" s="18" t="str">
        <f>IF('Classe 2nde'!$B43="","",N('Classe 2nde'!I43))</f>
        <v/>
      </c>
      <c r="M1003" s="18" t="str">
        <f>IF('Classe 2nde'!$B43="","",N('Classe 2nde'!J43))</f>
        <v/>
      </c>
      <c r="N1003" s="18" t="str">
        <f>IF('Classe 2nde'!$B43="","",N('Classe 2nde'!K43))</f>
        <v/>
      </c>
      <c r="O1003" s="18" t="str">
        <f>IF('Classe 2nde'!$B43="","",N('Classe 2nde'!L43))</f>
        <v/>
      </c>
      <c r="P1003" s="18" t="str">
        <f>IF('Classe 2nde'!$B43="","",N('Classe 2nde'!M43))</f>
        <v/>
      </c>
      <c r="Q1003" s="17" t="str">
        <f>IF('Classe 2nde'!$B43="","",IF('Classe 2nde'!Q43="","",'Classe 2nde'!Q43))</f>
        <v/>
      </c>
      <c r="R1003" s="18" t="str">
        <f>IF('Classe 2nde'!$B43="","",N('Classe 2nde'!N43))</f>
        <v/>
      </c>
      <c r="S1003" s="18" t="str">
        <f>IF('Classe 2nde'!$B43="","",N('Classe 2nde'!O43))</f>
        <v/>
      </c>
      <c r="T1003" s="18" t="str">
        <f>IF('Classe 2nde'!$B43="","",N('Classe 2nde'!P43))</f>
        <v/>
      </c>
    </row>
    <row r="1004">
      <c r="A1004" s="20" t="str">
        <f>IF('Classe 2nde'!$B44="","",IF('Classe 2nde'!A44="","",'Classe 2nde'!A44))</f>
        <v/>
      </c>
      <c r="B1004" s="20" t="str">
        <f>IF('Classe 2nde'!$B44="","",IF('Classe 2nde'!B44="","",'Classe 2nde'!B44))</f>
        <v/>
      </c>
      <c r="C1004" s="20" t="str">
        <f>IF('Classe 2nde'!$B44="","",IF('Classe 2nde'!C44="","",'Classe 2nde'!C44))</f>
        <v/>
      </c>
      <c r="D1004" s="20" t="str">
        <f>IF($B1004="","",C1004&amp;" "&amp;B1004&amp;" - "&amp;E1004)</f>
        <v/>
      </c>
      <c r="E1004" s="21" t="str">
        <f>IF($B1004="","",Paramètres!$A$27)</f>
        <v/>
      </c>
      <c r="F1004" s="21" t="str">
        <f>IF($B1004="","",Paramètres!$B$27)</f>
        <v/>
      </c>
      <c r="G1004" s="21" t="str">
        <f>IF('Classe 2nde'!$B44="","",IF('Classe 2nde'!D44="","",'Classe 2nde'!D44))</f>
        <v/>
      </c>
      <c r="H1004" s="77" t="str">
        <f>IF('Classe 2nde'!$B44="","",IF('Classe 2nde'!E44="","",'Classe 2nde'!E44))</f>
        <v/>
      </c>
      <c r="I1004" s="20" t="str">
        <f>IF('Classe 2nde'!$B44="","",IF('Classe 2nde'!F44="","",'Classe 2nde'!F44))</f>
        <v/>
      </c>
      <c r="J1004" s="20" t="str">
        <f>IF('Classe 2nde'!$B44="","",IF('Classe 2nde'!G44="","",'Classe 2nde'!G44))</f>
        <v/>
      </c>
      <c r="K1004" s="51" t="str">
        <f>IF('Classe 2nde'!$B44="","",N('Classe 2nde'!H44))</f>
        <v/>
      </c>
      <c r="L1004" s="51" t="str">
        <f>IF('Classe 2nde'!$B44="","",N('Classe 2nde'!I44))</f>
        <v/>
      </c>
      <c r="M1004" s="51" t="str">
        <f>IF('Classe 2nde'!$B44="","",N('Classe 2nde'!J44))</f>
        <v/>
      </c>
      <c r="N1004" s="51" t="str">
        <f>IF('Classe 2nde'!$B44="","",N('Classe 2nde'!K44))</f>
        <v/>
      </c>
      <c r="O1004" s="51" t="str">
        <f>IF('Classe 2nde'!$B44="","",N('Classe 2nde'!L44))</f>
        <v/>
      </c>
      <c r="P1004" s="51" t="str">
        <f>IF('Classe 2nde'!$B44="","",N('Classe 2nde'!M44))</f>
        <v/>
      </c>
      <c r="Q1004" s="21" t="str">
        <f>IF('Classe 2nde'!$B44="","",IF('Classe 2nde'!Q44="","",'Classe 2nde'!Q44))</f>
        <v/>
      </c>
      <c r="R1004" s="51" t="str">
        <f>IF('Classe 2nde'!$B44="","",N('Classe 2nde'!N44))</f>
        <v/>
      </c>
      <c r="S1004" s="51" t="str">
        <f>IF('Classe 2nde'!$B44="","",N('Classe 2nde'!O44))</f>
        <v/>
      </c>
      <c r="T1004" s="51" t="str">
        <f>IF('Classe 2nde'!$B44="","",N('Classe 2nde'!P44))</f>
        <v/>
      </c>
    </row>
    <row r="1005">
      <c r="A1005" s="16" t="str">
        <f>IF('Classe 2nde'!$B45="","",IF('Classe 2nde'!A45="","",'Classe 2nde'!A45))</f>
        <v/>
      </c>
      <c r="B1005" s="16" t="str">
        <f>IF('Classe 2nde'!$B45="","",IF('Classe 2nde'!B45="","",'Classe 2nde'!B45))</f>
        <v/>
      </c>
      <c r="C1005" s="16" t="str">
        <f>IF('Classe 2nde'!$B45="","",IF('Classe 2nde'!C45="","",'Classe 2nde'!C45))</f>
        <v/>
      </c>
      <c r="D1005" s="16" t="str">
        <f>IF($B1005="","",C1005&amp;" "&amp;B1005&amp;" - "&amp;E1005)</f>
        <v/>
      </c>
      <c r="E1005" s="17" t="str">
        <f>IF($B1005="","",Paramètres!$A$27)</f>
        <v/>
      </c>
      <c r="F1005" s="17" t="str">
        <f>IF($B1005="","",Paramètres!$B$27)</f>
        <v/>
      </c>
      <c r="G1005" s="17" t="str">
        <f>IF('Classe 2nde'!$B45="","",IF('Classe 2nde'!D45="","",'Classe 2nde'!D45))</f>
        <v/>
      </c>
      <c r="H1005" s="78" t="str">
        <f>IF('Classe 2nde'!$B45="","",IF('Classe 2nde'!E45="","",'Classe 2nde'!E45))</f>
        <v/>
      </c>
      <c r="I1005" s="16" t="str">
        <f>IF('Classe 2nde'!$B45="","",IF('Classe 2nde'!F45="","",'Classe 2nde'!F45))</f>
        <v/>
      </c>
      <c r="J1005" s="16" t="str">
        <f>IF('Classe 2nde'!$B45="","",IF('Classe 2nde'!G45="","",'Classe 2nde'!G45))</f>
        <v/>
      </c>
      <c r="K1005" s="18" t="str">
        <f>IF('Classe 2nde'!$B45="","",N('Classe 2nde'!H45))</f>
        <v/>
      </c>
      <c r="L1005" s="18" t="str">
        <f>IF('Classe 2nde'!$B45="","",N('Classe 2nde'!I45))</f>
        <v/>
      </c>
      <c r="M1005" s="18" t="str">
        <f>IF('Classe 2nde'!$B45="","",N('Classe 2nde'!J45))</f>
        <v/>
      </c>
      <c r="N1005" s="18" t="str">
        <f>IF('Classe 2nde'!$B45="","",N('Classe 2nde'!K45))</f>
        <v/>
      </c>
      <c r="O1005" s="18" t="str">
        <f>IF('Classe 2nde'!$B45="","",N('Classe 2nde'!L45))</f>
        <v/>
      </c>
      <c r="P1005" s="18" t="str">
        <f>IF('Classe 2nde'!$B45="","",N('Classe 2nde'!M45))</f>
        <v/>
      </c>
      <c r="Q1005" s="17" t="str">
        <f>IF('Classe 2nde'!$B45="","",IF('Classe 2nde'!Q45="","",'Classe 2nde'!Q45))</f>
        <v/>
      </c>
      <c r="R1005" s="18" t="str">
        <f>IF('Classe 2nde'!$B45="","",N('Classe 2nde'!N45))</f>
        <v/>
      </c>
      <c r="S1005" s="18" t="str">
        <f>IF('Classe 2nde'!$B45="","",N('Classe 2nde'!O45))</f>
        <v/>
      </c>
      <c r="T1005" s="18" t="str">
        <f>IF('Classe 2nde'!$B45="","",N('Classe 2nde'!P45))</f>
        <v/>
      </c>
    </row>
    <row r="1006">
      <c r="A1006" s="20" t="str">
        <f>IF('Classe 2nde'!$B46="","",IF('Classe 2nde'!A46="","",'Classe 2nde'!A46))</f>
        <v/>
      </c>
      <c r="B1006" s="20" t="str">
        <f>IF('Classe 2nde'!$B46="","",IF('Classe 2nde'!B46="","",'Classe 2nde'!B46))</f>
        <v/>
      </c>
      <c r="C1006" s="20" t="str">
        <f>IF('Classe 2nde'!$B46="","",IF('Classe 2nde'!C46="","",'Classe 2nde'!C46))</f>
        <v/>
      </c>
      <c r="D1006" s="20" t="str">
        <f>IF($B1006="","",C1006&amp;" "&amp;B1006&amp;" - "&amp;E1006)</f>
        <v/>
      </c>
      <c r="E1006" s="21" t="str">
        <f>IF($B1006="","",Paramètres!$A$27)</f>
        <v/>
      </c>
      <c r="F1006" s="21" t="str">
        <f>IF($B1006="","",Paramètres!$B$27)</f>
        <v/>
      </c>
      <c r="G1006" s="21" t="str">
        <f>IF('Classe 2nde'!$B46="","",IF('Classe 2nde'!D46="","",'Classe 2nde'!D46))</f>
        <v/>
      </c>
      <c r="H1006" s="77" t="str">
        <f>IF('Classe 2nde'!$B46="","",IF('Classe 2nde'!E46="","",'Classe 2nde'!E46))</f>
        <v/>
      </c>
      <c r="I1006" s="20" t="str">
        <f>IF('Classe 2nde'!$B46="","",IF('Classe 2nde'!F46="","",'Classe 2nde'!F46))</f>
        <v/>
      </c>
      <c r="J1006" s="20" t="str">
        <f>IF('Classe 2nde'!$B46="","",IF('Classe 2nde'!G46="","",'Classe 2nde'!G46))</f>
        <v/>
      </c>
      <c r="K1006" s="51" t="str">
        <f>IF('Classe 2nde'!$B46="","",N('Classe 2nde'!H46))</f>
        <v/>
      </c>
      <c r="L1006" s="51" t="str">
        <f>IF('Classe 2nde'!$B46="","",N('Classe 2nde'!I46))</f>
        <v/>
      </c>
      <c r="M1006" s="51" t="str">
        <f>IF('Classe 2nde'!$B46="","",N('Classe 2nde'!J46))</f>
        <v/>
      </c>
      <c r="N1006" s="51" t="str">
        <f>IF('Classe 2nde'!$B46="","",N('Classe 2nde'!K46))</f>
        <v/>
      </c>
      <c r="O1006" s="51" t="str">
        <f>IF('Classe 2nde'!$B46="","",N('Classe 2nde'!L46))</f>
        <v/>
      </c>
      <c r="P1006" s="51" t="str">
        <f>IF('Classe 2nde'!$B46="","",N('Classe 2nde'!M46))</f>
        <v/>
      </c>
      <c r="Q1006" s="21" t="str">
        <f>IF('Classe 2nde'!$B46="","",IF('Classe 2nde'!Q46="","",'Classe 2nde'!Q46))</f>
        <v/>
      </c>
      <c r="R1006" s="51" t="str">
        <f>IF('Classe 2nde'!$B46="","",N('Classe 2nde'!N46))</f>
        <v/>
      </c>
      <c r="S1006" s="51" t="str">
        <f>IF('Classe 2nde'!$B46="","",N('Classe 2nde'!O46))</f>
        <v/>
      </c>
      <c r="T1006" s="51" t="str">
        <f>IF('Classe 2nde'!$B46="","",N('Classe 2nde'!P46))</f>
        <v/>
      </c>
    </row>
    <row r="1007">
      <c r="A1007" s="16" t="str">
        <f>IF('Classe 2nde'!$B47="","",IF('Classe 2nde'!A47="","",'Classe 2nde'!A47))</f>
        <v/>
      </c>
      <c r="B1007" s="16" t="str">
        <f>IF('Classe 2nde'!$B47="","",IF('Classe 2nde'!B47="","",'Classe 2nde'!B47))</f>
        <v/>
      </c>
      <c r="C1007" s="16" t="str">
        <f>IF('Classe 2nde'!$B47="","",IF('Classe 2nde'!C47="","",'Classe 2nde'!C47))</f>
        <v/>
      </c>
      <c r="D1007" s="16" t="str">
        <f>IF($B1007="","",C1007&amp;" "&amp;B1007&amp;" - "&amp;E1007)</f>
        <v/>
      </c>
      <c r="E1007" s="17" t="str">
        <f>IF($B1007="","",Paramètres!$A$27)</f>
        <v/>
      </c>
      <c r="F1007" s="17" t="str">
        <f>IF($B1007="","",Paramètres!$B$27)</f>
        <v/>
      </c>
      <c r="G1007" s="17" t="str">
        <f>IF('Classe 2nde'!$B47="","",IF('Classe 2nde'!D47="","",'Classe 2nde'!D47))</f>
        <v/>
      </c>
      <c r="H1007" s="78" t="str">
        <f>IF('Classe 2nde'!$B47="","",IF('Classe 2nde'!E47="","",'Classe 2nde'!E47))</f>
        <v/>
      </c>
      <c r="I1007" s="16" t="str">
        <f>IF('Classe 2nde'!$B47="","",IF('Classe 2nde'!F47="","",'Classe 2nde'!F47))</f>
        <v/>
      </c>
      <c r="J1007" s="16" t="str">
        <f>IF('Classe 2nde'!$B47="","",IF('Classe 2nde'!G47="","",'Classe 2nde'!G47))</f>
        <v/>
      </c>
      <c r="K1007" s="18" t="str">
        <f>IF('Classe 2nde'!$B47="","",N('Classe 2nde'!H47))</f>
        <v/>
      </c>
      <c r="L1007" s="18" t="str">
        <f>IF('Classe 2nde'!$B47="","",N('Classe 2nde'!I47))</f>
        <v/>
      </c>
      <c r="M1007" s="18" t="str">
        <f>IF('Classe 2nde'!$B47="","",N('Classe 2nde'!J47))</f>
        <v/>
      </c>
      <c r="N1007" s="18" t="str">
        <f>IF('Classe 2nde'!$B47="","",N('Classe 2nde'!K47))</f>
        <v/>
      </c>
      <c r="O1007" s="18" t="str">
        <f>IF('Classe 2nde'!$B47="","",N('Classe 2nde'!L47))</f>
        <v/>
      </c>
      <c r="P1007" s="18" t="str">
        <f>IF('Classe 2nde'!$B47="","",N('Classe 2nde'!M47))</f>
        <v/>
      </c>
      <c r="Q1007" s="17" t="str">
        <f>IF('Classe 2nde'!$B47="","",IF('Classe 2nde'!Q47="","",'Classe 2nde'!Q47))</f>
        <v/>
      </c>
      <c r="R1007" s="18" t="str">
        <f>IF('Classe 2nde'!$B47="","",N('Classe 2nde'!N47))</f>
        <v/>
      </c>
      <c r="S1007" s="18" t="str">
        <f>IF('Classe 2nde'!$B47="","",N('Classe 2nde'!O47))</f>
        <v/>
      </c>
      <c r="T1007" s="18" t="str">
        <f>IF('Classe 2nde'!$B47="","",N('Classe 2nde'!P47))</f>
        <v/>
      </c>
    </row>
    <row r="1008">
      <c r="A1008" s="20" t="str">
        <f>IF('Classe 2nde'!$B48="","",IF('Classe 2nde'!A48="","",'Classe 2nde'!A48))</f>
        <v/>
      </c>
      <c r="B1008" s="20" t="str">
        <f>IF('Classe 2nde'!$B48="","",IF('Classe 2nde'!B48="","",'Classe 2nde'!B48))</f>
        <v/>
      </c>
      <c r="C1008" s="20" t="str">
        <f>IF('Classe 2nde'!$B48="","",IF('Classe 2nde'!C48="","",'Classe 2nde'!C48))</f>
        <v/>
      </c>
      <c r="D1008" s="20" t="str">
        <f>IF($B1008="","",C1008&amp;" "&amp;B1008&amp;" - "&amp;E1008)</f>
        <v/>
      </c>
      <c r="E1008" s="21" t="str">
        <f>IF($B1008="","",Paramètres!$A$27)</f>
        <v/>
      </c>
      <c r="F1008" s="21" t="str">
        <f>IF($B1008="","",Paramètres!$B$27)</f>
        <v/>
      </c>
      <c r="G1008" s="21" t="str">
        <f>IF('Classe 2nde'!$B48="","",IF('Classe 2nde'!D48="","",'Classe 2nde'!D48))</f>
        <v/>
      </c>
      <c r="H1008" s="77" t="str">
        <f>IF('Classe 2nde'!$B48="","",IF('Classe 2nde'!E48="","",'Classe 2nde'!E48))</f>
        <v/>
      </c>
      <c r="I1008" s="20" t="str">
        <f>IF('Classe 2nde'!$B48="","",IF('Classe 2nde'!F48="","",'Classe 2nde'!F48))</f>
        <v/>
      </c>
      <c r="J1008" s="20" t="str">
        <f>IF('Classe 2nde'!$B48="","",IF('Classe 2nde'!G48="","",'Classe 2nde'!G48))</f>
        <v/>
      </c>
      <c r="K1008" s="51" t="str">
        <f>IF('Classe 2nde'!$B48="","",N('Classe 2nde'!H48))</f>
        <v/>
      </c>
      <c r="L1008" s="51" t="str">
        <f>IF('Classe 2nde'!$B48="","",N('Classe 2nde'!I48))</f>
        <v/>
      </c>
      <c r="M1008" s="51" t="str">
        <f>IF('Classe 2nde'!$B48="","",N('Classe 2nde'!J48))</f>
        <v/>
      </c>
      <c r="N1008" s="51" t="str">
        <f>IF('Classe 2nde'!$B48="","",N('Classe 2nde'!K48))</f>
        <v/>
      </c>
      <c r="O1008" s="51" t="str">
        <f>IF('Classe 2nde'!$B48="","",N('Classe 2nde'!L48))</f>
        <v/>
      </c>
      <c r="P1008" s="51" t="str">
        <f>IF('Classe 2nde'!$B48="","",N('Classe 2nde'!M48))</f>
        <v/>
      </c>
      <c r="Q1008" s="21" t="str">
        <f>IF('Classe 2nde'!$B48="","",IF('Classe 2nde'!Q48="","",'Classe 2nde'!Q48))</f>
        <v/>
      </c>
      <c r="R1008" s="51" t="str">
        <f>IF('Classe 2nde'!$B48="","",N('Classe 2nde'!N48))</f>
        <v/>
      </c>
      <c r="S1008" s="51" t="str">
        <f>IF('Classe 2nde'!$B48="","",N('Classe 2nde'!O48))</f>
        <v/>
      </c>
      <c r="T1008" s="51" t="str">
        <f>IF('Classe 2nde'!$B48="","",N('Classe 2nde'!P48))</f>
        <v/>
      </c>
    </row>
    <row r="1009">
      <c r="A1009" s="16" t="str">
        <f>IF('Classe 2nde'!$B49="","",IF('Classe 2nde'!A49="","",'Classe 2nde'!A49))</f>
        <v/>
      </c>
      <c r="B1009" s="16" t="str">
        <f>IF('Classe 2nde'!$B49="","",IF('Classe 2nde'!B49="","",'Classe 2nde'!B49))</f>
        <v/>
      </c>
      <c r="C1009" s="16" t="str">
        <f>IF('Classe 2nde'!$B49="","",IF('Classe 2nde'!C49="","",'Classe 2nde'!C49))</f>
        <v/>
      </c>
      <c r="D1009" s="16" t="str">
        <f>IF($B1009="","",C1009&amp;" "&amp;B1009&amp;" - "&amp;E1009)</f>
        <v/>
      </c>
      <c r="E1009" s="17" t="str">
        <f>IF($B1009="","",Paramètres!$A$27)</f>
        <v/>
      </c>
      <c r="F1009" s="17" t="str">
        <f>IF($B1009="","",Paramètres!$B$27)</f>
        <v/>
      </c>
      <c r="G1009" s="17" t="str">
        <f>IF('Classe 2nde'!$B49="","",IF('Classe 2nde'!D49="","",'Classe 2nde'!D49))</f>
        <v/>
      </c>
      <c r="H1009" s="78" t="str">
        <f>IF('Classe 2nde'!$B49="","",IF('Classe 2nde'!E49="","",'Classe 2nde'!E49))</f>
        <v/>
      </c>
      <c r="I1009" s="16" t="str">
        <f>IF('Classe 2nde'!$B49="","",IF('Classe 2nde'!F49="","",'Classe 2nde'!F49))</f>
        <v/>
      </c>
      <c r="J1009" s="16" t="str">
        <f>IF('Classe 2nde'!$B49="","",IF('Classe 2nde'!G49="","",'Classe 2nde'!G49))</f>
        <v/>
      </c>
      <c r="K1009" s="18" t="str">
        <f>IF('Classe 2nde'!$B49="","",N('Classe 2nde'!H49))</f>
        <v/>
      </c>
      <c r="L1009" s="18" t="str">
        <f>IF('Classe 2nde'!$B49="","",N('Classe 2nde'!I49))</f>
        <v/>
      </c>
      <c r="M1009" s="18" t="str">
        <f>IF('Classe 2nde'!$B49="","",N('Classe 2nde'!J49))</f>
        <v/>
      </c>
      <c r="N1009" s="18" t="str">
        <f>IF('Classe 2nde'!$B49="","",N('Classe 2nde'!K49))</f>
        <v/>
      </c>
      <c r="O1009" s="18" t="str">
        <f>IF('Classe 2nde'!$B49="","",N('Classe 2nde'!L49))</f>
        <v/>
      </c>
      <c r="P1009" s="18" t="str">
        <f>IF('Classe 2nde'!$B49="","",N('Classe 2nde'!M49))</f>
        <v/>
      </c>
      <c r="Q1009" s="17" t="str">
        <f>IF('Classe 2nde'!$B49="","",IF('Classe 2nde'!Q49="","",'Classe 2nde'!Q49))</f>
        <v/>
      </c>
      <c r="R1009" s="18" t="str">
        <f>IF('Classe 2nde'!$B49="","",N('Classe 2nde'!N49))</f>
        <v/>
      </c>
      <c r="S1009" s="18" t="str">
        <f>IF('Classe 2nde'!$B49="","",N('Classe 2nde'!O49))</f>
        <v/>
      </c>
      <c r="T1009" s="18" t="str">
        <f>IF('Classe 2nde'!$B49="","",N('Classe 2nde'!P49))</f>
        <v/>
      </c>
    </row>
    <row r="1010">
      <c r="A1010" s="20" t="str">
        <f>IF('Classe 2nde'!$B50="","",IF('Classe 2nde'!A50="","",'Classe 2nde'!A50))</f>
        <v/>
      </c>
      <c r="B1010" s="20" t="str">
        <f>IF('Classe 2nde'!$B50="","",IF('Classe 2nde'!B50="","",'Classe 2nde'!B50))</f>
        <v/>
      </c>
      <c r="C1010" s="20" t="str">
        <f>IF('Classe 2nde'!$B50="","",IF('Classe 2nde'!C50="","",'Classe 2nde'!C50))</f>
        <v/>
      </c>
      <c r="D1010" s="20" t="str">
        <f>IF($B1010="","",C1010&amp;" "&amp;B1010&amp;" - "&amp;E1010)</f>
        <v/>
      </c>
      <c r="E1010" s="21" t="str">
        <f>IF($B1010="","",Paramètres!$A$27)</f>
        <v/>
      </c>
      <c r="F1010" s="21" t="str">
        <f>IF($B1010="","",Paramètres!$B$27)</f>
        <v/>
      </c>
      <c r="G1010" s="21" t="str">
        <f>IF('Classe 2nde'!$B50="","",IF('Classe 2nde'!D50="","",'Classe 2nde'!D50))</f>
        <v/>
      </c>
      <c r="H1010" s="77" t="str">
        <f>IF('Classe 2nde'!$B50="","",IF('Classe 2nde'!E50="","",'Classe 2nde'!E50))</f>
        <v/>
      </c>
      <c r="I1010" s="20" t="str">
        <f>IF('Classe 2nde'!$B50="","",IF('Classe 2nde'!F50="","",'Classe 2nde'!F50))</f>
        <v/>
      </c>
      <c r="J1010" s="20" t="str">
        <f>IF('Classe 2nde'!$B50="","",IF('Classe 2nde'!G50="","",'Classe 2nde'!G50))</f>
        <v/>
      </c>
      <c r="K1010" s="51" t="str">
        <f>IF('Classe 2nde'!$B50="","",N('Classe 2nde'!H50))</f>
        <v/>
      </c>
      <c r="L1010" s="51" t="str">
        <f>IF('Classe 2nde'!$B50="","",N('Classe 2nde'!I50))</f>
        <v/>
      </c>
      <c r="M1010" s="51" t="str">
        <f>IF('Classe 2nde'!$B50="","",N('Classe 2nde'!J50))</f>
        <v/>
      </c>
      <c r="N1010" s="51" t="str">
        <f>IF('Classe 2nde'!$B50="","",N('Classe 2nde'!K50))</f>
        <v/>
      </c>
      <c r="O1010" s="51" t="str">
        <f>IF('Classe 2nde'!$B50="","",N('Classe 2nde'!L50))</f>
        <v/>
      </c>
      <c r="P1010" s="51" t="str">
        <f>IF('Classe 2nde'!$B50="","",N('Classe 2nde'!M50))</f>
        <v/>
      </c>
      <c r="Q1010" s="21" t="str">
        <f>IF('Classe 2nde'!$B50="","",IF('Classe 2nde'!Q50="","",'Classe 2nde'!Q50))</f>
        <v/>
      </c>
      <c r="R1010" s="51" t="str">
        <f>IF('Classe 2nde'!$B50="","",N('Classe 2nde'!N50))</f>
        <v/>
      </c>
      <c r="S1010" s="51" t="str">
        <f>IF('Classe 2nde'!$B50="","",N('Classe 2nde'!O50))</f>
        <v/>
      </c>
      <c r="T1010" s="51" t="str">
        <f>IF('Classe 2nde'!$B50="","",N('Classe 2nde'!P50))</f>
        <v/>
      </c>
    </row>
    <row r="1011">
      <c r="A1011" s="16" t="str">
        <f>IF('Classe 2nde'!$B51="","",IF('Classe 2nde'!A51="","",'Classe 2nde'!A51))</f>
        <v/>
      </c>
      <c r="B1011" s="16" t="str">
        <f>IF('Classe 2nde'!$B51="","",IF('Classe 2nde'!B51="","",'Classe 2nde'!B51))</f>
        <v/>
      </c>
      <c r="C1011" s="16" t="str">
        <f>IF('Classe 2nde'!$B51="","",IF('Classe 2nde'!C51="","",'Classe 2nde'!C51))</f>
        <v/>
      </c>
      <c r="D1011" s="16" t="str">
        <f>IF($B1011="","",C1011&amp;" "&amp;B1011&amp;" - "&amp;E1011)</f>
        <v/>
      </c>
      <c r="E1011" s="17" t="str">
        <f>IF($B1011="","",Paramètres!$A$27)</f>
        <v/>
      </c>
      <c r="F1011" s="17" t="str">
        <f>IF($B1011="","",Paramètres!$B$27)</f>
        <v/>
      </c>
      <c r="G1011" s="17" t="str">
        <f>IF('Classe 2nde'!$B51="","",IF('Classe 2nde'!D51="","",'Classe 2nde'!D51))</f>
        <v/>
      </c>
      <c r="H1011" s="78" t="str">
        <f>IF('Classe 2nde'!$B51="","",IF('Classe 2nde'!E51="","",'Classe 2nde'!E51))</f>
        <v/>
      </c>
      <c r="I1011" s="16" t="str">
        <f>IF('Classe 2nde'!$B51="","",IF('Classe 2nde'!F51="","",'Classe 2nde'!F51))</f>
        <v/>
      </c>
      <c r="J1011" s="16" t="str">
        <f>IF('Classe 2nde'!$B51="","",IF('Classe 2nde'!G51="","",'Classe 2nde'!G51))</f>
        <v/>
      </c>
      <c r="K1011" s="18" t="str">
        <f>IF('Classe 2nde'!$B51="","",N('Classe 2nde'!H51))</f>
        <v/>
      </c>
      <c r="L1011" s="18" t="str">
        <f>IF('Classe 2nde'!$B51="","",N('Classe 2nde'!I51))</f>
        <v/>
      </c>
      <c r="M1011" s="18" t="str">
        <f>IF('Classe 2nde'!$B51="","",N('Classe 2nde'!J51))</f>
        <v/>
      </c>
      <c r="N1011" s="18" t="str">
        <f>IF('Classe 2nde'!$B51="","",N('Classe 2nde'!K51))</f>
        <v/>
      </c>
      <c r="O1011" s="18" t="str">
        <f>IF('Classe 2nde'!$B51="","",N('Classe 2nde'!L51))</f>
        <v/>
      </c>
      <c r="P1011" s="18" t="str">
        <f>IF('Classe 2nde'!$B51="","",N('Classe 2nde'!M51))</f>
        <v/>
      </c>
      <c r="Q1011" s="17" t="str">
        <f>IF('Classe 2nde'!$B51="","",IF('Classe 2nde'!Q51="","",'Classe 2nde'!Q51))</f>
        <v/>
      </c>
      <c r="R1011" s="18" t="str">
        <f>IF('Classe 2nde'!$B51="","",N('Classe 2nde'!N51))</f>
        <v/>
      </c>
      <c r="S1011" s="18" t="str">
        <f>IF('Classe 2nde'!$B51="","",N('Classe 2nde'!O51))</f>
        <v/>
      </c>
      <c r="T1011" s="18" t="str">
        <f>IF('Classe 2nde'!$B51="","",N('Classe 2nde'!P51))</f>
        <v/>
      </c>
    </row>
    <row r="1012">
      <c r="A1012" s="20" t="str">
        <f>IF('Classe 2nde'!$B52="","",IF('Classe 2nde'!A52="","",'Classe 2nde'!A52))</f>
        <v/>
      </c>
      <c r="B1012" s="20" t="str">
        <f>IF('Classe 2nde'!$B52="","",IF('Classe 2nde'!B52="","",'Classe 2nde'!B52))</f>
        <v/>
      </c>
      <c r="C1012" s="20" t="str">
        <f>IF('Classe 2nde'!$B52="","",IF('Classe 2nde'!C52="","",'Classe 2nde'!C52))</f>
        <v/>
      </c>
      <c r="D1012" s="20" t="str">
        <f>IF($B1012="","",C1012&amp;" "&amp;B1012&amp;" - "&amp;E1012)</f>
        <v/>
      </c>
      <c r="E1012" s="21" t="str">
        <f>IF($B1012="","",Paramètres!$A$27)</f>
        <v/>
      </c>
      <c r="F1012" s="21" t="str">
        <f>IF($B1012="","",Paramètres!$B$27)</f>
        <v/>
      </c>
      <c r="G1012" s="21" t="str">
        <f>IF('Classe 2nde'!$B52="","",IF('Classe 2nde'!D52="","",'Classe 2nde'!D52))</f>
        <v/>
      </c>
      <c r="H1012" s="77" t="str">
        <f>IF('Classe 2nde'!$B52="","",IF('Classe 2nde'!E52="","",'Classe 2nde'!E52))</f>
        <v/>
      </c>
      <c r="I1012" s="20" t="str">
        <f>IF('Classe 2nde'!$B52="","",IF('Classe 2nde'!F52="","",'Classe 2nde'!F52))</f>
        <v/>
      </c>
      <c r="J1012" s="20" t="str">
        <f>IF('Classe 2nde'!$B52="","",IF('Classe 2nde'!G52="","",'Classe 2nde'!G52))</f>
        <v/>
      </c>
      <c r="K1012" s="51" t="str">
        <f>IF('Classe 2nde'!$B52="","",N('Classe 2nde'!H52))</f>
        <v/>
      </c>
      <c r="L1012" s="51" t="str">
        <f>IF('Classe 2nde'!$B52="","",N('Classe 2nde'!I52))</f>
        <v/>
      </c>
      <c r="M1012" s="51" t="str">
        <f>IF('Classe 2nde'!$B52="","",N('Classe 2nde'!J52))</f>
        <v/>
      </c>
      <c r="N1012" s="51" t="str">
        <f>IF('Classe 2nde'!$B52="","",N('Classe 2nde'!K52))</f>
        <v/>
      </c>
      <c r="O1012" s="51" t="str">
        <f>IF('Classe 2nde'!$B52="","",N('Classe 2nde'!L52))</f>
        <v/>
      </c>
      <c r="P1012" s="51" t="str">
        <f>IF('Classe 2nde'!$B52="","",N('Classe 2nde'!M52))</f>
        <v/>
      </c>
      <c r="Q1012" s="21" t="str">
        <f>IF('Classe 2nde'!$B52="","",IF('Classe 2nde'!Q52="","",'Classe 2nde'!Q52))</f>
        <v/>
      </c>
      <c r="R1012" s="51" t="str">
        <f>IF('Classe 2nde'!$B52="","",N('Classe 2nde'!N52))</f>
        <v/>
      </c>
      <c r="S1012" s="51" t="str">
        <f>IF('Classe 2nde'!$B52="","",N('Classe 2nde'!O52))</f>
        <v/>
      </c>
      <c r="T1012" s="51" t="str">
        <f>IF('Classe 2nde'!$B52="","",N('Classe 2nde'!P52))</f>
        <v/>
      </c>
    </row>
    <row r="1013">
      <c r="A1013" s="16" t="str">
        <f>IF('Classe 2nde'!$B53="","",IF('Classe 2nde'!A53="","",'Classe 2nde'!A53))</f>
        <v/>
      </c>
      <c r="B1013" s="16" t="str">
        <f>IF('Classe 2nde'!$B53="","",IF('Classe 2nde'!B53="","",'Classe 2nde'!B53))</f>
        <v/>
      </c>
      <c r="C1013" s="16" t="str">
        <f>IF('Classe 2nde'!$B53="","",IF('Classe 2nde'!C53="","",'Classe 2nde'!C53))</f>
        <v/>
      </c>
      <c r="D1013" s="16" t="str">
        <f>IF($B1013="","",C1013&amp;" "&amp;B1013&amp;" - "&amp;E1013)</f>
        <v/>
      </c>
      <c r="E1013" s="17" t="str">
        <f>IF($B1013="","",Paramètres!$A$27)</f>
        <v/>
      </c>
      <c r="F1013" s="17" t="str">
        <f>IF($B1013="","",Paramètres!$B$27)</f>
        <v/>
      </c>
      <c r="G1013" s="17" t="str">
        <f>IF('Classe 2nde'!$B53="","",IF('Classe 2nde'!D53="","",'Classe 2nde'!D53))</f>
        <v/>
      </c>
      <c r="H1013" s="78" t="str">
        <f>IF('Classe 2nde'!$B53="","",IF('Classe 2nde'!E53="","",'Classe 2nde'!E53))</f>
        <v/>
      </c>
      <c r="I1013" s="16" t="str">
        <f>IF('Classe 2nde'!$B53="","",IF('Classe 2nde'!F53="","",'Classe 2nde'!F53))</f>
        <v/>
      </c>
      <c r="J1013" s="16" t="str">
        <f>IF('Classe 2nde'!$B53="","",IF('Classe 2nde'!G53="","",'Classe 2nde'!G53))</f>
        <v/>
      </c>
      <c r="K1013" s="18" t="str">
        <f>IF('Classe 2nde'!$B53="","",N('Classe 2nde'!H53))</f>
        <v/>
      </c>
      <c r="L1013" s="18" t="str">
        <f>IF('Classe 2nde'!$B53="","",N('Classe 2nde'!I53))</f>
        <v/>
      </c>
      <c r="M1013" s="18" t="str">
        <f>IF('Classe 2nde'!$B53="","",N('Classe 2nde'!J53))</f>
        <v/>
      </c>
      <c r="N1013" s="18" t="str">
        <f>IF('Classe 2nde'!$B53="","",N('Classe 2nde'!K53))</f>
        <v/>
      </c>
      <c r="O1013" s="18" t="str">
        <f>IF('Classe 2nde'!$B53="","",N('Classe 2nde'!L53))</f>
        <v/>
      </c>
      <c r="P1013" s="18" t="str">
        <f>IF('Classe 2nde'!$B53="","",N('Classe 2nde'!M53))</f>
        <v/>
      </c>
      <c r="Q1013" s="17" t="str">
        <f>IF('Classe 2nde'!$B53="","",IF('Classe 2nde'!Q53="","",'Classe 2nde'!Q53))</f>
        <v/>
      </c>
      <c r="R1013" s="18" t="str">
        <f>IF('Classe 2nde'!$B53="","",N('Classe 2nde'!N53))</f>
        <v/>
      </c>
      <c r="S1013" s="18" t="str">
        <f>IF('Classe 2nde'!$B53="","",N('Classe 2nde'!O53))</f>
        <v/>
      </c>
      <c r="T1013" s="18" t="str">
        <f>IF('Classe 2nde'!$B53="","",N('Classe 2nde'!P53))</f>
        <v/>
      </c>
    </row>
    <row r="1014">
      <c r="A1014" s="20" t="str">
        <f>IF('Classe 2nde'!$B54="","",IF('Classe 2nde'!A54="","",'Classe 2nde'!A54))</f>
        <v/>
      </c>
      <c r="B1014" s="20" t="str">
        <f>IF('Classe 2nde'!$B54="","",IF('Classe 2nde'!B54="","",'Classe 2nde'!B54))</f>
        <v/>
      </c>
      <c r="C1014" s="20" t="str">
        <f>IF('Classe 2nde'!$B54="","",IF('Classe 2nde'!C54="","",'Classe 2nde'!C54))</f>
        <v/>
      </c>
      <c r="D1014" s="20" t="str">
        <f>IF($B1014="","",C1014&amp;" "&amp;B1014&amp;" - "&amp;E1014)</f>
        <v/>
      </c>
      <c r="E1014" s="21" t="str">
        <f>IF($B1014="","",Paramètres!$A$27)</f>
        <v/>
      </c>
      <c r="F1014" s="21" t="str">
        <f>IF($B1014="","",Paramètres!$B$27)</f>
        <v/>
      </c>
      <c r="G1014" s="21" t="str">
        <f>IF('Classe 2nde'!$B54="","",IF('Classe 2nde'!D54="","",'Classe 2nde'!D54))</f>
        <v/>
      </c>
      <c r="H1014" s="77" t="str">
        <f>IF('Classe 2nde'!$B54="","",IF('Classe 2nde'!E54="","",'Classe 2nde'!E54))</f>
        <v/>
      </c>
      <c r="I1014" s="20" t="str">
        <f>IF('Classe 2nde'!$B54="","",IF('Classe 2nde'!F54="","",'Classe 2nde'!F54))</f>
        <v/>
      </c>
      <c r="J1014" s="20" t="str">
        <f>IF('Classe 2nde'!$B54="","",IF('Classe 2nde'!G54="","",'Classe 2nde'!G54))</f>
        <v/>
      </c>
      <c r="K1014" s="51" t="str">
        <f>IF('Classe 2nde'!$B54="","",N('Classe 2nde'!H54))</f>
        <v/>
      </c>
      <c r="L1014" s="51" t="str">
        <f>IF('Classe 2nde'!$B54="","",N('Classe 2nde'!I54))</f>
        <v/>
      </c>
      <c r="M1014" s="51" t="str">
        <f>IF('Classe 2nde'!$B54="","",N('Classe 2nde'!J54))</f>
        <v/>
      </c>
      <c r="N1014" s="51" t="str">
        <f>IF('Classe 2nde'!$B54="","",N('Classe 2nde'!K54))</f>
        <v/>
      </c>
      <c r="O1014" s="51" t="str">
        <f>IF('Classe 2nde'!$B54="","",N('Classe 2nde'!L54))</f>
        <v/>
      </c>
      <c r="P1014" s="51" t="str">
        <f>IF('Classe 2nde'!$B54="","",N('Classe 2nde'!M54))</f>
        <v/>
      </c>
      <c r="Q1014" s="21" t="str">
        <f>IF('Classe 2nde'!$B54="","",IF('Classe 2nde'!Q54="","",'Classe 2nde'!Q54))</f>
        <v/>
      </c>
      <c r="R1014" s="51" t="str">
        <f>IF('Classe 2nde'!$B54="","",N('Classe 2nde'!N54))</f>
        <v/>
      </c>
      <c r="S1014" s="51" t="str">
        <f>IF('Classe 2nde'!$B54="","",N('Classe 2nde'!O54))</f>
        <v/>
      </c>
      <c r="T1014" s="51" t="str">
        <f>IF('Classe 2nde'!$B54="","",N('Classe 2nde'!P54))</f>
        <v/>
      </c>
    </row>
    <row r="1015">
      <c r="A1015" s="16" t="str">
        <f>IF('Classe 2nde'!$B55="","",IF('Classe 2nde'!A55="","",'Classe 2nde'!A55))</f>
        <v/>
      </c>
      <c r="B1015" s="16" t="str">
        <f>IF('Classe 2nde'!$B55="","",IF('Classe 2nde'!B55="","",'Classe 2nde'!B55))</f>
        <v/>
      </c>
      <c r="C1015" s="16" t="str">
        <f>IF('Classe 2nde'!$B55="","",IF('Classe 2nde'!C55="","",'Classe 2nde'!C55))</f>
        <v/>
      </c>
      <c r="D1015" s="16" t="str">
        <f>IF($B1015="","",C1015&amp;" "&amp;B1015&amp;" - "&amp;E1015)</f>
        <v/>
      </c>
      <c r="E1015" s="17" t="str">
        <f>IF($B1015="","",Paramètres!$A$27)</f>
        <v/>
      </c>
      <c r="F1015" s="17" t="str">
        <f>IF($B1015="","",Paramètres!$B$27)</f>
        <v/>
      </c>
      <c r="G1015" s="17" t="str">
        <f>IF('Classe 2nde'!$B55="","",IF('Classe 2nde'!D55="","",'Classe 2nde'!D55))</f>
        <v/>
      </c>
      <c r="H1015" s="78" t="str">
        <f>IF('Classe 2nde'!$B55="","",IF('Classe 2nde'!E55="","",'Classe 2nde'!E55))</f>
        <v/>
      </c>
      <c r="I1015" s="16" t="str">
        <f>IF('Classe 2nde'!$B55="","",IF('Classe 2nde'!F55="","",'Classe 2nde'!F55))</f>
        <v/>
      </c>
      <c r="J1015" s="16" t="str">
        <f>IF('Classe 2nde'!$B55="","",IF('Classe 2nde'!G55="","",'Classe 2nde'!G55))</f>
        <v/>
      </c>
      <c r="K1015" s="18" t="str">
        <f>IF('Classe 2nde'!$B55="","",N('Classe 2nde'!H55))</f>
        <v/>
      </c>
      <c r="L1015" s="18" t="str">
        <f>IF('Classe 2nde'!$B55="","",N('Classe 2nde'!I55))</f>
        <v/>
      </c>
      <c r="M1015" s="18" t="str">
        <f>IF('Classe 2nde'!$B55="","",N('Classe 2nde'!J55))</f>
        <v/>
      </c>
      <c r="N1015" s="18" t="str">
        <f>IF('Classe 2nde'!$B55="","",N('Classe 2nde'!K55))</f>
        <v/>
      </c>
      <c r="O1015" s="18" t="str">
        <f>IF('Classe 2nde'!$B55="","",N('Classe 2nde'!L55))</f>
        <v/>
      </c>
      <c r="P1015" s="18" t="str">
        <f>IF('Classe 2nde'!$B55="","",N('Classe 2nde'!M55))</f>
        <v/>
      </c>
      <c r="Q1015" s="17" t="str">
        <f>IF('Classe 2nde'!$B55="","",IF('Classe 2nde'!Q55="","",'Classe 2nde'!Q55))</f>
        <v/>
      </c>
      <c r="R1015" s="18" t="str">
        <f>IF('Classe 2nde'!$B55="","",N('Classe 2nde'!N55))</f>
        <v/>
      </c>
      <c r="S1015" s="18" t="str">
        <f>IF('Classe 2nde'!$B55="","",N('Classe 2nde'!O55))</f>
        <v/>
      </c>
      <c r="T1015" s="18" t="str">
        <f>IF('Classe 2nde'!$B55="","",N('Classe 2nde'!P55))</f>
        <v/>
      </c>
    </row>
    <row r="1016">
      <c r="A1016" s="20" t="str">
        <f>IF('Classe 2nde'!$B56="","",IF('Classe 2nde'!A56="","",'Classe 2nde'!A56))</f>
        <v/>
      </c>
      <c r="B1016" s="20" t="str">
        <f>IF('Classe 2nde'!$B56="","",IF('Classe 2nde'!B56="","",'Classe 2nde'!B56))</f>
        <v/>
      </c>
      <c r="C1016" s="20" t="str">
        <f>IF('Classe 2nde'!$B56="","",IF('Classe 2nde'!C56="","",'Classe 2nde'!C56))</f>
        <v/>
      </c>
      <c r="D1016" s="20" t="str">
        <f>IF($B1016="","",C1016&amp;" "&amp;B1016&amp;" - "&amp;E1016)</f>
        <v/>
      </c>
      <c r="E1016" s="21" t="str">
        <f>IF($B1016="","",Paramètres!$A$27)</f>
        <v/>
      </c>
      <c r="F1016" s="21" t="str">
        <f>IF($B1016="","",Paramètres!$B$27)</f>
        <v/>
      </c>
      <c r="G1016" s="21" t="str">
        <f>IF('Classe 2nde'!$B56="","",IF('Classe 2nde'!D56="","",'Classe 2nde'!D56))</f>
        <v/>
      </c>
      <c r="H1016" s="77" t="str">
        <f>IF('Classe 2nde'!$B56="","",IF('Classe 2nde'!E56="","",'Classe 2nde'!E56))</f>
        <v/>
      </c>
      <c r="I1016" s="20" t="str">
        <f>IF('Classe 2nde'!$B56="","",IF('Classe 2nde'!F56="","",'Classe 2nde'!F56))</f>
        <v/>
      </c>
      <c r="J1016" s="20" t="str">
        <f>IF('Classe 2nde'!$B56="","",IF('Classe 2nde'!G56="","",'Classe 2nde'!G56))</f>
        <v/>
      </c>
      <c r="K1016" s="51" t="str">
        <f>IF('Classe 2nde'!$B56="","",N('Classe 2nde'!H56))</f>
        <v/>
      </c>
      <c r="L1016" s="51" t="str">
        <f>IF('Classe 2nde'!$B56="","",N('Classe 2nde'!I56))</f>
        <v/>
      </c>
      <c r="M1016" s="51" t="str">
        <f>IF('Classe 2nde'!$B56="","",N('Classe 2nde'!J56))</f>
        <v/>
      </c>
      <c r="N1016" s="51" t="str">
        <f>IF('Classe 2nde'!$B56="","",N('Classe 2nde'!K56))</f>
        <v/>
      </c>
      <c r="O1016" s="51" t="str">
        <f>IF('Classe 2nde'!$B56="","",N('Classe 2nde'!L56))</f>
        <v/>
      </c>
      <c r="P1016" s="51" t="str">
        <f>IF('Classe 2nde'!$B56="","",N('Classe 2nde'!M56))</f>
        <v/>
      </c>
      <c r="Q1016" s="21" t="str">
        <f>IF('Classe 2nde'!$B56="","",IF('Classe 2nde'!Q56="","",'Classe 2nde'!Q56))</f>
        <v/>
      </c>
      <c r="R1016" s="51" t="str">
        <f>IF('Classe 2nde'!$B56="","",N('Classe 2nde'!N56))</f>
        <v/>
      </c>
      <c r="S1016" s="51" t="str">
        <f>IF('Classe 2nde'!$B56="","",N('Classe 2nde'!O56))</f>
        <v/>
      </c>
      <c r="T1016" s="51" t="str">
        <f>IF('Classe 2nde'!$B56="","",N('Classe 2nde'!P56))</f>
        <v/>
      </c>
    </row>
    <row r="1017">
      <c r="A1017" s="16" t="str">
        <f>IF('Classe 2nde'!$B57="","",IF('Classe 2nde'!A57="","",'Classe 2nde'!A57))</f>
        <v/>
      </c>
      <c r="B1017" s="16" t="str">
        <f>IF('Classe 2nde'!$B57="","",IF('Classe 2nde'!B57="","",'Classe 2nde'!B57))</f>
        <v/>
      </c>
      <c r="C1017" s="16" t="str">
        <f>IF('Classe 2nde'!$B57="","",IF('Classe 2nde'!C57="","",'Classe 2nde'!C57))</f>
        <v/>
      </c>
      <c r="D1017" s="16" t="str">
        <f>IF($B1017="","",C1017&amp;" "&amp;B1017&amp;" - "&amp;E1017)</f>
        <v/>
      </c>
      <c r="E1017" s="17" t="str">
        <f>IF($B1017="","",Paramètres!$A$27)</f>
        <v/>
      </c>
      <c r="F1017" s="17" t="str">
        <f>IF($B1017="","",Paramètres!$B$27)</f>
        <v/>
      </c>
      <c r="G1017" s="17" t="str">
        <f>IF('Classe 2nde'!$B57="","",IF('Classe 2nde'!D57="","",'Classe 2nde'!D57))</f>
        <v/>
      </c>
      <c r="H1017" s="78" t="str">
        <f>IF('Classe 2nde'!$B57="","",IF('Classe 2nde'!E57="","",'Classe 2nde'!E57))</f>
        <v/>
      </c>
      <c r="I1017" s="16" t="str">
        <f>IF('Classe 2nde'!$B57="","",IF('Classe 2nde'!F57="","",'Classe 2nde'!F57))</f>
        <v/>
      </c>
      <c r="J1017" s="16" t="str">
        <f>IF('Classe 2nde'!$B57="","",IF('Classe 2nde'!G57="","",'Classe 2nde'!G57))</f>
        <v/>
      </c>
      <c r="K1017" s="18" t="str">
        <f>IF('Classe 2nde'!$B57="","",N('Classe 2nde'!H57))</f>
        <v/>
      </c>
      <c r="L1017" s="18" t="str">
        <f>IF('Classe 2nde'!$B57="","",N('Classe 2nde'!I57))</f>
        <v/>
      </c>
      <c r="M1017" s="18" t="str">
        <f>IF('Classe 2nde'!$B57="","",N('Classe 2nde'!J57))</f>
        <v/>
      </c>
      <c r="N1017" s="18" t="str">
        <f>IF('Classe 2nde'!$B57="","",N('Classe 2nde'!K57))</f>
        <v/>
      </c>
      <c r="O1017" s="18" t="str">
        <f>IF('Classe 2nde'!$B57="","",N('Classe 2nde'!L57))</f>
        <v/>
      </c>
      <c r="P1017" s="18" t="str">
        <f>IF('Classe 2nde'!$B57="","",N('Classe 2nde'!M57))</f>
        <v/>
      </c>
      <c r="Q1017" s="17" t="str">
        <f>IF('Classe 2nde'!$B57="","",IF('Classe 2nde'!Q57="","",'Classe 2nde'!Q57))</f>
        <v/>
      </c>
      <c r="R1017" s="18" t="str">
        <f>IF('Classe 2nde'!$B57="","",N('Classe 2nde'!N57))</f>
        <v/>
      </c>
      <c r="S1017" s="18" t="str">
        <f>IF('Classe 2nde'!$B57="","",N('Classe 2nde'!O57))</f>
        <v/>
      </c>
      <c r="T1017" s="18" t="str">
        <f>IF('Classe 2nde'!$B57="","",N('Classe 2nde'!P57))</f>
        <v/>
      </c>
    </row>
    <row r="1018">
      <c r="A1018" s="20" t="str">
        <f>IF('Classe 2nde'!$B58="","",IF('Classe 2nde'!A58="","",'Classe 2nde'!A58))</f>
        <v/>
      </c>
      <c r="B1018" s="20" t="str">
        <f>IF('Classe 2nde'!$B58="","",IF('Classe 2nde'!B58="","",'Classe 2nde'!B58))</f>
        <v/>
      </c>
      <c r="C1018" s="20" t="str">
        <f>IF('Classe 2nde'!$B58="","",IF('Classe 2nde'!C58="","",'Classe 2nde'!C58))</f>
        <v/>
      </c>
      <c r="D1018" s="20" t="str">
        <f>IF($B1018="","",C1018&amp;" "&amp;B1018&amp;" - "&amp;E1018)</f>
        <v/>
      </c>
      <c r="E1018" s="21" t="str">
        <f>IF($B1018="","",Paramètres!$A$27)</f>
        <v/>
      </c>
      <c r="F1018" s="21" t="str">
        <f>IF($B1018="","",Paramètres!$B$27)</f>
        <v/>
      </c>
      <c r="G1018" s="21" t="str">
        <f>IF('Classe 2nde'!$B58="","",IF('Classe 2nde'!D58="","",'Classe 2nde'!D58))</f>
        <v/>
      </c>
      <c r="H1018" s="77" t="str">
        <f>IF('Classe 2nde'!$B58="","",IF('Classe 2nde'!E58="","",'Classe 2nde'!E58))</f>
        <v/>
      </c>
      <c r="I1018" s="20" t="str">
        <f>IF('Classe 2nde'!$B58="","",IF('Classe 2nde'!F58="","",'Classe 2nde'!F58))</f>
        <v/>
      </c>
      <c r="J1018" s="20" t="str">
        <f>IF('Classe 2nde'!$B58="","",IF('Classe 2nde'!G58="","",'Classe 2nde'!G58))</f>
        <v/>
      </c>
      <c r="K1018" s="51" t="str">
        <f>IF('Classe 2nde'!$B58="","",N('Classe 2nde'!H58))</f>
        <v/>
      </c>
      <c r="L1018" s="51" t="str">
        <f>IF('Classe 2nde'!$B58="","",N('Classe 2nde'!I58))</f>
        <v/>
      </c>
      <c r="M1018" s="51" t="str">
        <f>IF('Classe 2nde'!$B58="","",N('Classe 2nde'!J58))</f>
        <v/>
      </c>
      <c r="N1018" s="51" t="str">
        <f>IF('Classe 2nde'!$B58="","",N('Classe 2nde'!K58))</f>
        <v/>
      </c>
      <c r="O1018" s="51" t="str">
        <f>IF('Classe 2nde'!$B58="","",N('Classe 2nde'!L58))</f>
        <v/>
      </c>
      <c r="P1018" s="51" t="str">
        <f>IF('Classe 2nde'!$B58="","",N('Classe 2nde'!M58))</f>
        <v/>
      </c>
      <c r="Q1018" s="21" t="str">
        <f>IF('Classe 2nde'!$B58="","",IF('Classe 2nde'!Q58="","",'Classe 2nde'!Q58))</f>
        <v/>
      </c>
      <c r="R1018" s="51" t="str">
        <f>IF('Classe 2nde'!$B58="","",N('Classe 2nde'!N58))</f>
        <v/>
      </c>
      <c r="S1018" s="51" t="str">
        <f>IF('Classe 2nde'!$B58="","",N('Classe 2nde'!O58))</f>
        <v/>
      </c>
      <c r="T1018" s="51" t="str">
        <f>IF('Classe 2nde'!$B58="","",N('Classe 2nde'!P58))</f>
        <v/>
      </c>
    </row>
    <row r="1019">
      <c r="A1019" s="16" t="str">
        <f>IF('Classe 2nde'!$B59="","",IF('Classe 2nde'!A59="","",'Classe 2nde'!A59))</f>
        <v/>
      </c>
      <c r="B1019" s="16" t="str">
        <f>IF('Classe 2nde'!$B59="","",IF('Classe 2nde'!B59="","",'Classe 2nde'!B59))</f>
        <v/>
      </c>
      <c r="C1019" s="16" t="str">
        <f>IF('Classe 2nde'!$B59="","",IF('Classe 2nde'!C59="","",'Classe 2nde'!C59))</f>
        <v/>
      </c>
      <c r="D1019" s="16" t="str">
        <f>IF($B1019="","",C1019&amp;" "&amp;B1019&amp;" - "&amp;E1019)</f>
        <v/>
      </c>
      <c r="E1019" s="17" t="str">
        <f>IF($B1019="","",Paramètres!$A$27)</f>
        <v/>
      </c>
      <c r="F1019" s="17" t="str">
        <f>IF($B1019="","",Paramètres!$B$27)</f>
        <v/>
      </c>
      <c r="G1019" s="17" t="str">
        <f>IF('Classe 2nde'!$B59="","",IF('Classe 2nde'!D59="","",'Classe 2nde'!D59))</f>
        <v/>
      </c>
      <c r="H1019" s="78" t="str">
        <f>IF('Classe 2nde'!$B59="","",IF('Classe 2nde'!E59="","",'Classe 2nde'!E59))</f>
        <v/>
      </c>
      <c r="I1019" s="16" t="str">
        <f>IF('Classe 2nde'!$B59="","",IF('Classe 2nde'!F59="","",'Classe 2nde'!F59))</f>
        <v/>
      </c>
      <c r="J1019" s="16" t="str">
        <f>IF('Classe 2nde'!$B59="","",IF('Classe 2nde'!G59="","",'Classe 2nde'!G59))</f>
        <v/>
      </c>
      <c r="K1019" s="18" t="str">
        <f>IF('Classe 2nde'!$B59="","",N('Classe 2nde'!H59))</f>
        <v/>
      </c>
      <c r="L1019" s="18" t="str">
        <f>IF('Classe 2nde'!$B59="","",N('Classe 2nde'!I59))</f>
        <v/>
      </c>
      <c r="M1019" s="18" t="str">
        <f>IF('Classe 2nde'!$B59="","",N('Classe 2nde'!J59))</f>
        <v/>
      </c>
      <c r="N1019" s="18" t="str">
        <f>IF('Classe 2nde'!$B59="","",N('Classe 2nde'!K59))</f>
        <v/>
      </c>
      <c r="O1019" s="18" t="str">
        <f>IF('Classe 2nde'!$B59="","",N('Classe 2nde'!L59))</f>
        <v/>
      </c>
      <c r="P1019" s="18" t="str">
        <f>IF('Classe 2nde'!$B59="","",N('Classe 2nde'!M59))</f>
        <v/>
      </c>
      <c r="Q1019" s="17" t="str">
        <f>IF('Classe 2nde'!$B59="","",IF('Classe 2nde'!Q59="","",'Classe 2nde'!Q59))</f>
        <v/>
      </c>
      <c r="R1019" s="18" t="str">
        <f>IF('Classe 2nde'!$B59="","",N('Classe 2nde'!N59))</f>
        <v/>
      </c>
      <c r="S1019" s="18" t="str">
        <f>IF('Classe 2nde'!$B59="","",N('Classe 2nde'!O59))</f>
        <v/>
      </c>
      <c r="T1019" s="18" t="str">
        <f>IF('Classe 2nde'!$B59="","",N('Classe 2nde'!P59))</f>
        <v/>
      </c>
    </row>
    <row r="1020">
      <c r="A1020" s="20" t="str">
        <f>IF('Classe 2nde'!$B60="","",IF('Classe 2nde'!A60="","",'Classe 2nde'!A60))</f>
        <v/>
      </c>
      <c r="B1020" s="20" t="str">
        <f>IF('Classe 2nde'!$B60="","",IF('Classe 2nde'!B60="","",'Classe 2nde'!B60))</f>
        <v/>
      </c>
      <c r="C1020" s="20" t="str">
        <f>IF('Classe 2nde'!$B60="","",IF('Classe 2nde'!C60="","",'Classe 2nde'!C60))</f>
        <v/>
      </c>
      <c r="D1020" s="20" t="str">
        <f>IF($B1020="","",C1020&amp;" "&amp;B1020&amp;" - "&amp;E1020)</f>
        <v/>
      </c>
      <c r="E1020" s="21" t="str">
        <f>IF($B1020="","",Paramètres!$A$27)</f>
        <v/>
      </c>
      <c r="F1020" s="21" t="str">
        <f>IF($B1020="","",Paramètres!$B$27)</f>
        <v/>
      </c>
      <c r="G1020" s="21" t="str">
        <f>IF('Classe 2nde'!$B60="","",IF('Classe 2nde'!D60="","",'Classe 2nde'!D60))</f>
        <v/>
      </c>
      <c r="H1020" s="77" t="str">
        <f>IF('Classe 2nde'!$B60="","",IF('Classe 2nde'!E60="","",'Classe 2nde'!E60))</f>
        <v/>
      </c>
      <c r="I1020" s="20" t="str">
        <f>IF('Classe 2nde'!$B60="","",IF('Classe 2nde'!F60="","",'Classe 2nde'!F60))</f>
        <v/>
      </c>
      <c r="J1020" s="20" t="str">
        <f>IF('Classe 2nde'!$B60="","",IF('Classe 2nde'!G60="","",'Classe 2nde'!G60))</f>
        <v/>
      </c>
      <c r="K1020" s="51" t="str">
        <f>IF('Classe 2nde'!$B60="","",N('Classe 2nde'!H60))</f>
        <v/>
      </c>
      <c r="L1020" s="51" t="str">
        <f>IF('Classe 2nde'!$B60="","",N('Classe 2nde'!I60))</f>
        <v/>
      </c>
      <c r="M1020" s="51" t="str">
        <f>IF('Classe 2nde'!$B60="","",N('Classe 2nde'!J60))</f>
        <v/>
      </c>
      <c r="N1020" s="51" t="str">
        <f>IF('Classe 2nde'!$B60="","",N('Classe 2nde'!K60))</f>
        <v/>
      </c>
      <c r="O1020" s="51" t="str">
        <f>IF('Classe 2nde'!$B60="","",N('Classe 2nde'!L60))</f>
        <v/>
      </c>
      <c r="P1020" s="51" t="str">
        <f>IF('Classe 2nde'!$B60="","",N('Classe 2nde'!M60))</f>
        <v/>
      </c>
      <c r="Q1020" s="21" t="str">
        <f>IF('Classe 2nde'!$B60="","",IF('Classe 2nde'!Q60="","",'Classe 2nde'!Q60))</f>
        <v/>
      </c>
      <c r="R1020" s="51" t="str">
        <f>IF('Classe 2nde'!$B60="","",N('Classe 2nde'!N60))</f>
        <v/>
      </c>
      <c r="S1020" s="51" t="str">
        <f>IF('Classe 2nde'!$B60="","",N('Classe 2nde'!O60))</f>
        <v/>
      </c>
      <c r="T1020" s="51" t="str">
        <f>IF('Classe 2nde'!$B60="","",N('Classe 2nde'!P60))</f>
        <v/>
      </c>
    </row>
    <row r="1021">
      <c r="A1021" s="16" t="str">
        <f>IF('Classe 2nde'!$B61="","",IF('Classe 2nde'!A61="","",'Classe 2nde'!A61))</f>
        <v/>
      </c>
      <c r="B1021" s="16" t="str">
        <f>IF('Classe 2nde'!$B61="","",IF('Classe 2nde'!B61="","",'Classe 2nde'!B61))</f>
        <v/>
      </c>
      <c r="C1021" s="16" t="str">
        <f>IF('Classe 2nde'!$B61="","",IF('Classe 2nde'!C61="","",'Classe 2nde'!C61))</f>
        <v/>
      </c>
      <c r="D1021" s="16" t="str">
        <f>IF($B1021="","",C1021&amp;" "&amp;B1021&amp;" - "&amp;E1021)</f>
        <v/>
      </c>
      <c r="E1021" s="17" t="str">
        <f>IF($B1021="","",Paramètres!$A$27)</f>
        <v/>
      </c>
      <c r="F1021" s="17" t="str">
        <f>IF($B1021="","",Paramètres!$B$27)</f>
        <v/>
      </c>
      <c r="G1021" s="17" t="str">
        <f>IF('Classe 2nde'!$B61="","",IF('Classe 2nde'!D61="","",'Classe 2nde'!D61))</f>
        <v/>
      </c>
      <c r="H1021" s="78" t="str">
        <f>IF('Classe 2nde'!$B61="","",IF('Classe 2nde'!E61="","",'Classe 2nde'!E61))</f>
        <v/>
      </c>
      <c r="I1021" s="16" t="str">
        <f>IF('Classe 2nde'!$B61="","",IF('Classe 2nde'!F61="","",'Classe 2nde'!F61))</f>
        <v/>
      </c>
      <c r="J1021" s="16" t="str">
        <f>IF('Classe 2nde'!$B61="","",IF('Classe 2nde'!G61="","",'Classe 2nde'!G61))</f>
        <v/>
      </c>
      <c r="K1021" s="18" t="str">
        <f>IF('Classe 2nde'!$B61="","",N('Classe 2nde'!H61))</f>
        <v/>
      </c>
      <c r="L1021" s="18" t="str">
        <f>IF('Classe 2nde'!$B61="","",N('Classe 2nde'!I61))</f>
        <v/>
      </c>
      <c r="M1021" s="18" t="str">
        <f>IF('Classe 2nde'!$B61="","",N('Classe 2nde'!J61))</f>
        <v/>
      </c>
      <c r="N1021" s="18" t="str">
        <f>IF('Classe 2nde'!$B61="","",N('Classe 2nde'!K61))</f>
        <v/>
      </c>
      <c r="O1021" s="18" t="str">
        <f>IF('Classe 2nde'!$B61="","",N('Classe 2nde'!L61))</f>
        <v/>
      </c>
      <c r="P1021" s="18" t="str">
        <f>IF('Classe 2nde'!$B61="","",N('Classe 2nde'!M61))</f>
        <v/>
      </c>
      <c r="Q1021" s="17" t="str">
        <f>IF('Classe 2nde'!$B61="","",IF('Classe 2nde'!Q61="","",'Classe 2nde'!Q61))</f>
        <v/>
      </c>
      <c r="R1021" s="18" t="str">
        <f>IF('Classe 2nde'!$B61="","",N('Classe 2nde'!N61))</f>
        <v/>
      </c>
      <c r="S1021" s="18" t="str">
        <f>IF('Classe 2nde'!$B61="","",N('Classe 2nde'!O61))</f>
        <v/>
      </c>
      <c r="T1021" s="18" t="str">
        <f>IF('Classe 2nde'!$B61="","",N('Classe 2nde'!P61))</f>
        <v/>
      </c>
    </row>
    <row r="1022">
      <c r="A1022" s="20" t="str">
        <f>IF('Classe 2nde'!$B62="","",IF('Classe 2nde'!A62="","",'Classe 2nde'!A62))</f>
        <v/>
      </c>
      <c r="B1022" s="20" t="str">
        <f>IF('Classe 2nde'!$B62="","",IF('Classe 2nde'!B62="","",'Classe 2nde'!B62))</f>
        <v/>
      </c>
      <c r="C1022" s="20" t="str">
        <f>IF('Classe 2nde'!$B62="","",IF('Classe 2nde'!C62="","",'Classe 2nde'!C62))</f>
        <v/>
      </c>
      <c r="D1022" s="20" t="str">
        <f>IF($B1022="","",C1022&amp;" "&amp;B1022&amp;" - "&amp;E1022)</f>
        <v/>
      </c>
      <c r="E1022" s="21" t="str">
        <f>IF($B1022="","",Paramètres!$A$27)</f>
        <v/>
      </c>
      <c r="F1022" s="21" t="str">
        <f>IF($B1022="","",Paramètres!$B$27)</f>
        <v/>
      </c>
      <c r="G1022" s="21" t="str">
        <f>IF('Classe 2nde'!$B62="","",IF('Classe 2nde'!D62="","",'Classe 2nde'!D62))</f>
        <v/>
      </c>
      <c r="H1022" s="77" t="str">
        <f>IF('Classe 2nde'!$B62="","",IF('Classe 2nde'!E62="","",'Classe 2nde'!E62))</f>
        <v/>
      </c>
      <c r="I1022" s="20" t="str">
        <f>IF('Classe 2nde'!$B62="","",IF('Classe 2nde'!F62="","",'Classe 2nde'!F62))</f>
        <v/>
      </c>
      <c r="J1022" s="20" t="str">
        <f>IF('Classe 2nde'!$B62="","",IF('Classe 2nde'!G62="","",'Classe 2nde'!G62))</f>
        <v/>
      </c>
      <c r="K1022" s="51" t="str">
        <f>IF('Classe 2nde'!$B62="","",N('Classe 2nde'!H62))</f>
        <v/>
      </c>
      <c r="L1022" s="51" t="str">
        <f>IF('Classe 2nde'!$B62="","",N('Classe 2nde'!I62))</f>
        <v/>
      </c>
      <c r="M1022" s="51" t="str">
        <f>IF('Classe 2nde'!$B62="","",N('Classe 2nde'!J62))</f>
        <v/>
      </c>
      <c r="N1022" s="51" t="str">
        <f>IF('Classe 2nde'!$B62="","",N('Classe 2nde'!K62))</f>
        <v/>
      </c>
      <c r="O1022" s="51" t="str">
        <f>IF('Classe 2nde'!$B62="","",N('Classe 2nde'!L62))</f>
        <v/>
      </c>
      <c r="P1022" s="51" t="str">
        <f>IF('Classe 2nde'!$B62="","",N('Classe 2nde'!M62))</f>
        <v/>
      </c>
      <c r="Q1022" s="21" t="str">
        <f>IF('Classe 2nde'!$B62="","",IF('Classe 2nde'!Q62="","",'Classe 2nde'!Q62))</f>
        <v/>
      </c>
      <c r="R1022" s="51" t="str">
        <f>IF('Classe 2nde'!$B62="","",N('Classe 2nde'!N62))</f>
        <v/>
      </c>
      <c r="S1022" s="51" t="str">
        <f>IF('Classe 2nde'!$B62="","",N('Classe 2nde'!O62))</f>
        <v/>
      </c>
      <c r="T1022" s="51" t="str">
        <f>IF('Classe 2nde'!$B62="","",N('Classe 2nde'!P62))</f>
        <v/>
      </c>
    </row>
    <row r="1023">
      <c r="A1023" s="16" t="str">
        <f>IF('Classe 2nde'!$B63="","",IF('Classe 2nde'!A63="","",'Classe 2nde'!A63))</f>
        <v/>
      </c>
      <c r="B1023" s="16" t="str">
        <f>IF('Classe 2nde'!$B63="","",IF('Classe 2nde'!B63="","",'Classe 2nde'!B63))</f>
        <v/>
      </c>
      <c r="C1023" s="16" t="str">
        <f>IF('Classe 2nde'!$B63="","",IF('Classe 2nde'!C63="","",'Classe 2nde'!C63))</f>
        <v/>
      </c>
      <c r="D1023" s="16" t="str">
        <f>IF($B1023="","",C1023&amp;" "&amp;B1023&amp;" - "&amp;E1023)</f>
        <v/>
      </c>
      <c r="E1023" s="17" t="str">
        <f>IF($B1023="","",Paramètres!$A$27)</f>
        <v/>
      </c>
      <c r="F1023" s="17" t="str">
        <f>IF($B1023="","",Paramètres!$B$27)</f>
        <v/>
      </c>
      <c r="G1023" s="17" t="str">
        <f>IF('Classe 2nde'!$B63="","",IF('Classe 2nde'!D63="","",'Classe 2nde'!D63))</f>
        <v/>
      </c>
      <c r="H1023" s="78" t="str">
        <f>IF('Classe 2nde'!$B63="","",IF('Classe 2nde'!E63="","",'Classe 2nde'!E63))</f>
        <v/>
      </c>
      <c r="I1023" s="16" t="str">
        <f>IF('Classe 2nde'!$B63="","",IF('Classe 2nde'!F63="","",'Classe 2nde'!F63))</f>
        <v/>
      </c>
      <c r="J1023" s="16" t="str">
        <f>IF('Classe 2nde'!$B63="","",IF('Classe 2nde'!G63="","",'Classe 2nde'!G63))</f>
        <v/>
      </c>
      <c r="K1023" s="18" t="str">
        <f>IF('Classe 2nde'!$B63="","",N('Classe 2nde'!H63))</f>
        <v/>
      </c>
      <c r="L1023" s="18" t="str">
        <f>IF('Classe 2nde'!$B63="","",N('Classe 2nde'!I63))</f>
        <v/>
      </c>
      <c r="M1023" s="18" t="str">
        <f>IF('Classe 2nde'!$B63="","",N('Classe 2nde'!J63))</f>
        <v/>
      </c>
      <c r="N1023" s="18" t="str">
        <f>IF('Classe 2nde'!$B63="","",N('Classe 2nde'!K63))</f>
        <v/>
      </c>
      <c r="O1023" s="18" t="str">
        <f>IF('Classe 2nde'!$B63="","",N('Classe 2nde'!L63))</f>
        <v/>
      </c>
      <c r="P1023" s="18" t="str">
        <f>IF('Classe 2nde'!$B63="","",N('Classe 2nde'!M63))</f>
        <v/>
      </c>
      <c r="Q1023" s="17" t="str">
        <f>IF('Classe 2nde'!$B63="","",IF('Classe 2nde'!Q63="","",'Classe 2nde'!Q63))</f>
        <v/>
      </c>
      <c r="R1023" s="18" t="str">
        <f>IF('Classe 2nde'!$B63="","",N('Classe 2nde'!N63))</f>
        <v/>
      </c>
      <c r="S1023" s="18" t="str">
        <f>IF('Classe 2nde'!$B63="","",N('Classe 2nde'!O63))</f>
        <v/>
      </c>
      <c r="T1023" s="18" t="str">
        <f>IF('Classe 2nde'!$B63="","",N('Classe 2nde'!P63))</f>
        <v/>
      </c>
    </row>
    <row r="1024">
      <c r="A1024" s="20" t="str">
        <f>IF('Classe 2nde'!$B64="","",IF('Classe 2nde'!A64="","",'Classe 2nde'!A64))</f>
        <v/>
      </c>
      <c r="B1024" s="20" t="str">
        <f>IF('Classe 2nde'!$B64="","",IF('Classe 2nde'!B64="","",'Classe 2nde'!B64))</f>
        <v/>
      </c>
      <c r="C1024" s="20" t="str">
        <f>IF('Classe 2nde'!$B64="","",IF('Classe 2nde'!C64="","",'Classe 2nde'!C64))</f>
        <v/>
      </c>
      <c r="D1024" s="20" t="str">
        <f>IF($B1024="","",C1024&amp;" "&amp;B1024&amp;" - "&amp;E1024)</f>
        <v/>
      </c>
      <c r="E1024" s="21" t="str">
        <f>IF($B1024="","",Paramètres!$A$27)</f>
        <v/>
      </c>
      <c r="F1024" s="21" t="str">
        <f>IF($B1024="","",Paramètres!$B$27)</f>
        <v/>
      </c>
      <c r="G1024" s="21" t="str">
        <f>IF('Classe 2nde'!$B64="","",IF('Classe 2nde'!D64="","",'Classe 2nde'!D64))</f>
        <v/>
      </c>
      <c r="H1024" s="77" t="str">
        <f>IF('Classe 2nde'!$B64="","",IF('Classe 2nde'!E64="","",'Classe 2nde'!E64))</f>
        <v/>
      </c>
      <c r="I1024" s="20" t="str">
        <f>IF('Classe 2nde'!$B64="","",IF('Classe 2nde'!F64="","",'Classe 2nde'!F64))</f>
        <v/>
      </c>
      <c r="J1024" s="20" t="str">
        <f>IF('Classe 2nde'!$B64="","",IF('Classe 2nde'!G64="","",'Classe 2nde'!G64))</f>
        <v/>
      </c>
      <c r="K1024" s="51" t="str">
        <f>IF('Classe 2nde'!$B64="","",N('Classe 2nde'!H64))</f>
        <v/>
      </c>
      <c r="L1024" s="51" t="str">
        <f>IF('Classe 2nde'!$B64="","",N('Classe 2nde'!I64))</f>
        <v/>
      </c>
      <c r="M1024" s="51" t="str">
        <f>IF('Classe 2nde'!$B64="","",N('Classe 2nde'!J64))</f>
        <v/>
      </c>
      <c r="N1024" s="51" t="str">
        <f>IF('Classe 2nde'!$B64="","",N('Classe 2nde'!K64))</f>
        <v/>
      </c>
      <c r="O1024" s="51" t="str">
        <f>IF('Classe 2nde'!$B64="","",N('Classe 2nde'!L64))</f>
        <v/>
      </c>
      <c r="P1024" s="51" t="str">
        <f>IF('Classe 2nde'!$B64="","",N('Classe 2nde'!M64))</f>
        <v/>
      </c>
      <c r="Q1024" s="21" t="str">
        <f>IF('Classe 2nde'!$B64="","",IF('Classe 2nde'!Q64="","",'Classe 2nde'!Q64))</f>
        <v/>
      </c>
      <c r="R1024" s="51" t="str">
        <f>IF('Classe 2nde'!$B64="","",N('Classe 2nde'!N64))</f>
        <v/>
      </c>
      <c r="S1024" s="51" t="str">
        <f>IF('Classe 2nde'!$B64="","",N('Classe 2nde'!O64))</f>
        <v/>
      </c>
      <c r="T1024" s="51" t="str">
        <f>IF('Classe 2nde'!$B64="","",N('Classe 2nde'!P64))</f>
        <v/>
      </c>
    </row>
    <row r="1025">
      <c r="A1025" s="16" t="str">
        <f>IF('Classe 2nde'!$B65="","",IF('Classe 2nde'!A65="","",'Classe 2nde'!A65))</f>
        <v/>
      </c>
      <c r="B1025" s="16" t="str">
        <f>IF('Classe 2nde'!$B65="","",IF('Classe 2nde'!B65="","",'Classe 2nde'!B65))</f>
        <v/>
      </c>
      <c r="C1025" s="16" t="str">
        <f>IF('Classe 2nde'!$B65="","",IF('Classe 2nde'!C65="","",'Classe 2nde'!C65))</f>
        <v/>
      </c>
      <c r="D1025" s="16" t="str">
        <f>IF($B1025="","",C1025&amp;" "&amp;B1025&amp;" - "&amp;E1025)</f>
        <v/>
      </c>
      <c r="E1025" s="17" t="str">
        <f>IF($B1025="","",Paramètres!$A$27)</f>
        <v/>
      </c>
      <c r="F1025" s="17" t="str">
        <f>IF($B1025="","",Paramètres!$B$27)</f>
        <v/>
      </c>
      <c r="G1025" s="17" t="str">
        <f>IF('Classe 2nde'!$B65="","",IF('Classe 2nde'!D65="","",'Classe 2nde'!D65))</f>
        <v/>
      </c>
      <c r="H1025" s="78" t="str">
        <f>IF('Classe 2nde'!$B65="","",IF('Classe 2nde'!E65="","",'Classe 2nde'!E65))</f>
        <v/>
      </c>
      <c r="I1025" s="16" t="str">
        <f>IF('Classe 2nde'!$B65="","",IF('Classe 2nde'!F65="","",'Classe 2nde'!F65))</f>
        <v/>
      </c>
      <c r="J1025" s="16" t="str">
        <f>IF('Classe 2nde'!$B65="","",IF('Classe 2nde'!G65="","",'Classe 2nde'!G65))</f>
        <v/>
      </c>
      <c r="K1025" s="18" t="str">
        <f>IF('Classe 2nde'!$B65="","",N('Classe 2nde'!H65))</f>
        <v/>
      </c>
      <c r="L1025" s="18" t="str">
        <f>IF('Classe 2nde'!$B65="","",N('Classe 2nde'!I65))</f>
        <v/>
      </c>
      <c r="M1025" s="18" t="str">
        <f>IF('Classe 2nde'!$B65="","",N('Classe 2nde'!J65))</f>
        <v/>
      </c>
      <c r="N1025" s="18" t="str">
        <f>IF('Classe 2nde'!$B65="","",N('Classe 2nde'!K65))</f>
        <v/>
      </c>
      <c r="O1025" s="18" t="str">
        <f>IF('Classe 2nde'!$B65="","",N('Classe 2nde'!L65))</f>
        <v/>
      </c>
      <c r="P1025" s="18" t="str">
        <f>IF('Classe 2nde'!$B65="","",N('Classe 2nde'!M65))</f>
        <v/>
      </c>
      <c r="Q1025" s="17" t="str">
        <f>IF('Classe 2nde'!$B65="","",IF('Classe 2nde'!Q65="","",'Classe 2nde'!Q65))</f>
        <v/>
      </c>
      <c r="R1025" s="18" t="str">
        <f>IF('Classe 2nde'!$B65="","",N('Classe 2nde'!N65))</f>
        <v/>
      </c>
      <c r="S1025" s="18" t="str">
        <f>IF('Classe 2nde'!$B65="","",N('Classe 2nde'!O65))</f>
        <v/>
      </c>
      <c r="T1025" s="18" t="str">
        <f>IF('Classe 2nde'!$B65="","",N('Classe 2nde'!P65))</f>
        <v/>
      </c>
    </row>
    <row r="1026">
      <c r="A1026" s="20" t="str">
        <f>IF('Classe 2nde'!$B66="","",IF('Classe 2nde'!A66="","",'Classe 2nde'!A66))</f>
        <v/>
      </c>
      <c r="B1026" s="20" t="str">
        <f>IF('Classe 2nde'!$B66="","",IF('Classe 2nde'!B66="","",'Classe 2nde'!B66))</f>
        <v/>
      </c>
      <c r="C1026" s="20" t="str">
        <f>IF('Classe 2nde'!$B66="","",IF('Classe 2nde'!C66="","",'Classe 2nde'!C66))</f>
        <v/>
      </c>
      <c r="D1026" s="20" t="str">
        <f>IF($B1026="","",C1026&amp;" "&amp;B1026&amp;" - "&amp;E1026)</f>
        <v/>
      </c>
      <c r="E1026" s="21" t="str">
        <f>IF($B1026="","",Paramètres!$A$27)</f>
        <v/>
      </c>
      <c r="F1026" s="21" t="str">
        <f>IF($B1026="","",Paramètres!$B$27)</f>
        <v/>
      </c>
      <c r="G1026" s="21" t="str">
        <f>IF('Classe 2nde'!$B66="","",IF('Classe 2nde'!D66="","",'Classe 2nde'!D66))</f>
        <v/>
      </c>
      <c r="H1026" s="77" t="str">
        <f>IF('Classe 2nde'!$B66="","",IF('Classe 2nde'!E66="","",'Classe 2nde'!E66))</f>
        <v/>
      </c>
      <c r="I1026" s="20" t="str">
        <f>IF('Classe 2nde'!$B66="","",IF('Classe 2nde'!F66="","",'Classe 2nde'!F66))</f>
        <v/>
      </c>
      <c r="J1026" s="20" t="str">
        <f>IF('Classe 2nde'!$B66="","",IF('Classe 2nde'!G66="","",'Classe 2nde'!G66))</f>
        <v/>
      </c>
      <c r="K1026" s="51" t="str">
        <f>IF('Classe 2nde'!$B66="","",N('Classe 2nde'!H66))</f>
        <v/>
      </c>
      <c r="L1026" s="51" t="str">
        <f>IF('Classe 2nde'!$B66="","",N('Classe 2nde'!I66))</f>
        <v/>
      </c>
      <c r="M1026" s="51" t="str">
        <f>IF('Classe 2nde'!$B66="","",N('Classe 2nde'!J66))</f>
        <v/>
      </c>
      <c r="N1026" s="51" t="str">
        <f>IF('Classe 2nde'!$B66="","",N('Classe 2nde'!K66))</f>
        <v/>
      </c>
      <c r="O1026" s="51" t="str">
        <f>IF('Classe 2nde'!$B66="","",N('Classe 2nde'!L66))</f>
        <v/>
      </c>
      <c r="P1026" s="51" t="str">
        <f>IF('Classe 2nde'!$B66="","",N('Classe 2nde'!M66))</f>
        <v/>
      </c>
      <c r="Q1026" s="21" t="str">
        <f>IF('Classe 2nde'!$B66="","",IF('Classe 2nde'!Q66="","",'Classe 2nde'!Q66))</f>
        <v/>
      </c>
      <c r="R1026" s="51" t="str">
        <f>IF('Classe 2nde'!$B66="","",N('Classe 2nde'!N66))</f>
        <v/>
      </c>
      <c r="S1026" s="51" t="str">
        <f>IF('Classe 2nde'!$B66="","",N('Classe 2nde'!O66))</f>
        <v/>
      </c>
      <c r="T1026" s="51" t="str">
        <f>IF('Classe 2nde'!$B66="","",N('Classe 2nde'!P66))</f>
        <v/>
      </c>
    </row>
    <row r="1027">
      <c r="A1027" s="16" t="str">
        <f>IF('Classe 2nde'!$B67="","",IF('Classe 2nde'!A67="","",'Classe 2nde'!A67))</f>
        <v/>
      </c>
      <c r="B1027" s="16" t="str">
        <f>IF('Classe 2nde'!$B67="","",IF('Classe 2nde'!B67="","",'Classe 2nde'!B67))</f>
        <v/>
      </c>
      <c r="C1027" s="16" t="str">
        <f>IF('Classe 2nde'!$B67="","",IF('Classe 2nde'!C67="","",'Classe 2nde'!C67))</f>
        <v/>
      </c>
      <c r="D1027" s="16" t="str">
        <f>IF($B1027="","",C1027&amp;" "&amp;B1027&amp;" - "&amp;E1027)</f>
        <v/>
      </c>
      <c r="E1027" s="17" t="str">
        <f>IF($B1027="","",Paramètres!$A$27)</f>
        <v/>
      </c>
      <c r="F1027" s="17" t="str">
        <f>IF($B1027="","",Paramètres!$B$27)</f>
        <v/>
      </c>
      <c r="G1027" s="17" t="str">
        <f>IF('Classe 2nde'!$B67="","",IF('Classe 2nde'!D67="","",'Classe 2nde'!D67))</f>
        <v/>
      </c>
      <c r="H1027" s="78" t="str">
        <f>IF('Classe 2nde'!$B67="","",IF('Classe 2nde'!E67="","",'Classe 2nde'!E67))</f>
        <v/>
      </c>
      <c r="I1027" s="16" t="str">
        <f>IF('Classe 2nde'!$B67="","",IF('Classe 2nde'!F67="","",'Classe 2nde'!F67))</f>
        <v/>
      </c>
      <c r="J1027" s="16" t="str">
        <f>IF('Classe 2nde'!$B67="","",IF('Classe 2nde'!G67="","",'Classe 2nde'!G67))</f>
        <v/>
      </c>
      <c r="K1027" s="18" t="str">
        <f>IF('Classe 2nde'!$B67="","",N('Classe 2nde'!H67))</f>
        <v/>
      </c>
      <c r="L1027" s="18" t="str">
        <f>IF('Classe 2nde'!$B67="","",N('Classe 2nde'!I67))</f>
        <v/>
      </c>
      <c r="M1027" s="18" t="str">
        <f>IF('Classe 2nde'!$B67="","",N('Classe 2nde'!J67))</f>
        <v/>
      </c>
      <c r="N1027" s="18" t="str">
        <f>IF('Classe 2nde'!$B67="","",N('Classe 2nde'!K67))</f>
        <v/>
      </c>
      <c r="O1027" s="18" t="str">
        <f>IF('Classe 2nde'!$B67="","",N('Classe 2nde'!L67))</f>
        <v/>
      </c>
      <c r="P1027" s="18" t="str">
        <f>IF('Classe 2nde'!$B67="","",N('Classe 2nde'!M67))</f>
        <v/>
      </c>
      <c r="Q1027" s="17" t="str">
        <f>IF('Classe 2nde'!$B67="","",IF('Classe 2nde'!Q67="","",'Classe 2nde'!Q67))</f>
        <v/>
      </c>
      <c r="R1027" s="18" t="str">
        <f>IF('Classe 2nde'!$B67="","",N('Classe 2nde'!N67))</f>
        <v/>
      </c>
      <c r="S1027" s="18" t="str">
        <f>IF('Classe 2nde'!$B67="","",N('Classe 2nde'!O67))</f>
        <v/>
      </c>
      <c r="T1027" s="18" t="str">
        <f>IF('Classe 2nde'!$B67="","",N('Classe 2nde'!P67))</f>
        <v/>
      </c>
    </row>
    <row r="1028">
      <c r="A1028" s="20" t="str">
        <f>IF('Classe 2nde'!$B68="","",IF('Classe 2nde'!A68="","",'Classe 2nde'!A68))</f>
        <v/>
      </c>
      <c r="B1028" s="20" t="str">
        <f>IF('Classe 2nde'!$B68="","",IF('Classe 2nde'!B68="","",'Classe 2nde'!B68))</f>
        <v/>
      </c>
      <c r="C1028" s="20" t="str">
        <f>IF('Classe 2nde'!$B68="","",IF('Classe 2nde'!C68="","",'Classe 2nde'!C68))</f>
        <v/>
      </c>
      <c r="D1028" s="20" t="str">
        <f>IF($B1028="","",C1028&amp;" "&amp;B1028&amp;" - "&amp;E1028)</f>
        <v/>
      </c>
      <c r="E1028" s="21" t="str">
        <f>IF($B1028="","",Paramètres!$A$27)</f>
        <v/>
      </c>
      <c r="F1028" s="21" t="str">
        <f>IF($B1028="","",Paramètres!$B$27)</f>
        <v/>
      </c>
      <c r="G1028" s="21" t="str">
        <f>IF('Classe 2nde'!$B68="","",IF('Classe 2nde'!D68="","",'Classe 2nde'!D68))</f>
        <v/>
      </c>
      <c r="H1028" s="77" t="str">
        <f>IF('Classe 2nde'!$B68="","",IF('Classe 2nde'!E68="","",'Classe 2nde'!E68))</f>
        <v/>
      </c>
      <c r="I1028" s="20" t="str">
        <f>IF('Classe 2nde'!$B68="","",IF('Classe 2nde'!F68="","",'Classe 2nde'!F68))</f>
        <v/>
      </c>
      <c r="J1028" s="20" t="str">
        <f>IF('Classe 2nde'!$B68="","",IF('Classe 2nde'!G68="","",'Classe 2nde'!G68))</f>
        <v/>
      </c>
      <c r="K1028" s="51" t="str">
        <f>IF('Classe 2nde'!$B68="","",N('Classe 2nde'!H68))</f>
        <v/>
      </c>
      <c r="L1028" s="51" t="str">
        <f>IF('Classe 2nde'!$B68="","",N('Classe 2nde'!I68))</f>
        <v/>
      </c>
      <c r="M1028" s="51" t="str">
        <f>IF('Classe 2nde'!$B68="","",N('Classe 2nde'!J68))</f>
        <v/>
      </c>
      <c r="N1028" s="51" t="str">
        <f>IF('Classe 2nde'!$B68="","",N('Classe 2nde'!K68))</f>
        <v/>
      </c>
      <c r="O1028" s="51" t="str">
        <f>IF('Classe 2nde'!$B68="","",N('Classe 2nde'!L68))</f>
        <v/>
      </c>
      <c r="P1028" s="51" t="str">
        <f>IF('Classe 2nde'!$B68="","",N('Classe 2nde'!M68))</f>
        <v/>
      </c>
      <c r="Q1028" s="21" t="str">
        <f>IF('Classe 2nde'!$B68="","",IF('Classe 2nde'!Q68="","",'Classe 2nde'!Q68))</f>
        <v/>
      </c>
      <c r="R1028" s="51" t="str">
        <f>IF('Classe 2nde'!$B68="","",N('Classe 2nde'!N68))</f>
        <v/>
      </c>
      <c r="S1028" s="51" t="str">
        <f>IF('Classe 2nde'!$B68="","",N('Classe 2nde'!O68))</f>
        <v/>
      </c>
      <c r="T1028" s="51" t="str">
        <f>IF('Classe 2nde'!$B68="","",N('Classe 2nde'!P68))</f>
        <v/>
      </c>
    </row>
    <row r="1029">
      <c r="A1029" s="16" t="str">
        <f>IF('Classe 2nde'!$B69="","",IF('Classe 2nde'!A69="","",'Classe 2nde'!A69))</f>
        <v/>
      </c>
      <c r="B1029" s="16" t="str">
        <f>IF('Classe 2nde'!$B69="","",IF('Classe 2nde'!B69="","",'Classe 2nde'!B69))</f>
        <v/>
      </c>
      <c r="C1029" s="16" t="str">
        <f>IF('Classe 2nde'!$B69="","",IF('Classe 2nde'!C69="","",'Classe 2nde'!C69))</f>
        <v/>
      </c>
      <c r="D1029" s="16" t="str">
        <f>IF($B1029="","",C1029&amp;" "&amp;B1029&amp;" - "&amp;E1029)</f>
        <v/>
      </c>
      <c r="E1029" s="17" t="str">
        <f>IF($B1029="","",Paramètres!$A$27)</f>
        <v/>
      </c>
      <c r="F1029" s="17" t="str">
        <f>IF($B1029="","",Paramètres!$B$27)</f>
        <v/>
      </c>
      <c r="G1029" s="17" t="str">
        <f>IF('Classe 2nde'!$B69="","",IF('Classe 2nde'!D69="","",'Classe 2nde'!D69))</f>
        <v/>
      </c>
      <c r="H1029" s="78" t="str">
        <f>IF('Classe 2nde'!$B69="","",IF('Classe 2nde'!E69="","",'Classe 2nde'!E69))</f>
        <v/>
      </c>
      <c r="I1029" s="16" t="str">
        <f>IF('Classe 2nde'!$B69="","",IF('Classe 2nde'!F69="","",'Classe 2nde'!F69))</f>
        <v/>
      </c>
      <c r="J1029" s="16" t="str">
        <f>IF('Classe 2nde'!$B69="","",IF('Classe 2nde'!G69="","",'Classe 2nde'!G69))</f>
        <v/>
      </c>
      <c r="K1029" s="18" t="str">
        <f>IF('Classe 2nde'!$B69="","",N('Classe 2nde'!H69))</f>
        <v/>
      </c>
      <c r="L1029" s="18" t="str">
        <f>IF('Classe 2nde'!$B69="","",N('Classe 2nde'!I69))</f>
        <v/>
      </c>
      <c r="M1029" s="18" t="str">
        <f>IF('Classe 2nde'!$B69="","",N('Classe 2nde'!J69))</f>
        <v/>
      </c>
      <c r="N1029" s="18" t="str">
        <f>IF('Classe 2nde'!$B69="","",N('Classe 2nde'!K69))</f>
        <v/>
      </c>
      <c r="O1029" s="18" t="str">
        <f>IF('Classe 2nde'!$B69="","",N('Classe 2nde'!L69))</f>
        <v/>
      </c>
      <c r="P1029" s="18" t="str">
        <f>IF('Classe 2nde'!$B69="","",N('Classe 2nde'!M69))</f>
        <v/>
      </c>
      <c r="Q1029" s="17" t="str">
        <f>IF('Classe 2nde'!$B69="","",IF('Classe 2nde'!Q69="","",'Classe 2nde'!Q69))</f>
        <v/>
      </c>
      <c r="R1029" s="18" t="str">
        <f>IF('Classe 2nde'!$B69="","",N('Classe 2nde'!N69))</f>
        <v/>
      </c>
      <c r="S1029" s="18" t="str">
        <f>IF('Classe 2nde'!$B69="","",N('Classe 2nde'!O69))</f>
        <v/>
      </c>
      <c r="T1029" s="18" t="str">
        <f>IF('Classe 2nde'!$B69="","",N('Classe 2nde'!P69))</f>
        <v/>
      </c>
    </row>
    <row r="1030">
      <c r="A1030" s="20" t="str">
        <f>IF('Classe 2nde'!$B70="","",IF('Classe 2nde'!A70="","",'Classe 2nde'!A70))</f>
        <v/>
      </c>
      <c r="B1030" s="20" t="str">
        <f>IF('Classe 2nde'!$B70="","",IF('Classe 2nde'!B70="","",'Classe 2nde'!B70))</f>
        <v/>
      </c>
      <c r="C1030" s="20" t="str">
        <f>IF('Classe 2nde'!$B70="","",IF('Classe 2nde'!C70="","",'Classe 2nde'!C70))</f>
        <v/>
      </c>
      <c r="D1030" s="20" t="str">
        <f>IF($B1030="","",C1030&amp;" "&amp;B1030&amp;" - "&amp;E1030)</f>
        <v/>
      </c>
      <c r="E1030" s="21" t="str">
        <f>IF($B1030="","",Paramètres!$A$27)</f>
        <v/>
      </c>
      <c r="F1030" s="21" t="str">
        <f>IF($B1030="","",Paramètres!$B$27)</f>
        <v/>
      </c>
      <c r="G1030" s="21" t="str">
        <f>IF('Classe 2nde'!$B70="","",IF('Classe 2nde'!D70="","",'Classe 2nde'!D70))</f>
        <v/>
      </c>
      <c r="H1030" s="77" t="str">
        <f>IF('Classe 2nde'!$B70="","",IF('Classe 2nde'!E70="","",'Classe 2nde'!E70))</f>
        <v/>
      </c>
      <c r="I1030" s="20" t="str">
        <f>IF('Classe 2nde'!$B70="","",IF('Classe 2nde'!F70="","",'Classe 2nde'!F70))</f>
        <v/>
      </c>
      <c r="J1030" s="20" t="str">
        <f>IF('Classe 2nde'!$B70="","",IF('Classe 2nde'!G70="","",'Classe 2nde'!G70))</f>
        <v/>
      </c>
      <c r="K1030" s="51" t="str">
        <f>IF('Classe 2nde'!$B70="","",N('Classe 2nde'!H70))</f>
        <v/>
      </c>
      <c r="L1030" s="51" t="str">
        <f>IF('Classe 2nde'!$B70="","",N('Classe 2nde'!I70))</f>
        <v/>
      </c>
      <c r="M1030" s="51" t="str">
        <f>IF('Classe 2nde'!$B70="","",N('Classe 2nde'!J70))</f>
        <v/>
      </c>
      <c r="N1030" s="51" t="str">
        <f>IF('Classe 2nde'!$B70="","",N('Classe 2nde'!K70))</f>
        <v/>
      </c>
      <c r="O1030" s="51" t="str">
        <f>IF('Classe 2nde'!$B70="","",N('Classe 2nde'!L70))</f>
        <v/>
      </c>
      <c r="P1030" s="51" t="str">
        <f>IF('Classe 2nde'!$B70="","",N('Classe 2nde'!M70))</f>
        <v/>
      </c>
      <c r="Q1030" s="21" t="str">
        <f>IF('Classe 2nde'!$B70="","",IF('Classe 2nde'!Q70="","",'Classe 2nde'!Q70))</f>
        <v/>
      </c>
      <c r="R1030" s="51" t="str">
        <f>IF('Classe 2nde'!$B70="","",N('Classe 2nde'!N70))</f>
        <v/>
      </c>
      <c r="S1030" s="51" t="str">
        <f>IF('Classe 2nde'!$B70="","",N('Classe 2nde'!O70))</f>
        <v/>
      </c>
      <c r="T1030" s="51" t="str">
        <f>IF('Classe 2nde'!$B70="","",N('Classe 2nde'!P70))</f>
        <v/>
      </c>
    </row>
    <row r="1031">
      <c r="A1031" s="16" t="str">
        <f>IF('Classe 2nde'!$B71="","",IF('Classe 2nde'!A71="","",'Classe 2nde'!A71))</f>
        <v/>
      </c>
      <c r="B1031" s="16" t="str">
        <f>IF('Classe 2nde'!$B71="","",IF('Classe 2nde'!B71="","",'Classe 2nde'!B71))</f>
        <v/>
      </c>
      <c r="C1031" s="16" t="str">
        <f>IF('Classe 2nde'!$B71="","",IF('Classe 2nde'!C71="","",'Classe 2nde'!C71))</f>
        <v/>
      </c>
      <c r="D1031" s="16" t="str">
        <f>IF($B1031="","",C1031&amp;" "&amp;B1031&amp;" - "&amp;E1031)</f>
        <v/>
      </c>
      <c r="E1031" s="17" t="str">
        <f>IF($B1031="","",Paramètres!$A$27)</f>
        <v/>
      </c>
      <c r="F1031" s="17" t="str">
        <f>IF($B1031="","",Paramètres!$B$27)</f>
        <v/>
      </c>
      <c r="G1031" s="17" t="str">
        <f>IF('Classe 2nde'!$B71="","",IF('Classe 2nde'!D71="","",'Classe 2nde'!D71))</f>
        <v/>
      </c>
      <c r="H1031" s="78" t="str">
        <f>IF('Classe 2nde'!$B71="","",IF('Classe 2nde'!E71="","",'Classe 2nde'!E71))</f>
        <v/>
      </c>
      <c r="I1031" s="16" t="str">
        <f>IF('Classe 2nde'!$B71="","",IF('Classe 2nde'!F71="","",'Classe 2nde'!F71))</f>
        <v/>
      </c>
      <c r="J1031" s="16" t="str">
        <f>IF('Classe 2nde'!$B71="","",IF('Classe 2nde'!G71="","",'Classe 2nde'!G71))</f>
        <v/>
      </c>
      <c r="K1031" s="18" t="str">
        <f>IF('Classe 2nde'!$B71="","",N('Classe 2nde'!H71))</f>
        <v/>
      </c>
      <c r="L1031" s="18" t="str">
        <f>IF('Classe 2nde'!$B71="","",N('Classe 2nde'!I71))</f>
        <v/>
      </c>
      <c r="M1031" s="18" t="str">
        <f>IF('Classe 2nde'!$B71="","",N('Classe 2nde'!J71))</f>
        <v/>
      </c>
      <c r="N1031" s="18" t="str">
        <f>IF('Classe 2nde'!$B71="","",N('Classe 2nde'!K71))</f>
        <v/>
      </c>
      <c r="O1031" s="18" t="str">
        <f>IF('Classe 2nde'!$B71="","",N('Classe 2nde'!L71))</f>
        <v/>
      </c>
      <c r="P1031" s="18" t="str">
        <f>IF('Classe 2nde'!$B71="","",N('Classe 2nde'!M71))</f>
        <v/>
      </c>
      <c r="Q1031" s="17" t="str">
        <f>IF('Classe 2nde'!$B71="","",IF('Classe 2nde'!Q71="","",'Classe 2nde'!Q71))</f>
        <v/>
      </c>
      <c r="R1031" s="18" t="str">
        <f>IF('Classe 2nde'!$B71="","",N('Classe 2nde'!N71))</f>
        <v/>
      </c>
      <c r="S1031" s="18" t="str">
        <f>IF('Classe 2nde'!$B71="","",N('Classe 2nde'!O71))</f>
        <v/>
      </c>
      <c r="T1031" s="18" t="str">
        <f>IF('Classe 2nde'!$B71="","",N('Classe 2nde'!P71))</f>
        <v/>
      </c>
    </row>
    <row r="1032">
      <c r="A1032" s="20" t="str">
        <f>IF('Classe 2nde'!$B72="","",IF('Classe 2nde'!A72="","",'Classe 2nde'!A72))</f>
        <v/>
      </c>
      <c r="B1032" s="20" t="str">
        <f>IF('Classe 2nde'!$B72="","",IF('Classe 2nde'!B72="","",'Classe 2nde'!B72))</f>
        <v/>
      </c>
      <c r="C1032" s="20" t="str">
        <f>IF('Classe 2nde'!$B72="","",IF('Classe 2nde'!C72="","",'Classe 2nde'!C72))</f>
        <v/>
      </c>
      <c r="D1032" s="20" t="str">
        <f>IF($B1032="","",C1032&amp;" "&amp;B1032&amp;" - "&amp;E1032)</f>
        <v/>
      </c>
      <c r="E1032" s="21" t="str">
        <f>IF($B1032="","",Paramètres!$A$27)</f>
        <v/>
      </c>
      <c r="F1032" s="21" t="str">
        <f>IF($B1032="","",Paramètres!$B$27)</f>
        <v/>
      </c>
      <c r="G1032" s="21" t="str">
        <f>IF('Classe 2nde'!$B72="","",IF('Classe 2nde'!D72="","",'Classe 2nde'!D72))</f>
        <v/>
      </c>
      <c r="H1032" s="77" t="str">
        <f>IF('Classe 2nde'!$B72="","",IF('Classe 2nde'!E72="","",'Classe 2nde'!E72))</f>
        <v/>
      </c>
      <c r="I1032" s="20" t="str">
        <f>IF('Classe 2nde'!$B72="","",IF('Classe 2nde'!F72="","",'Classe 2nde'!F72))</f>
        <v/>
      </c>
      <c r="J1032" s="20" t="str">
        <f>IF('Classe 2nde'!$B72="","",IF('Classe 2nde'!G72="","",'Classe 2nde'!G72))</f>
        <v/>
      </c>
      <c r="K1032" s="51" t="str">
        <f>IF('Classe 2nde'!$B72="","",N('Classe 2nde'!H72))</f>
        <v/>
      </c>
      <c r="L1032" s="51" t="str">
        <f>IF('Classe 2nde'!$B72="","",N('Classe 2nde'!I72))</f>
        <v/>
      </c>
      <c r="M1032" s="51" t="str">
        <f>IF('Classe 2nde'!$B72="","",N('Classe 2nde'!J72))</f>
        <v/>
      </c>
      <c r="N1032" s="51" t="str">
        <f>IF('Classe 2nde'!$B72="","",N('Classe 2nde'!K72))</f>
        <v/>
      </c>
      <c r="O1032" s="51" t="str">
        <f>IF('Classe 2nde'!$B72="","",N('Classe 2nde'!L72))</f>
        <v/>
      </c>
      <c r="P1032" s="51" t="str">
        <f>IF('Classe 2nde'!$B72="","",N('Classe 2nde'!M72))</f>
        <v/>
      </c>
      <c r="Q1032" s="21" t="str">
        <f>IF('Classe 2nde'!$B72="","",IF('Classe 2nde'!Q72="","",'Classe 2nde'!Q72))</f>
        <v/>
      </c>
      <c r="R1032" s="51" t="str">
        <f>IF('Classe 2nde'!$B72="","",N('Classe 2nde'!N72))</f>
        <v/>
      </c>
      <c r="S1032" s="51" t="str">
        <f>IF('Classe 2nde'!$B72="","",N('Classe 2nde'!O72))</f>
        <v/>
      </c>
      <c r="T1032" s="51" t="str">
        <f>IF('Classe 2nde'!$B72="","",N('Classe 2nde'!P72))</f>
        <v/>
      </c>
    </row>
    <row r="1033">
      <c r="A1033" s="16" t="str">
        <f>IF('Classe 2nde'!$B73="","",IF('Classe 2nde'!A73="","",'Classe 2nde'!A73))</f>
        <v/>
      </c>
      <c r="B1033" s="16" t="str">
        <f>IF('Classe 2nde'!$B73="","",IF('Classe 2nde'!B73="","",'Classe 2nde'!B73))</f>
        <v/>
      </c>
      <c r="C1033" s="16" t="str">
        <f>IF('Classe 2nde'!$B73="","",IF('Classe 2nde'!C73="","",'Classe 2nde'!C73))</f>
        <v/>
      </c>
      <c r="D1033" s="16" t="str">
        <f>IF($B1033="","",C1033&amp;" "&amp;B1033&amp;" - "&amp;E1033)</f>
        <v/>
      </c>
      <c r="E1033" s="17" t="str">
        <f>IF($B1033="","",Paramètres!$A$27)</f>
        <v/>
      </c>
      <c r="F1033" s="17" t="str">
        <f>IF($B1033="","",Paramètres!$B$27)</f>
        <v/>
      </c>
      <c r="G1033" s="17" t="str">
        <f>IF('Classe 2nde'!$B73="","",IF('Classe 2nde'!D73="","",'Classe 2nde'!D73))</f>
        <v/>
      </c>
      <c r="H1033" s="78" t="str">
        <f>IF('Classe 2nde'!$B73="","",IF('Classe 2nde'!E73="","",'Classe 2nde'!E73))</f>
        <v/>
      </c>
      <c r="I1033" s="16" t="str">
        <f>IF('Classe 2nde'!$B73="","",IF('Classe 2nde'!F73="","",'Classe 2nde'!F73))</f>
        <v/>
      </c>
      <c r="J1033" s="16" t="str">
        <f>IF('Classe 2nde'!$B73="","",IF('Classe 2nde'!G73="","",'Classe 2nde'!G73))</f>
        <v/>
      </c>
      <c r="K1033" s="18" t="str">
        <f>IF('Classe 2nde'!$B73="","",N('Classe 2nde'!H73))</f>
        <v/>
      </c>
      <c r="L1033" s="18" t="str">
        <f>IF('Classe 2nde'!$B73="","",N('Classe 2nde'!I73))</f>
        <v/>
      </c>
      <c r="M1033" s="18" t="str">
        <f>IF('Classe 2nde'!$B73="","",N('Classe 2nde'!J73))</f>
        <v/>
      </c>
      <c r="N1033" s="18" t="str">
        <f>IF('Classe 2nde'!$B73="","",N('Classe 2nde'!K73))</f>
        <v/>
      </c>
      <c r="O1033" s="18" t="str">
        <f>IF('Classe 2nde'!$B73="","",N('Classe 2nde'!L73))</f>
        <v/>
      </c>
      <c r="P1033" s="18" t="str">
        <f>IF('Classe 2nde'!$B73="","",N('Classe 2nde'!M73))</f>
        <v/>
      </c>
      <c r="Q1033" s="17" t="str">
        <f>IF('Classe 2nde'!$B73="","",IF('Classe 2nde'!Q73="","",'Classe 2nde'!Q73))</f>
        <v/>
      </c>
      <c r="R1033" s="18" t="str">
        <f>IF('Classe 2nde'!$B73="","",N('Classe 2nde'!N73))</f>
        <v/>
      </c>
      <c r="S1033" s="18" t="str">
        <f>IF('Classe 2nde'!$B73="","",N('Classe 2nde'!O73))</f>
        <v/>
      </c>
      <c r="T1033" s="18" t="str">
        <f>IF('Classe 2nde'!$B73="","",N('Classe 2nde'!P73))</f>
        <v/>
      </c>
    </row>
    <row r="1034">
      <c r="A1034" s="20" t="str">
        <f>IF('Classe 2nde'!$B74="","",IF('Classe 2nde'!A74="","",'Classe 2nde'!A74))</f>
        <v/>
      </c>
      <c r="B1034" s="20" t="str">
        <f>IF('Classe 2nde'!$B74="","",IF('Classe 2nde'!B74="","",'Classe 2nde'!B74))</f>
        <v/>
      </c>
      <c r="C1034" s="20" t="str">
        <f>IF('Classe 2nde'!$B74="","",IF('Classe 2nde'!C74="","",'Classe 2nde'!C74))</f>
        <v/>
      </c>
      <c r="D1034" s="20" t="str">
        <f>IF($B1034="","",C1034&amp;" "&amp;B1034&amp;" - "&amp;E1034)</f>
        <v/>
      </c>
      <c r="E1034" s="21" t="str">
        <f>IF($B1034="","",Paramètres!$A$27)</f>
        <v/>
      </c>
      <c r="F1034" s="21" t="str">
        <f>IF($B1034="","",Paramètres!$B$27)</f>
        <v/>
      </c>
      <c r="G1034" s="21" t="str">
        <f>IF('Classe 2nde'!$B74="","",IF('Classe 2nde'!D74="","",'Classe 2nde'!D74))</f>
        <v/>
      </c>
      <c r="H1034" s="77" t="str">
        <f>IF('Classe 2nde'!$B74="","",IF('Classe 2nde'!E74="","",'Classe 2nde'!E74))</f>
        <v/>
      </c>
      <c r="I1034" s="20" t="str">
        <f>IF('Classe 2nde'!$B74="","",IF('Classe 2nde'!F74="","",'Classe 2nde'!F74))</f>
        <v/>
      </c>
      <c r="J1034" s="20" t="str">
        <f>IF('Classe 2nde'!$B74="","",IF('Classe 2nde'!G74="","",'Classe 2nde'!G74))</f>
        <v/>
      </c>
      <c r="K1034" s="51" t="str">
        <f>IF('Classe 2nde'!$B74="","",N('Classe 2nde'!H74))</f>
        <v/>
      </c>
      <c r="L1034" s="51" t="str">
        <f>IF('Classe 2nde'!$B74="","",N('Classe 2nde'!I74))</f>
        <v/>
      </c>
      <c r="M1034" s="51" t="str">
        <f>IF('Classe 2nde'!$B74="","",N('Classe 2nde'!J74))</f>
        <v/>
      </c>
      <c r="N1034" s="51" t="str">
        <f>IF('Classe 2nde'!$B74="","",N('Classe 2nde'!K74))</f>
        <v/>
      </c>
      <c r="O1034" s="51" t="str">
        <f>IF('Classe 2nde'!$B74="","",N('Classe 2nde'!L74))</f>
        <v/>
      </c>
      <c r="P1034" s="51" t="str">
        <f>IF('Classe 2nde'!$B74="","",N('Classe 2nde'!M74))</f>
        <v/>
      </c>
      <c r="Q1034" s="21" t="str">
        <f>IF('Classe 2nde'!$B74="","",IF('Classe 2nde'!Q74="","",'Classe 2nde'!Q74))</f>
        <v/>
      </c>
      <c r="R1034" s="51" t="str">
        <f>IF('Classe 2nde'!$B74="","",N('Classe 2nde'!N74))</f>
        <v/>
      </c>
      <c r="S1034" s="51" t="str">
        <f>IF('Classe 2nde'!$B74="","",N('Classe 2nde'!O74))</f>
        <v/>
      </c>
      <c r="T1034" s="51" t="str">
        <f>IF('Classe 2nde'!$B74="","",N('Classe 2nde'!P74))</f>
        <v/>
      </c>
    </row>
    <row r="1035">
      <c r="A1035" s="16" t="str">
        <f>IF('Classe 2nde'!$B75="","",IF('Classe 2nde'!A75="","",'Classe 2nde'!A75))</f>
        <v/>
      </c>
      <c r="B1035" s="16" t="str">
        <f>IF('Classe 2nde'!$B75="","",IF('Classe 2nde'!B75="","",'Classe 2nde'!B75))</f>
        <v/>
      </c>
      <c r="C1035" s="16" t="str">
        <f>IF('Classe 2nde'!$B75="","",IF('Classe 2nde'!C75="","",'Classe 2nde'!C75))</f>
        <v/>
      </c>
      <c r="D1035" s="16" t="str">
        <f>IF($B1035="","",C1035&amp;" "&amp;B1035&amp;" - "&amp;E1035)</f>
        <v/>
      </c>
      <c r="E1035" s="17" t="str">
        <f>IF($B1035="","",Paramètres!$A$27)</f>
        <v/>
      </c>
      <c r="F1035" s="17" t="str">
        <f>IF($B1035="","",Paramètres!$B$27)</f>
        <v/>
      </c>
      <c r="G1035" s="17" t="str">
        <f>IF('Classe 2nde'!$B75="","",IF('Classe 2nde'!D75="","",'Classe 2nde'!D75))</f>
        <v/>
      </c>
      <c r="H1035" s="78" t="str">
        <f>IF('Classe 2nde'!$B75="","",IF('Classe 2nde'!E75="","",'Classe 2nde'!E75))</f>
        <v/>
      </c>
      <c r="I1035" s="16" t="str">
        <f>IF('Classe 2nde'!$B75="","",IF('Classe 2nde'!F75="","",'Classe 2nde'!F75))</f>
        <v/>
      </c>
      <c r="J1035" s="16" t="str">
        <f>IF('Classe 2nde'!$B75="","",IF('Classe 2nde'!G75="","",'Classe 2nde'!G75))</f>
        <v/>
      </c>
      <c r="K1035" s="18" t="str">
        <f>IF('Classe 2nde'!$B75="","",N('Classe 2nde'!H75))</f>
        <v/>
      </c>
      <c r="L1035" s="18" t="str">
        <f>IF('Classe 2nde'!$B75="","",N('Classe 2nde'!I75))</f>
        <v/>
      </c>
      <c r="M1035" s="18" t="str">
        <f>IF('Classe 2nde'!$B75="","",N('Classe 2nde'!J75))</f>
        <v/>
      </c>
      <c r="N1035" s="18" t="str">
        <f>IF('Classe 2nde'!$B75="","",N('Classe 2nde'!K75))</f>
        <v/>
      </c>
      <c r="O1035" s="18" t="str">
        <f>IF('Classe 2nde'!$B75="","",N('Classe 2nde'!L75))</f>
        <v/>
      </c>
      <c r="P1035" s="18" t="str">
        <f>IF('Classe 2nde'!$B75="","",N('Classe 2nde'!M75))</f>
        <v/>
      </c>
      <c r="Q1035" s="17" t="str">
        <f>IF('Classe 2nde'!$B75="","",IF('Classe 2nde'!Q75="","",'Classe 2nde'!Q75))</f>
        <v/>
      </c>
      <c r="R1035" s="18" t="str">
        <f>IF('Classe 2nde'!$B75="","",N('Classe 2nde'!N75))</f>
        <v/>
      </c>
      <c r="S1035" s="18" t="str">
        <f>IF('Classe 2nde'!$B75="","",N('Classe 2nde'!O75))</f>
        <v/>
      </c>
      <c r="T1035" s="18" t="str">
        <f>IF('Classe 2nde'!$B75="","",N('Classe 2nde'!P75))</f>
        <v/>
      </c>
    </row>
    <row r="1036">
      <c r="A1036" s="20" t="str">
        <f>IF('Classe 2nde'!$B76="","",IF('Classe 2nde'!A76="","",'Classe 2nde'!A76))</f>
        <v/>
      </c>
      <c r="B1036" s="20" t="str">
        <f>IF('Classe 2nde'!$B76="","",IF('Classe 2nde'!B76="","",'Classe 2nde'!B76))</f>
        <v/>
      </c>
      <c r="C1036" s="20" t="str">
        <f>IF('Classe 2nde'!$B76="","",IF('Classe 2nde'!C76="","",'Classe 2nde'!C76))</f>
        <v/>
      </c>
      <c r="D1036" s="20" t="str">
        <f>IF($B1036="","",C1036&amp;" "&amp;B1036&amp;" - "&amp;E1036)</f>
        <v/>
      </c>
      <c r="E1036" s="21" t="str">
        <f>IF($B1036="","",Paramètres!$A$27)</f>
        <v/>
      </c>
      <c r="F1036" s="21" t="str">
        <f>IF($B1036="","",Paramètres!$B$27)</f>
        <v/>
      </c>
      <c r="G1036" s="21" t="str">
        <f>IF('Classe 2nde'!$B76="","",IF('Classe 2nde'!D76="","",'Classe 2nde'!D76))</f>
        <v/>
      </c>
      <c r="H1036" s="77" t="str">
        <f>IF('Classe 2nde'!$B76="","",IF('Classe 2nde'!E76="","",'Classe 2nde'!E76))</f>
        <v/>
      </c>
      <c r="I1036" s="20" t="str">
        <f>IF('Classe 2nde'!$B76="","",IF('Classe 2nde'!F76="","",'Classe 2nde'!F76))</f>
        <v/>
      </c>
      <c r="J1036" s="20" t="str">
        <f>IF('Classe 2nde'!$B76="","",IF('Classe 2nde'!G76="","",'Classe 2nde'!G76))</f>
        <v/>
      </c>
      <c r="K1036" s="51" t="str">
        <f>IF('Classe 2nde'!$B76="","",N('Classe 2nde'!H76))</f>
        <v/>
      </c>
      <c r="L1036" s="51" t="str">
        <f>IF('Classe 2nde'!$B76="","",N('Classe 2nde'!I76))</f>
        <v/>
      </c>
      <c r="M1036" s="51" t="str">
        <f>IF('Classe 2nde'!$B76="","",N('Classe 2nde'!J76))</f>
        <v/>
      </c>
      <c r="N1036" s="51" t="str">
        <f>IF('Classe 2nde'!$B76="","",N('Classe 2nde'!K76))</f>
        <v/>
      </c>
      <c r="O1036" s="51" t="str">
        <f>IF('Classe 2nde'!$B76="","",N('Classe 2nde'!L76))</f>
        <v/>
      </c>
      <c r="P1036" s="51" t="str">
        <f>IF('Classe 2nde'!$B76="","",N('Classe 2nde'!M76))</f>
        <v/>
      </c>
      <c r="Q1036" s="21" t="str">
        <f>IF('Classe 2nde'!$B76="","",IF('Classe 2nde'!Q76="","",'Classe 2nde'!Q76))</f>
        <v/>
      </c>
      <c r="R1036" s="51" t="str">
        <f>IF('Classe 2nde'!$B76="","",N('Classe 2nde'!N76))</f>
        <v/>
      </c>
      <c r="S1036" s="51" t="str">
        <f>IF('Classe 2nde'!$B76="","",N('Classe 2nde'!O76))</f>
        <v/>
      </c>
      <c r="T1036" s="51" t="str">
        <f>IF('Classe 2nde'!$B76="","",N('Classe 2nde'!P76))</f>
        <v/>
      </c>
    </row>
    <row r="1037">
      <c r="A1037" s="16" t="str">
        <f>IF('Classe 2nde'!$B77="","",IF('Classe 2nde'!A77="","",'Classe 2nde'!A77))</f>
        <v/>
      </c>
      <c r="B1037" s="16" t="str">
        <f>IF('Classe 2nde'!$B77="","",IF('Classe 2nde'!B77="","",'Classe 2nde'!B77))</f>
        <v/>
      </c>
      <c r="C1037" s="16" t="str">
        <f>IF('Classe 2nde'!$B77="","",IF('Classe 2nde'!C77="","",'Classe 2nde'!C77))</f>
        <v/>
      </c>
      <c r="D1037" s="16" t="str">
        <f>IF($B1037="","",C1037&amp;" "&amp;B1037&amp;" - "&amp;E1037)</f>
        <v/>
      </c>
      <c r="E1037" s="17" t="str">
        <f>IF($B1037="","",Paramètres!$A$27)</f>
        <v/>
      </c>
      <c r="F1037" s="17" t="str">
        <f>IF($B1037="","",Paramètres!$B$27)</f>
        <v/>
      </c>
      <c r="G1037" s="17" t="str">
        <f>IF('Classe 2nde'!$B77="","",IF('Classe 2nde'!D77="","",'Classe 2nde'!D77))</f>
        <v/>
      </c>
      <c r="H1037" s="78" t="str">
        <f>IF('Classe 2nde'!$B77="","",IF('Classe 2nde'!E77="","",'Classe 2nde'!E77))</f>
        <v/>
      </c>
      <c r="I1037" s="16" t="str">
        <f>IF('Classe 2nde'!$B77="","",IF('Classe 2nde'!F77="","",'Classe 2nde'!F77))</f>
        <v/>
      </c>
      <c r="J1037" s="16" t="str">
        <f>IF('Classe 2nde'!$B77="","",IF('Classe 2nde'!G77="","",'Classe 2nde'!G77))</f>
        <v/>
      </c>
      <c r="K1037" s="18" t="str">
        <f>IF('Classe 2nde'!$B77="","",N('Classe 2nde'!H77))</f>
        <v/>
      </c>
      <c r="L1037" s="18" t="str">
        <f>IF('Classe 2nde'!$B77="","",N('Classe 2nde'!I77))</f>
        <v/>
      </c>
      <c r="M1037" s="18" t="str">
        <f>IF('Classe 2nde'!$B77="","",N('Classe 2nde'!J77))</f>
        <v/>
      </c>
      <c r="N1037" s="18" t="str">
        <f>IF('Classe 2nde'!$B77="","",N('Classe 2nde'!K77))</f>
        <v/>
      </c>
      <c r="O1037" s="18" t="str">
        <f>IF('Classe 2nde'!$B77="","",N('Classe 2nde'!L77))</f>
        <v/>
      </c>
      <c r="P1037" s="18" t="str">
        <f>IF('Classe 2nde'!$B77="","",N('Classe 2nde'!M77))</f>
        <v/>
      </c>
      <c r="Q1037" s="17" t="str">
        <f>IF('Classe 2nde'!$B77="","",IF('Classe 2nde'!Q77="","",'Classe 2nde'!Q77))</f>
        <v/>
      </c>
      <c r="R1037" s="18" t="str">
        <f>IF('Classe 2nde'!$B77="","",N('Classe 2nde'!N77))</f>
        <v/>
      </c>
      <c r="S1037" s="18" t="str">
        <f>IF('Classe 2nde'!$B77="","",N('Classe 2nde'!O77))</f>
        <v/>
      </c>
      <c r="T1037" s="18" t="str">
        <f>IF('Classe 2nde'!$B77="","",N('Classe 2nde'!P77))</f>
        <v/>
      </c>
    </row>
    <row r="1038">
      <c r="A1038" s="20" t="str">
        <f>IF('Classe 2nde'!$B78="","",IF('Classe 2nde'!A78="","",'Classe 2nde'!A78))</f>
        <v/>
      </c>
      <c r="B1038" s="20" t="str">
        <f>IF('Classe 2nde'!$B78="","",IF('Classe 2nde'!B78="","",'Classe 2nde'!B78))</f>
        <v/>
      </c>
      <c r="C1038" s="20" t="str">
        <f>IF('Classe 2nde'!$B78="","",IF('Classe 2nde'!C78="","",'Classe 2nde'!C78))</f>
        <v/>
      </c>
      <c r="D1038" s="20" t="str">
        <f>IF($B1038="","",C1038&amp;" "&amp;B1038&amp;" - "&amp;E1038)</f>
        <v/>
      </c>
      <c r="E1038" s="21" t="str">
        <f>IF($B1038="","",Paramètres!$A$27)</f>
        <v/>
      </c>
      <c r="F1038" s="21" t="str">
        <f>IF($B1038="","",Paramètres!$B$27)</f>
        <v/>
      </c>
      <c r="G1038" s="21" t="str">
        <f>IF('Classe 2nde'!$B78="","",IF('Classe 2nde'!D78="","",'Classe 2nde'!D78))</f>
        <v/>
      </c>
      <c r="H1038" s="77" t="str">
        <f>IF('Classe 2nde'!$B78="","",IF('Classe 2nde'!E78="","",'Classe 2nde'!E78))</f>
        <v/>
      </c>
      <c r="I1038" s="20" t="str">
        <f>IF('Classe 2nde'!$B78="","",IF('Classe 2nde'!F78="","",'Classe 2nde'!F78))</f>
        <v/>
      </c>
      <c r="J1038" s="20" t="str">
        <f>IF('Classe 2nde'!$B78="","",IF('Classe 2nde'!G78="","",'Classe 2nde'!G78))</f>
        <v/>
      </c>
      <c r="K1038" s="51" t="str">
        <f>IF('Classe 2nde'!$B78="","",N('Classe 2nde'!H78))</f>
        <v/>
      </c>
      <c r="L1038" s="51" t="str">
        <f>IF('Classe 2nde'!$B78="","",N('Classe 2nde'!I78))</f>
        <v/>
      </c>
      <c r="M1038" s="51" t="str">
        <f>IF('Classe 2nde'!$B78="","",N('Classe 2nde'!J78))</f>
        <v/>
      </c>
      <c r="N1038" s="51" t="str">
        <f>IF('Classe 2nde'!$B78="","",N('Classe 2nde'!K78))</f>
        <v/>
      </c>
      <c r="O1038" s="51" t="str">
        <f>IF('Classe 2nde'!$B78="","",N('Classe 2nde'!L78))</f>
        <v/>
      </c>
      <c r="P1038" s="51" t="str">
        <f>IF('Classe 2nde'!$B78="","",N('Classe 2nde'!M78))</f>
        <v/>
      </c>
      <c r="Q1038" s="21" t="str">
        <f>IF('Classe 2nde'!$B78="","",IF('Classe 2nde'!Q78="","",'Classe 2nde'!Q78))</f>
        <v/>
      </c>
      <c r="R1038" s="51" t="str">
        <f>IF('Classe 2nde'!$B78="","",N('Classe 2nde'!N78))</f>
        <v/>
      </c>
      <c r="S1038" s="51" t="str">
        <f>IF('Classe 2nde'!$B78="","",N('Classe 2nde'!O78))</f>
        <v/>
      </c>
      <c r="T1038" s="51" t="str">
        <f>IF('Classe 2nde'!$B78="","",N('Classe 2nde'!P78))</f>
        <v/>
      </c>
    </row>
    <row r="1039">
      <c r="A1039" s="16" t="str">
        <f>IF('Classe 2nde'!$B79="","",IF('Classe 2nde'!A79="","",'Classe 2nde'!A79))</f>
        <v/>
      </c>
      <c r="B1039" s="16" t="str">
        <f>IF('Classe 2nde'!$B79="","",IF('Classe 2nde'!B79="","",'Classe 2nde'!B79))</f>
        <v/>
      </c>
      <c r="C1039" s="16" t="str">
        <f>IF('Classe 2nde'!$B79="","",IF('Classe 2nde'!C79="","",'Classe 2nde'!C79))</f>
        <v/>
      </c>
      <c r="D1039" s="16" t="str">
        <f>IF($B1039="","",C1039&amp;" "&amp;B1039&amp;" - "&amp;E1039)</f>
        <v/>
      </c>
      <c r="E1039" s="17" t="str">
        <f>IF($B1039="","",Paramètres!$A$27)</f>
        <v/>
      </c>
      <c r="F1039" s="17" t="str">
        <f>IF($B1039="","",Paramètres!$B$27)</f>
        <v/>
      </c>
      <c r="G1039" s="17" t="str">
        <f>IF('Classe 2nde'!$B79="","",IF('Classe 2nde'!D79="","",'Classe 2nde'!D79))</f>
        <v/>
      </c>
      <c r="H1039" s="78" t="str">
        <f>IF('Classe 2nde'!$B79="","",IF('Classe 2nde'!E79="","",'Classe 2nde'!E79))</f>
        <v/>
      </c>
      <c r="I1039" s="16" t="str">
        <f>IF('Classe 2nde'!$B79="","",IF('Classe 2nde'!F79="","",'Classe 2nde'!F79))</f>
        <v/>
      </c>
      <c r="J1039" s="16" t="str">
        <f>IF('Classe 2nde'!$B79="","",IF('Classe 2nde'!G79="","",'Classe 2nde'!G79))</f>
        <v/>
      </c>
      <c r="K1039" s="18" t="str">
        <f>IF('Classe 2nde'!$B79="","",N('Classe 2nde'!H79))</f>
        <v/>
      </c>
      <c r="L1039" s="18" t="str">
        <f>IF('Classe 2nde'!$B79="","",N('Classe 2nde'!I79))</f>
        <v/>
      </c>
      <c r="M1039" s="18" t="str">
        <f>IF('Classe 2nde'!$B79="","",N('Classe 2nde'!J79))</f>
        <v/>
      </c>
      <c r="N1039" s="18" t="str">
        <f>IF('Classe 2nde'!$B79="","",N('Classe 2nde'!K79))</f>
        <v/>
      </c>
      <c r="O1039" s="18" t="str">
        <f>IF('Classe 2nde'!$B79="","",N('Classe 2nde'!L79))</f>
        <v/>
      </c>
      <c r="P1039" s="18" t="str">
        <f>IF('Classe 2nde'!$B79="","",N('Classe 2nde'!M79))</f>
        <v/>
      </c>
      <c r="Q1039" s="17" t="str">
        <f>IF('Classe 2nde'!$B79="","",IF('Classe 2nde'!Q79="","",'Classe 2nde'!Q79))</f>
        <v/>
      </c>
      <c r="R1039" s="18" t="str">
        <f>IF('Classe 2nde'!$B79="","",N('Classe 2nde'!N79))</f>
        <v/>
      </c>
      <c r="S1039" s="18" t="str">
        <f>IF('Classe 2nde'!$B79="","",N('Classe 2nde'!O79))</f>
        <v/>
      </c>
      <c r="T1039" s="18" t="str">
        <f>IF('Classe 2nde'!$B79="","",N('Classe 2nde'!P79))</f>
        <v/>
      </c>
    </row>
    <row r="1040">
      <c r="A1040" s="20" t="str">
        <f>IF('Classe 2nde'!$B80="","",IF('Classe 2nde'!A80="","",'Classe 2nde'!A80))</f>
        <v/>
      </c>
      <c r="B1040" s="20" t="str">
        <f>IF('Classe 2nde'!$B80="","",IF('Classe 2nde'!B80="","",'Classe 2nde'!B80))</f>
        <v/>
      </c>
      <c r="C1040" s="20" t="str">
        <f>IF('Classe 2nde'!$B80="","",IF('Classe 2nde'!C80="","",'Classe 2nde'!C80))</f>
        <v/>
      </c>
      <c r="D1040" s="20" t="str">
        <f>IF($B1040="","",C1040&amp;" "&amp;B1040&amp;" - "&amp;E1040)</f>
        <v/>
      </c>
      <c r="E1040" s="21" t="str">
        <f>IF($B1040="","",Paramètres!$A$27)</f>
        <v/>
      </c>
      <c r="F1040" s="21" t="str">
        <f>IF($B1040="","",Paramètres!$B$27)</f>
        <v/>
      </c>
      <c r="G1040" s="21" t="str">
        <f>IF('Classe 2nde'!$B80="","",IF('Classe 2nde'!D80="","",'Classe 2nde'!D80))</f>
        <v/>
      </c>
      <c r="H1040" s="77" t="str">
        <f>IF('Classe 2nde'!$B80="","",IF('Classe 2nde'!E80="","",'Classe 2nde'!E80))</f>
        <v/>
      </c>
      <c r="I1040" s="20" t="str">
        <f>IF('Classe 2nde'!$B80="","",IF('Classe 2nde'!F80="","",'Classe 2nde'!F80))</f>
        <v/>
      </c>
      <c r="J1040" s="20" t="str">
        <f>IF('Classe 2nde'!$B80="","",IF('Classe 2nde'!G80="","",'Classe 2nde'!G80))</f>
        <v/>
      </c>
      <c r="K1040" s="51" t="str">
        <f>IF('Classe 2nde'!$B80="","",N('Classe 2nde'!H80))</f>
        <v/>
      </c>
      <c r="L1040" s="51" t="str">
        <f>IF('Classe 2nde'!$B80="","",N('Classe 2nde'!I80))</f>
        <v/>
      </c>
      <c r="M1040" s="51" t="str">
        <f>IF('Classe 2nde'!$B80="","",N('Classe 2nde'!J80))</f>
        <v/>
      </c>
      <c r="N1040" s="51" t="str">
        <f>IF('Classe 2nde'!$B80="","",N('Classe 2nde'!K80))</f>
        <v/>
      </c>
      <c r="O1040" s="51" t="str">
        <f>IF('Classe 2nde'!$B80="","",N('Classe 2nde'!L80))</f>
        <v/>
      </c>
      <c r="P1040" s="51" t="str">
        <f>IF('Classe 2nde'!$B80="","",N('Classe 2nde'!M80))</f>
        <v/>
      </c>
      <c r="Q1040" s="21" t="str">
        <f>IF('Classe 2nde'!$B80="","",IF('Classe 2nde'!Q80="","",'Classe 2nde'!Q80))</f>
        <v/>
      </c>
      <c r="R1040" s="51" t="str">
        <f>IF('Classe 2nde'!$B80="","",N('Classe 2nde'!N80))</f>
        <v/>
      </c>
      <c r="S1040" s="51" t="str">
        <f>IF('Classe 2nde'!$B80="","",N('Classe 2nde'!O80))</f>
        <v/>
      </c>
      <c r="T1040" s="51" t="str">
        <f>IF('Classe 2nde'!$B80="","",N('Classe 2nde'!P80))</f>
        <v/>
      </c>
    </row>
    <row r="1041">
      <c r="A1041" s="16" t="str">
        <f>IF('Classe 2nde'!$B81="","",IF('Classe 2nde'!A81="","",'Classe 2nde'!A81))</f>
        <v/>
      </c>
      <c r="B1041" s="16" t="str">
        <f>IF('Classe 2nde'!$B81="","",IF('Classe 2nde'!B81="","",'Classe 2nde'!B81))</f>
        <v/>
      </c>
      <c r="C1041" s="16" t="str">
        <f>IF('Classe 2nde'!$B81="","",IF('Classe 2nde'!C81="","",'Classe 2nde'!C81))</f>
        <v/>
      </c>
      <c r="D1041" s="16" t="str">
        <f>IF($B1041="","",C1041&amp;" "&amp;B1041&amp;" - "&amp;E1041)</f>
        <v/>
      </c>
      <c r="E1041" s="17" t="str">
        <f>IF($B1041="","",Paramètres!$A$27)</f>
        <v/>
      </c>
      <c r="F1041" s="17" t="str">
        <f>IF($B1041="","",Paramètres!$B$27)</f>
        <v/>
      </c>
      <c r="G1041" s="17" t="str">
        <f>IF('Classe 2nde'!$B81="","",IF('Classe 2nde'!D81="","",'Classe 2nde'!D81))</f>
        <v/>
      </c>
      <c r="H1041" s="78" t="str">
        <f>IF('Classe 2nde'!$B81="","",IF('Classe 2nde'!E81="","",'Classe 2nde'!E81))</f>
        <v/>
      </c>
      <c r="I1041" s="16" t="str">
        <f>IF('Classe 2nde'!$B81="","",IF('Classe 2nde'!F81="","",'Classe 2nde'!F81))</f>
        <v/>
      </c>
      <c r="J1041" s="16" t="str">
        <f>IF('Classe 2nde'!$B81="","",IF('Classe 2nde'!G81="","",'Classe 2nde'!G81))</f>
        <v/>
      </c>
      <c r="K1041" s="18" t="str">
        <f>IF('Classe 2nde'!$B81="","",N('Classe 2nde'!H81))</f>
        <v/>
      </c>
      <c r="L1041" s="18" t="str">
        <f>IF('Classe 2nde'!$B81="","",N('Classe 2nde'!I81))</f>
        <v/>
      </c>
      <c r="M1041" s="18" t="str">
        <f>IF('Classe 2nde'!$B81="","",N('Classe 2nde'!J81))</f>
        <v/>
      </c>
      <c r="N1041" s="18" t="str">
        <f>IF('Classe 2nde'!$B81="","",N('Classe 2nde'!K81))</f>
        <v/>
      </c>
      <c r="O1041" s="18" t="str">
        <f>IF('Classe 2nde'!$B81="","",N('Classe 2nde'!L81))</f>
        <v/>
      </c>
      <c r="P1041" s="18" t="str">
        <f>IF('Classe 2nde'!$B81="","",N('Classe 2nde'!M81))</f>
        <v/>
      </c>
      <c r="Q1041" s="17" t="str">
        <f>IF('Classe 2nde'!$B81="","",IF('Classe 2nde'!Q81="","",'Classe 2nde'!Q81))</f>
        <v/>
      </c>
      <c r="R1041" s="18" t="str">
        <f>IF('Classe 2nde'!$B81="","",N('Classe 2nde'!N81))</f>
        <v/>
      </c>
      <c r="S1041" s="18" t="str">
        <f>IF('Classe 2nde'!$B81="","",N('Classe 2nde'!O81))</f>
        <v/>
      </c>
      <c r="T1041" s="18" t="str">
        <f>IF('Classe 2nde'!$B81="","",N('Classe 2nde'!P81))</f>
        <v/>
      </c>
    </row>
    <row r="1042">
      <c r="A1042" s="20" t="str">
        <f>IF('Classe 2nde'!$B82="","",IF('Classe 2nde'!A82="","",'Classe 2nde'!A82))</f>
        <v/>
      </c>
      <c r="B1042" s="20" t="str">
        <f>IF('Classe 2nde'!$B82="","",IF('Classe 2nde'!B82="","",'Classe 2nde'!B82))</f>
        <v/>
      </c>
      <c r="C1042" s="20" t="str">
        <f>IF('Classe 2nde'!$B82="","",IF('Classe 2nde'!C82="","",'Classe 2nde'!C82))</f>
        <v/>
      </c>
      <c r="D1042" s="20" t="str">
        <f>IF($B1042="","",C1042&amp;" "&amp;B1042&amp;" - "&amp;E1042)</f>
        <v/>
      </c>
      <c r="E1042" s="21" t="str">
        <f>IF($B1042="","",Paramètres!$A$27)</f>
        <v/>
      </c>
      <c r="F1042" s="21" t="str">
        <f>IF($B1042="","",Paramètres!$B$27)</f>
        <v/>
      </c>
      <c r="G1042" s="21" t="str">
        <f>IF('Classe 2nde'!$B82="","",IF('Classe 2nde'!D82="","",'Classe 2nde'!D82))</f>
        <v/>
      </c>
      <c r="H1042" s="77" t="str">
        <f>IF('Classe 2nde'!$B82="","",IF('Classe 2nde'!E82="","",'Classe 2nde'!E82))</f>
        <v/>
      </c>
      <c r="I1042" s="20" t="str">
        <f>IF('Classe 2nde'!$B82="","",IF('Classe 2nde'!F82="","",'Classe 2nde'!F82))</f>
        <v/>
      </c>
      <c r="J1042" s="20" t="str">
        <f>IF('Classe 2nde'!$B82="","",IF('Classe 2nde'!G82="","",'Classe 2nde'!G82))</f>
        <v/>
      </c>
      <c r="K1042" s="51" t="str">
        <f>IF('Classe 2nde'!$B82="","",N('Classe 2nde'!H82))</f>
        <v/>
      </c>
      <c r="L1042" s="51" t="str">
        <f>IF('Classe 2nde'!$B82="","",N('Classe 2nde'!I82))</f>
        <v/>
      </c>
      <c r="M1042" s="51" t="str">
        <f>IF('Classe 2nde'!$B82="","",N('Classe 2nde'!J82))</f>
        <v/>
      </c>
      <c r="N1042" s="51" t="str">
        <f>IF('Classe 2nde'!$B82="","",N('Classe 2nde'!K82))</f>
        <v/>
      </c>
      <c r="O1042" s="51" t="str">
        <f>IF('Classe 2nde'!$B82="","",N('Classe 2nde'!L82))</f>
        <v/>
      </c>
      <c r="P1042" s="51" t="str">
        <f>IF('Classe 2nde'!$B82="","",N('Classe 2nde'!M82))</f>
        <v/>
      </c>
      <c r="Q1042" s="21" t="str">
        <f>IF('Classe 2nde'!$B82="","",IF('Classe 2nde'!Q82="","",'Classe 2nde'!Q82))</f>
        <v/>
      </c>
      <c r="R1042" s="51" t="str">
        <f>IF('Classe 2nde'!$B82="","",N('Classe 2nde'!N82))</f>
        <v/>
      </c>
      <c r="S1042" s="51" t="str">
        <f>IF('Classe 2nde'!$B82="","",N('Classe 2nde'!O82))</f>
        <v/>
      </c>
      <c r="T1042" s="51" t="str">
        <f>IF('Classe 2nde'!$B82="","",N('Classe 2nde'!P82))</f>
        <v/>
      </c>
    </row>
    <row r="1043">
      <c r="A1043" s="16" t="str">
        <f>IF('Classe 2nde'!$B83="","",IF('Classe 2nde'!A83="","",'Classe 2nde'!A83))</f>
        <v/>
      </c>
      <c r="B1043" s="16" t="str">
        <f>IF('Classe 2nde'!$B83="","",IF('Classe 2nde'!B83="","",'Classe 2nde'!B83))</f>
        <v/>
      </c>
      <c r="C1043" s="16" t="str">
        <f>IF('Classe 2nde'!$B83="","",IF('Classe 2nde'!C83="","",'Classe 2nde'!C83))</f>
        <v/>
      </c>
      <c r="D1043" s="16" t="str">
        <f>IF($B1043="","",C1043&amp;" "&amp;B1043&amp;" - "&amp;E1043)</f>
        <v/>
      </c>
      <c r="E1043" s="17" t="str">
        <f>IF($B1043="","",Paramètres!$A$27)</f>
        <v/>
      </c>
      <c r="F1043" s="17" t="str">
        <f>IF($B1043="","",Paramètres!$B$27)</f>
        <v/>
      </c>
      <c r="G1043" s="17" t="str">
        <f>IF('Classe 2nde'!$B83="","",IF('Classe 2nde'!D83="","",'Classe 2nde'!D83))</f>
        <v/>
      </c>
      <c r="H1043" s="78" t="str">
        <f>IF('Classe 2nde'!$B83="","",IF('Classe 2nde'!E83="","",'Classe 2nde'!E83))</f>
        <v/>
      </c>
      <c r="I1043" s="16" t="str">
        <f>IF('Classe 2nde'!$B83="","",IF('Classe 2nde'!F83="","",'Classe 2nde'!F83))</f>
        <v/>
      </c>
      <c r="J1043" s="16" t="str">
        <f>IF('Classe 2nde'!$B83="","",IF('Classe 2nde'!G83="","",'Classe 2nde'!G83))</f>
        <v/>
      </c>
      <c r="K1043" s="18" t="str">
        <f>IF('Classe 2nde'!$B83="","",N('Classe 2nde'!H83))</f>
        <v/>
      </c>
      <c r="L1043" s="18" t="str">
        <f>IF('Classe 2nde'!$B83="","",N('Classe 2nde'!I83))</f>
        <v/>
      </c>
      <c r="M1043" s="18" t="str">
        <f>IF('Classe 2nde'!$B83="","",N('Classe 2nde'!J83))</f>
        <v/>
      </c>
      <c r="N1043" s="18" t="str">
        <f>IF('Classe 2nde'!$B83="","",N('Classe 2nde'!K83))</f>
        <v/>
      </c>
      <c r="O1043" s="18" t="str">
        <f>IF('Classe 2nde'!$B83="","",N('Classe 2nde'!L83))</f>
        <v/>
      </c>
      <c r="P1043" s="18" t="str">
        <f>IF('Classe 2nde'!$B83="","",N('Classe 2nde'!M83))</f>
        <v/>
      </c>
      <c r="Q1043" s="17" t="str">
        <f>IF('Classe 2nde'!$B83="","",IF('Classe 2nde'!Q83="","",'Classe 2nde'!Q83))</f>
        <v/>
      </c>
      <c r="R1043" s="18" t="str">
        <f>IF('Classe 2nde'!$B83="","",N('Classe 2nde'!N83))</f>
        <v/>
      </c>
      <c r="S1043" s="18" t="str">
        <f>IF('Classe 2nde'!$B83="","",N('Classe 2nde'!O83))</f>
        <v/>
      </c>
      <c r="T1043" s="18" t="str">
        <f>IF('Classe 2nde'!$B83="","",N('Classe 2nde'!P83))</f>
        <v/>
      </c>
    </row>
    <row r="1044">
      <c r="A1044" s="20" t="str">
        <f>IF('Classe 1ère A'!$B4="","",IF('Classe 1ère A'!A4="","",'Classe 1ère A'!A4))</f>
        <v/>
      </c>
      <c r="B1044" s="20" t="str">
        <f>IF('Classe 1ère A'!$B4="","",IF('Classe 1ère A'!B4="","",'Classe 1ère A'!B4))</f>
        <v/>
      </c>
      <c r="C1044" s="20" t="str">
        <f>IF('Classe 1ère A'!$B4="","",IF('Classe 1ère A'!C4="","",'Classe 1ère A'!C4))</f>
        <v/>
      </c>
      <c r="D1044" s="20" t="str">
        <f>IF($B1044="","",C1044&amp;" "&amp;B1044&amp;" - "&amp;E1044)</f>
        <v/>
      </c>
      <c r="E1044" s="21" t="str">
        <f>IF($B1044="","",Paramètres!$A$28)</f>
        <v/>
      </c>
      <c r="F1044" s="21" t="str">
        <f>IF($B1044="","",Paramètres!$B$28)</f>
        <v/>
      </c>
      <c r="G1044" s="21" t="str">
        <f>IF('Classe 1ère A'!$B4="","",IF('Classe 1ère A'!D4="","",'Classe 1ère A'!D4))</f>
        <v/>
      </c>
      <c r="H1044" s="77" t="str">
        <f>IF('Classe 1ère A'!$B4="","",IF('Classe 1ère A'!E4="","",'Classe 1ère A'!E4))</f>
        <v/>
      </c>
      <c r="I1044" s="20" t="str">
        <f>IF('Classe 1ère A'!$B4="","",IF('Classe 1ère A'!F4="","",'Classe 1ère A'!F4))</f>
        <v/>
      </c>
      <c r="J1044" s="20" t="str">
        <f>IF('Classe 1ère A'!$B4="","",IF('Classe 1ère A'!G4="","",'Classe 1ère A'!G4))</f>
        <v/>
      </c>
      <c r="K1044" s="51" t="str">
        <f>IF('Classe 1ère A'!$B4="","",N('Classe 1ère A'!H4))</f>
        <v/>
      </c>
      <c r="L1044" s="51" t="str">
        <f>IF('Classe 1ère A'!$B4="","",N('Classe 1ère A'!I4))</f>
        <v/>
      </c>
      <c r="M1044" s="51" t="str">
        <f>IF('Classe 1ère A'!$B4="","",N('Classe 1ère A'!J4))</f>
        <v/>
      </c>
      <c r="N1044" s="51" t="str">
        <f>IF('Classe 1ère A'!$B4="","",N('Classe 1ère A'!K4))</f>
        <v/>
      </c>
      <c r="O1044" s="51" t="str">
        <f>IF('Classe 1ère A'!$B4="","",N('Classe 1ère A'!L4))</f>
        <v/>
      </c>
      <c r="P1044" s="51" t="str">
        <f>IF('Classe 1ère A'!$B4="","",N('Classe 1ère A'!M4))</f>
        <v/>
      </c>
      <c r="Q1044" s="21" t="str">
        <f>IF('Classe 1ère A'!$B4="","",IF('Classe 1ère A'!Q4="","",'Classe 1ère A'!Q4))</f>
        <v/>
      </c>
      <c r="R1044" s="51" t="str">
        <f>IF('Classe 1ère A'!$B4="","",N('Classe 1ère A'!N4))</f>
        <v/>
      </c>
      <c r="S1044" s="51" t="str">
        <f>IF('Classe 1ère A'!$B4="","",N('Classe 1ère A'!O4))</f>
        <v/>
      </c>
      <c r="T1044" s="51" t="str">
        <f>IF('Classe 1ère A'!$B4="","",N('Classe 1ère A'!P4))</f>
        <v/>
      </c>
    </row>
    <row r="1045">
      <c r="A1045" s="16" t="str">
        <f>IF('Classe 1ère A'!$B5="","",IF('Classe 1ère A'!A5="","",'Classe 1ère A'!A5))</f>
        <v/>
      </c>
      <c r="B1045" s="16" t="str">
        <f>IF('Classe 1ère A'!$B5="","",IF('Classe 1ère A'!B5="","",'Classe 1ère A'!B5))</f>
        <v/>
      </c>
      <c r="C1045" s="16" t="str">
        <f>IF('Classe 1ère A'!$B5="","",IF('Classe 1ère A'!C5="","",'Classe 1ère A'!C5))</f>
        <v/>
      </c>
      <c r="D1045" s="16" t="str">
        <f>IF($B1045="","",C1045&amp;" "&amp;B1045&amp;" - "&amp;E1045)</f>
        <v/>
      </c>
      <c r="E1045" s="17" t="str">
        <f>IF($B1045="","",Paramètres!$A$28)</f>
        <v/>
      </c>
      <c r="F1045" s="17" t="str">
        <f>IF($B1045="","",Paramètres!$B$28)</f>
        <v/>
      </c>
      <c r="G1045" s="17" t="str">
        <f>IF('Classe 1ère A'!$B5="","",IF('Classe 1ère A'!D5="","",'Classe 1ère A'!D5))</f>
        <v/>
      </c>
      <c r="H1045" s="78" t="str">
        <f>IF('Classe 1ère A'!$B5="","",IF('Classe 1ère A'!E5="","",'Classe 1ère A'!E5))</f>
        <v/>
      </c>
      <c r="I1045" s="16" t="str">
        <f>IF('Classe 1ère A'!$B5="","",IF('Classe 1ère A'!F5="","",'Classe 1ère A'!F5))</f>
        <v/>
      </c>
      <c r="J1045" s="16" t="str">
        <f>IF('Classe 1ère A'!$B5="","",IF('Classe 1ère A'!G5="","",'Classe 1ère A'!G5))</f>
        <v/>
      </c>
      <c r="K1045" s="18" t="str">
        <f>IF('Classe 1ère A'!$B5="","",N('Classe 1ère A'!H5))</f>
        <v/>
      </c>
      <c r="L1045" s="18" t="str">
        <f>IF('Classe 1ère A'!$B5="","",N('Classe 1ère A'!I5))</f>
        <v/>
      </c>
      <c r="M1045" s="18" t="str">
        <f>IF('Classe 1ère A'!$B5="","",N('Classe 1ère A'!J5))</f>
        <v/>
      </c>
      <c r="N1045" s="18" t="str">
        <f>IF('Classe 1ère A'!$B5="","",N('Classe 1ère A'!K5))</f>
        <v/>
      </c>
      <c r="O1045" s="18" t="str">
        <f>IF('Classe 1ère A'!$B5="","",N('Classe 1ère A'!L5))</f>
        <v/>
      </c>
      <c r="P1045" s="18" t="str">
        <f>IF('Classe 1ère A'!$B5="","",N('Classe 1ère A'!M5))</f>
        <v/>
      </c>
      <c r="Q1045" s="17" t="str">
        <f>IF('Classe 1ère A'!$B5="","",IF('Classe 1ère A'!Q5="","",'Classe 1ère A'!Q5))</f>
        <v/>
      </c>
      <c r="R1045" s="18" t="str">
        <f>IF('Classe 1ère A'!$B5="","",N('Classe 1ère A'!N5))</f>
        <v/>
      </c>
      <c r="S1045" s="18" t="str">
        <f>IF('Classe 1ère A'!$B5="","",N('Classe 1ère A'!O5))</f>
        <v/>
      </c>
      <c r="T1045" s="18" t="str">
        <f>IF('Classe 1ère A'!$B5="","",N('Classe 1ère A'!P5))</f>
        <v/>
      </c>
    </row>
    <row r="1046">
      <c r="A1046" s="20" t="str">
        <f>IF('Classe 1ère A'!$B6="","",IF('Classe 1ère A'!A6="","",'Classe 1ère A'!A6))</f>
        <v/>
      </c>
      <c r="B1046" s="20" t="str">
        <f>IF('Classe 1ère A'!$B6="","",IF('Classe 1ère A'!B6="","",'Classe 1ère A'!B6))</f>
        <v/>
      </c>
      <c r="C1046" s="20" t="str">
        <f>IF('Classe 1ère A'!$B6="","",IF('Classe 1ère A'!C6="","",'Classe 1ère A'!C6))</f>
        <v/>
      </c>
      <c r="D1046" s="20" t="str">
        <f>IF($B1046="","",C1046&amp;" "&amp;B1046&amp;" - "&amp;E1046)</f>
        <v/>
      </c>
      <c r="E1046" s="21" t="str">
        <f>IF($B1046="","",Paramètres!$A$28)</f>
        <v/>
      </c>
      <c r="F1046" s="21" t="str">
        <f>IF($B1046="","",Paramètres!$B$28)</f>
        <v/>
      </c>
      <c r="G1046" s="21" t="str">
        <f>IF('Classe 1ère A'!$B6="","",IF('Classe 1ère A'!D6="","",'Classe 1ère A'!D6))</f>
        <v/>
      </c>
      <c r="H1046" s="77" t="str">
        <f>IF('Classe 1ère A'!$B6="","",IF('Classe 1ère A'!E6="","",'Classe 1ère A'!E6))</f>
        <v/>
      </c>
      <c r="I1046" s="20" t="str">
        <f>IF('Classe 1ère A'!$B6="","",IF('Classe 1ère A'!F6="","",'Classe 1ère A'!F6))</f>
        <v/>
      </c>
      <c r="J1046" s="20" t="str">
        <f>IF('Classe 1ère A'!$B6="","",IF('Classe 1ère A'!G6="","",'Classe 1ère A'!G6))</f>
        <v/>
      </c>
      <c r="K1046" s="51" t="str">
        <f>IF('Classe 1ère A'!$B6="","",N('Classe 1ère A'!H6))</f>
        <v/>
      </c>
      <c r="L1046" s="51" t="str">
        <f>IF('Classe 1ère A'!$B6="","",N('Classe 1ère A'!I6))</f>
        <v/>
      </c>
      <c r="M1046" s="51" t="str">
        <f>IF('Classe 1ère A'!$B6="","",N('Classe 1ère A'!J6))</f>
        <v/>
      </c>
      <c r="N1046" s="51" t="str">
        <f>IF('Classe 1ère A'!$B6="","",N('Classe 1ère A'!K6))</f>
        <v/>
      </c>
      <c r="O1046" s="51" t="str">
        <f>IF('Classe 1ère A'!$B6="","",N('Classe 1ère A'!L6))</f>
        <v/>
      </c>
      <c r="P1046" s="51" t="str">
        <f>IF('Classe 1ère A'!$B6="","",N('Classe 1ère A'!M6))</f>
        <v/>
      </c>
      <c r="Q1046" s="21" t="str">
        <f>IF('Classe 1ère A'!$B6="","",IF('Classe 1ère A'!Q6="","",'Classe 1ère A'!Q6))</f>
        <v/>
      </c>
      <c r="R1046" s="51" t="str">
        <f>IF('Classe 1ère A'!$B6="","",N('Classe 1ère A'!N6))</f>
        <v/>
      </c>
      <c r="S1046" s="51" t="str">
        <f>IF('Classe 1ère A'!$B6="","",N('Classe 1ère A'!O6))</f>
        <v/>
      </c>
      <c r="T1046" s="51" t="str">
        <f>IF('Classe 1ère A'!$B6="","",N('Classe 1ère A'!P6))</f>
        <v/>
      </c>
    </row>
    <row r="1047">
      <c r="A1047" s="16" t="str">
        <f>IF('Classe 1ère A'!$B7="","",IF('Classe 1ère A'!A7="","",'Classe 1ère A'!A7))</f>
        <v/>
      </c>
      <c r="B1047" s="16" t="str">
        <f>IF('Classe 1ère A'!$B7="","",IF('Classe 1ère A'!B7="","",'Classe 1ère A'!B7))</f>
        <v/>
      </c>
      <c r="C1047" s="16" t="str">
        <f>IF('Classe 1ère A'!$B7="","",IF('Classe 1ère A'!C7="","",'Classe 1ère A'!C7))</f>
        <v/>
      </c>
      <c r="D1047" s="16" t="str">
        <f>IF($B1047="","",C1047&amp;" "&amp;B1047&amp;" - "&amp;E1047)</f>
        <v/>
      </c>
      <c r="E1047" s="17" t="str">
        <f>IF($B1047="","",Paramètres!$A$28)</f>
        <v/>
      </c>
      <c r="F1047" s="17" t="str">
        <f>IF($B1047="","",Paramètres!$B$28)</f>
        <v/>
      </c>
      <c r="G1047" s="17" t="str">
        <f>IF('Classe 1ère A'!$B7="","",IF('Classe 1ère A'!D7="","",'Classe 1ère A'!D7))</f>
        <v/>
      </c>
      <c r="H1047" s="78" t="str">
        <f>IF('Classe 1ère A'!$B7="","",IF('Classe 1ère A'!E7="","",'Classe 1ère A'!E7))</f>
        <v/>
      </c>
      <c r="I1047" s="16" t="str">
        <f>IF('Classe 1ère A'!$B7="","",IF('Classe 1ère A'!F7="","",'Classe 1ère A'!F7))</f>
        <v/>
      </c>
      <c r="J1047" s="16" t="str">
        <f>IF('Classe 1ère A'!$B7="","",IF('Classe 1ère A'!G7="","",'Classe 1ère A'!G7))</f>
        <v/>
      </c>
      <c r="K1047" s="18" t="str">
        <f>IF('Classe 1ère A'!$B7="","",N('Classe 1ère A'!H7))</f>
        <v/>
      </c>
      <c r="L1047" s="18" t="str">
        <f>IF('Classe 1ère A'!$B7="","",N('Classe 1ère A'!I7))</f>
        <v/>
      </c>
      <c r="M1047" s="18" t="str">
        <f>IF('Classe 1ère A'!$B7="","",N('Classe 1ère A'!J7))</f>
        <v/>
      </c>
      <c r="N1047" s="18" t="str">
        <f>IF('Classe 1ère A'!$B7="","",N('Classe 1ère A'!K7))</f>
        <v/>
      </c>
      <c r="O1047" s="18" t="str">
        <f>IF('Classe 1ère A'!$B7="","",N('Classe 1ère A'!L7))</f>
        <v/>
      </c>
      <c r="P1047" s="18" t="str">
        <f>IF('Classe 1ère A'!$B7="","",N('Classe 1ère A'!M7))</f>
        <v/>
      </c>
      <c r="Q1047" s="17" t="str">
        <f>IF('Classe 1ère A'!$B7="","",IF('Classe 1ère A'!Q7="","",'Classe 1ère A'!Q7))</f>
        <v/>
      </c>
      <c r="R1047" s="18" t="str">
        <f>IF('Classe 1ère A'!$B7="","",N('Classe 1ère A'!N7))</f>
        <v/>
      </c>
      <c r="S1047" s="18" t="str">
        <f>IF('Classe 1ère A'!$B7="","",N('Classe 1ère A'!O7))</f>
        <v/>
      </c>
      <c r="T1047" s="18" t="str">
        <f>IF('Classe 1ère A'!$B7="","",N('Classe 1ère A'!P7))</f>
        <v/>
      </c>
    </row>
    <row r="1048">
      <c r="A1048" s="20" t="str">
        <f>IF('Classe 1ère A'!$B8="","",IF('Classe 1ère A'!A8="","",'Classe 1ère A'!A8))</f>
        <v/>
      </c>
      <c r="B1048" s="20" t="str">
        <f>IF('Classe 1ère A'!$B8="","",IF('Classe 1ère A'!B8="","",'Classe 1ère A'!B8))</f>
        <v/>
      </c>
      <c r="C1048" s="20" t="str">
        <f>IF('Classe 1ère A'!$B8="","",IF('Classe 1ère A'!C8="","",'Classe 1ère A'!C8))</f>
        <v/>
      </c>
      <c r="D1048" s="20" t="str">
        <f>IF($B1048="","",C1048&amp;" "&amp;B1048&amp;" - "&amp;E1048)</f>
        <v/>
      </c>
      <c r="E1048" s="21" t="str">
        <f>IF($B1048="","",Paramètres!$A$28)</f>
        <v/>
      </c>
      <c r="F1048" s="21" t="str">
        <f>IF($B1048="","",Paramètres!$B$28)</f>
        <v/>
      </c>
      <c r="G1048" s="21" t="str">
        <f>IF('Classe 1ère A'!$B8="","",IF('Classe 1ère A'!D8="","",'Classe 1ère A'!D8))</f>
        <v/>
      </c>
      <c r="H1048" s="77" t="str">
        <f>IF('Classe 1ère A'!$B8="","",IF('Classe 1ère A'!E8="","",'Classe 1ère A'!E8))</f>
        <v/>
      </c>
      <c r="I1048" s="20" t="str">
        <f>IF('Classe 1ère A'!$B8="","",IF('Classe 1ère A'!F8="","",'Classe 1ère A'!F8))</f>
        <v/>
      </c>
      <c r="J1048" s="20" t="str">
        <f>IF('Classe 1ère A'!$B8="","",IF('Classe 1ère A'!G8="","",'Classe 1ère A'!G8))</f>
        <v/>
      </c>
      <c r="K1048" s="51" t="str">
        <f>IF('Classe 1ère A'!$B8="","",N('Classe 1ère A'!H8))</f>
        <v/>
      </c>
      <c r="L1048" s="51" t="str">
        <f>IF('Classe 1ère A'!$B8="","",N('Classe 1ère A'!I8))</f>
        <v/>
      </c>
      <c r="M1048" s="51" t="str">
        <f>IF('Classe 1ère A'!$B8="","",N('Classe 1ère A'!J8))</f>
        <v/>
      </c>
      <c r="N1048" s="51" t="str">
        <f>IF('Classe 1ère A'!$B8="","",N('Classe 1ère A'!K8))</f>
        <v/>
      </c>
      <c r="O1048" s="51" t="str">
        <f>IF('Classe 1ère A'!$B8="","",N('Classe 1ère A'!L8))</f>
        <v/>
      </c>
      <c r="P1048" s="51" t="str">
        <f>IF('Classe 1ère A'!$B8="","",N('Classe 1ère A'!M8))</f>
        <v/>
      </c>
      <c r="Q1048" s="21" t="str">
        <f>IF('Classe 1ère A'!$B8="","",IF('Classe 1ère A'!Q8="","",'Classe 1ère A'!Q8))</f>
        <v/>
      </c>
      <c r="R1048" s="51" t="str">
        <f>IF('Classe 1ère A'!$B8="","",N('Classe 1ère A'!N8))</f>
        <v/>
      </c>
      <c r="S1048" s="51" t="str">
        <f>IF('Classe 1ère A'!$B8="","",N('Classe 1ère A'!O8))</f>
        <v/>
      </c>
      <c r="T1048" s="51" t="str">
        <f>IF('Classe 1ère A'!$B8="","",N('Classe 1ère A'!P8))</f>
        <v/>
      </c>
    </row>
    <row r="1049">
      <c r="A1049" s="16" t="str">
        <f>IF('Classe 1ère A'!$B9="","",IF('Classe 1ère A'!A9="","",'Classe 1ère A'!A9))</f>
        <v/>
      </c>
      <c r="B1049" s="16" t="str">
        <f>IF('Classe 1ère A'!$B9="","",IF('Classe 1ère A'!B9="","",'Classe 1ère A'!B9))</f>
        <v/>
      </c>
      <c r="C1049" s="16" t="str">
        <f>IF('Classe 1ère A'!$B9="","",IF('Classe 1ère A'!C9="","",'Classe 1ère A'!C9))</f>
        <v/>
      </c>
      <c r="D1049" s="16" t="str">
        <f>IF($B1049="","",C1049&amp;" "&amp;B1049&amp;" - "&amp;E1049)</f>
        <v/>
      </c>
      <c r="E1049" s="17" t="str">
        <f>IF($B1049="","",Paramètres!$A$28)</f>
        <v/>
      </c>
      <c r="F1049" s="17" t="str">
        <f>IF($B1049="","",Paramètres!$B$28)</f>
        <v/>
      </c>
      <c r="G1049" s="17" t="str">
        <f>IF('Classe 1ère A'!$B9="","",IF('Classe 1ère A'!D9="","",'Classe 1ère A'!D9))</f>
        <v/>
      </c>
      <c r="H1049" s="78" t="str">
        <f>IF('Classe 1ère A'!$B9="","",IF('Classe 1ère A'!E9="","",'Classe 1ère A'!E9))</f>
        <v/>
      </c>
      <c r="I1049" s="16" t="str">
        <f>IF('Classe 1ère A'!$B9="","",IF('Classe 1ère A'!F9="","",'Classe 1ère A'!F9))</f>
        <v/>
      </c>
      <c r="J1049" s="16" t="str">
        <f>IF('Classe 1ère A'!$B9="","",IF('Classe 1ère A'!G9="","",'Classe 1ère A'!G9))</f>
        <v/>
      </c>
      <c r="K1049" s="18" t="str">
        <f>IF('Classe 1ère A'!$B9="","",N('Classe 1ère A'!H9))</f>
        <v/>
      </c>
      <c r="L1049" s="18" t="str">
        <f>IF('Classe 1ère A'!$B9="","",N('Classe 1ère A'!I9))</f>
        <v/>
      </c>
      <c r="M1049" s="18" t="str">
        <f>IF('Classe 1ère A'!$B9="","",N('Classe 1ère A'!J9))</f>
        <v/>
      </c>
      <c r="N1049" s="18" t="str">
        <f>IF('Classe 1ère A'!$B9="","",N('Classe 1ère A'!K9))</f>
        <v/>
      </c>
      <c r="O1049" s="18" t="str">
        <f>IF('Classe 1ère A'!$B9="","",N('Classe 1ère A'!L9))</f>
        <v/>
      </c>
      <c r="P1049" s="18" t="str">
        <f>IF('Classe 1ère A'!$B9="","",N('Classe 1ère A'!M9))</f>
        <v/>
      </c>
      <c r="Q1049" s="17" t="str">
        <f>IF('Classe 1ère A'!$B9="","",IF('Classe 1ère A'!Q9="","",'Classe 1ère A'!Q9))</f>
        <v/>
      </c>
      <c r="R1049" s="18" t="str">
        <f>IF('Classe 1ère A'!$B9="","",N('Classe 1ère A'!N9))</f>
        <v/>
      </c>
      <c r="S1049" s="18" t="str">
        <f>IF('Classe 1ère A'!$B9="","",N('Classe 1ère A'!O9))</f>
        <v/>
      </c>
      <c r="T1049" s="18" t="str">
        <f>IF('Classe 1ère A'!$B9="","",N('Classe 1ère A'!P9))</f>
        <v/>
      </c>
    </row>
    <row r="1050">
      <c r="A1050" s="20" t="str">
        <f>IF('Classe 1ère A'!$B10="","",IF('Classe 1ère A'!A10="","",'Classe 1ère A'!A10))</f>
        <v/>
      </c>
      <c r="B1050" s="20" t="str">
        <f>IF('Classe 1ère A'!$B10="","",IF('Classe 1ère A'!B10="","",'Classe 1ère A'!B10))</f>
        <v/>
      </c>
      <c r="C1050" s="20" t="str">
        <f>IF('Classe 1ère A'!$B10="","",IF('Classe 1ère A'!C10="","",'Classe 1ère A'!C10))</f>
        <v/>
      </c>
      <c r="D1050" s="20" t="str">
        <f>IF($B1050="","",C1050&amp;" "&amp;B1050&amp;" - "&amp;E1050)</f>
        <v/>
      </c>
      <c r="E1050" s="21" t="str">
        <f>IF($B1050="","",Paramètres!$A$28)</f>
        <v/>
      </c>
      <c r="F1050" s="21" t="str">
        <f>IF($B1050="","",Paramètres!$B$28)</f>
        <v/>
      </c>
      <c r="G1050" s="21" t="str">
        <f>IF('Classe 1ère A'!$B10="","",IF('Classe 1ère A'!D10="","",'Classe 1ère A'!D10))</f>
        <v/>
      </c>
      <c r="H1050" s="77" t="str">
        <f>IF('Classe 1ère A'!$B10="","",IF('Classe 1ère A'!E10="","",'Classe 1ère A'!E10))</f>
        <v/>
      </c>
      <c r="I1050" s="20" t="str">
        <f>IF('Classe 1ère A'!$B10="","",IF('Classe 1ère A'!F10="","",'Classe 1ère A'!F10))</f>
        <v/>
      </c>
      <c r="J1050" s="20" t="str">
        <f>IF('Classe 1ère A'!$B10="","",IF('Classe 1ère A'!G10="","",'Classe 1ère A'!G10))</f>
        <v/>
      </c>
      <c r="K1050" s="51" t="str">
        <f>IF('Classe 1ère A'!$B10="","",N('Classe 1ère A'!H10))</f>
        <v/>
      </c>
      <c r="L1050" s="51" t="str">
        <f>IF('Classe 1ère A'!$B10="","",N('Classe 1ère A'!I10))</f>
        <v/>
      </c>
      <c r="M1050" s="51" t="str">
        <f>IF('Classe 1ère A'!$B10="","",N('Classe 1ère A'!J10))</f>
        <v/>
      </c>
      <c r="N1050" s="51" t="str">
        <f>IF('Classe 1ère A'!$B10="","",N('Classe 1ère A'!K10))</f>
        <v/>
      </c>
      <c r="O1050" s="51" t="str">
        <f>IF('Classe 1ère A'!$B10="","",N('Classe 1ère A'!L10))</f>
        <v/>
      </c>
      <c r="P1050" s="51" t="str">
        <f>IF('Classe 1ère A'!$B10="","",N('Classe 1ère A'!M10))</f>
        <v/>
      </c>
      <c r="Q1050" s="21" t="str">
        <f>IF('Classe 1ère A'!$B10="","",IF('Classe 1ère A'!Q10="","",'Classe 1ère A'!Q10))</f>
        <v/>
      </c>
      <c r="R1050" s="51" t="str">
        <f>IF('Classe 1ère A'!$B10="","",N('Classe 1ère A'!N10))</f>
        <v/>
      </c>
      <c r="S1050" s="51" t="str">
        <f>IF('Classe 1ère A'!$B10="","",N('Classe 1ère A'!O10))</f>
        <v/>
      </c>
      <c r="T1050" s="51" t="str">
        <f>IF('Classe 1ère A'!$B10="","",N('Classe 1ère A'!P10))</f>
        <v/>
      </c>
    </row>
    <row r="1051">
      <c r="A1051" s="16" t="str">
        <f>IF('Classe 1ère A'!$B11="","",IF('Classe 1ère A'!A11="","",'Classe 1ère A'!A11))</f>
        <v/>
      </c>
      <c r="B1051" s="16" t="str">
        <f>IF('Classe 1ère A'!$B11="","",IF('Classe 1ère A'!B11="","",'Classe 1ère A'!B11))</f>
        <v/>
      </c>
      <c r="C1051" s="16" t="str">
        <f>IF('Classe 1ère A'!$B11="","",IF('Classe 1ère A'!C11="","",'Classe 1ère A'!C11))</f>
        <v/>
      </c>
      <c r="D1051" s="16" t="str">
        <f>IF($B1051="","",C1051&amp;" "&amp;B1051&amp;" - "&amp;E1051)</f>
        <v/>
      </c>
      <c r="E1051" s="17" t="str">
        <f>IF($B1051="","",Paramètres!$A$28)</f>
        <v/>
      </c>
      <c r="F1051" s="17" t="str">
        <f>IF($B1051="","",Paramètres!$B$28)</f>
        <v/>
      </c>
      <c r="G1051" s="17" t="str">
        <f>IF('Classe 1ère A'!$B11="","",IF('Classe 1ère A'!D11="","",'Classe 1ère A'!D11))</f>
        <v/>
      </c>
      <c r="H1051" s="78" t="str">
        <f>IF('Classe 1ère A'!$B11="","",IF('Classe 1ère A'!E11="","",'Classe 1ère A'!E11))</f>
        <v/>
      </c>
      <c r="I1051" s="16" t="str">
        <f>IF('Classe 1ère A'!$B11="","",IF('Classe 1ère A'!F11="","",'Classe 1ère A'!F11))</f>
        <v/>
      </c>
      <c r="J1051" s="16" t="str">
        <f>IF('Classe 1ère A'!$B11="","",IF('Classe 1ère A'!G11="","",'Classe 1ère A'!G11))</f>
        <v/>
      </c>
      <c r="K1051" s="18" t="str">
        <f>IF('Classe 1ère A'!$B11="","",N('Classe 1ère A'!H11))</f>
        <v/>
      </c>
      <c r="L1051" s="18" t="str">
        <f>IF('Classe 1ère A'!$B11="","",N('Classe 1ère A'!I11))</f>
        <v/>
      </c>
      <c r="M1051" s="18" t="str">
        <f>IF('Classe 1ère A'!$B11="","",N('Classe 1ère A'!J11))</f>
        <v/>
      </c>
      <c r="N1051" s="18" t="str">
        <f>IF('Classe 1ère A'!$B11="","",N('Classe 1ère A'!K11))</f>
        <v/>
      </c>
      <c r="O1051" s="18" t="str">
        <f>IF('Classe 1ère A'!$B11="","",N('Classe 1ère A'!L11))</f>
        <v/>
      </c>
      <c r="P1051" s="18" t="str">
        <f>IF('Classe 1ère A'!$B11="","",N('Classe 1ère A'!M11))</f>
        <v/>
      </c>
      <c r="Q1051" s="17" t="str">
        <f>IF('Classe 1ère A'!$B11="","",IF('Classe 1ère A'!Q11="","",'Classe 1ère A'!Q11))</f>
        <v/>
      </c>
      <c r="R1051" s="18" t="str">
        <f>IF('Classe 1ère A'!$B11="","",N('Classe 1ère A'!N11))</f>
        <v/>
      </c>
      <c r="S1051" s="18" t="str">
        <f>IF('Classe 1ère A'!$B11="","",N('Classe 1ère A'!O11))</f>
        <v/>
      </c>
      <c r="T1051" s="18" t="str">
        <f>IF('Classe 1ère A'!$B11="","",N('Classe 1ère A'!P11))</f>
        <v/>
      </c>
    </row>
    <row r="1052">
      <c r="A1052" s="20" t="str">
        <f>IF('Classe 1ère A'!$B12="","",IF('Classe 1ère A'!A12="","",'Classe 1ère A'!A12))</f>
        <v/>
      </c>
      <c r="B1052" s="20" t="str">
        <f>IF('Classe 1ère A'!$B12="","",IF('Classe 1ère A'!B12="","",'Classe 1ère A'!B12))</f>
        <v/>
      </c>
      <c r="C1052" s="20" t="str">
        <f>IF('Classe 1ère A'!$B12="","",IF('Classe 1ère A'!C12="","",'Classe 1ère A'!C12))</f>
        <v/>
      </c>
      <c r="D1052" s="20" t="str">
        <f>IF($B1052="","",C1052&amp;" "&amp;B1052&amp;" - "&amp;E1052)</f>
        <v/>
      </c>
      <c r="E1052" s="21" t="str">
        <f>IF($B1052="","",Paramètres!$A$28)</f>
        <v/>
      </c>
      <c r="F1052" s="21" t="str">
        <f>IF($B1052="","",Paramètres!$B$28)</f>
        <v/>
      </c>
      <c r="G1052" s="21" t="str">
        <f>IF('Classe 1ère A'!$B12="","",IF('Classe 1ère A'!D12="","",'Classe 1ère A'!D12))</f>
        <v/>
      </c>
      <c r="H1052" s="77" t="str">
        <f>IF('Classe 1ère A'!$B12="","",IF('Classe 1ère A'!E12="","",'Classe 1ère A'!E12))</f>
        <v/>
      </c>
      <c r="I1052" s="20" t="str">
        <f>IF('Classe 1ère A'!$B12="","",IF('Classe 1ère A'!F12="","",'Classe 1ère A'!F12))</f>
        <v/>
      </c>
      <c r="J1052" s="20" t="str">
        <f>IF('Classe 1ère A'!$B12="","",IF('Classe 1ère A'!G12="","",'Classe 1ère A'!G12))</f>
        <v/>
      </c>
      <c r="K1052" s="51" t="str">
        <f>IF('Classe 1ère A'!$B12="","",N('Classe 1ère A'!H12))</f>
        <v/>
      </c>
      <c r="L1052" s="51" t="str">
        <f>IF('Classe 1ère A'!$B12="","",N('Classe 1ère A'!I12))</f>
        <v/>
      </c>
      <c r="M1052" s="51" t="str">
        <f>IF('Classe 1ère A'!$B12="","",N('Classe 1ère A'!J12))</f>
        <v/>
      </c>
      <c r="N1052" s="51" t="str">
        <f>IF('Classe 1ère A'!$B12="","",N('Classe 1ère A'!K12))</f>
        <v/>
      </c>
      <c r="O1052" s="51" t="str">
        <f>IF('Classe 1ère A'!$B12="","",N('Classe 1ère A'!L12))</f>
        <v/>
      </c>
      <c r="P1052" s="51" t="str">
        <f>IF('Classe 1ère A'!$B12="","",N('Classe 1ère A'!M12))</f>
        <v/>
      </c>
      <c r="Q1052" s="21" t="str">
        <f>IF('Classe 1ère A'!$B12="","",IF('Classe 1ère A'!Q12="","",'Classe 1ère A'!Q12))</f>
        <v/>
      </c>
      <c r="R1052" s="51" t="str">
        <f>IF('Classe 1ère A'!$B12="","",N('Classe 1ère A'!N12))</f>
        <v/>
      </c>
      <c r="S1052" s="51" t="str">
        <f>IF('Classe 1ère A'!$B12="","",N('Classe 1ère A'!O12))</f>
        <v/>
      </c>
      <c r="T1052" s="51" t="str">
        <f>IF('Classe 1ère A'!$B12="","",N('Classe 1ère A'!P12))</f>
        <v/>
      </c>
    </row>
    <row r="1053">
      <c r="A1053" s="16" t="str">
        <f>IF('Classe 1ère A'!$B13="","",IF('Classe 1ère A'!A13="","",'Classe 1ère A'!A13))</f>
        <v/>
      </c>
      <c r="B1053" s="16" t="str">
        <f>IF('Classe 1ère A'!$B13="","",IF('Classe 1ère A'!B13="","",'Classe 1ère A'!B13))</f>
        <v/>
      </c>
      <c r="C1053" s="16" t="str">
        <f>IF('Classe 1ère A'!$B13="","",IF('Classe 1ère A'!C13="","",'Classe 1ère A'!C13))</f>
        <v/>
      </c>
      <c r="D1053" s="16" t="str">
        <f>IF($B1053="","",C1053&amp;" "&amp;B1053&amp;" - "&amp;E1053)</f>
        <v/>
      </c>
      <c r="E1053" s="17" t="str">
        <f>IF($B1053="","",Paramètres!$A$28)</f>
        <v/>
      </c>
      <c r="F1053" s="17" t="str">
        <f>IF($B1053="","",Paramètres!$B$28)</f>
        <v/>
      </c>
      <c r="G1053" s="17" t="str">
        <f>IF('Classe 1ère A'!$B13="","",IF('Classe 1ère A'!D13="","",'Classe 1ère A'!D13))</f>
        <v/>
      </c>
      <c r="H1053" s="78" t="str">
        <f>IF('Classe 1ère A'!$B13="","",IF('Classe 1ère A'!E13="","",'Classe 1ère A'!E13))</f>
        <v/>
      </c>
      <c r="I1053" s="16" t="str">
        <f>IF('Classe 1ère A'!$B13="","",IF('Classe 1ère A'!F13="","",'Classe 1ère A'!F13))</f>
        <v/>
      </c>
      <c r="J1053" s="16" t="str">
        <f>IF('Classe 1ère A'!$B13="","",IF('Classe 1ère A'!G13="","",'Classe 1ère A'!G13))</f>
        <v/>
      </c>
      <c r="K1053" s="18" t="str">
        <f>IF('Classe 1ère A'!$B13="","",N('Classe 1ère A'!H13))</f>
        <v/>
      </c>
      <c r="L1053" s="18" t="str">
        <f>IF('Classe 1ère A'!$B13="","",N('Classe 1ère A'!I13))</f>
        <v/>
      </c>
      <c r="M1053" s="18" t="str">
        <f>IF('Classe 1ère A'!$B13="","",N('Classe 1ère A'!J13))</f>
        <v/>
      </c>
      <c r="N1053" s="18" t="str">
        <f>IF('Classe 1ère A'!$B13="","",N('Classe 1ère A'!K13))</f>
        <v/>
      </c>
      <c r="O1053" s="18" t="str">
        <f>IF('Classe 1ère A'!$B13="","",N('Classe 1ère A'!L13))</f>
        <v/>
      </c>
      <c r="P1053" s="18" t="str">
        <f>IF('Classe 1ère A'!$B13="","",N('Classe 1ère A'!M13))</f>
        <v/>
      </c>
      <c r="Q1053" s="17" t="str">
        <f>IF('Classe 1ère A'!$B13="","",IF('Classe 1ère A'!Q13="","",'Classe 1ère A'!Q13))</f>
        <v/>
      </c>
      <c r="R1053" s="18" t="str">
        <f>IF('Classe 1ère A'!$B13="","",N('Classe 1ère A'!N13))</f>
        <v/>
      </c>
      <c r="S1053" s="18" t="str">
        <f>IF('Classe 1ère A'!$B13="","",N('Classe 1ère A'!O13))</f>
        <v/>
      </c>
      <c r="T1053" s="18" t="str">
        <f>IF('Classe 1ère A'!$B13="","",N('Classe 1ère A'!P13))</f>
        <v/>
      </c>
    </row>
    <row r="1054">
      <c r="A1054" s="20" t="str">
        <f>IF('Classe 1ère A'!$B14="","",IF('Classe 1ère A'!A14="","",'Classe 1ère A'!A14))</f>
        <v/>
      </c>
      <c r="B1054" s="20" t="str">
        <f>IF('Classe 1ère A'!$B14="","",IF('Classe 1ère A'!B14="","",'Classe 1ère A'!B14))</f>
        <v/>
      </c>
      <c r="C1054" s="20" t="str">
        <f>IF('Classe 1ère A'!$B14="","",IF('Classe 1ère A'!C14="","",'Classe 1ère A'!C14))</f>
        <v/>
      </c>
      <c r="D1054" s="20" t="str">
        <f>IF($B1054="","",C1054&amp;" "&amp;B1054&amp;" - "&amp;E1054)</f>
        <v/>
      </c>
      <c r="E1054" s="21" t="str">
        <f>IF($B1054="","",Paramètres!$A$28)</f>
        <v/>
      </c>
      <c r="F1054" s="21" t="str">
        <f>IF($B1054="","",Paramètres!$B$28)</f>
        <v/>
      </c>
      <c r="G1054" s="21" t="str">
        <f>IF('Classe 1ère A'!$B14="","",IF('Classe 1ère A'!D14="","",'Classe 1ère A'!D14))</f>
        <v/>
      </c>
      <c r="H1054" s="77" t="str">
        <f>IF('Classe 1ère A'!$B14="","",IF('Classe 1ère A'!E14="","",'Classe 1ère A'!E14))</f>
        <v/>
      </c>
      <c r="I1054" s="20" t="str">
        <f>IF('Classe 1ère A'!$B14="","",IF('Classe 1ère A'!F14="","",'Classe 1ère A'!F14))</f>
        <v/>
      </c>
      <c r="J1054" s="20" t="str">
        <f>IF('Classe 1ère A'!$B14="","",IF('Classe 1ère A'!G14="","",'Classe 1ère A'!G14))</f>
        <v/>
      </c>
      <c r="K1054" s="51" t="str">
        <f>IF('Classe 1ère A'!$B14="","",N('Classe 1ère A'!H14))</f>
        <v/>
      </c>
      <c r="L1054" s="51" t="str">
        <f>IF('Classe 1ère A'!$B14="","",N('Classe 1ère A'!I14))</f>
        <v/>
      </c>
      <c r="M1054" s="51" t="str">
        <f>IF('Classe 1ère A'!$B14="","",N('Classe 1ère A'!J14))</f>
        <v/>
      </c>
      <c r="N1054" s="51" t="str">
        <f>IF('Classe 1ère A'!$B14="","",N('Classe 1ère A'!K14))</f>
        <v/>
      </c>
      <c r="O1054" s="51" t="str">
        <f>IF('Classe 1ère A'!$B14="","",N('Classe 1ère A'!L14))</f>
        <v/>
      </c>
      <c r="P1054" s="51" t="str">
        <f>IF('Classe 1ère A'!$B14="","",N('Classe 1ère A'!M14))</f>
        <v/>
      </c>
      <c r="Q1054" s="21" t="str">
        <f>IF('Classe 1ère A'!$B14="","",IF('Classe 1ère A'!Q14="","",'Classe 1ère A'!Q14))</f>
        <v/>
      </c>
      <c r="R1054" s="51" t="str">
        <f>IF('Classe 1ère A'!$B14="","",N('Classe 1ère A'!N14))</f>
        <v/>
      </c>
      <c r="S1054" s="51" t="str">
        <f>IF('Classe 1ère A'!$B14="","",N('Classe 1ère A'!O14))</f>
        <v/>
      </c>
      <c r="T1054" s="51" t="str">
        <f>IF('Classe 1ère A'!$B14="","",N('Classe 1ère A'!P14))</f>
        <v/>
      </c>
    </row>
    <row r="1055">
      <c r="A1055" s="16" t="str">
        <f>IF('Classe 1ère A'!$B15="","",IF('Classe 1ère A'!A15="","",'Classe 1ère A'!A15))</f>
        <v/>
      </c>
      <c r="B1055" s="16" t="str">
        <f>IF('Classe 1ère A'!$B15="","",IF('Classe 1ère A'!B15="","",'Classe 1ère A'!B15))</f>
        <v/>
      </c>
      <c r="C1055" s="16" t="str">
        <f>IF('Classe 1ère A'!$B15="","",IF('Classe 1ère A'!C15="","",'Classe 1ère A'!C15))</f>
        <v/>
      </c>
      <c r="D1055" s="16" t="str">
        <f>IF($B1055="","",C1055&amp;" "&amp;B1055&amp;" - "&amp;E1055)</f>
        <v/>
      </c>
      <c r="E1055" s="17" t="str">
        <f>IF($B1055="","",Paramètres!$A$28)</f>
        <v/>
      </c>
      <c r="F1055" s="17" t="str">
        <f>IF($B1055="","",Paramètres!$B$28)</f>
        <v/>
      </c>
      <c r="G1055" s="17" t="str">
        <f>IF('Classe 1ère A'!$B15="","",IF('Classe 1ère A'!D15="","",'Classe 1ère A'!D15))</f>
        <v/>
      </c>
      <c r="H1055" s="78" t="str">
        <f>IF('Classe 1ère A'!$B15="","",IF('Classe 1ère A'!E15="","",'Classe 1ère A'!E15))</f>
        <v/>
      </c>
      <c r="I1055" s="16" t="str">
        <f>IF('Classe 1ère A'!$B15="","",IF('Classe 1ère A'!F15="","",'Classe 1ère A'!F15))</f>
        <v/>
      </c>
      <c r="J1055" s="16" t="str">
        <f>IF('Classe 1ère A'!$B15="","",IF('Classe 1ère A'!G15="","",'Classe 1ère A'!G15))</f>
        <v/>
      </c>
      <c r="K1055" s="18" t="str">
        <f>IF('Classe 1ère A'!$B15="","",N('Classe 1ère A'!H15))</f>
        <v/>
      </c>
      <c r="L1055" s="18" t="str">
        <f>IF('Classe 1ère A'!$B15="","",N('Classe 1ère A'!I15))</f>
        <v/>
      </c>
      <c r="M1055" s="18" t="str">
        <f>IF('Classe 1ère A'!$B15="","",N('Classe 1ère A'!J15))</f>
        <v/>
      </c>
      <c r="N1055" s="18" t="str">
        <f>IF('Classe 1ère A'!$B15="","",N('Classe 1ère A'!K15))</f>
        <v/>
      </c>
      <c r="O1055" s="18" t="str">
        <f>IF('Classe 1ère A'!$B15="","",N('Classe 1ère A'!L15))</f>
        <v/>
      </c>
      <c r="P1055" s="18" t="str">
        <f>IF('Classe 1ère A'!$B15="","",N('Classe 1ère A'!M15))</f>
        <v/>
      </c>
      <c r="Q1055" s="17" t="str">
        <f>IF('Classe 1ère A'!$B15="","",IF('Classe 1ère A'!Q15="","",'Classe 1ère A'!Q15))</f>
        <v/>
      </c>
      <c r="R1055" s="18" t="str">
        <f>IF('Classe 1ère A'!$B15="","",N('Classe 1ère A'!N15))</f>
        <v/>
      </c>
      <c r="S1055" s="18" t="str">
        <f>IF('Classe 1ère A'!$B15="","",N('Classe 1ère A'!O15))</f>
        <v/>
      </c>
      <c r="T1055" s="18" t="str">
        <f>IF('Classe 1ère A'!$B15="","",N('Classe 1ère A'!P15))</f>
        <v/>
      </c>
    </row>
    <row r="1056">
      <c r="A1056" s="20" t="str">
        <f>IF('Classe 1ère A'!$B16="","",IF('Classe 1ère A'!A16="","",'Classe 1ère A'!A16))</f>
        <v/>
      </c>
      <c r="B1056" s="20" t="str">
        <f>IF('Classe 1ère A'!$B16="","",IF('Classe 1ère A'!B16="","",'Classe 1ère A'!B16))</f>
        <v/>
      </c>
      <c r="C1056" s="20" t="str">
        <f>IF('Classe 1ère A'!$B16="","",IF('Classe 1ère A'!C16="","",'Classe 1ère A'!C16))</f>
        <v/>
      </c>
      <c r="D1056" s="20" t="str">
        <f>IF($B1056="","",C1056&amp;" "&amp;B1056&amp;" - "&amp;E1056)</f>
        <v/>
      </c>
      <c r="E1056" s="21" t="str">
        <f>IF($B1056="","",Paramètres!$A$28)</f>
        <v/>
      </c>
      <c r="F1056" s="21" t="str">
        <f>IF($B1056="","",Paramètres!$B$28)</f>
        <v/>
      </c>
      <c r="G1056" s="21" t="str">
        <f>IF('Classe 1ère A'!$B16="","",IF('Classe 1ère A'!D16="","",'Classe 1ère A'!D16))</f>
        <v/>
      </c>
      <c r="H1056" s="77" t="str">
        <f>IF('Classe 1ère A'!$B16="","",IF('Classe 1ère A'!E16="","",'Classe 1ère A'!E16))</f>
        <v/>
      </c>
      <c r="I1056" s="20" t="str">
        <f>IF('Classe 1ère A'!$B16="","",IF('Classe 1ère A'!F16="","",'Classe 1ère A'!F16))</f>
        <v/>
      </c>
      <c r="J1056" s="20" t="str">
        <f>IF('Classe 1ère A'!$B16="","",IF('Classe 1ère A'!G16="","",'Classe 1ère A'!G16))</f>
        <v/>
      </c>
      <c r="K1056" s="51" t="str">
        <f>IF('Classe 1ère A'!$B16="","",N('Classe 1ère A'!H16))</f>
        <v/>
      </c>
      <c r="L1056" s="51" t="str">
        <f>IF('Classe 1ère A'!$B16="","",N('Classe 1ère A'!I16))</f>
        <v/>
      </c>
      <c r="M1056" s="51" t="str">
        <f>IF('Classe 1ère A'!$B16="","",N('Classe 1ère A'!J16))</f>
        <v/>
      </c>
      <c r="N1056" s="51" t="str">
        <f>IF('Classe 1ère A'!$B16="","",N('Classe 1ère A'!K16))</f>
        <v/>
      </c>
      <c r="O1056" s="51" t="str">
        <f>IF('Classe 1ère A'!$B16="","",N('Classe 1ère A'!L16))</f>
        <v/>
      </c>
      <c r="P1056" s="51" t="str">
        <f>IF('Classe 1ère A'!$B16="","",N('Classe 1ère A'!M16))</f>
        <v/>
      </c>
      <c r="Q1056" s="21" t="str">
        <f>IF('Classe 1ère A'!$B16="","",IF('Classe 1ère A'!Q16="","",'Classe 1ère A'!Q16))</f>
        <v/>
      </c>
      <c r="R1056" s="51" t="str">
        <f>IF('Classe 1ère A'!$B16="","",N('Classe 1ère A'!N16))</f>
        <v/>
      </c>
      <c r="S1056" s="51" t="str">
        <f>IF('Classe 1ère A'!$B16="","",N('Classe 1ère A'!O16))</f>
        <v/>
      </c>
      <c r="T1056" s="51" t="str">
        <f>IF('Classe 1ère A'!$B16="","",N('Classe 1ère A'!P16))</f>
        <v/>
      </c>
    </row>
    <row r="1057">
      <c r="A1057" s="16" t="str">
        <f>IF('Classe 1ère A'!$B17="","",IF('Classe 1ère A'!A17="","",'Classe 1ère A'!A17))</f>
        <v/>
      </c>
      <c r="B1057" s="16" t="str">
        <f>IF('Classe 1ère A'!$B17="","",IF('Classe 1ère A'!B17="","",'Classe 1ère A'!B17))</f>
        <v/>
      </c>
      <c r="C1057" s="16" t="str">
        <f>IF('Classe 1ère A'!$B17="","",IF('Classe 1ère A'!C17="","",'Classe 1ère A'!C17))</f>
        <v/>
      </c>
      <c r="D1057" s="16" t="str">
        <f>IF($B1057="","",C1057&amp;" "&amp;B1057&amp;" - "&amp;E1057)</f>
        <v/>
      </c>
      <c r="E1057" s="17" t="str">
        <f>IF($B1057="","",Paramètres!$A$28)</f>
        <v/>
      </c>
      <c r="F1057" s="17" t="str">
        <f>IF($B1057="","",Paramètres!$B$28)</f>
        <v/>
      </c>
      <c r="G1057" s="17" t="str">
        <f>IF('Classe 1ère A'!$B17="","",IF('Classe 1ère A'!D17="","",'Classe 1ère A'!D17))</f>
        <v/>
      </c>
      <c r="H1057" s="78" t="str">
        <f>IF('Classe 1ère A'!$B17="","",IF('Classe 1ère A'!E17="","",'Classe 1ère A'!E17))</f>
        <v/>
      </c>
      <c r="I1057" s="16" t="str">
        <f>IF('Classe 1ère A'!$B17="","",IF('Classe 1ère A'!F17="","",'Classe 1ère A'!F17))</f>
        <v/>
      </c>
      <c r="J1057" s="16" t="str">
        <f>IF('Classe 1ère A'!$B17="","",IF('Classe 1ère A'!G17="","",'Classe 1ère A'!G17))</f>
        <v/>
      </c>
      <c r="K1057" s="18" t="str">
        <f>IF('Classe 1ère A'!$B17="","",N('Classe 1ère A'!H17))</f>
        <v/>
      </c>
      <c r="L1057" s="18" t="str">
        <f>IF('Classe 1ère A'!$B17="","",N('Classe 1ère A'!I17))</f>
        <v/>
      </c>
      <c r="M1057" s="18" t="str">
        <f>IF('Classe 1ère A'!$B17="","",N('Classe 1ère A'!J17))</f>
        <v/>
      </c>
      <c r="N1057" s="18" t="str">
        <f>IF('Classe 1ère A'!$B17="","",N('Classe 1ère A'!K17))</f>
        <v/>
      </c>
      <c r="O1057" s="18" t="str">
        <f>IF('Classe 1ère A'!$B17="","",N('Classe 1ère A'!L17))</f>
        <v/>
      </c>
      <c r="P1057" s="18" t="str">
        <f>IF('Classe 1ère A'!$B17="","",N('Classe 1ère A'!M17))</f>
        <v/>
      </c>
      <c r="Q1057" s="17" t="str">
        <f>IF('Classe 1ère A'!$B17="","",IF('Classe 1ère A'!Q17="","",'Classe 1ère A'!Q17))</f>
        <v/>
      </c>
      <c r="R1057" s="18" t="str">
        <f>IF('Classe 1ère A'!$B17="","",N('Classe 1ère A'!N17))</f>
        <v/>
      </c>
      <c r="S1057" s="18" t="str">
        <f>IF('Classe 1ère A'!$B17="","",N('Classe 1ère A'!O17))</f>
        <v/>
      </c>
      <c r="T1057" s="18" t="str">
        <f>IF('Classe 1ère A'!$B17="","",N('Classe 1ère A'!P17))</f>
        <v/>
      </c>
    </row>
    <row r="1058">
      <c r="A1058" s="20" t="str">
        <f>IF('Classe 1ère A'!$B18="","",IF('Classe 1ère A'!A18="","",'Classe 1ère A'!A18))</f>
        <v/>
      </c>
      <c r="B1058" s="20" t="str">
        <f>IF('Classe 1ère A'!$B18="","",IF('Classe 1ère A'!B18="","",'Classe 1ère A'!B18))</f>
        <v/>
      </c>
      <c r="C1058" s="20" t="str">
        <f>IF('Classe 1ère A'!$B18="","",IF('Classe 1ère A'!C18="","",'Classe 1ère A'!C18))</f>
        <v/>
      </c>
      <c r="D1058" s="20" t="str">
        <f>IF($B1058="","",C1058&amp;" "&amp;B1058&amp;" - "&amp;E1058)</f>
        <v/>
      </c>
      <c r="E1058" s="21" t="str">
        <f>IF($B1058="","",Paramètres!$A$28)</f>
        <v/>
      </c>
      <c r="F1058" s="21" t="str">
        <f>IF($B1058="","",Paramètres!$B$28)</f>
        <v/>
      </c>
      <c r="G1058" s="21" t="str">
        <f>IF('Classe 1ère A'!$B18="","",IF('Classe 1ère A'!D18="","",'Classe 1ère A'!D18))</f>
        <v/>
      </c>
      <c r="H1058" s="77" t="str">
        <f>IF('Classe 1ère A'!$B18="","",IF('Classe 1ère A'!E18="","",'Classe 1ère A'!E18))</f>
        <v/>
      </c>
      <c r="I1058" s="20" t="str">
        <f>IF('Classe 1ère A'!$B18="","",IF('Classe 1ère A'!F18="","",'Classe 1ère A'!F18))</f>
        <v/>
      </c>
      <c r="J1058" s="20" t="str">
        <f>IF('Classe 1ère A'!$B18="","",IF('Classe 1ère A'!G18="","",'Classe 1ère A'!G18))</f>
        <v/>
      </c>
      <c r="K1058" s="51" t="str">
        <f>IF('Classe 1ère A'!$B18="","",N('Classe 1ère A'!H18))</f>
        <v/>
      </c>
      <c r="L1058" s="51" t="str">
        <f>IF('Classe 1ère A'!$B18="","",N('Classe 1ère A'!I18))</f>
        <v/>
      </c>
      <c r="M1058" s="51" t="str">
        <f>IF('Classe 1ère A'!$B18="","",N('Classe 1ère A'!J18))</f>
        <v/>
      </c>
      <c r="N1058" s="51" t="str">
        <f>IF('Classe 1ère A'!$B18="","",N('Classe 1ère A'!K18))</f>
        <v/>
      </c>
      <c r="O1058" s="51" t="str">
        <f>IF('Classe 1ère A'!$B18="","",N('Classe 1ère A'!L18))</f>
        <v/>
      </c>
      <c r="P1058" s="51" t="str">
        <f>IF('Classe 1ère A'!$B18="","",N('Classe 1ère A'!M18))</f>
        <v/>
      </c>
      <c r="Q1058" s="21" t="str">
        <f>IF('Classe 1ère A'!$B18="","",IF('Classe 1ère A'!Q18="","",'Classe 1ère A'!Q18))</f>
        <v/>
      </c>
      <c r="R1058" s="51" t="str">
        <f>IF('Classe 1ère A'!$B18="","",N('Classe 1ère A'!N18))</f>
        <v/>
      </c>
      <c r="S1058" s="51" t="str">
        <f>IF('Classe 1ère A'!$B18="","",N('Classe 1ère A'!O18))</f>
        <v/>
      </c>
      <c r="T1058" s="51" t="str">
        <f>IF('Classe 1ère A'!$B18="","",N('Classe 1ère A'!P18))</f>
        <v/>
      </c>
    </row>
    <row r="1059">
      <c r="A1059" s="16" t="str">
        <f>IF('Classe 1ère A'!$B19="","",IF('Classe 1ère A'!A19="","",'Classe 1ère A'!A19))</f>
        <v/>
      </c>
      <c r="B1059" s="16" t="str">
        <f>IF('Classe 1ère A'!$B19="","",IF('Classe 1ère A'!B19="","",'Classe 1ère A'!B19))</f>
        <v/>
      </c>
      <c r="C1059" s="16" t="str">
        <f>IF('Classe 1ère A'!$B19="","",IF('Classe 1ère A'!C19="","",'Classe 1ère A'!C19))</f>
        <v/>
      </c>
      <c r="D1059" s="16" t="str">
        <f>IF($B1059="","",C1059&amp;" "&amp;B1059&amp;" - "&amp;E1059)</f>
        <v/>
      </c>
      <c r="E1059" s="17" t="str">
        <f>IF($B1059="","",Paramètres!$A$28)</f>
        <v/>
      </c>
      <c r="F1059" s="17" t="str">
        <f>IF($B1059="","",Paramètres!$B$28)</f>
        <v/>
      </c>
      <c r="G1059" s="17" t="str">
        <f>IF('Classe 1ère A'!$B19="","",IF('Classe 1ère A'!D19="","",'Classe 1ère A'!D19))</f>
        <v/>
      </c>
      <c r="H1059" s="78" t="str">
        <f>IF('Classe 1ère A'!$B19="","",IF('Classe 1ère A'!E19="","",'Classe 1ère A'!E19))</f>
        <v/>
      </c>
      <c r="I1059" s="16" t="str">
        <f>IF('Classe 1ère A'!$B19="","",IF('Classe 1ère A'!F19="","",'Classe 1ère A'!F19))</f>
        <v/>
      </c>
      <c r="J1059" s="16" t="str">
        <f>IF('Classe 1ère A'!$B19="","",IF('Classe 1ère A'!G19="","",'Classe 1ère A'!G19))</f>
        <v/>
      </c>
      <c r="K1059" s="18" t="str">
        <f>IF('Classe 1ère A'!$B19="","",N('Classe 1ère A'!H19))</f>
        <v/>
      </c>
      <c r="L1059" s="18" t="str">
        <f>IF('Classe 1ère A'!$B19="","",N('Classe 1ère A'!I19))</f>
        <v/>
      </c>
      <c r="M1059" s="18" t="str">
        <f>IF('Classe 1ère A'!$B19="","",N('Classe 1ère A'!J19))</f>
        <v/>
      </c>
      <c r="N1059" s="18" t="str">
        <f>IF('Classe 1ère A'!$B19="","",N('Classe 1ère A'!K19))</f>
        <v/>
      </c>
      <c r="O1059" s="18" t="str">
        <f>IF('Classe 1ère A'!$B19="","",N('Classe 1ère A'!L19))</f>
        <v/>
      </c>
      <c r="P1059" s="18" t="str">
        <f>IF('Classe 1ère A'!$B19="","",N('Classe 1ère A'!M19))</f>
        <v/>
      </c>
      <c r="Q1059" s="17" t="str">
        <f>IF('Classe 1ère A'!$B19="","",IF('Classe 1ère A'!Q19="","",'Classe 1ère A'!Q19))</f>
        <v/>
      </c>
      <c r="R1059" s="18" t="str">
        <f>IF('Classe 1ère A'!$B19="","",N('Classe 1ère A'!N19))</f>
        <v/>
      </c>
      <c r="S1059" s="18" t="str">
        <f>IF('Classe 1ère A'!$B19="","",N('Classe 1ère A'!O19))</f>
        <v/>
      </c>
      <c r="T1059" s="18" t="str">
        <f>IF('Classe 1ère A'!$B19="","",N('Classe 1ère A'!P19))</f>
        <v/>
      </c>
    </row>
    <row r="1060">
      <c r="A1060" s="20" t="str">
        <f>IF('Classe 1ère A'!$B20="","",IF('Classe 1ère A'!A20="","",'Classe 1ère A'!A20))</f>
        <v/>
      </c>
      <c r="B1060" s="20" t="str">
        <f>IF('Classe 1ère A'!$B20="","",IF('Classe 1ère A'!B20="","",'Classe 1ère A'!B20))</f>
        <v/>
      </c>
      <c r="C1060" s="20" t="str">
        <f>IF('Classe 1ère A'!$B20="","",IF('Classe 1ère A'!C20="","",'Classe 1ère A'!C20))</f>
        <v/>
      </c>
      <c r="D1060" s="20" t="str">
        <f>IF($B1060="","",C1060&amp;" "&amp;B1060&amp;" - "&amp;E1060)</f>
        <v/>
      </c>
      <c r="E1060" s="21" t="str">
        <f>IF($B1060="","",Paramètres!$A$28)</f>
        <v/>
      </c>
      <c r="F1060" s="21" t="str">
        <f>IF($B1060="","",Paramètres!$B$28)</f>
        <v/>
      </c>
      <c r="G1060" s="21" t="str">
        <f>IF('Classe 1ère A'!$B20="","",IF('Classe 1ère A'!D20="","",'Classe 1ère A'!D20))</f>
        <v/>
      </c>
      <c r="H1060" s="77" t="str">
        <f>IF('Classe 1ère A'!$B20="","",IF('Classe 1ère A'!E20="","",'Classe 1ère A'!E20))</f>
        <v/>
      </c>
      <c r="I1060" s="20" t="str">
        <f>IF('Classe 1ère A'!$B20="","",IF('Classe 1ère A'!F20="","",'Classe 1ère A'!F20))</f>
        <v/>
      </c>
      <c r="J1060" s="20" t="str">
        <f>IF('Classe 1ère A'!$B20="","",IF('Classe 1ère A'!G20="","",'Classe 1ère A'!G20))</f>
        <v/>
      </c>
      <c r="K1060" s="51" t="str">
        <f>IF('Classe 1ère A'!$B20="","",N('Classe 1ère A'!H20))</f>
        <v/>
      </c>
      <c r="L1060" s="51" t="str">
        <f>IF('Classe 1ère A'!$B20="","",N('Classe 1ère A'!I20))</f>
        <v/>
      </c>
      <c r="M1060" s="51" t="str">
        <f>IF('Classe 1ère A'!$B20="","",N('Classe 1ère A'!J20))</f>
        <v/>
      </c>
      <c r="N1060" s="51" t="str">
        <f>IF('Classe 1ère A'!$B20="","",N('Classe 1ère A'!K20))</f>
        <v/>
      </c>
      <c r="O1060" s="51" t="str">
        <f>IF('Classe 1ère A'!$B20="","",N('Classe 1ère A'!L20))</f>
        <v/>
      </c>
      <c r="P1060" s="51" t="str">
        <f>IF('Classe 1ère A'!$B20="","",N('Classe 1ère A'!M20))</f>
        <v/>
      </c>
      <c r="Q1060" s="21" t="str">
        <f>IF('Classe 1ère A'!$B20="","",IF('Classe 1ère A'!Q20="","",'Classe 1ère A'!Q20))</f>
        <v/>
      </c>
      <c r="R1060" s="51" t="str">
        <f>IF('Classe 1ère A'!$B20="","",N('Classe 1ère A'!N20))</f>
        <v/>
      </c>
      <c r="S1060" s="51" t="str">
        <f>IF('Classe 1ère A'!$B20="","",N('Classe 1ère A'!O20))</f>
        <v/>
      </c>
      <c r="T1060" s="51" t="str">
        <f>IF('Classe 1ère A'!$B20="","",N('Classe 1ère A'!P20))</f>
        <v/>
      </c>
    </row>
    <row r="1061">
      <c r="A1061" s="16" t="str">
        <f>IF('Classe 1ère A'!$B21="","",IF('Classe 1ère A'!A21="","",'Classe 1ère A'!A21))</f>
        <v/>
      </c>
      <c r="B1061" s="16" t="str">
        <f>IF('Classe 1ère A'!$B21="","",IF('Classe 1ère A'!B21="","",'Classe 1ère A'!B21))</f>
        <v/>
      </c>
      <c r="C1061" s="16" t="str">
        <f>IF('Classe 1ère A'!$B21="","",IF('Classe 1ère A'!C21="","",'Classe 1ère A'!C21))</f>
        <v/>
      </c>
      <c r="D1061" s="16" t="str">
        <f>IF($B1061="","",C1061&amp;" "&amp;B1061&amp;" - "&amp;E1061)</f>
        <v/>
      </c>
      <c r="E1061" s="17" t="str">
        <f>IF($B1061="","",Paramètres!$A$28)</f>
        <v/>
      </c>
      <c r="F1061" s="17" t="str">
        <f>IF($B1061="","",Paramètres!$B$28)</f>
        <v/>
      </c>
      <c r="G1061" s="17" t="str">
        <f>IF('Classe 1ère A'!$B21="","",IF('Classe 1ère A'!D21="","",'Classe 1ère A'!D21))</f>
        <v/>
      </c>
      <c r="H1061" s="78" t="str">
        <f>IF('Classe 1ère A'!$B21="","",IF('Classe 1ère A'!E21="","",'Classe 1ère A'!E21))</f>
        <v/>
      </c>
      <c r="I1061" s="16" t="str">
        <f>IF('Classe 1ère A'!$B21="","",IF('Classe 1ère A'!F21="","",'Classe 1ère A'!F21))</f>
        <v/>
      </c>
      <c r="J1061" s="16" t="str">
        <f>IF('Classe 1ère A'!$B21="","",IF('Classe 1ère A'!G21="","",'Classe 1ère A'!G21))</f>
        <v/>
      </c>
      <c r="K1061" s="18" t="str">
        <f>IF('Classe 1ère A'!$B21="","",N('Classe 1ère A'!H21))</f>
        <v/>
      </c>
      <c r="L1061" s="18" t="str">
        <f>IF('Classe 1ère A'!$B21="","",N('Classe 1ère A'!I21))</f>
        <v/>
      </c>
      <c r="M1061" s="18" t="str">
        <f>IF('Classe 1ère A'!$B21="","",N('Classe 1ère A'!J21))</f>
        <v/>
      </c>
      <c r="N1061" s="18" t="str">
        <f>IF('Classe 1ère A'!$B21="","",N('Classe 1ère A'!K21))</f>
        <v/>
      </c>
      <c r="O1061" s="18" t="str">
        <f>IF('Classe 1ère A'!$B21="","",N('Classe 1ère A'!L21))</f>
        <v/>
      </c>
      <c r="P1061" s="18" t="str">
        <f>IF('Classe 1ère A'!$B21="","",N('Classe 1ère A'!M21))</f>
        <v/>
      </c>
      <c r="Q1061" s="17" t="str">
        <f>IF('Classe 1ère A'!$B21="","",IF('Classe 1ère A'!Q21="","",'Classe 1ère A'!Q21))</f>
        <v/>
      </c>
      <c r="R1061" s="18" t="str">
        <f>IF('Classe 1ère A'!$B21="","",N('Classe 1ère A'!N21))</f>
        <v/>
      </c>
      <c r="S1061" s="18" t="str">
        <f>IF('Classe 1ère A'!$B21="","",N('Classe 1ère A'!O21))</f>
        <v/>
      </c>
      <c r="T1061" s="18" t="str">
        <f>IF('Classe 1ère A'!$B21="","",N('Classe 1ère A'!P21))</f>
        <v/>
      </c>
    </row>
    <row r="1062">
      <c r="A1062" s="20" t="str">
        <f>IF('Classe 1ère A'!$B22="","",IF('Classe 1ère A'!A22="","",'Classe 1ère A'!A22))</f>
        <v/>
      </c>
      <c r="B1062" s="20" t="str">
        <f>IF('Classe 1ère A'!$B22="","",IF('Classe 1ère A'!B22="","",'Classe 1ère A'!B22))</f>
        <v/>
      </c>
      <c r="C1062" s="20" t="str">
        <f>IF('Classe 1ère A'!$B22="","",IF('Classe 1ère A'!C22="","",'Classe 1ère A'!C22))</f>
        <v/>
      </c>
      <c r="D1062" s="20" t="str">
        <f>IF($B1062="","",C1062&amp;" "&amp;B1062&amp;" - "&amp;E1062)</f>
        <v/>
      </c>
      <c r="E1062" s="21" t="str">
        <f>IF($B1062="","",Paramètres!$A$28)</f>
        <v/>
      </c>
      <c r="F1062" s="21" t="str">
        <f>IF($B1062="","",Paramètres!$B$28)</f>
        <v/>
      </c>
      <c r="G1062" s="21" t="str">
        <f>IF('Classe 1ère A'!$B22="","",IF('Classe 1ère A'!D22="","",'Classe 1ère A'!D22))</f>
        <v/>
      </c>
      <c r="H1062" s="77" t="str">
        <f>IF('Classe 1ère A'!$B22="","",IF('Classe 1ère A'!E22="","",'Classe 1ère A'!E22))</f>
        <v/>
      </c>
      <c r="I1062" s="20" t="str">
        <f>IF('Classe 1ère A'!$B22="","",IF('Classe 1ère A'!F22="","",'Classe 1ère A'!F22))</f>
        <v/>
      </c>
      <c r="J1062" s="20" t="str">
        <f>IF('Classe 1ère A'!$B22="","",IF('Classe 1ère A'!G22="","",'Classe 1ère A'!G22))</f>
        <v/>
      </c>
      <c r="K1062" s="51" t="str">
        <f>IF('Classe 1ère A'!$B22="","",N('Classe 1ère A'!H22))</f>
        <v/>
      </c>
      <c r="L1062" s="51" t="str">
        <f>IF('Classe 1ère A'!$B22="","",N('Classe 1ère A'!I22))</f>
        <v/>
      </c>
      <c r="M1062" s="51" t="str">
        <f>IF('Classe 1ère A'!$B22="","",N('Classe 1ère A'!J22))</f>
        <v/>
      </c>
      <c r="N1062" s="51" t="str">
        <f>IF('Classe 1ère A'!$B22="","",N('Classe 1ère A'!K22))</f>
        <v/>
      </c>
      <c r="O1062" s="51" t="str">
        <f>IF('Classe 1ère A'!$B22="","",N('Classe 1ère A'!L22))</f>
        <v/>
      </c>
      <c r="P1062" s="51" t="str">
        <f>IF('Classe 1ère A'!$B22="","",N('Classe 1ère A'!M22))</f>
        <v/>
      </c>
      <c r="Q1062" s="21" t="str">
        <f>IF('Classe 1ère A'!$B22="","",IF('Classe 1ère A'!Q22="","",'Classe 1ère A'!Q22))</f>
        <v/>
      </c>
      <c r="R1062" s="51" t="str">
        <f>IF('Classe 1ère A'!$B22="","",N('Classe 1ère A'!N22))</f>
        <v/>
      </c>
      <c r="S1062" s="51" t="str">
        <f>IF('Classe 1ère A'!$B22="","",N('Classe 1ère A'!O22))</f>
        <v/>
      </c>
      <c r="T1062" s="51" t="str">
        <f>IF('Classe 1ère A'!$B22="","",N('Classe 1ère A'!P22))</f>
        <v/>
      </c>
    </row>
    <row r="1063">
      <c r="A1063" s="16" t="str">
        <f>IF('Classe 1ère A'!$B23="","",IF('Classe 1ère A'!A23="","",'Classe 1ère A'!A23))</f>
        <v/>
      </c>
      <c r="B1063" s="16" t="str">
        <f>IF('Classe 1ère A'!$B23="","",IF('Classe 1ère A'!B23="","",'Classe 1ère A'!B23))</f>
        <v/>
      </c>
      <c r="C1063" s="16" t="str">
        <f>IF('Classe 1ère A'!$B23="","",IF('Classe 1ère A'!C23="","",'Classe 1ère A'!C23))</f>
        <v/>
      </c>
      <c r="D1063" s="16" t="str">
        <f>IF($B1063="","",C1063&amp;" "&amp;B1063&amp;" - "&amp;E1063)</f>
        <v/>
      </c>
      <c r="E1063" s="17" t="str">
        <f>IF($B1063="","",Paramètres!$A$28)</f>
        <v/>
      </c>
      <c r="F1063" s="17" t="str">
        <f>IF($B1063="","",Paramètres!$B$28)</f>
        <v/>
      </c>
      <c r="G1063" s="17" t="str">
        <f>IF('Classe 1ère A'!$B23="","",IF('Classe 1ère A'!D23="","",'Classe 1ère A'!D23))</f>
        <v/>
      </c>
      <c r="H1063" s="78" t="str">
        <f>IF('Classe 1ère A'!$B23="","",IF('Classe 1ère A'!E23="","",'Classe 1ère A'!E23))</f>
        <v/>
      </c>
      <c r="I1063" s="16" t="str">
        <f>IF('Classe 1ère A'!$B23="","",IF('Classe 1ère A'!F23="","",'Classe 1ère A'!F23))</f>
        <v/>
      </c>
      <c r="J1063" s="16" t="str">
        <f>IF('Classe 1ère A'!$B23="","",IF('Classe 1ère A'!G23="","",'Classe 1ère A'!G23))</f>
        <v/>
      </c>
      <c r="K1063" s="18" t="str">
        <f>IF('Classe 1ère A'!$B23="","",N('Classe 1ère A'!H23))</f>
        <v/>
      </c>
      <c r="L1063" s="18" t="str">
        <f>IF('Classe 1ère A'!$B23="","",N('Classe 1ère A'!I23))</f>
        <v/>
      </c>
      <c r="M1063" s="18" t="str">
        <f>IF('Classe 1ère A'!$B23="","",N('Classe 1ère A'!J23))</f>
        <v/>
      </c>
      <c r="N1063" s="18" t="str">
        <f>IF('Classe 1ère A'!$B23="","",N('Classe 1ère A'!K23))</f>
        <v/>
      </c>
      <c r="O1063" s="18" t="str">
        <f>IF('Classe 1ère A'!$B23="","",N('Classe 1ère A'!L23))</f>
        <v/>
      </c>
      <c r="P1063" s="18" t="str">
        <f>IF('Classe 1ère A'!$B23="","",N('Classe 1ère A'!M23))</f>
        <v/>
      </c>
      <c r="Q1063" s="17" t="str">
        <f>IF('Classe 1ère A'!$B23="","",IF('Classe 1ère A'!Q23="","",'Classe 1ère A'!Q23))</f>
        <v/>
      </c>
      <c r="R1063" s="18" t="str">
        <f>IF('Classe 1ère A'!$B23="","",N('Classe 1ère A'!N23))</f>
        <v/>
      </c>
      <c r="S1063" s="18" t="str">
        <f>IF('Classe 1ère A'!$B23="","",N('Classe 1ère A'!O23))</f>
        <v/>
      </c>
      <c r="T1063" s="18" t="str">
        <f>IF('Classe 1ère A'!$B23="","",N('Classe 1ère A'!P23))</f>
        <v/>
      </c>
    </row>
    <row r="1064">
      <c r="A1064" s="20" t="str">
        <f>IF('Classe 1ère A'!$B24="","",IF('Classe 1ère A'!A24="","",'Classe 1ère A'!A24))</f>
        <v/>
      </c>
      <c r="B1064" s="20" t="str">
        <f>IF('Classe 1ère A'!$B24="","",IF('Classe 1ère A'!B24="","",'Classe 1ère A'!B24))</f>
        <v/>
      </c>
      <c r="C1064" s="20" t="str">
        <f>IF('Classe 1ère A'!$B24="","",IF('Classe 1ère A'!C24="","",'Classe 1ère A'!C24))</f>
        <v/>
      </c>
      <c r="D1064" s="20" t="str">
        <f>IF($B1064="","",C1064&amp;" "&amp;B1064&amp;" - "&amp;E1064)</f>
        <v/>
      </c>
      <c r="E1064" s="21" t="str">
        <f>IF($B1064="","",Paramètres!$A$28)</f>
        <v/>
      </c>
      <c r="F1064" s="21" t="str">
        <f>IF($B1064="","",Paramètres!$B$28)</f>
        <v/>
      </c>
      <c r="G1064" s="21" t="str">
        <f>IF('Classe 1ère A'!$B24="","",IF('Classe 1ère A'!D24="","",'Classe 1ère A'!D24))</f>
        <v/>
      </c>
      <c r="H1064" s="77" t="str">
        <f>IF('Classe 1ère A'!$B24="","",IF('Classe 1ère A'!E24="","",'Classe 1ère A'!E24))</f>
        <v/>
      </c>
      <c r="I1064" s="20" t="str">
        <f>IF('Classe 1ère A'!$B24="","",IF('Classe 1ère A'!F24="","",'Classe 1ère A'!F24))</f>
        <v/>
      </c>
      <c r="J1064" s="20" t="str">
        <f>IF('Classe 1ère A'!$B24="","",IF('Classe 1ère A'!G24="","",'Classe 1ère A'!G24))</f>
        <v/>
      </c>
      <c r="K1064" s="51" t="str">
        <f>IF('Classe 1ère A'!$B24="","",N('Classe 1ère A'!H24))</f>
        <v/>
      </c>
      <c r="L1064" s="51" t="str">
        <f>IF('Classe 1ère A'!$B24="","",N('Classe 1ère A'!I24))</f>
        <v/>
      </c>
      <c r="M1064" s="51" t="str">
        <f>IF('Classe 1ère A'!$B24="","",N('Classe 1ère A'!J24))</f>
        <v/>
      </c>
      <c r="N1064" s="51" t="str">
        <f>IF('Classe 1ère A'!$B24="","",N('Classe 1ère A'!K24))</f>
        <v/>
      </c>
      <c r="O1064" s="51" t="str">
        <f>IF('Classe 1ère A'!$B24="","",N('Classe 1ère A'!L24))</f>
        <v/>
      </c>
      <c r="P1064" s="51" t="str">
        <f>IF('Classe 1ère A'!$B24="","",N('Classe 1ère A'!M24))</f>
        <v/>
      </c>
      <c r="Q1064" s="21" t="str">
        <f>IF('Classe 1ère A'!$B24="","",IF('Classe 1ère A'!Q24="","",'Classe 1ère A'!Q24))</f>
        <v/>
      </c>
      <c r="R1064" s="51" t="str">
        <f>IF('Classe 1ère A'!$B24="","",N('Classe 1ère A'!N24))</f>
        <v/>
      </c>
      <c r="S1064" s="51" t="str">
        <f>IF('Classe 1ère A'!$B24="","",N('Classe 1ère A'!O24))</f>
        <v/>
      </c>
      <c r="T1064" s="51" t="str">
        <f>IF('Classe 1ère A'!$B24="","",N('Classe 1ère A'!P24))</f>
        <v/>
      </c>
    </row>
    <row r="1065">
      <c r="A1065" s="16" t="str">
        <f>IF('Classe 1ère A'!$B25="","",IF('Classe 1ère A'!A25="","",'Classe 1ère A'!A25))</f>
        <v/>
      </c>
      <c r="B1065" s="16" t="str">
        <f>IF('Classe 1ère A'!$B25="","",IF('Classe 1ère A'!B25="","",'Classe 1ère A'!B25))</f>
        <v/>
      </c>
      <c r="C1065" s="16" t="str">
        <f>IF('Classe 1ère A'!$B25="","",IF('Classe 1ère A'!C25="","",'Classe 1ère A'!C25))</f>
        <v/>
      </c>
      <c r="D1065" s="16" t="str">
        <f>IF($B1065="","",C1065&amp;" "&amp;B1065&amp;" - "&amp;E1065)</f>
        <v/>
      </c>
      <c r="E1065" s="17" t="str">
        <f>IF($B1065="","",Paramètres!$A$28)</f>
        <v/>
      </c>
      <c r="F1065" s="17" t="str">
        <f>IF($B1065="","",Paramètres!$B$28)</f>
        <v/>
      </c>
      <c r="G1065" s="17" t="str">
        <f>IF('Classe 1ère A'!$B25="","",IF('Classe 1ère A'!D25="","",'Classe 1ère A'!D25))</f>
        <v/>
      </c>
      <c r="H1065" s="78" t="str">
        <f>IF('Classe 1ère A'!$B25="","",IF('Classe 1ère A'!E25="","",'Classe 1ère A'!E25))</f>
        <v/>
      </c>
      <c r="I1065" s="16" t="str">
        <f>IF('Classe 1ère A'!$B25="","",IF('Classe 1ère A'!F25="","",'Classe 1ère A'!F25))</f>
        <v/>
      </c>
      <c r="J1065" s="16" t="str">
        <f>IF('Classe 1ère A'!$B25="","",IF('Classe 1ère A'!G25="","",'Classe 1ère A'!G25))</f>
        <v/>
      </c>
      <c r="K1065" s="18" t="str">
        <f>IF('Classe 1ère A'!$B25="","",N('Classe 1ère A'!H25))</f>
        <v/>
      </c>
      <c r="L1065" s="18" t="str">
        <f>IF('Classe 1ère A'!$B25="","",N('Classe 1ère A'!I25))</f>
        <v/>
      </c>
      <c r="M1065" s="18" t="str">
        <f>IF('Classe 1ère A'!$B25="","",N('Classe 1ère A'!J25))</f>
        <v/>
      </c>
      <c r="N1065" s="18" t="str">
        <f>IF('Classe 1ère A'!$B25="","",N('Classe 1ère A'!K25))</f>
        <v/>
      </c>
      <c r="O1065" s="18" t="str">
        <f>IF('Classe 1ère A'!$B25="","",N('Classe 1ère A'!L25))</f>
        <v/>
      </c>
      <c r="P1065" s="18" t="str">
        <f>IF('Classe 1ère A'!$B25="","",N('Classe 1ère A'!M25))</f>
        <v/>
      </c>
      <c r="Q1065" s="17" t="str">
        <f>IF('Classe 1ère A'!$B25="","",IF('Classe 1ère A'!Q25="","",'Classe 1ère A'!Q25))</f>
        <v/>
      </c>
      <c r="R1065" s="18" t="str">
        <f>IF('Classe 1ère A'!$B25="","",N('Classe 1ère A'!N25))</f>
        <v/>
      </c>
      <c r="S1065" s="18" t="str">
        <f>IF('Classe 1ère A'!$B25="","",N('Classe 1ère A'!O25))</f>
        <v/>
      </c>
      <c r="T1065" s="18" t="str">
        <f>IF('Classe 1ère A'!$B25="","",N('Classe 1ère A'!P25))</f>
        <v/>
      </c>
    </row>
    <row r="1066">
      <c r="A1066" s="20" t="str">
        <f>IF('Classe 1ère A'!$B26="","",IF('Classe 1ère A'!A26="","",'Classe 1ère A'!A26))</f>
        <v/>
      </c>
      <c r="B1066" s="20" t="str">
        <f>IF('Classe 1ère A'!$B26="","",IF('Classe 1ère A'!B26="","",'Classe 1ère A'!B26))</f>
        <v/>
      </c>
      <c r="C1066" s="20" t="str">
        <f>IF('Classe 1ère A'!$B26="","",IF('Classe 1ère A'!C26="","",'Classe 1ère A'!C26))</f>
        <v/>
      </c>
      <c r="D1066" s="20" t="str">
        <f>IF($B1066="","",C1066&amp;" "&amp;B1066&amp;" - "&amp;E1066)</f>
        <v/>
      </c>
      <c r="E1066" s="21" t="str">
        <f>IF($B1066="","",Paramètres!$A$28)</f>
        <v/>
      </c>
      <c r="F1066" s="21" t="str">
        <f>IF($B1066="","",Paramètres!$B$28)</f>
        <v/>
      </c>
      <c r="G1066" s="21" t="str">
        <f>IF('Classe 1ère A'!$B26="","",IF('Classe 1ère A'!D26="","",'Classe 1ère A'!D26))</f>
        <v/>
      </c>
      <c r="H1066" s="77" t="str">
        <f>IF('Classe 1ère A'!$B26="","",IF('Classe 1ère A'!E26="","",'Classe 1ère A'!E26))</f>
        <v/>
      </c>
      <c r="I1066" s="20" t="str">
        <f>IF('Classe 1ère A'!$B26="","",IF('Classe 1ère A'!F26="","",'Classe 1ère A'!F26))</f>
        <v/>
      </c>
      <c r="J1066" s="20" t="str">
        <f>IF('Classe 1ère A'!$B26="","",IF('Classe 1ère A'!G26="","",'Classe 1ère A'!G26))</f>
        <v/>
      </c>
      <c r="K1066" s="51" t="str">
        <f>IF('Classe 1ère A'!$B26="","",N('Classe 1ère A'!H26))</f>
        <v/>
      </c>
      <c r="L1066" s="51" t="str">
        <f>IF('Classe 1ère A'!$B26="","",N('Classe 1ère A'!I26))</f>
        <v/>
      </c>
      <c r="M1066" s="51" t="str">
        <f>IF('Classe 1ère A'!$B26="","",N('Classe 1ère A'!J26))</f>
        <v/>
      </c>
      <c r="N1066" s="51" t="str">
        <f>IF('Classe 1ère A'!$B26="","",N('Classe 1ère A'!K26))</f>
        <v/>
      </c>
      <c r="O1066" s="51" t="str">
        <f>IF('Classe 1ère A'!$B26="","",N('Classe 1ère A'!L26))</f>
        <v/>
      </c>
      <c r="P1066" s="51" t="str">
        <f>IF('Classe 1ère A'!$B26="","",N('Classe 1ère A'!M26))</f>
        <v/>
      </c>
      <c r="Q1066" s="21" t="str">
        <f>IF('Classe 1ère A'!$B26="","",IF('Classe 1ère A'!Q26="","",'Classe 1ère A'!Q26))</f>
        <v/>
      </c>
      <c r="R1066" s="51" t="str">
        <f>IF('Classe 1ère A'!$B26="","",N('Classe 1ère A'!N26))</f>
        <v/>
      </c>
      <c r="S1066" s="51" t="str">
        <f>IF('Classe 1ère A'!$B26="","",N('Classe 1ère A'!O26))</f>
        <v/>
      </c>
      <c r="T1066" s="51" t="str">
        <f>IF('Classe 1ère A'!$B26="","",N('Classe 1ère A'!P26))</f>
        <v/>
      </c>
    </row>
    <row r="1067">
      <c r="A1067" s="16" t="str">
        <f>IF('Classe 1ère A'!$B27="","",IF('Classe 1ère A'!A27="","",'Classe 1ère A'!A27))</f>
        <v/>
      </c>
      <c r="B1067" s="16" t="str">
        <f>IF('Classe 1ère A'!$B27="","",IF('Classe 1ère A'!B27="","",'Classe 1ère A'!B27))</f>
        <v/>
      </c>
      <c r="C1067" s="16" t="str">
        <f>IF('Classe 1ère A'!$B27="","",IF('Classe 1ère A'!C27="","",'Classe 1ère A'!C27))</f>
        <v/>
      </c>
      <c r="D1067" s="16" t="str">
        <f>IF($B1067="","",C1067&amp;" "&amp;B1067&amp;" - "&amp;E1067)</f>
        <v/>
      </c>
      <c r="E1067" s="17" t="str">
        <f>IF($B1067="","",Paramètres!$A$28)</f>
        <v/>
      </c>
      <c r="F1067" s="17" t="str">
        <f>IF($B1067="","",Paramètres!$B$28)</f>
        <v/>
      </c>
      <c r="G1067" s="17" t="str">
        <f>IF('Classe 1ère A'!$B27="","",IF('Classe 1ère A'!D27="","",'Classe 1ère A'!D27))</f>
        <v/>
      </c>
      <c r="H1067" s="78" t="str">
        <f>IF('Classe 1ère A'!$B27="","",IF('Classe 1ère A'!E27="","",'Classe 1ère A'!E27))</f>
        <v/>
      </c>
      <c r="I1067" s="16" t="str">
        <f>IF('Classe 1ère A'!$B27="","",IF('Classe 1ère A'!F27="","",'Classe 1ère A'!F27))</f>
        <v/>
      </c>
      <c r="J1067" s="16" t="str">
        <f>IF('Classe 1ère A'!$B27="","",IF('Classe 1ère A'!G27="","",'Classe 1ère A'!G27))</f>
        <v/>
      </c>
      <c r="K1067" s="18" t="str">
        <f>IF('Classe 1ère A'!$B27="","",N('Classe 1ère A'!H27))</f>
        <v/>
      </c>
      <c r="L1067" s="18" t="str">
        <f>IF('Classe 1ère A'!$B27="","",N('Classe 1ère A'!I27))</f>
        <v/>
      </c>
      <c r="M1067" s="18" t="str">
        <f>IF('Classe 1ère A'!$B27="","",N('Classe 1ère A'!J27))</f>
        <v/>
      </c>
      <c r="N1067" s="18" t="str">
        <f>IF('Classe 1ère A'!$B27="","",N('Classe 1ère A'!K27))</f>
        <v/>
      </c>
      <c r="O1067" s="18" t="str">
        <f>IF('Classe 1ère A'!$B27="","",N('Classe 1ère A'!L27))</f>
        <v/>
      </c>
      <c r="P1067" s="18" t="str">
        <f>IF('Classe 1ère A'!$B27="","",N('Classe 1ère A'!M27))</f>
        <v/>
      </c>
      <c r="Q1067" s="17" t="str">
        <f>IF('Classe 1ère A'!$B27="","",IF('Classe 1ère A'!Q27="","",'Classe 1ère A'!Q27))</f>
        <v/>
      </c>
      <c r="R1067" s="18" t="str">
        <f>IF('Classe 1ère A'!$B27="","",N('Classe 1ère A'!N27))</f>
        <v/>
      </c>
      <c r="S1067" s="18" t="str">
        <f>IF('Classe 1ère A'!$B27="","",N('Classe 1ère A'!O27))</f>
        <v/>
      </c>
      <c r="T1067" s="18" t="str">
        <f>IF('Classe 1ère A'!$B27="","",N('Classe 1ère A'!P27))</f>
        <v/>
      </c>
    </row>
    <row r="1068">
      <c r="A1068" s="20" t="str">
        <f>IF('Classe 1ère A'!$B28="","",IF('Classe 1ère A'!A28="","",'Classe 1ère A'!A28))</f>
        <v/>
      </c>
      <c r="B1068" s="20" t="str">
        <f>IF('Classe 1ère A'!$B28="","",IF('Classe 1ère A'!B28="","",'Classe 1ère A'!B28))</f>
        <v/>
      </c>
      <c r="C1068" s="20" t="str">
        <f>IF('Classe 1ère A'!$B28="","",IF('Classe 1ère A'!C28="","",'Classe 1ère A'!C28))</f>
        <v/>
      </c>
      <c r="D1068" s="20" t="str">
        <f>IF($B1068="","",C1068&amp;" "&amp;B1068&amp;" - "&amp;E1068)</f>
        <v/>
      </c>
      <c r="E1068" s="21" t="str">
        <f>IF($B1068="","",Paramètres!$A$28)</f>
        <v/>
      </c>
      <c r="F1068" s="21" t="str">
        <f>IF($B1068="","",Paramètres!$B$28)</f>
        <v/>
      </c>
      <c r="G1068" s="21" t="str">
        <f>IF('Classe 1ère A'!$B28="","",IF('Classe 1ère A'!D28="","",'Classe 1ère A'!D28))</f>
        <v/>
      </c>
      <c r="H1068" s="77" t="str">
        <f>IF('Classe 1ère A'!$B28="","",IF('Classe 1ère A'!E28="","",'Classe 1ère A'!E28))</f>
        <v/>
      </c>
      <c r="I1068" s="20" t="str">
        <f>IF('Classe 1ère A'!$B28="","",IF('Classe 1ère A'!F28="","",'Classe 1ère A'!F28))</f>
        <v/>
      </c>
      <c r="J1068" s="20" t="str">
        <f>IF('Classe 1ère A'!$B28="","",IF('Classe 1ère A'!G28="","",'Classe 1ère A'!G28))</f>
        <v/>
      </c>
      <c r="K1068" s="51" t="str">
        <f>IF('Classe 1ère A'!$B28="","",N('Classe 1ère A'!H28))</f>
        <v/>
      </c>
      <c r="L1068" s="51" t="str">
        <f>IF('Classe 1ère A'!$B28="","",N('Classe 1ère A'!I28))</f>
        <v/>
      </c>
      <c r="M1068" s="51" t="str">
        <f>IF('Classe 1ère A'!$B28="","",N('Classe 1ère A'!J28))</f>
        <v/>
      </c>
      <c r="N1068" s="51" t="str">
        <f>IF('Classe 1ère A'!$B28="","",N('Classe 1ère A'!K28))</f>
        <v/>
      </c>
      <c r="O1068" s="51" t="str">
        <f>IF('Classe 1ère A'!$B28="","",N('Classe 1ère A'!L28))</f>
        <v/>
      </c>
      <c r="P1068" s="51" t="str">
        <f>IF('Classe 1ère A'!$B28="","",N('Classe 1ère A'!M28))</f>
        <v/>
      </c>
      <c r="Q1068" s="21" t="str">
        <f>IF('Classe 1ère A'!$B28="","",IF('Classe 1ère A'!Q28="","",'Classe 1ère A'!Q28))</f>
        <v/>
      </c>
      <c r="R1068" s="51" t="str">
        <f>IF('Classe 1ère A'!$B28="","",N('Classe 1ère A'!N28))</f>
        <v/>
      </c>
      <c r="S1068" s="51" t="str">
        <f>IF('Classe 1ère A'!$B28="","",N('Classe 1ère A'!O28))</f>
        <v/>
      </c>
      <c r="T1068" s="51" t="str">
        <f>IF('Classe 1ère A'!$B28="","",N('Classe 1ère A'!P28))</f>
        <v/>
      </c>
    </row>
    <row r="1069">
      <c r="A1069" s="16" t="str">
        <f>IF('Classe 1ère A'!$B29="","",IF('Classe 1ère A'!A29="","",'Classe 1ère A'!A29))</f>
        <v/>
      </c>
      <c r="B1069" s="16" t="str">
        <f>IF('Classe 1ère A'!$B29="","",IF('Classe 1ère A'!B29="","",'Classe 1ère A'!B29))</f>
        <v/>
      </c>
      <c r="C1069" s="16" t="str">
        <f>IF('Classe 1ère A'!$B29="","",IF('Classe 1ère A'!C29="","",'Classe 1ère A'!C29))</f>
        <v/>
      </c>
      <c r="D1069" s="16" t="str">
        <f>IF($B1069="","",C1069&amp;" "&amp;B1069&amp;" - "&amp;E1069)</f>
        <v/>
      </c>
      <c r="E1069" s="17" t="str">
        <f>IF($B1069="","",Paramètres!$A$28)</f>
        <v/>
      </c>
      <c r="F1069" s="17" t="str">
        <f>IF($B1069="","",Paramètres!$B$28)</f>
        <v/>
      </c>
      <c r="G1069" s="17" t="str">
        <f>IF('Classe 1ère A'!$B29="","",IF('Classe 1ère A'!D29="","",'Classe 1ère A'!D29))</f>
        <v/>
      </c>
      <c r="H1069" s="78" t="str">
        <f>IF('Classe 1ère A'!$B29="","",IF('Classe 1ère A'!E29="","",'Classe 1ère A'!E29))</f>
        <v/>
      </c>
      <c r="I1069" s="16" t="str">
        <f>IF('Classe 1ère A'!$B29="","",IF('Classe 1ère A'!F29="","",'Classe 1ère A'!F29))</f>
        <v/>
      </c>
      <c r="J1069" s="16" t="str">
        <f>IF('Classe 1ère A'!$B29="","",IF('Classe 1ère A'!G29="","",'Classe 1ère A'!G29))</f>
        <v/>
      </c>
      <c r="K1069" s="18" t="str">
        <f>IF('Classe 1ère A'!$B29="","",N('Classe 1ère A'!H29))</f>
        <v/>
      </c>
      <c r="L1069" s="18" t="str">
        <f>IF('Classe 1ère A'!$B29="","",N('Classe 1ère A'!I29))</f>
        <v/>
      </c>
      <c r="M1069" s="18" t="str">
        <f>IF('Classe 1ère A'!$B29="","",N('Classe 1ère A'!J29))</f>
        <v/>
      </c>
      <c r="N1069" s="18" t="str">
        <f>IF('Classe 1ère A'!$B29="","",N('Classe 1ère A'!K29))</f>
        <v/>
      </c>
      <c r="O1069" s="18" t="str">
        <f>IF('Classe 1ère A'!$B29="","",N('Classe 1ère A'!L29))</f>
        <v/>
      </c>
      <c r="P1069" s="18" t="str">
        <f>IF('Classe 1ère A'!$B29="","",N('Classe 1ère A'!M29))</f>
        <v/>
      </c>
      <c r="Q1069" s="17" t="str">
        <f>IF('Classe 1ère A'!$B29="","",IF('Classe 1ère A'!Q29="","",'Classe 1ère A'!Q29))</f>
        <v/>
      </c>
      <c r="R1069" s="18" t="str">
        <f>IF('Classe 1ère A'!$B29="","",N('Classe 1ère A'!N29))</f>
        <v/>
      </c>
      <c r="S1069" s="18" t="str">
        <f>IF('Classe 1ère A'!$B29="","",N('Classe 1ère A'!O29))</f>
        <v/>
      </c>
      <c r="T1069" s="18" t="str">
        <f>IF('Classe 1ère A'!$B29="","",N('Classe 1ère A'!P29))</f>
        <v/>
      </c>
    </row>
    <row r="1070">
      <c r="A1070" s="20" t="str">
        <f>IF('Classe 1ère A'!$B30="","",IF('Classe 1ère A'!A30="","",'Classe 1ère A'!A30))</f>
        <v/>
      </c>
      <c r="B1070" s="20" t="str">
        <f>IF('Classe 1ère A'!$B30="","",IF('Classe 1ère A'!B30="","",'Classe 1ère A'!B30))</f>
        <v/>
      </c>
      <c r="C1070" s="20" t="str">
        <f>IF('Classe 1ère A'!$B30="","",IF('Classe 1ère A'!C30="","",'Classe 1ère A'!C30))</f>
        <v/>
      </c>
      <c r="D1070" s="20" t="str">
        <f>IF($B1070="","",C1070&amp;" "&amp;B1070&amp;" - "&amp;E1070)</f>
        <v/>
      </c>
      <c r="E1070" s="21" t="str">
        <f>IF($B1070="","",Paramètres!$A$28)</f>
        <v/>
      </c>
      <c r="F1070" s="21" t="str">
        <f>IF($B1070="","",Paramètres!$B$28)</f>
        <v/>
      </c>
      <c r="G1070" s="21" t="str">
        <f>IF('Classe 1ère A'!$B30="","",IF('Classe 1ère A'!D30="","",'Classe 1ère A'!D30))</f>
        <v/>
      </c>
      <c r="H1070" s="77" t="str">
        <f>IF('Classe 1ère A'!$B30="","",IF('Classe 1ère A'!E30="","",'Classe 1ère A'!E30))</f>
        <v/>
      </c>
      <c r="I1070" s="20" t="str">
        <f>IF('Classe 1ère A'!$B30="","",IF('Classe 1ère A'!F30="","",'Classe 1ère A'!F30))</f>
        <v/>
      </c>
      <c r="J1070" s="20" t="str">
        <f>IF('Classe 1ère A'!$B30="","",IF('Classe 1ère A'!G30="","",'Classe 1ère A'!G30))</f>
        <v/>
      </c>
      <c r="K1070" s="51" t="str">
        <f>IF('Classe 1ère A'!$B30="","",N('Classe 1ère A'!H30))</f>
        <v/>
      </c>
      <c r="L1070" s="51" t="str">
        <f>IF('Classe 1ère A'!$B30="","",N('Classe 1ère A'!I30))</f>
        <v/>
      </c>
      <c r="M1070" s="51" t="str">
        <f>IF('Classe 1ère A'!$B30="","",N('Classe 1ère A'!J30))</f>
        <v/>
      </c>
      <c r="N1070" s="51" t="str">
        <f>IF('Classe 1ère A'!$B30="","",N('Classe 1ère A'!K30))</f>
        <v/>
      </c>
      <c r="O1070" s="51" t="str">
        <f>IF('Classe 1ère A'!$B30="","",N('Classe 1ère A'!L30))</f>
        <v/>
      </c>
      <c r="P1070" s="51" t="str">
        <f>IF('Classe 1ère A'!$B30="","",N('Classe 1ère A'!M30))</f>
        <v/>
      </c>
      <c r="Q1070" s="21" t="str">
        <f>IF('Classe 1ère A'!$B30="","",IF('Classe 1ère A'!Q30="","",'Classe 1ère A'!Q30))</f>
        <v/>
      </c>
      <c r="R1070" s="51" t="str">
        <f>IF('Classe 1ère A'!$B30="","",N('Classe 1ère A'!N30))</f>
        <v/>
      </c>
      <c r="S1070" s="51" t="str">
        <f>IF('Classe 1ère A'!$B30="","",N('Classe 1ère A'!O30))</f>
        <v/>
      </c>
      <c r="T1070" s="51" t="str">
        <f>IF('Classe 1ère A'!$B30="","",N('Classe 1ère A'!P30))</f>
        <v/>
      </c>
    </row>
    <row r="1071">
      <c r="A1071" s="16" t="str">
        <f>IF('Classe 1ère A'!$B31="","",IF('Classe 1ère A'!A31="","",'Classe 1ère A'!A31))</f>
        <v/>
      </c>
      <c r="B1071" s="16" t="str">
        <f>IF('Classe 1ère A'!$B31="","",IF('Classe 1ère A'!B31="","",'Classe 1ère A'!B31))</f>
        <v/>
      </c>
      <c r="C1071" s="16" t="str">
        <f>IF('Classe 1ère A'!$B31="","",IF('Classe 1ère A'!C31="","",'Classe 1ère A'!C31))</f>
        <v/>
      </c>
      <c r="D1071" s="16" t="str">
        <f>IF($B1071="","",C1071&amp;" "&amp;B1071&amp;" - "&amp;E1071)</f>
        <v/>
      </c>
      <c r="E1071" s="17" t="str">
        <f>IF($B1071="","",Paramètres!$A$28)</f>
        <v/>
      </c>
      <c r="F1071" s="17" t="str">
        <f>IF($B1071="","",Paramètres!$B$28)</f>
        <v/>
      </c>
      <c r="G1071" s="17" t="str">
        <f>IF('Classe 1ère A'!$B31="","",IF('Classe 1ère A'!D31="","",'Classe 1ère A'!D31))</f>
        <v/>
      </c>
      <c r="H1071" s="78" t="str">
        <f>IF('Classe 1ère A'!$B31="","",IF('Classe 1ère A'!E31="","",'Classe 1ère A'!E31))</f>
        <v/>
      </c>
      <c r="I1071" s="16" t="str">
        <f>IF('Classe 1ère A'!$B31="","",IF('Classe 1ère A'!F31="","",'Classe 1ère A'!F31))</f>
        <v/>
      </c>
      <c r="J1071" s="16" t="str">
        <f>IF('Classe 1ère A'!$B31="","",IF('Classe 1ère A'!G31="","",'Classe 1ère A'!G31))</f>
        <v/>
      </c>
      <c r="K1071" s="18" t="str">
        <f>IF('Classe 1ère A'!$B31="","",N('Classe 1ère A'!H31))</f>
        <v/>
      </c>
      <c r="L1071" s="18" t="str">
        <f>IF('Classe 1ère A'!$B31="","",N('Classe 1ère A'!I31))</f>
        <v/>
      </c>
      <c r="M1071" s="18" t="str">
        <f>IF('Classe 1ère A'!$B31="","",N('Classe 1ère A'!J31))</f>
        <v/>
      </c>
      <c r="N1071" s="18" t="str">
        <f>IF('Classe 1ère A'!$B31="","",N('Classe 1ère A'!K31))</f>
        <v/>
      </c>
      <c r="O1071" s="18" t="str">
        <f>IF('Classe 1ère A'!$B31="","",N('Classe 1ère A'!L31))</f>
        <v/>
      </c>
      <c r="P1071" s="18" t="str">
        <f>IF('Classe 1ère A'!$B31="","",N('Classe 1ère A'!M31))</f>
        <v/>
      </c>
      <c r="Q1071" s="17" t="str">
        <f>IF('Classe 1ère A'!$B31="","",IF('Classe 1ère A'!Q31="","",'Classe 1ère A'!Q31))</f>
        <v/>
      </c>
      <c r="R1071" s="18" t="str">
        <f>IF('Classe 1ère A'!$B31="","",N('Classe 1ère A'!N31))</f>
        <v/>
      </c>
      <c r="S1071" s="18" t="str">
        <f>IF('Classe 1ère A'!$B31="","",N('Classe 1ère A'!O31))</f>
        <v/>
      </c>
      <c r="T1071" s="18" t="str">
        <f>IF('Classe 1ère A'!$B31="","",N('Classe 1ère A'!P31))</f>
        <v/>
      </c>
    </row>
    <row r="1072">
      <c r="A1072" s="20" t="str">
        <f>IF('Classe 1ère A'!$B32="","",IF('Classe 1ère A'!A32="","",'Classe 1ère A'!A32))</f>
        <v/>
      </c>
      <c r="B1072" s="20" t="str">
        <f>IF('Classe 1ère A'!$B32="","",IF('Classe 1ère A'!B32="","",'Classe 1ère A'!B32))</f>
        <v/>
      </c>
      <c r="C1072" s="20" t="str">
        <f>IF('Classe 1ère A'!$B32="","",IF('Classe 1ère A'!C32="","",'Classe 1ère A'!C32))</f>
        <v/>
      </c>
      <c r="D1072" s="20" t="str">
        <f>IF($B1072="","",C1072&amp;" "&amp;B1072&amp;" - "&amp;E1072)</f>
        <v/>
      </c>
      <c r="E1072" s="21" t="str">
        <f>IF($B1072="","",Paramètres!$A$28)</f>
        <v/>
      </c>
      <c r="F1072" s="21" t="str">
        <f>IF($B1072="","",Paramètres!$B$28)</f>
        <v/>
      </c>
      <c r="G1072" s="21" t="str">
        <f>IF('Classe 1ère A'!$B32="","",IF('Classe 1ère A'!D32="","",'Classe 1ère A'!D32))</f>
        <v/>
      </c>
      <c r="H1072" s="77" t="str">
        <f>IF('Classe 1ère A'!$B32="","",IF('Classe 1ère A'!E32="","",'Classe 1ère A'!E32))</f>
        <v/>
      </c>
      <c r="I1072" s="20" t="str">
        <f>IF('Classe 1ère A'!$B32="","",IF('Classe 1ère A'!F32="","",'Classe 1ère A'!F32))</f>
        <v/>
      </c>
      <c r="J1072" s="20" t="str">
        <f>IF('Classe 1ère A'!$B32="","",IF('Classe 1ère A'!G32="","",'Classe 1ère A'!G32))</f>
        <v/>
      </c>
      <c r="K1072" s="51" t="str">
        <f>IF('Classe 1ère A'!$B32="","",N('Classe 1ère A'!H32))</f>
        <v/>
      </c>
      <c r="L1072" s="51" t="str">
        <f>IF('Classe 1ère A'!$B32="","",N('Classe 1ère A'!I32))</f>
        <v/>
      </c>
      <c r="M1072" s="51" t="str">
        <f>IF('Classe 1ère A'!$B32="","",N('Classe 1ère A'!J32))</f>
        <v/>
      </c>
      <c r="N1072" s="51" t="str">
        <f>IF('Classe 1ère A'!$B32="","",N('Classe 1ère A'!K32))</f>
        <v/>
      </c>
      <c r="O1072" s="51" t="str">
        <f>IF('Classe 1ère A'!$B32="","",N('Classe 1ère A'!L32))</f>
        <v/>
      </c>
      <c r="P1072" s="51" t="str">
        <f>IF('Classe 1ère A'!$B32="","",N('Classe 1ère A'!M32))</f>
        <v/>
      </c>
      <c r="Q1072" s="21" t="str">
        <f>IF('Classe 1ère A'!$B32="","",IF('Classe 1ère A'!Q32="","",'Classe 1ère A'!Q32))</f>
        <v/>
      </c>
      <c r="R1072" s="51" t="str">
        <f>IF('Classe 1ère A'!$B32="","",N('Classe 1ère A'!N32))</f>
        <v/>
      </c>
      <c r="S1072" s="51" t="str">
        <f>IF('Classe 1ère A'!$B32="","",N('Classe 1ère A'!O32))</f>
        <v/>
      </c>
      <c r="T1072" s="51" t="str">
        <f>IF('Classe 1ère A'!$B32="","",N('Classe 1ère A'!P32))</f>
        <v/>
      </c>
    </row>
    <row r="1073">
      <c r="A1073" s="16" t="str">
        <f>IF('Classe 1ère A'!$B33="","",IF('Classe 1ère A'!A33="","",'Classe 1ère A'!A33))</f>
        <v/>
      </c>
      <c r="B1073" s="16" t="str">
        <f>IF('Classe 1ère A'!$B33="","",IF('Classe 1ère A'!B33="","",'Classe 1ère A'!B33))</f>
        <v/>
      </c>
      <c r="C1073" s="16" t="str">
        <f>IF('Classe 1ère A'!$B33="","",IF('Classe 1ère A'!C33="","",'Classe 1ère A'!C33))</f>
        <v/>
      </c>
      <c r="D1073" s="16" t="str">
        <f>IF($B1073="","",C1073&amp;" "&amp;B1073&amp;" - "&amp;E1073)</f>
        <v/>
      </c>
      <c r="E1073" s="17" t="str">
        <f>IF($B1073="","",Paramètres!$A$28)</f>
        <v/>
      </c>
      <c r="F1073" s="17" t="str">
        <f>IF($B1073="","",Paramètres!$B$28)</f>
        <v/>
      </c>
      <c r="G1073" s="17" t="str">
        <f>IF('Classe 1ère A'!$B33="","",IF('Classe 1ère A'!D33="","",'Classe 1ère A'!D33))</f>
        <v/>
      </c>
      <c r="H1073" s="78" t="str">
        <f>IF('Classe 1ère A'!$B33="","",IF('Classe 1ère A'!E33="","",'Classe 1ère A'!E33))</f>
        <v/>
      </c>
      <c r="I1073" s="16" t="str">
        <f>IF('Classe 1ère A'!$B33="","",IF('Classe 1ère A'!F33="","",'Classe 1ère A'!F33))</f>
        <v/>
      </c>
      <c r="J1073" s="16" t="str">
        <f>IF('Classe 1ère A'!$B33="","",IF('Classe 1ère A'!G33="","",'Classe 1ère A'!G33))</f>
        <v/>
      </c>
      <c r="K1073" s="18" t="str">
        <f>IF('Classe 1ère A'!$B33="","",N('Classe 1ère A'!H33))</f>
        <v/>
      </c>
      <c r="L1073" s="18" t="str">
        <f>IF('Classe 1ère A'!$B33="","",N('Classe 1ère A'!I33))</f>
        <v/>
      </c>
      <c r="M1073" s="18" t="str">
        <f>IF('Classe 1ère A'!$B33="","",N('Classe 1ère A'!J33))</f>
        <v/>
      </c>
      <c r="N1073" s="18" t="str">
        <f>IF('Classe 1ère A'!$B33="","",N('Classe 1ère A'!K33))</f>
        <v/>
      </c>
      <c r="O1073" s="18" t="str">
        <f>IF('Classe 1ère A'!$B33="","",N('Classe 1ère A'!L33))</f>
        <v/>
      </c>
      <c r="P1073" s="18" t="str">
        <f>IF('Classe 1ère A'!$B33="","",N('Classe 1ère A'!M33))</f>
        <v/>
      </c>
      <c r="Q1073" s="17" t="str">
        <f>IF('Classe 1ère A'!$B33="","",IF('Classe 1ère A'!Q33="","",'Classe 1ère A'!Q33))</f>
        <v/>
      </c>
      <c r="R1073" s="18" t="str">
        <f>IF('Classe 1ère A'!$B33="","",N('Classe 1ère A'!N33))</f>
        <v/>
      </c>
      <c r="S1073" s="18" t="str">
        <f>IF('Classe 1ère A'!$B33="","",N('Classe 1ère A'!O33))</f>
        <v/>
      </c>
      <c r="T1073" s="18" t="str">
        <f>IF('Classe 1ère A'!$B33="","",N('Classe 1ère A'!P33))</f>
        <v/>
      </c>
    </row>
    <row r="1074">
      <c r="A1074" s="20" t="str">
        <f>IF('Classe 1ère A'!$B34="","",IF('Classe 1ère A'!A34="","",'Classe 1ère A'!A34))</f>
        <v/>
      </c>
      <c r="B1074" s="20" t="str">
        <f>IF('Classe 1ère A'!$B34="","",IF('Classe 1ère A'!B34="","",'Classe 1ère A'!B34))</f>
        <v/>
      </c>
      <c r="C1074" s="20" t="str">
        <f>IF('Classe 1ère A'!$B34="","",IF('Classe 1ère A'!C34="","",'Classe 1ère A'!C34))</f>
        <v/>
      </c>
      <c r="D1074" s="20" t="str">
        <f>IF($B1074="","",C1074&amp;" "&amp;B1074&amp;" - "&amp;E1074)</f>
        <v/>
      </c>
      <c r="E1074" s="21" t="str">
        <f>IF($B1074="","",Paramètres!$A$28)</f>
        <v/>
      </c>
      <c r="F1074" s="21" t="str">
        <f>IF($B1074="","",Paramètres!$B$28)</f>
        <v/>
      </c>
      <c r="G1074" s="21" t="str">
        <f>IF('Classe 1ère A'!$B34="","",IF('Classe 1ère A'!D34="","",'Classe 1ère A'!D34))</f>
        <v/>
      </c>
      <c r="H1074" s="77" t="str">
        <f>IF('Classe 1ère A'!$B34="","",IF('Classe 1ère A'!E34="","",'Classe 1ère A'!E34))</f>
        <v/>
      </c>
      <c r="I1074" s="20" t="str">
        <f>IF('Classe 1ère A'!$B34="","",IF('Classe 1ère A'!F34="","",'Classe 1ère A'!F34))</f>
        <v/>
      </c>
      <c r="J1074" s="20" t="str">
        <f>IF('Classe 1ère A'!$B34="","",IF('Classe 1ère A'!G34="","",'Classe 1ère A'!G34))</f>
        <v/>
      </c>
      <c r="K1074" s="51" t="str">
        <f>IF('Classe 1ère A'!$B34="","",N('Classe 1ère A'!H34))</f>
        <v/>
      </c>
      <c r="L1074" s="51" t="str">
        <f>IF('Classe 1ère A'!$B34="","",N('Classe 1ère A'!I34))</f>
        <v/>
      </c>
      <c r="M1074" s="51" t="str">
        <f>IF('Classe 1ère A'!$B34="","",N('Classe 1ère A'!J34))</f>
        <v/>
      </c>
      <c r="N1074" s="51" t="str">
        <f>IF('Classe 1ère A'!$B34="","",N('Classe 1ère A'!K34))</f>
        <v/>
      </c>
      <c r="O1074" s="51" t="str">
        <f>IF('Classe 1ère A'!$B34="","",N('Classe 1ère A'!L34))</f>
        <v/>
      </c>
      <c r="P1074" s="51" t="str">
        <f>IF('Classe 1ère A'!$B34="","",N('Classe 1ère A'!M34))</f>
        <v/>
      </c>
      <c r="Q1074" s="21" t="str">
        <f>IF('Classe 1ère A'!$B34="","",IF('Classe 1ère A'!Q34="","",'Classe 1ère A'!Q34))</f>
        <v/>
      </c>
      <c r="R1074" s="51" t="str">
        <f>IF('Classe 1ère A'!$B34="","",N('Classe 1ère A'!N34))</f>
        <v/>
      </c>
      <c r="S1074" s="51" t="str">
        <f>IF('Classe 1ère A'!$B34="","",N('Classe 1ère A'!O34))</f>
        <v/>
      </c>
      <c r="T1074" s="51" t="str">
        <f>IF('Classe 1ère A'!$B34="","",N('Classe 1ère A'!P34))</f>
        <v/>
      </c>
    </row>
    <row r="1075">
      <c r="A1075" s="16" t="str">
        <f>IF('Classe 1ère A'!$B35="","",IF('Classe 1ère A'!A35="","",'Classe 1ère A'!A35))</f>
        <v/>
      </c>
      <c r="B1075" s="16" t="str">
        <f>IF('Classe 1ère A'!$B35="","",IF('Classe 1ère A'!B35="","",'Classe 1ère A'!B35))</f>
        <v/>
      </c>
      <c r="C1075" s="16" t="str">
        <f>IF('Classe 1ère A'!$B35="","",IF('Classe 1ère A'!C35="","",'Classe 1ère A'!C35))</f>
        <v/>
      </c>
      <c r="D1075" s="16" t="str">
        <f>IF($B1075="","",C1075&amp;" "&amp;B1075&amp;" - "&amp;E1075)</f>
        <v/>
      </c>
      <c r="E1075" s="17" t="str">
        <f>IF($B1075="","",Paramètres!$A$28)</f>
        <v/>
      </c>
      <c r="F1075" s="17" t="str">
        <f>IF($B1075="","",Paramètres!$B$28)</f>
        <v/>
      </c>
      <c r="G1075" s="17" t="str">
        <f>IF('Classe 1ère A'!$B35="","",IF('Classe 1ère A'!D35="","",'Classe 1ère A'!D35))</f>
        <v/>
      </c>
      <c r="H1075" s="78" t="str">
        <f>IF('Classe 1ère A'!$B35="","",IF('Classe 1ère A'!E35="","",'Classe 1ère A'!E35))</f>
        <v/>
      </c>
      <c r="I1075" s="16" t="str">
        <f>IF('Classe 1ère A'!$B35="","",IF('Classe 1ère A'!F35="","",'Classe 1ère A'!F35))</f>
        <v/>
      </c>
      <c r="J1075" s="16" t="str">
        <f>IF('Classe 1ère A'!$B35="","",IF('Classe 1ère A'!G35="","",'Classe 1ère A'!G35))</f>
        <v/>
      </c>
      <c r="K1075" s="18" t="str">
        <f>IF('Classe 1ère A'!$B35="","",N('Classe 1ère A'!H35))</f>
        <v/>
      </c>
      <c r="L1075" s="18" t="str">
        <f>IF('Classe 1ère A'!$B35="","",N('Classe 1ère A'!I35))</f>
        <v/>
      </c>
      <c r="M1075" s="18" t="str">
        <f>IF('Classe 1ère A'!$B35="","",N('Classe 1ère A'!J35))</f>
        <v/>
      </c>
      <c r="N1075" s="18" t="str">
        <f>IF('Classe 1ère A'!$B35="","",N('Classe 1ère A'!K35))</f>
        <v/>
      </c>
      <c r="O1075" s="18" t="str">
        <f>IF('Classe 1ère A'!$B35="","",N('Classe 1ère A'!L35))</f>
        <v/>
      </c>
      <c r="P1075" s="18" t="str">
        <f>IF('Classe 1ère A'!$B35="","",N('Classe 1ère A'!M35))</f>
        <v/>
      </c>
      <c r="Q1075" s="17" t="str">
        <f>IF('Classe 1ère A'!$B35="","",IF('Classe 1ère A'!Q35="","",'Classe 1ère A'!Q35))</f>
        <v/>
      </c>
      <c r="R1075" s="18" t="str">
        <f>IF('Classe 1ère A'!$B35="","",N('Classe 1ère A'!N35))</f>
        <v/>
      </c>
      <c r="S1075" s="18" t="str">
        <f>IF('Classe 1ère A'!$B35="","",N('Classe 1ère A'!O35))</f>
        <v/>
      </c>
      <c r="T1075" s="18" t="str">
        <f>IF('Classe 1ère A'!$B35="","",N('Classe 1ère A'!P35))</f>
        <v/>
      </c>
    </row>
    <row r="1076">
      <c r="A1076" s="20" t="str">
        <f>IF('Classe 1ère A'!$B36="","",IF('Classe 1ère A'!A36="","",'Classe 1ère A'!A36))</f>
        <v/>
      </c>
      <c r="B1076" s="20" t="str">
        <f>IF('Classe 1ère A'!$B36="","",IF('Classe 1ère A'!B36="","",'Classe 1ère A'!B36))</f>
        <v/>
      </c>
      <c r="C1076" s="20" t="str">
        <f>IF('Classe 1ère A'!$B36="","",IF('Classe 1ère A'!C36="","",'Classe 1ère A'!C36))</f>
        <v/>
      </c>
      <c r="D1076" s="20" t="str">
        <f>IF($B1076="","",C1076&amp;" "&amp;B1076&amp;" - "&amp;E1076)</f>
        <v/>
      </c>
      <c r="E1076" s="21" t="str">
        <f>IF($B1076="","",Paramètres!$A$28)</f>
        <v/>
      </c>
      <c r="F1076" s="21" t="str">
        <f>IF($B1076="","",Paramètres!$B$28)</f>
        <v/>
      </c>
      <c r="G1076" s="21" t="str">
        <f>IF('Classe 1ère A'!$B36="","",IF('Classe 1ère A'!D36="","",'Classe 1ère A'!D36))</f>
        <v/>
      </c>
      <c r="H1076" s="77" t="str">
        <f>IF('Classe 1ère A'!$B36="","",IF('Classe 1ère A'!E36="","",'Classe 1ère A'!E36))</f>
        <v/>
      </c>
      <c r="I1076" s="20" t="str">
        <f>IF('Classe 1ère A'!$B36="","",IF('Classe 1ère A'!F36="","",'Classe 1ère A'!F36))</f>
        <v/>
      </c>
      <c r="J1076" s="20" t="str">
        <f>IF('Classe 1ère A'!$B36="","",IF('Classe 1ère A'!G36="","",'Classe 1ère A'!G36))</f>
        <v/>
      </c>
      <c r="K1076" s="51" t="str">
        <f>IF('Classe 1ère A'!$B36="","",N('Classe 1ère A'!H36))</f>
        <v/>
      </c>
      <c r="L1076" s="51" t="str">
        <f>IF('Classe 1ère A'!$B36="","",N('Classe 1ère A'!I36))</f>
        <v/>
      </c>
      <c r="M1076" s="51" t="str">
        <f>IF('Classe 1ère A'!$B36="","",N('Classe 1ère A'!J36))</f>
        <v/>
      </c>
      <c r="N1076" s="51" t="str">
        <f>IF('Classe 1ère A'!$B36="","",N('Classe 1ère A'!K36))</f>
        <v/>
      </c>
      <c r="O1076" s="51" t="str">
        <f>IF('Classe 1ère A'!$B36="","",N('Classe 1ère A'!L36))</f>
        <v/>
      </c>
      <c r="P1076" s="51" t="str">
        <f>IF('Classe 1ère A'!$B36="","",N('Classe 1ère A'!M36))</f>
        <v/>
      </c>
      <c r="Q1076" s="21" t="str">
        <f>IF('Classe 1ère A'!$B36="","",IF('Classe 1ère A'!Q36="","",'Classe 1ère A'!Q36))</f>
        <v/>
      </c>
      <c r="R1076" s="51" t="str">
        <f>IF('Classe 1ère A'!$B36="","",N('Classe 1ère A'!N36))</f>
        <v/>
      </c>
      <c r="S1076" s="51" t="str">
        <f>IF('Classe 1ère A'!$B36="","",N('Classe 1ère A'!O36))</f>
        <v/>
      </c>
      <c r="T1076" s="51" t="str">
        <f>IF('Classe 1ère A'!$B36="","",N('Classe 1ère A'!P36))</f>
        <v/>
      </c>
    </row>
    <row r="1077">
      <c r="A1077" s="16" t="str">
        <f>IF('Classe 1ère A'!$B37="","",IF('Classe 1ère A'!A37="","",'Classe 1ère A'!A37))</f>
        <v/>
      </c>
      <c r="B1077" s="16" t="str">
        <f>IF('Classe 1ère A'!$B37="","",IF('Classe 1ère A'!B37="","",'Classe 1ère A'!B37))</f>
        <v/>
      </c>
      <c r="C1077" s="16" t="str">
        <f>IF('Classe 1ère A'!$B37="","",IF('Classe 1ère A'!C37="","",'Classe 1ère A'!C37))</f>
        <v/>
      </c>
      <c r="D1077" s="16" t="str">
        <f>IF($B1077="","",C1077&amp;" "&amp;B1077&amp;" - "&amp;E1077)</f>
        <v/>
      </c>
      <c r="E1077" s="17" t="str">
        <f>IF($B1077="","",Paramètres!$A$28)</f>
        <v/>
      </c>
      <c r="F1077" s="17" t="str">
        <f>IF($B1077="","",Paramètres!$B$28)</f>
        <v/>
      </c>
      <c r="G1077" s="17" t="str">
        <f>IF('Classe 1ère A'!$B37="","",IF('Classe 1ère A'!D37="","",'Classe 1ère A'!D37))</f>
        <v/>
      </c>
      <c r="H1077" s="78" t="str">
        <f>IF('Classe 1ère A'!$B37="","",IF('Classe 1ère A'!E37="","",'Classe 1ère A'!E37))</f>
        <v/>
      </c>
      <c r="I1077" s="16" t="str">
        <f>IF('Classe 1ère A'!$B37="","",IF('Classe 1ère A'!F37="","",'Classe 1ère A'!F37))</f>
        <v/>
      </c>
      <c r="J1077" s="16" t="str">
        <f>IF('Classe 1ère A'!$B37="","",IF('Classe 1ère A'!G37="","",'Classe 1ère A'!G37))</f>
        <v/>
      </c>
      <c r="K1077" s="18" t="str">
        <f>IF('Classe 1ère A'!$B37="","",N('Classe 1ère A'!H37))</f>
        <v/>
      </c>
      <c r="L1077" s="18" t="str">
        <f>IF('Classe 1ère A'!$B37="","",N('Classe 1ère A'!I37))</f>
        <v/>
      </c>
      <c r="M1077" s="18" t="str">
        <f>IF('Classe 1ère A'!$B37="","",N('Classe 1ère A'!J37))</f>
        <v/>
      </c>
      <c r="N1077" s="18" t="str">
        <f>IF('Classe 1ère A'!$B37="","",N('Classe 1ère A'!K37))</f>
        <v/>
      </c>
      <c r="O1077" s="18" t="str">
        <f>IF('Classe 1ère A'!$B37="","",N('Classe 1ère A'!L37))</f>
        <v/>
      </c>
      <c r="P1077" s="18" t="str">
        <f>IF('Classe 1ère A'!$B37="","",N('Classe 1ère A'!M37))</f>
        <v/>
      </c>
      <c r="Q1077" s="17" t="str">
        <f>IF('Classe 1ère A'!$B37="","",IF('Classe 1ère A'!Q37="","",'Classe 1ère A'!Q37))</f>
        <v/>
      </c>
      <c r="R1077" s="18" t="str">
        <f>IF('Classe 1ère A'!$B37="","",N('Classe 1ère A'!N37))</f>
        <v/>
      </c>
      <c r="S1077" s="18" t="str">
        <f>IF('Classe 1ère A'!$B37="","",N('Classe 1ère A'!O37))</f>
        <v/>
      </c>
      <c r="T1077" s="18" t="str">
        <f>IF('Classe 1ère A'!$B37="","",N('Classe 1ère A'!P37))</f>
        <v/>
      </c>
    </row>
    <row r="1078">
      <c r="A1078" s="20" t="str">
        <f>IF('Classe 1ère A'!$B38="","",IF('Classe 1ère A'!A38="","",'Classe 1ère A'!A38))</f>
        <v/>
      </c>
      <c r="B1078" s="20" t="str">
        <f>IF('Classe 1ère A'!$B38="","",IF('Classe 1ère A'!B38="","",'Classe 1ère A'!B38))</f>
        <v/>
      </c>
      <c r="C1078" s="20" t="str">
        <f>IF('Classe 1ère A'!$B38="","",IF('Classe 1ère A'!C38="","",'Classe 1ère A'!C38))</f>
        <v/>
      </c>
      <c r="D1078" s="20" t="str">
        <f>IF($B1078="","",C1078&amp;" "&amp;B1078&amp;" - "&amp;E1078)</f>
        <v/>
      </c>
      <c r="E1078" s="21" t="str">
        <f>IF($B1078="","",Paramètres!$A$28)</f>
        <v/>
      </c>
      <c r="F1078" s="21" t="str">
        <f>IF($B1078="","",Paramètres!$B$28)</f>
        <v/>
      </c>
      <c r="G1078" s="21" t="str">
        <f>IF('Classe 1ère A'!$B38="","",IF('Classe 1ère A'!D38="","",'Classe 1ère A'!D38))</f>
        <v/>
      </c>
      <c r="H1078" s="77" t="str">
        <f>IF('Classe 1ère A'!$B38="","",IF('Classe 1ère A'!E38="","",'Classe 1ère A'!E38))</f>
        <v/>
      </c>
      <c r="I1078" s="20" t="str">
        <f>IF('Classe 1ère A'!$B38="","",IF('Classe 1ère A'!F38="","",'Classe 1ère A'!F38))</f>
        <v/>
      </c>
      <c r="J1078" s="20" t="str">
        <f>IF('Classe 1ère A'!$B38="","",IF('Classe 1ère A'!G38="","",'Classe 1ère A'!G38))</f>
        <v/>
      </c>
      <c r="K1078" s="51" t="str">
        <f>IF('Classe 1ère A'!$B38="","",N('Classe 1ère A'!H38))</f>
        <v/>
      </c>
      <c r="L1078" s="51" t="str">
        <f>IF('Classe 1ère A'!$B38="","",N('Classe 1ère A'!I38))</f>
        <v/>
      </c>
      <c r="M1078" s="51" t="str">
        <f>IF('Classe 1ère A'!$B38="","",N('Classe 1ère A'!J38))</f>
        <v/>
      </c>
      <c r="N1078" s="51" t="str">
        <f>IF('Classe 1ère A'!$B38="","",N('Classe 1ère A'!K38))</f>
        <v/>
      </c>
      <c r="O1078" s="51" t="str">
        <f>IF('Classe 1ère A'!$B38="","",N('Classe 1ère A'!L38))</f>
        <v/>
      </c>
      <c r="P1078" s="51" t="str">
        <f>IF('Classe 1ère A'!$B38="","",N('Classe 1ère A'!M38))</f>
        <v/>
      </c>
      <c r="Q1078" s="21" t="str">
        <f>IF('Classe 1ère A'!$B38="","",IF('Classe 1ère A'!Q38="","",'Classe 1ère A'!Q38))</f>
        <v/>
      </c>
      <c r="R1078" s="51" t="str">
        <f>IF('Classe 1ère A'!$B38="","",N('Classe 1ère A'!N38))</f>
        <v/>
      </c>
      <c r="S1078" s="51" t="str">
        <f>IF('Classe 1ère A'!$B38="","",N('Classe 1ère A'!O38))</f>
        <v/>
      </c>
      <c r="T1078" s="51" t="str">
        <f>IF('Classe 1ère A'!$B38="","",N('Classe 1ère A'!P38))</f>
        <v/>
      </c>
    </row>
    <row r="1079">
      <c r="A1079" s="16" t="str">
        <f>IF('Classe 1ère A'!$B39="","",IF('Classe 1ère A'!A39="","",'Classe 1ère A'!A39))</f>
        <v/>
      </c>
      <c r="B1079" s="16" t="str">
        <f>IF('Classe 1ère A'!$B39="","",IF('Classe 1ère A'!B39="","",'Classe 1ère A'!B39))</f>
        <v/>
      </c>
      <c r="C1079" s="16" t="str">
        <f>IF('Classe 1ère A'!$B39="","",IF('Classe 1ère A'!C39="","",'Classe 1ère A'!C39))</f>
        <v/>
      </c>
      <c r="D1079" s="16" t="str">
        <f>IF($B1079="","",C1079&amp;" "&amp;B1079&amp;" - "&amp;E1079)</f>
        <v/>
      </c>
      <c r="E1079" s="17" t="str">
        <f>IF($B1079="","",Paramètres!$A$28)</f>
        <v/>
      </c>
      <c r="F1079" s="17" t="str">
        <f>IF($B1079="","",Paramètres!$B$28)</f>
        <v/>
      </c>
      <c r="G1079" s="17" t="str">
        <f>IF('Classe 1ère A'!$B39="","",IF('Classe 1ère A'!D39="","",'Classe 1ère A'!D39))</f>
        <v/>
      </c>
      <c r="H1079" s="78" t="str">
        <f>IF('Classe 1ère A'!$B39="","",IF('Classe 1ère A'!E39="","",'Classe 1ère A'!E39))</f>
        <v/>
      </c>
      <c r="I1079" s="16" t="str">
        <f>IF('Classe 1ère A'!$B39="","",IF('Classe 1ère A'!F39="","",'Classe 1ère A'!F39))</f>
        <v/>
      </c>
      <c r="J1079" s="16" t="str">
        <f>IF('Classe 1ère A'!$B39="","",IF('Classe 1ère A'!G39="","",'Classe 1ère A'!G39))</f>
        <v/>
      </c>
      <c r="K1079" s="18" t="str">
        <f>IF('Classe 1ère A'!$B39="","",N('Classe 1ère A'!H39))</f>
        <v/>
      </c>
      <c r="L1079" s="18" t="str">
        <f>IF('Classe 1ère A'!$B39="","",N('Classe 1ère A'!I39))</f>
        <v/>
      </c>
      <c r="M1079" s="18" t="str">
        <f>IF('Classe 1ère A'!$B39="","",N('Classe 1ère A'!J39))</f>
        <v/>
      </c>
      <c r="N1079" s="18" t="str">
        <f>IF('Classe 1ère A'!$B39="","",N('Classe 1ère A'!K39))</f>
        <v/>
      </c>
      <c r="O1079" s="18" t="str">
        <f>IF('Classe 1ère A'!$B39="","",N('Classe 1ère A'!L39))</f>
        <v/>
      </c>
      <c r="P1079" s="18" t="str">
        <f>IF('Classe 1ère A'!$B39="","",N('Classe 1ère A'!M39))</f>
        <v/>
      </c>
      <c r="Q1079" s="17" t="str">
        <f>IF('Classe 1ère A'!$B39="","",IF('Classe 1ère A'!Q39="","",'Classe 1ère A'!Q39))</f>
        <v/>
      </c>
      <c r="R1079" s="18" t="str">
        <f>IF('Classe 1ère A'!$B39="","",N('Classe 1ère A'!N39))</f>
        <v/>
      </c>
      <c r="S1079" s="18" t="str">
        <f>IF('Classe 1ère A'!$B39="","",N('Classe 1ère A'!O39))</f>
        <v/>
      </c>
      <c r="T1079" s="18" t="str">
        <f>IF('Classe 1ère A'!$B39="","",N('Classe 1ère A'!P39))</f>
        <v/>
      </c>
    </row>
    <row r="1080">
      <c r="A1080" s="20" t="str">
        <f>IF('Classe 1ère A'!$B40="","",IF('Classe 1ère A'!A40="","",'Classe 1ère A'!A40))</f>
        <v/>
      </c>
      <c r="B1080" s="20" t="str">
        <f>IF('Classe 1ère A'!$B40="","",IF('Classe 1ère A'!B40="","",'Classe 1ère A'!B40))</f>
        <v/>
      </c>
      <c r="C1080" s="20" t="str">
        <f>IF('Classe 1ère A'!$B40="","",IF('Classe 1ère A'!C40="","",'Classe 1ère A'!C40))</f>
        <v/>
      </c>
      <c r="D1080" s="20" t="str">
        <f>IF($B1080="","",C1080&amp;" "&amp;B1080&amp;" - "&amp;E1080)</f>
        <v/>
      </c>
      <c r="E1080" s="21" t="str">
        <f>IF($B1080="","",Paramètres!$A$28)</f>
        <v/>
      </c>
      <c r="F1080" s="21" t="str">
        <f>IF($B1080="","",Paramètres!$B$28)</f>
        <v/>
      </c>
      <c r="G1080" s="21" t="str">
        <f>IF('Classe 1ère A'!$B40="","",IF('Classe 1ère A'!D40="","",'Classe 1ère A'!D40))</f>
        <v/>
      </c>
      <c r="H1080" s="77" t="str">
        <f>IF('Classe 1ère A'!$B40="","",IF('Classe 1ère A'!E40="","",'Classe 1ère A'!E40))</f>
        <v/>
      </c>
      <c r="I1080" s="20" t="str">
        <f>IF('Classe 1ère A'!$B40="","",IF('Classe 1ère A'!F40="","",'Classe 1ère A'!F40))</f>
        <v/>
      </c>
      <c r="J1080" s="20" t="str">
        <f>IF('Classe 1ère A'!$B40="","",IF('Classe 1ère A'!G40="","",'Classe 1ère A'!G40))</f>
        <v/>
      </c>
      <c r="K1080" s="51" t="str">
        <f>IF('Classe 1ère A'!$B40="","",N('Classe 1ère A'!H40))</f>
        <v/>
      </c>
      <c r="L1080" s="51" t="str">
        <f>IF('Classe 1ère A'!$B40="","",N('Classe 1ère A'!I40))</f>
        <v/>
      </c>
      <c r="M1080" s="51" t="str">
        <f>IF('Classe 1ère A'!$B40="","",N('Classe 1ère A'!J40))</f>
        <v/>
      </c>
      <c r="N1080" s="51" t="str">
        <f>IF('Classe 1ère A'!$B40="","",N('Classe 1ère A'!K40))</f>
        <v/>
      </c>
      <c r="O1080" s="51" t="str">
        <f>IF('Classe 1ère A'!$B40="","",N('Classe 1ère A'!L40))</f>
        <v/>
      </c>
      <c r="P1080" s="51" t="str">
        <f>IF('Classe 1ère A'!$B40="","",N('Classe 1ère A'!M40))</f>
        <v/>
      </c>
      <c r="Q1080" s="21" t="str">
        <f>IF('Classe 1ère A'!$B40="","",IF('Classe 1ère A'!Q40="","",'Classe 1ère A'!Q40))</f>
        <v/>
      </c>
      <c r="R1080" s="51" t="str">
        <f>IF('Classe 1ère A'!$B40="","",N('Classe 1ère A'!N40))</f>
        <v/>
      </c>
      <c r="S1080" s="51" t="str">
        <f>IF('Classe 1ère A'!$B40="","",N('Classe 1ère A'!O40))</f>
        <v/>
      </c>
      <c r="T1080" s="51" t="str">
        <f>IF('Classe 1ère A'!$B40="","",N('Classe 1ère A'!P40))</f>
        <v/>
      </c>
    </row>
    <row r="1081">
      <c r="A1081" s="16" t="str">
        <f>IF('Classe 1ère A'!$B41="","",IF('Classe 1ère A'!A41="","",'Classe 1ère A'!A41))</f>
        <v/>
      </c>
      <c r="B1081" s="16" t="str">
        <f>IF('Classe 1ère A'!$B41="","",IF('Classe 1ère A'!B41="","",'Classe 1ère A'!B41))</f>
        <v/>
      </c>
      <c r="C1081" s="16" t="str">
        <f>IF('Classe 1ère A'!$B41="","",IF('Classe 1ère A'!C41="","",'Classe 1ère A'!C41))</f>
        <v/>
      </c>
      <c r="D1081" s="16" t="str">
        <f>IF($B1081="","",C1081&amp;" "&amp;B1081&amp;" - "&amp;E1081)</f>
        <v/>
      </c>
      <c r="E1081" s="17" t="str">
        <f>IF($B1081="","",Paramètres!$A$28)</f>
        <v/>
      </c>
      <c r="F1081" s="17" t="str">
        <f>IF($B1081="","",Paramètres!$B$28)</f>
        <v/>
      </c>
      <c r="G1081" s="17" t="str">
        <f>IF('Classe 1ère A'!$B41="","",IF('Classe 1ère A'!D41="","",'Classe 1ère A'!D41))</f>
        <v/>
      </c>
      <c r="H1081" s="78" t="str">
        <f>IF('Classe 1ère A'!$B41="","",IF('Classe 1ère A'!E41="","",'Classe 1ère A'!E41))</f>
        <v/>
      </c>
      <c r="I1081" s="16" t="str">
        <f>IF('Classe 1ère A'!$B41="","",IF('Classe 1ère A'!F41="","",'Classe 1ère A'!F41))</f>
        <v/>
      </c>
      <c r="J1081" s="16" t="str">
        <f>IF('Classe 1ère A'!$B41="","",IF('Classe 1ère A'!G41="","",'Classe 1ère A'!G41))</f>
        <v/>
      </c>
      <c r="K1081" s="18" t="str">
        <f>IF('Classe 1ère A'!$B41="","",N('Classe 1ère A'!H41))</f>
        <v/>
      </c>
      <c r="L1081" s="18" t="str">
        <f>IF('Classe 1ère A'!$B41="","",N('Classe 1ère A'!I41))</f>
        <v/>
      </c>
      <c r="M1081" s="18" t="str">
        <f>IF('Classe 1ère A'!$B41="","",N('Classe 1ère A'!J41))</f>
        <v/>
      </c>
      <c r="N1081" s="18" t="str">
        <f>IF('Classe 1ère A'!$B41="","",N('Classe 1ère A'!K41))</f>
        <v/>
      </c>
      <c r="O1081" s="18" t="str">
        <f>IF('Classe 1ère A'!$B41="","",N('Classe 1ère A'!L41))</f>
        <v/>
      </c>
      <c r="P1081" s="18" t="str">
        <f>IF('Classe 1ère A'!$B41="","",N('Classe 1ère A'!M41))</f>
        <v/>
      </c>
      <c r="Q1081" s="17" t="str">
        <f>IF('Classe 1ère A'!$B41="","",IF('Classe 1ère A'!Q41="","",'Classe 1ère A'!Q41))</f>
        <v/>
      </c>
      <c r="R1081" s="18" t="str">
        <f>IF('Classe 1ère A'!$B41="","",N('Classe 1ère A'!N41))</f>
        <v/>
      </c>
      <c r="S1081" s="18" t="str">
        <f>IF('Classe 1ère A'!$B41="","",N('Classe 1ère A'!O41))</f>
        <v/>
      </c>
      <c r="T1081" s="18" t="str">
        <f>IF('Classe 1ère A'!$B41="","",N('Classe 1ère A'!P41))</f>
        <v/>
      </c>
    </row>
    <row r="1082">
      <c r="A1082" s="20" t="str">
        <f>IF('Classe 1ère A'!$B42="","",IF('Classe 1ère A'!A42="","",'Classe 1ère A'!A42))</f>
        <v/>
      </c>
      <c r="B1082" s="20" t="str">
        <f>IF('Classe 1ère A'!$B42="","",IF('Classe 1ère A'!B42="","",'Classe 1ère A'!B42))</f>
        <v/>
      </c>
      <c r="C1082" s="20" t="str">
        <f>IF('Classe 1ère A'!$B42="","",IF('Classe 1ère A'!C42="","",'Classe 1ère A'!C42))</f>
        <v/>
      </c>
      <c r="D1082" s="20" t="str">
        <f>IF($B1082="","",C1082&amp;" "&amp;B1082&amp;" - "&amp;E1082)</f>
        <v/>
      </c>
      <c r="E1082" s="21" t="str">
        <f>IF($B1082="","",Paramètres!$A$28)</f>
        <v/>
      </c>
      <c r="F1082" s="21" t="str">
        <f>IF($B1082="","",Paramètres!$B$28)</f>
        <v/>
      </c>
      <c r="G1082" s="21" t="str">
        <f>IF('Classe 1ère A'!$B42="","",IF('Classe 1ère A'!D42="","",'Classe 1ère A'!D42))</f>
        <v/>
      </c>
      <c r="H1082" s="77" t="str">
        <f>IF('Classe 1ère A'!$B42="","",IF('Classe 1ère A'!E42="","",'Classe 1ère A'!E42))</f>
        <v/>
      </c>
      <c r="I1082" s="20" t="str">
        <f>IF('Classe 1ère A'!$B42="","",IF('Classe 1ère A'!F42="","",'Classe 1ère A'!F42))</f>
        <v/>
      </c>
      <c r="J1082" s="20" t="str">
        <f>IF('Classe 1ère A'!$B42="","",IF('Classe 1ère A'!G42="","",'Classe 1ère A'!G42))</f>
        <v/>
      </c>
      <c r="K1082" s="51" t="str">
        <f>IF('Classe 1ère A'!$B42="","",N('Classe 1ère A'!H42))</f>
        <v/>
      </c>
      <c r="L1082" s="51" t="str">
        <f>IF('Classe 1ère A'!$B42="","",N('Classe 1ère A'!I42))</f>
        <v/>
      </c>
      <c r="M1082" s="51" t="str">
        <f>IF('Classe 1ère A'!$B42="","",N('Classe 1ère A'!J42))</f>
        <v/>
      </c>
      <c r="N1082" s="51" t="str">
        <f>IF('Classe 1ère A'!$B42="","",N('Classe 1ère A'!K42))</f>
        <v/>
      </c>
      <c r="O1082" s="51" t="str">
        <f>IF('Classe 1ère A'!$B42="","",N('Classe 1ère A'!L42))</f>
        <v/>
      </c>
      <c r="P1082" s="51" t="str">
        <f>IF('Classe 1ère A'!$B42="","",N('Classe 1ère A'!M42))</f>
        <v/>
      </c>
      <c r="Q1082" s="21" t="str">
        <f>IF('Classe 1ère A'!$B42="","",IF('Classe 1ère A'!Q42="","",'Classe 1ère A'!Q42))</f>
        <v/>
      </c>
      <c r="R1082" s="51" t="str">
        <f>IF('Classe 1ère A'!$B42="","",N('Classe 1ère A'!N42))</f>
        <v/>
      </c>
      <c r="S1082" s="51" t="str">
        <f>IF('Classe 1ère A'!$B42="","",N('Classe 1ère A'!O42))</f>
        <v/>
      </c>
      <c r="T1082" s="51" t="str">
        <f>IF('Classe 1ère A'!$B42="","",N('Classe 1ère A'!P42))</f>
        <v/>
      </c>
    </row>
    <row r="1083">
      <c r="A1083" s="16" t="str">
        <f>IF('Classe 1ère A'!$B43="","",IF('Classe 1ère A'!A43="","",'Classe 1ère A'!A43))</f>
        <v/>
      </c>
      <c r="B1083" s="16" t="str">
        <f>IF('Classe 1ère A'!$B43="","",IF('Classe 1ère A'!B43="","",'Classe 1ère A'!B43))</f>
        <v/>
      </c>
      <c r="C1083" s="16" t="str">
        <f>IF('Classe 1ère A'!$B43="","",IF('Classe 1ère A'!C43="","",'Classe 1ère A'!C43))</f>
        <v/>
      </c>
      <c r="D1083" s="16" t="str">
        <f>IF($B1083="","",C1083&amp;" "&amp;B1083&amp;" - "&amp;E1083)</f>
        <v/>
      </c>
      <c r="E1083" s="17" t="str">
        <f>IF($B1083="","",Paramètres!$A$28)</f>
        <v/>
      </c>
      <c r="F1083" s="17" t="str">
        <f>IF($B1083="","",Paramètres!$B$28)</f>
        <v/>
      </c>
      <c r="G1083" s="17" t="str">
        <f>IF('Classe 1ère A'!$B43="","",IF('Classe 1ère A'!D43="","",'Classe 1ère A'!D43))</f>
        <v/>
      </c>
      <c r="H1083" s="78" t="str">
        <f>IF('Classe 1ère A'!$B43="","",IF('Classe 1ère A'!E43="","",'Classe 1ère A'!E43))</f>
        <v/>
      </c>
      <c r="I1083" s="16" t="str">
        <f>IF('Classe 1ère A'!$B43="","",IF('Classe 1ère A'!F43="","",'Classe 1ère A'!F43))</f>
        <v/>
      </c>
      <c r="J1083" s="16" t="str">
        <f>IF('Classe 1ère A'!$B43="","",IF('Classe 1ère A'!G43="","",'Classe 1ère A'!G43))</f>
        <v/>
      </c>
      <c r="K1083" s="18" t="str">
        <f>IF('Classe 1ère A'!$B43="","",N('Classe 1ère A'!H43))</f>
        <v/>
      </c>
      <c r="L1083" s="18" t="str">
        <f>IF('Classe 1ère A'!$B43="","",N('Classe 1ère A'!I43))</f>
        <v/>
      </c>
      <c r="M1083" s="18" t="str">
        <f>IF('Classe 1ère A'!$B43="","",N('Classe 1ère A'!J43))</f>
        <v/>
      </c>
      <c r="N1083" s="18" t="str">
        <f>IF('Classe 1ère A'!$B43="","",N('Classe 1ère A'!K43))</f>
        <v/>
      </c>
      <c r="O1083" s="18" t="str">
        <f>IF('Classe 1ère A'!$B43="","",N('Classe 1ère A'!L43))</f>
        <v/>
      </c>
      <c r="P1083" s="18" t="str">
        <f>IF('Classe 1ère A'!$B43="","",N('Classe 1ère A'!M43))</f>
        <v/>
      </c>
      <c r="Q1083" s="17" t="str">
        <f>IF('Classe 1ère A'!$B43="","",IF('Classe 1ère A'!Q43="","",'Classe 1ère A'!Q43))</f>
        <v/>
      </c>
      <c r="R1083" s="18" t="str">
        <f>IF('Classe 1ère A'!$B43="","",N('Classe 1ère A'!N43))</f>
        <v/>
      </c>
      <c r="S1083" s="18" t="str">
        <f>IF('Classe 1ère A'!$B43="","",N('Classe 1ère A'!O43))</f>
        <v/>
      </c>
      <c r="T1083" s="18" t="str">
        <f>IF('Classe 1ère A'!$B43="","",N('Classe 1ère A'!P43))</f>
        <v/>
      </c>
    </row>
    <row r="1084">
      <c r="A1084" s="20" t="str">
        <f>IF('Classe 1ère A'!$B44="","",IF('Classe 1ère A'!A44="","",'Classe 1ère A'!A44))</f>
        <v/>
      </c>
      <c r="B1084" s="20" t="str">
        <f>IF('Classe 1ère A'!$B44="","",IF('Classe 1ère A'!B44="","",'Classe 1ère A'!B44))</f>
        <v/>
      </c>
      <c r="C1084" s="20" t="str">
        <f>IF('Classe 1ère A'!$B44="","",IF('Classe 1ère A'!C44="","",'Classe 1ère A'!C44))</f>
        <v/>
      </c>
      <c r="D1084" s="20" t="str">
        <f>IF($B1084="","",C1084&amp;" "&amp;B1084&amp;" - "&amp;E1084)</f>
        <v/>
      </c>
      <c r="E1084" s="21" t="str">
        <f>IF($B1084="","",Paramètres!$A$28)</f>
        <v/>
      </c>
      <c r="F1084" s="21" t="str">
        <f>IF($B1084="","",Paramètres!$B$28)</f>
        <v/>
      </c>
      <c r="G1084" s="21" t="str">
        <f>IF('Classe 1ère A'!$B44="","",IF('Classe 1ère A'!D44="","",'Classe 1ère A'!D44))</f>
        <v/>
      </c>
      <c r="H1084" s="77" t="str">
        <f>IF('Classe 1ère A'!$B44="","",IF('Classe 1ère A'!E44="","",'Classe 1ère A'!E44))</f>
        <v/>
      </c>
      <c r="I1084" s="20" t="str">
        <f>IF('Classe 1ère A'!$B44="","",IF('Classe 1ère A'!F44="","",'Classe 1ère A'!F44))</f>
        <v/>
      </c>
      <c r="J1084" s="20" t="str">
        <f>IF('Classe 1ère A'!$B44="","",IF('Classe 1ère A'!G44="","",'Classe 1ère A'!G44))</f>
        <v/>
      </c>
      <c r="K1084" s="51" t="str">
        <f>IF('Classe 1ère A'!$B44="","",N('Classe 1ère A'!H44))</f>
        <v/>
      </c>
      <c r="L1084" s="51" t="str">
        <f>IF('Classe 1ère A'!$B44="","",N('Classe 1ère A'!I44))</f>
        <v/>
      </c>
      <c r="M1084" s="51" t="str">
        <f>IF('Classe 1ère A'!$B44="","",N('Classe 1ère A'!J44))</f>
        <v/>
      </c>
      <c r="N1084" s="51" t="str">
        <f>IF('Classe 1ère A'!$B44="","",N('Classe 1ère A'!K44))</f>
        <v/>
      </c>
      <c r="O1084" s="51" t="str">
        <f>IF('Classe 1ère A'!$B44="","",N('Classe 1ère A'!L44))</f>
        <v/>
      </c>
      <c r="P1084" s="51" t="str">
        <f>IF('Classe 1ère A'!$B44="","",N('Classe 1ère A'!M44))</f>
        <v/>
      </c>
      <c r="Q1084" s="21" t="str">
        <f>IF('Classe 1ère A'!$B44="","",IF('Classe 1ère A'!Q44="","",'Classe 1ère A'!Q44))</f>
        <v/>
      </c>
      <c r="R1084" s="51" t="str">
        <f>IF('Classe 1ère A'!$B44="","",N('Classe 1ère A'!N44))</f>
        <v/>
      </c>
      <c r="S1084" s="51" t="str">
        <f>IF('Classe 1ère A'!$B44="","",N('Classe 1ère A'!O44))</f>
        <v/>
      </c>
      <c r="T1084" s="51" t="str">
        <f>IF('Classe 1ère A'!$B44="","",N('Classe 1ère A'!P44))</f>
        <v/>
      </c>
    </row>
    <row r="1085">
      <c r="A1085" s="16" t="str">
        <f>IF('Classe 1ère A'!$B45="","",IF('Classe 1ère A'!A45="","",'Classe 1ère A'!A45))</f>
        <v/>
      </c>
      <c r="B1085" s="16" t="str">
        <f>IF('Classe 1ère A'!$B45="","",IF('Classe 1ère A'!B45="","",'Classe 1ère A'!B45))</f>
        <v/>
      </c>
      <c r="C1085" s="16" t="str">
        <f>IF('Classe 1ère A'!$B45="","",IF('Classe 1ère A'!C45="","",'Classe 1ère A'!C45))</f>
        <v/>
      </c>
      <c r="D1085" s="16" t="str">
        <f>IF($B1085="","",C1085&amp;" "&amp;B1085&amp;" - "&amp;E1085)</f>
        <v/>
      </c>
      <c r="E1085" s="17" t="str">
        <f>IF($B1085="","",Paramètres!$A$28)</f>
        <v/>
      </c>
      <c r="F1085" s="17" t="str">
        <f>IF($B1085="","",Paramètres!$B$28)</f>
        <v/>
      </c>
      <c r="G1085" s="17" t="str">
        <f>IF('Classe 1ère A'!$B45="","",IF('Classe 1ère A'!D45="","",'Classe 1ère A'!D45))</f>
        <v/>
      </c>
      <c r="H1085" s="78" t="str">
        <f>IF('Classe 1ère A'!$B45="","",IF('Classe 1ère A'!E45="","",'Classe 1ère A'!E45))</f>
        <v/>
      </c>
      <c r="I1085" s="16" t="str">
        <f>IF('Classe 1ère A'!$B45="","",IF('Classe 1ère A'!F45="","",'Classe 1ère A'!F45))</f>
        <v/>
      </c>
      <c r="J1085" s="16" t="str">
        <f>IF('Classe 1ère A'!$B45="","",IF('Classe 1ère A'!G45="","",'Classe 1ère A'!G45))</f>
        <v/>
      </c>
      <c r="K1085" s="18" t="str">
        <f>IF('Classe 1ère A'!$B45="","",N('Classe 1ère A'!H45))</f>
        <v/>
      </c>
      <c r="L1085" s="18" t="str">
        <f>IF('Classe 1ère A'!$B45="","",N('Classe 1ère A'!I45))</f>
        <v/>
      </c>
      <c r="M1085" s="18" t="str">
        <f>IF('Classe 1ère A'!$B45="","",N('Classe 1ère A'!J45))</f>
        <v/>
      </c>
      <c r="N1085" s="18" t="str">
        <f>IF('Classe 1ère A'!$B45="","",N('Classe 1ère A'!K45))</f>
        <v/>
      </c>
      <c r="O1085" s="18" t="str">
        <f>IF('Classe 1ère A'!$B45="","",N('Classe 1ère A'!L45))</f>
        <v/>
      </c>
      <c r="P1085" s="18" t="str">
        <f>IF('Classe 1ère A'!$B45="","",N('Classe 1ère A'!M45))</f>
        <v/>
      </c>
      <c r="Q1085" s="17" t="str">
        <f>IF('Classe 1ère A'!$B45="","",IF('Classe 1ère A'!Q45="","",'Classe 1ère A'!Q45))</f>
        <v/>
      </c>
      <c r="R1085" s="18" t="str">
        <f>IF('Classe 1ère A'!$B45="","",N('Classe 1ère A'!N45))</f>
        <v/>
      </c>
      <c r="S1085" s="18" t="str">
        <f>IF('Classe 1ère A'!$B45="","",N('Classe 1ère A'!O45))</f>
        <v/>
      </c>
      <c r="T1085" s="18" t="str">
        <f>IF('Classe 1ère A'!$B45="","",N('Classe 1ère A'!P45))</f>
        <v/>
      </c>
    </row>
    <row r="1086">
      <c r="A1086" s="20" t="str">
        <f>IF('Classe 1ère A'!$B46="","",IF('Classe 1ère A'!A46="","",'Classe 1ère A'!A46))</f>
        <v/>
      </c>
      <c r="B1086" s="20" t="str">
        <f>IF('Classe 1ère A'!$B46="","",IF('Classe 1ère A'!B46="","",'Classe 1ère A'!B46))</f>
        <v/>
      </c>
      <c r="C1086" s="20" t="str">
        <f>IF('Classe 1ère A'!$B46="","",IF('Classe 1ère A'!C46="","",'Classe 1ère A'!C46))</f>
        <v/>
      </c>
      <c r="D1086" s="20" t="str">
        <f>IF($B1086="","",C1086&amp;" "&amp;B1086&amp;" - "&amp;E1086)</f>
        <v/>
      </c>
      <c r="E1086" s="21" t="str">
        <f>IF($B1086="","",Paramètres!$A$28)</f>
        <v/>
      </c>
      <c r="F1086" s="21" t="str">
        <f>IF($B1086="","",Paramètres!$B$28)</f>
        <v/>
      </c>
      <c r="G1086" s="21" t="str">
        <f>IF('Classe 1ère A'!$B46="","",IF('Classe 1ère A'!D46="","",'Classe 1ère A'!D46))</f>
        <v/>
      </c>
      <c r="H1086" s="77" t="str">
        <f>IF('Classe 1ère A'!$B46="","",IF('Classe 1ère A'!E46="","",'Classe 1ère A'!E46))</f>
        <v/>
      </c>
      <c r="I1086" s="20" t="str">
        <f>IF('Classe 1ère A'!$B46="","",IF('Classe 1ère A'!F46="","",'Classe 1ère A'!F46))</f>
        <v/>
      </c>
      <c r="J1086" s="20" t="str">
        <f>IF('Classe 1ère A'!$B46="","",IF('Classe 1ère A'!G46="","",'Classe 1ère A'!G46))</f>
        <v/>
      </c>
      <c r="K1086" s="51" t="str">
        <f>IF('Classe 1ère A'!$B46="","",N('Classe 1ère A'!H46))</f>
        <v/>
      </c>
      <c r="L1086" s="51" t="str">
        <f>IF('Classe 1ère A'!$B46="","",N('Classe 1ère A'!I46))</f>
        <v/>
      </c>
      <c r="M1086" s="51" t="str">
        <f>IF('Classe 1ère A'!$B46="","",N('Classe 1ère A'!J46))</f>
        <v/>
      </c>
      <c r="N1086" s="51" t="str">
        <f>IF('Classe 1ère A'!$B46="","",N('Classe 1ère A'!K46))</f>
        <v/>
      </c>
      <c r="O1086" s="51" t="str">
        <f>IF('Classe 1ère A'!$B46="","",N('Classe 1ère A'!L46))</f>
        <v/>
      </c>
      <c r="P1086" s="51" t="str">
        <f>IF('Classe 1ère A'!$B46="","",N('Classe 1ère A'!M46))</f>
        <v/>
      </c>
      <c r="Q1086" s="21" t="str">
        <f>IF('Classe 1ère A'!$B46="","",IF('Classe 1ère A'!Q46="","",'Classe 1ère A'!Q46))</f>
        <v/>
      </c>
      <c r="R1086" s="51" t="str">
        <f>IF('Classe 1ère A'!$B46="","",N('Classe 1ère A'!N46))</f>
        <v/>
      </c>
      <c r="S1086" s="51" t="str">
        <f>IF('Classe 1ère A'!$B46="","",N('Classe 1ère A'!O46))</f>
        <v/>
      </c>
      <c r="T1086" s="51" t="str">
        <f>IF('Classe 1ère A'!$B46="","",N('Classe 1ère A'!P46))</f>
        <v/>
      </c>
    </row>
    <row r="1087">
      <c r="A1087" s="16" t="str">
        <f>IF('Classe 1ère A'!$B47="","",IF('Classe 1ère A'!A47="","",'Classe 1ère A'!A47))</f>
        <v/>
      </c>
      <c r="B1087" s="16" t="str">
        <f>IF('Classe 1ère A'!$B47="","",IF('Classe 1ère A'!B47="","",'Classe 1ère A'!B47))</f>
        <v/>
      </c>
      <c r="C1087" s="16" t="str">
        <f>IF('Classe 1ère A'!$B47="","",IF('Classe 1ère A'!C47="","",'Classe 1ère A'!C47))</f>
        <v/>
      </c>
      <c r="D1087" s="16" t="str">
        <f>IF($B1087="","",C1087&amp;" "&amp;B1087&amp;" - "&amp;E1087)</f>
        <v/>
      </c>
      <c r="E1087" s="17" t="str">
        <f>IF($B1087="","",Paramètres!$A$28)</f>
        <v/>
      </c>
      <c r="F1087" s="17" t="str">
        <f>IF($B1087="","",Paramètres!$B$28)</f>
        <v/>
      </c>
      <c r="G1087" s="17" t="str">
        <f>IF('Classe 1ère A'!$B47="","",IF('Classe 1ère A'!D47="","",'Classe 1ère A'!D47))</f>
        <v/>
      </c>
      <c r="H1087" s="78" t="str">
        <f>IF('Classe 1ère A'!$B47="","",IF('Classe 1ère A'!E47="","",'Classe 1ère A'!E47))</f>
        <v/>
      </c>
      <c r="I1087" s="16" t="str">
        <f>IF('Classe 1ère A'!$B47="","",IF('Classe 1ère A'!F47="","",'Classe 1ère A'!F47))</f>
        <v/>
      </c>
      <c r="J1087" s="16" t="str">
        <f>IF('Classe 1ère A'!$B47="","",IF('Classe 1ère A'!G47="","",'Classe 1ère A'!G47))</f>
        <v/>
      </c>
      <c r="K1087" s="18" t="str">
        <f>IF('Classe 1ère A'!$B47="","",N('Classe 1ère A'!H47))</f>
        <v/>
      </c>
      <c r="L1087" s="18" t="str">
        <f>IF('Classe 1ère A'!$B47="","",N('Classe 1ère A'!I47))</f>
        <v/>
      </c>
      <c r="M1087" s="18" t="str">
        <f>IF('Classe 1ère A'!$B47="","",N('Classe 1ère A'!J47))</f>
        <v/>
      </c>
      <c r="N1087" s="18" t="str">
        <f>IF('Classe 1ère A'!$B47="","",N('Classe 1ère A'!K47))</f>
        <v/>
      </c>
      <c r="O1087" s="18" t="str">
        <f>IF('Classe 1ère A'!$B47="","",N('Classe 1ère A'!L47))</f>
        <v/>
      </c>
      <c r="P1087" s="18" t="str">
        <f>IF('Classe 1ère A'!$B47="","",N('Classe 1ère A'!M47))</f>
        <v/>
      </c>
      <c r="Q1087" s="17" t="str">
        <f>IF('Classe 1ère A'!$B47="","",IF('Classe 1ère A'!Q47="","",'Classe 1ère A'!Q47))</f>
        <v/>
      </c>
      <c r="R1087" s="18" t="str">
        <f>IF('Classe 1ère A'!$B47="","",N('Classe 1ère A'!N47))</f>
        <v/>
      </c>
      <c r="S1087" s="18" t="str">
        <f>IF('Classe 1ère A'!$B47="","",N('Classe 1ère A'!O47))</f>
        <v/>
      </c>
      <c r="T1087" s="18" t="str">
        <f>IF('Classe 1ère A'!$B47="","",N('Classe 1ère A'!P47))</f>
        <v/>
      </c>
    </row>
    <row r="1088">
      <c r="A1088" s="20" t="str">
        <f>IF('Classe 1ère A'!$B48="","",IF('Classe 1ère A'!A48="","",'Classe 1ère A'!A48))</f>
        <v/>
      </c>
      <c r="B1088" s="20" t="str">
        <f>IF('Classe 1ère A'!$B48="","",IF('Classe 1ère A'!B48="","",'Classe 1ère A'!B48))</f>
        <v/>
      </c>
      <c r="C1088" s="20" t="str">
        <f>IF('Classe 1ère A'!$B48="","",IF('Classe 1ère A'!C48="","",'Classe 1ère A'!C48))</f>
        <v/>
      </c>
      <c r="D1088" s="20" t="str">
        <f>IF($B1088="","",C1088&amp;" "&amp;B1088&amp;" - "&amp;E1088)</f>
        <v/>
      </c>
      <c r="E1088" s="21" t="str">
        <f>IF($B1088="","",Paramètres!$A$28)</f>
        <v/>
      </c>
      <c r="F1088" s="21" t="str">
        <f>IF($B1088="","",Paramètres!$B$28)</f>
        <v/>
      </c>
      <c r="G1088" s="21" t="str">
        <f>IF('Classe 1ère A'!$B48="","",IF('Classe 1ère A'!D48="","",'Classe 1ère A'!D48))</f>
        <v/>
      </c>
      <c r="H1088" s="77" t="str">
        <f>IF('Classe 1ère A'!$B48="","",IF('Classe 1ère A'!E48="","",'Classe 1ère A'!E48))</f>
        <v/>
      </c>
      <c r="I1088" s="20" t="str">
        <f>IF('Classe 1ère A'!$B48="","",IF('Classe 1ère A'!F48="","",'Classe 1ère A'!F48))</f>
        <v/>
      </c>
      <c r="J1088" s="20" t="str">
        <f>IF('Classe 1ère A'!$B48="","",IF('Classe 1ère A'!G48="","",'Classe 1ère A'!G48))</f>
        <v/>
      </c>
      <c r="K1088" s="51" t="str">
        <f>IF('Classe 1ère A'!$B48="","",N('Classe 1ère A'!H48))</f>
        <v/>
      </c>
      <c r="L1088" s="51" t="str">
        <f>IF('Classe 1ère A'!$B48="","",N('Classe 1ère A'!I48))</f>
        <v/>
      </c>
      <c r="M1088" s="51" t="str">
        <f>IF('Classe 1ère A'!$B48="","",N('Classe 1ère A'!J48))</f>
        <v/>
      </c>
      <c r="N1088" s="51" t="str">
        <f>IF('Classe 1ère A'!$B48="","",N('Classe 1ère A'!K48))</f>
        <v/>
      </c>
      <c r="O1088" s="51" t="str">
        <f>IF('Classe 1ère A'!$B48="","",N('Classe 1ère A'!L48))</f>
        <v/>
      </c>
      <c r="P1088" s="51" t="str">
        <f>IF('Classe 1ère A'!$B48="","",N('Classe 1ère A'!M48))</f>
        <v/>
      </c>
      <c r="Q1088" s="21" t="str">
        <f>IF('Classe 1ère A'!$B48="","",IF('Classe 1ère A'!Q48="","",'Classe 1ère A'!Q48))</f>
        <v/>
      </c>
      <c r="R1088" s="51" t="str">
        <f>IF('Classe 1ère A'!$B48="","",N('Classe 1ère A'!N48))</f>
        <v/>
      </c>
      <c r="S1088" s="51" t="str">
        <f>IF('Classe 1ère A'!$B48="","",N('Classe 1ère A'!O48))</f>
        <v/>
      </c>
      <c r="T1088" s="51" t="str">
        <f>IF('Classe 1ère A'!$B48="","",N('Classe 1ère A'!P48))</f>
        <v/>
      </c>
    </row>
    <row r="1089">
      <c r="A1089" s="16" t="str">
        <f>IF('Classe 1ère A'!$B49="","",IF('Classe 1ère A'!A49="","",'Classe 1ère A'!A49))</f>
        <v/>
      </c>
      <c r="B1089" s="16" t="str">
        <f>IF('Classe 1ère A'!$B49="","",IF('Classe 1ère A'!B49="","",'Classe 1ère A'!B49))</f>
        <v/>
      </c>
      <c r="C1089" s="16" t="str">
        <f>IF('Classe 1ère A'!$B49="","",IF('Classe 1ère A'!C49="","",'Classe 1ère A'!C49))</f>
        <v/>
      </c>
      <c r="D1089" s="16" t="str">
        <f>IF($B1089="","",C1089&amp;" "&amp;B1089&amp;" - "&amp;E1089)</f>
        <v/>
      </c>
      <c r="E1089" s="17" t="str">
        <f>IF($B1089="","",Paramètres!$A$28)</f>
        <v/>
      </c>
      <c r="F1089" s="17" t="str">
        <f>IF($B1089="","",Paramètres!$B$28)</f>
        <v/>
      </c>
      <c r="G1089" s="17" t="str">
        <f>IF('Classe 1ère A'!$B49="","",IF('Classe 1ère A'!D49="","",'Classe 1ère A'!D49))</f>
        <v/>
      </c>
      <c r="H1089" s="78" t="str">
        <f>IF('Classe 1ère A'!$B49="","",IF('Classe 1ère A'!E49="","",'Classe 1ère A'!E49))</f>
        <v/>
      </c>
      <c r="I1089" s="16" t="str">
        <f>IF('Classe 1ère A'!$B49="","",IF('Classe 1ère A'!F49="","",'Classe 1ère A'!F49))</f>
        <v/>
      </c>
      <c r="J1089" s="16" t="str">
        <f>IF('Classe 1ère A'!$B49="","",IF('Classe 1ère A'!G49="","",'Classe 1ère A'!G49))</f>
        <v/>
      </c>
      <c r="K1089" s="18" t="str">
        <f>IF('Classe 1ère A'!$B49="","",N('Classe 1ère A'!H49))</f>
        <v/>
      </c>
      <c r="L1089" s="18" t="str">
        <f>IF('Classe 1ère A'!$B49="","",N('Classe 1ère A'!I49))</f>
        <v/>
      </c>
      <c r="M1089" s="18" t="str">
        <f>IF('Classe 1ère A'!$B49="","",N('Classe 1ère A'!J49))</f>
        <v/>
      </c>
      <c r="N1089" s="18" t="str">
        <f>IF('Classe 1ère A'!$B49="","",N('Classe 1ère A'!K49))</f>
        <v/>
      </c>
      <c r="O1089" s="18" t="str">
        <f>IF('Classe 1ère A'!$B49="","",N('Classe 1ère A'!L49))</f>
        <v/>
      </c>
      <c r="P1089" s="18" t="str">
        <f>IF('Classe 1ère A'!$B49="","",N('Classe 1ère A'!M49))</f>
        <v/>
      </c>
      <c r="Q1089" s="17" t="str">
        <f>IF('Classe 1ère A'!$B49="","",IF('Classe 1ère A'!Q49="","",'Classe 1ère A'!Q49))</f>
        <v/>
      </c>
      <c r="R1089" s="18" t="str">
        <f>IF('Classe 1ère A'!$B49="","",N('Classe 1ère A'!N49))</f>
        <v/>
      </c>
      <c r="S1089" s="18" t="str">
        <f>IF('Classe 1ère A'!$B49="","",N('Classe 1ère A'!O49))</f>
        <v/>
      </c>
      <c r="T1089" s="18" t="str">
        <f>IF('Classe 1ère A'!$B49="","",N('Classe 1ère A'!P49))</f>
        <v/>
      </c>
    </row>
    <row r="1090">
      <c r="A1090" s="20" t="str">
        <f>IF('Classe 1ère A'!$B50="","",IF('Classe 1ère A'!A50="","",'Classe 1ère A'!A50))</f>
        <v/>
      </c>
      <c r="B1090" s="20" t="str">
        <f>IF('Classe 1ère A'!$B50="","",IF('Classe 1ère A'!B50="","",'Classe 1ère A'!B50))</f>
        <v/>
      </c>
      <c r="C1090" s="20" t="str">
        <f>IF('Classe 1ère A'!$B50="","",IF('Classe 1ère A'!C50="","",'Classe 1ère A'!C50))</f>
        <v/>
      </c>
      <c r="D1090" s="20" t="str">
        <f>IF($B1090="","",C1090&amp;" "&amp;B1090&amp;" - "&amp;E1090)</f>
        <v/>
      </c>
      <c r="E1090" s="21" t="str">
        <f>IF($B1090="","",Paramètres!$A$28)</f>
        <v/>
      </c>
      <c r="F1090" s="21" t="str">
        <f>IF($B1090="","",Paramètres!$B$28)</f>
        <v/>
      </c>
      <c r="G1090" s="21" t="str">
        <f>IF('Classe 1ère A'!$B50="","",IF('Classe 1ère A'!D50="","",'Classe 1ère A'!D50))</f>
        <v/>
      </c>
      <c r="H1090" s="77" t="str">
        <f>IF('Classe 1ère A'!$B50="","",IF('Classe 1ère A'!E50="","",'Classe 1ère A'!E50))</f>
        <v/>
      </c>
      <c r="I1090" s="20" t="str">
        <f>IF('Classe 1ère A'!$B50="","",IF('Classe 1ère A'!F50="","",'Classe 1ère A'!F50))</f>
        <v/>
      </c>
      <c r="J1090" s="20" t="str">
        <f>IF('Classe 1ère A'!$B50="","",IF('Classe 1ère A'!G50="","",'Classe 1ère A'!G50))</f>
        <v/>
      </c>
      <c r="K1090" s="51" t="str">
        <f>IF('Classe 1ère A'!$B50="","",N('Classe 1ère A'!H50))</f>
        <v/>
      </c>
      <c r="L1090" s="51" t="str">
        <f>IF('Classe 1ère A'!$B50="","",N('Classe 1ère A'!I50))</f>
        <v/>
      </c>
      <c r="M1090" s="51" t="str">
        <f>IF('Classe 1ère A'!$B50="","",N('Classe 1ère A'!J50))</f>
        <v/>
      </c>
      <c r="N1090" s="51" t="str">
        <f>IF('Classe 1ère A'!$B50="","",N('Classe 1ère A'!K50))</f>
        <v/>
      </c>
      <c r="O1090" s="51" t="str">
        <f>IF('Classe 1ère A'!$B50="","",N('Classe 1ère A'!L50))</f>
        <v/>
      </c>
      <c r="P1090" s="51" t="str">
        <f>IF('Classe 1ère A'!$B50="","",N('Classe 1ère A'!M50))</f>
        <v/>
      </c>
      <c r="Q1090" s="21" t="str">
        <f>IF('Classe 1ère A'!$B50="","",IF('Classe 1ère A'!Q50="","",'Classe 1ère A'!Q50))</f>
        <v/>
      </c>
      <c r="R1090" s="51" t="str">
        <f>IF('Classe 1ère A'!$B50="","",N('Classe 1ère A'!N50))</f>
        <v/>
      </c>
      <c r="S1090" s="51" t="str">
        <f>IF('Classe 1ère A'!$B50="","",N('Classe 1ère A'!O50))</f>
        <v/>
      </c>
      <c r="T1090" s="51" t="str">
        <f>IF('Classe 1ère A'!$B50="","",N('Classe 1ère A'!P50))</f>
        <v/>
      </c>
    </row>
    <row r="1091">
      <c r="A1091" s="16" t="str">
        <f>IF('Classe 1ère A'!$B51="","",IF('Classe 1ère A'!A51="","",'Classe 1ère A'!A51))</f>
        <v/>
      </c>
      <c r="B1091" s="16" t="str">
        <f>IF('Classe 1ère A'!$B51="","",IF('Classe 1ère A'!B51="","",'Classe 1ère A'!B51))</f>
        <v/>
      </c>
      <c r="C1091" s="16" t="str">
        <f>IF('Classe 1ère A'!$B51="","",IF('Classe 1ère A'!C51="","",'Classe 1ère A'!C51))</f>
        <v/>
      </c>
      <c r="D1091" s="16" t="str">
        <f>IF($B1091="","",C1091&amp;" "&amp;B1091&amp;" - "&amp;E1091)</f>
        <v/>
      </c>
      <c r="E1091" s="17" t="str">
        <f>IF($B1091="","",Paramètres!$A$28)</f>
        <v/>
      </c>
      <c r="F1091" s="17" t="str">
        <f>IF($B1091="","",Paramètres!$B$28)</f>
        <v/>
      </c>
      <c r="G1091" s="17" t="str">
        <f>IF('Classe 1ère A'!$B51="","",IF('Classe 1ère A'!D51="","",'Classe 1ère A'!D51))</f>
        <v/>
      </c>
      <c r="H1091" s="78" t="str">
        <f>IF('Classe 1ère A'!$B51="","",IF('Classe 1ère A'!E51="","",'Classe 1ère A'!E51))</f>
        <v/>
      </c>
      <c r="I1091" s="16" t="str">
        <f>IF('Classe 1ère A'!$B51="","",IF('Classe 1ère A'!F51="","",'Classe 1ère A'!F51))</f>
        <v/>
      </c>
      <c r="J1091" s="16" t="str">
        <f>IF('Classe 1ère A'!$B51="","",IF('Classe 1ère A'!G51="","",'Classe 1ère A'!G51))</f>
        <v/>
      </c>
      <c r="K1091" s="18" t="str">
        <f>IF('Classe 1ère A'!$B51="","",N('Classe 1ère A'!H51))</f>
        <v/>
      </c>
      <c r="L1091" s="18" t="str">
        <f>IF('Classe 1ère A'!$B51="","",N('Classe 1ère A'!I51))</f>
        <v/>
      </c>
      <c r="M1091" s="18" t="str">
        <f>IF('Classe 1ère A'!$B51="","",N('Classe 1ère A'!J51))</f>
        <v/>
      </c>
      <c r="N1091" s="18" t="str">
        <f>IF('Classe 1ère A'!$B51="","",N('Classe 1ère A'!K51))</f>
        <v/>
      </c>
      <c r="O1091" s="18" t="str">
        <f>IF('Classe 1ère A'!$B51="","",N('Classe 1ère A'!L51))</f>
        <v/>
      </c>
      <c r="P1091" s="18" t="str">
        <f>IF('Classe 1ère A'!$B51="","",N('Classe 1ère A'!M51))</f>
        <v/>
      </c>
      <c r="Q1091" s="17" t="str">
        <f>IF('Classe 1ère A'!$B51="","",IF('Classe 1ère A'!Q51="","",'Classe 1ère A'!Q51))</f>
        <v/>
      </c>
      <c r="R1091" s="18" t="str">
        <f>IF('Classe 1ère A'!$B51="","",N('Classe 1ère A'!N51))</f>
        <v/>
      </c>
      <c r="S1091" s="18" t="str">
        <f>IF('Classe 1ère A'!$B51="","",N('Classe 1ère A'!O51))</f>
        <v/>
      </c>
      <c r="T1091" s="18" t="str">
        <f>IF('Classe 1ère A'!$B51="","",N('Classe 1ère A'!P51))</f>
        <v/>
      </c>
    </row>
    <row r="1092">
      <c r="A1092" s="20" t="str">
        <f>IF('Classe 1ère A'!$B52="","",IF('Classe 1ère A'!A52="","",'Classe 1ère A'!A52))</f>
        <v/>
      </c>
      <c r="B1092" s="20" t="str">
        <f>IF('Classe 1ère A'!$B52="","",IF('Classe 1ère A'!B52="","",'Classe 1ère A'!B52))</f>
        <v/>
      </c>
      <c r="C1092" s="20" t="str">
        <f>IF('Classe 1ère A'!$B52="","",IF('Classe 1ère A'!C52="","",'Classe 1ère A'!C52))</f>
        <v/>
      </c>
      <c r="D1092" s="20" t="str">
        <f>IF($B1092="","",C1092&amp;" "&amp;B1092&amp;" - "&amp;E1092)</f>
        <v/>
      </c>
      <c r="E1092" s="21" t="str">
        <f>IF($B1092="","",Paramètres!$A$28)</f>
        <v/>
      </c>
      <c r="F1092" s="21" t="str">
        <f>IF($B1092="","",Paramètres!$B$28)</f>
        <v/>
      </c>
      <c r="G1092" s="21" t="str">
        <f>IF('Classe 1ère A'!$B52="","",IF('Classe 1ère A'!D52="","",'Classe 1ère A'!D52))</f>
        <v/>
      </c>
      <c r="H1092" s="77" t="str">
        <f>IF('Classe 1ère A'!$B52="","",IF('Classe 1ère A'!E52="","",'Classe 1ère A'!E52))</f>
        <v/>
      </c>
      <c r="I1092" s="20" t="str">
        <f>IF('Classe 1ère A'!$B52="","",IF('Classe 1ère A'!F52="","",'Classe 1ère A'!F52))</f>
        <v/>
      </c>
      <c r="J1092" s="20" t="str">
        <f>IF('Classe 1ère A'!$B52="","",IF('Classe 1ère A'!G52="","",'Classe 1ère A'!G52))</f>
        <v/>
      </c>
      <c r="K1092" s="51" t="str">
        <f>IF('Classe 1ère A'!$B52="","",N('Classe 1ère A'!H52))</f>
        <v/>
      </c>
      <c r="L1092" s="51" t="str">
        <f>IF('Classe 1ère A'!$B52="","",N('Classe 1ère A'!I52))</f>
        <v/>
      </c>
      <c r="M1092" s="51" t="str">
        <f>IF('Classe 1ère A'!$B52="","",N('Classe 1ère A'!J52))</f>
        <v/>
      </c>
      <c r="N1092" s="51" t="str">
        <f>IF('Classe 1ère A'!$B52="","",N('Classe 1ère A'!K52))</f>
        <v/>
      </c>
      <c r="O1092" s="51" t="str">
        <f>IF('Classe 1ère A'!$B52="","",N('Classe 1ère A'!L52))</f>
        <v/>
      </c>
      <c r="P1092" s="51" t="str">
        <f>IF('Classe 1ère A'!$B52="","",N('Classe 1ère A'!M52))</f>
        <v/>
      </c>
      <c r="Q1092" s="21" t="str">
        <f>IF('Classe 1ère A'!$B52="","",IF('Classe 1ère A'!Q52="","",'Classe 1ère A'!Q52))</f>
        <v/>
      </c>
      <c r="R1092" s="51" t="str">
        <f>IF('Classe 1ère A'!$B52="","",N('Classe 1ère A'!N52))</f>
        <v/>
      </c>
      <c r="S1092" s="51" t="str">
        <f>IF('Classe 1ère A'!$B52="","",N('Classe 1ère A'!O52))</f>
        <v/>
      </c>
      <c r="T1092" s="51" t="str">
        <f>IF('Classe 1ère A'!$B52="","",N('Classe 1ère A'!P52))</f>
        <v/>
      </c>
    </row>
    <row r="1093">
      <c r="A1093" s="16" t="str">
        <f>IF('Classe 1ère A'!$B53="","",IF('Classe 1ère A'!A53="","",'Classe 1ère A'!A53))</f>
        <v/>
      </c>
      <c r="B1093" s="16" t="str">
        <f>IF('Classe 1ère A'!$B53="","",IF('Classe 1ère A'!B53="","",'Classe 1ère A'!B53))</f>
        <v/>
      </c>
      <c r="C1093" s="16" t="str">
        <f>IF('Classe 1ère A'!$B53="","",IF('Classe 1ère A'!C53="","",'Classe 1ère A'!C53))</f>
        <v/>
      </c>
      <c r="D1093" s="16" t="str">
        <f>IF($B1093="","",C1093&amp;" "&amp;B1093&amp;" - "&amp;E1093)</f>
        <v/>
      </c>
      <c r="E1093" s="17" t="str">
        <f>IF($B1093="","",Paramètres!$A$28)</f>
        <v/>
      </c>
      <c r="F1093" s="17" t="str">
        <f>IF($B1093="","",Paramètres!$B$28)</f>
        <v/>
      </c>
      <c r="G1093" s="17" t="str">
        <f>IF('Classe 1ère A'!$B53="","",IF('Classe 1ère A'!D53="","",'Classe 1ère A'!D53))</f>
        <v/>
      </c>
      <c r="H1093" s="78" t="str">
        <f>IF('Classe 1ère A'!$B53="","",IF('Classe 1ère A'!E53="","",'Classe 1ère A'!E53))</f>
        <v/>
      </c>
      <c r="I1093" s="16" t="str">
        <f>IF('Classe 1ère A'!$B53="","",IF('Classe 1ère A'!F53="","",'Classe 1ère A'!F53))</f>
        <v/>
      </c>
      <c r="J1093" s="16" t="str">
        <f>IF('Classe 1ère A'!$B53="","",IF('Classe 1ère A'!G53="","",'Classe 1ère A'!G53))</f>
        <v/>
      </c>
      <c r="K1093" s="18" t="str">
        <f>IF('Classe 1ère A'!$B53="","",N('Classe 1ère A'!H53))</f>
        <v/>
      </c>
      <c r="L1093" s="18" t="str">
        <f>IF('Classe 1ère A'!$B53="","",N('Classe 1ère A'!I53))</f>
        <v/>
      </c>
      <c r="M1093" s="18" t="str">
        <f>IF('Classe 1ère A'!$B53="","",N('Classe 1ère A'!J53))</f>
        <v/>
      </c>
      <c r="N1093" s="18" t="str">
        <f>IF('Classe 1ère A'!$B53="","",N('Classe 1ère A'!K53))</f>
        <v/>
      </c>
      <c r="O1093" s="18" t="str">
        <f>IF('Classe 1ère A'!$B53="","",N('Classe 1ère A'!L53))</f>
        <v/>
      </c>
      <c r="P1093" s="18" t="str">
        <f>IF('Classe 1ère A'!$B53="","",N('Classe 1ère A'!M53))</f>
        <v/>
      </c>
      <c r="Q1093" s="17" t="str">
        <f>IF('Classe 1ère A'!$B53="","",IF('Classe 1ère A'!Q53="","",'Classe 1ère A'!Q53))</f>
        <v/>
      </c>
      <c r="R1093" s="18" t="str">
        <f>IF('Classe 1ère A'!$B53="","",N('Classe 1ère A'!N53))</f>
        <v/>
      </c>
      <c r="S1093" s="18" t="str">
        <f>IF('Classe 1ère A'!$B53="","",N('Classe 1ère A'!O53))</f>
        <v/>
      </c>
      <c r="T1093" s="18" t="str">
        <f>IF('Classe 1ère A'!$B53="","",N('Classe 1ère A'!P53))</f>
        <v/>
      </c>
    </row>
    <row r="1094">
      <c r="A1094" s="20" t="str">
        <f>IF('Classe 1ère A'!$B54="","",IF('Classe 1ère A'!A54="","",'Classe 1ère A'!A54))</f>
        <v/>
      </c>
      <c r="B1094" s="20" t="str">
        <f>IF('Classe 1ère A'!$B54="","",IF('Classe 1ère A'!B54="","",'Classe 1ère A'!B54))</f>
        <v/>
      </c>
      <c r="C1094" s="20" t="str">
        <f>IF('Classe 1ère A'!$B54="","",IF('Classe 1ère A'!C54="","",'Classe 1ère A'!C54))</f>
        <v/>
      </c>
      <c r="D1094" s="20" t="str">
        <f>IF($B1094="","",C1094&amp;" "&amp;B1094&amp;" - "&amp;E1094)</f>
        <v/>
      </c>
      <c r="E1094" s="21" t="str">
        <f>IF($B1094="","",Paramètres!$A$28)</f>
        <v/>
      </c>
      <c r="F1094" s="21" t="str">
        <f>IF($B1094="","",Paramètres!$B$28)</f>
        <v/>
      </c>
      <c r="G1094" s="21" t="str">
        <f>IF('Classe 1ère A'!$B54="","",IF('Classe 1ère A'!D54="","",'Classe 1ère A'!D54))</f>
        <v/>
      </c>
      <c r="H1094" s="77" t="str">
        <f>IF('Classe 1ère A'!$B54="","",IF('Classe 1ère A'!E54="","",'Classe 1ère A'!E54))</f>
        <v/>
      </c>
      <c r="I1094" s="20" t="str">
        <f>IF('Classe 1ère A'!$B54="","",IF('Classe 1ère A'!F54="","",'Classe 1ère A'!F54))</f>
        <v/>
      </c>
      <c r="J1094" s="20" t="str">
        <f>IF('Classe 1ère A'!$B54="","",IF('Classe 1ère A'!G54="","",'Classe 1ère A'!G54))</f>
        <v/>
      </c>
      <c r="K1094" s="51" t="str">
        <f>IF('Classe 1ère A'!$B54="","",N('Classe 1ère A'!H54))</f>
        <v/>
      </c>
      <c r="L1094" s="51" t="str">
        <f>IF('Classe 1ère A'!$B54="","",N('Classe 1ère A'!I54))</f>
        <v/>
      </c>
      <c r="M1094" s="51" t="str">
        <f>IF('Classe 1ère A'!$B54="","",N('Classe 1ère A'!J54))</f>
        <v/>
      </c>
      <c r="N1094" s="51" t="str">
        <f>IF('Classe 1ère A'!$B54="","",N('Classe 1ère A'!K54))</f>
        <v/>
      </c>
      <c r="O1094" s="51" t="str">
        <f>IF('Classe 1ère A'!$B54="","",N('Classe 1ère A'!L54))</f>
        <v/>
      </c>
      <c r="P1094" s="51" t="str">
        <f>IF('Classe 1ère A'!$B54="","",N('Classe 1ère A'!M54))</f>
        <v/>
      </c>
      <c r="Q1094" s="21" t="str">
        <f>IF('Classe 1ère A'!$B54="","",IF('Classe 1ère A'!Q54="","",'Classe 1ère A'!Q54))</f>
        <v/>
      </c>
      <c r="R1094" s="51" t="str">
        <f>IF('Classe 1ère A'!$B54="","",N('Classe 1ère A'!N54))</f>
        <v/>
      </c>
      <c r="S1094" s="51" t="str">
        <f>IF('Classe 1ère A'!$B54="","",N('Classe 1ère A'!O54))</f>
        <v/>
      </c>
      <c r="T1094" s="51" t="str">
        <f>IF('Classe 1ère A'!$B54="","",N('Classe 1ère A'!P54))</f>
        <v/>
      </c>
    </row>
    <row r="1095">
      <c r="A1095" s="16" t="str">
        <f>IF('Classe 1ère A'!$B55="","",IF('Classe 1ère A'!A55="","",'Classe 1ère A'!A55))</f>
        <v/>
      </c>
      <c r="B1095" s="16" t="str">
        <f>IF('Classe 1ère A'!$B55="","",IF('Classe 1ère A'!B55="","",'Classe 1ère A'!B55))</f>
        <v/>
      </c>
      <c r="C1095" s="16" t="str">
        <f>IF('Classe 1ère A'!$B55="","",IF('Classe 1ère A'!C55="","",'Classe 1ère A'!C55))</f>
        <v/>
      </c>
      <c r="D1095" s="16" t="str">
        <f>IF($B1095="","",C1095&amp;" "&amp;B1095&amp;" - "&amp;E1095)</f>
        <v/>
      </c>
      <c r="E1095" s="17" t="str">
        <f>IF($B1095="","",Paramètres!$A$28)</f>
        <v/>
      </c>
      <c r="F1095" s="17" t="str">
        <f>IF($B1095="","",Paramètres!$B$28)</f>
        <v/>
      </c>
      <c r="G1095" s="17" t="str">
        <f>IF('Classe 1ère A'!$B55="","",IF('Classe 1ère A'!D55="","",'Classe 1ère A'!D55))</f>
        <v/>
      </c>
      <c r="H1095" s="78" t="str">
        <f>IF('Classe 1ère A'!$B55="","",IF('Classe 1ère A'!E55="","",'Classe 1ère A'!E55))</f>
        <v/>
      </c>
      <c r="I1095" s="16" t="str">
        <f>IF('Classe 1ère A'!$B55="","",IF('Classe 1ère A'!F55="","",'Classe 1ère A'!F55))</f>
        <v/>
      </c>
      <c r="J1095" s="16" t="str">
        <f>IF('Classe 1ère A'!$B55="","",IF('Classe 1ère A'!G55="","",'Classe 1ère A'!G55))</f>
        <v/>
      </c>
      <c r="K1095" s="18" t="str">
        <f>IF('Classe 1ère A'!$B55="","",N('Classe 1ère A'!H55))</f>
        <v/>
      </c>
      <c r="L1095" s="18" t="str">
        <f>IF('Classe 1ère A'!$B55="","",N('Classe 1ère A'!I55))</f>
        <v/>
      </c>
      <c r="M1095" s="18" t="str">
        <f>IF('Classe 1ère A'!$B55="","",N('Classe 1ère A'!J55))</f>
        <v/>
      </c>
      <c r="N1095" s="18" t="str">
        <f>IF('Classe 1ère A'!$B55="","",N('Classe 1ère A'!K55))</f>
        <v/>
      </c>
      <c r="O1095" s="18" t="str">
        <f>IF('Classe 1ère A'!$B55="","",N('Classe 1ère A'!L55))</f>
        <v/>
      </c>
      <c r="P1095" s="18" t="str">
        <f>IF('Classe 1ère A'!$B55="","",N('Classe 1ère A'!M55))</f>
        <v/>
      </c>
      <c r="Q1095" s="17" t="str">
        <f>IF('Classe 1ère A'!$B55="","",IF('Classe 1ère A'!Q55="","",'Classe 1ère A'!Q55))</f>
        <v/>
      </c>
      <c r="R1095" s="18" t="str">
        <f>IF('Classe 1ère A'!$B55="","",N('Classe 1ère A'!N55))</f>
        <v/>
      </c>
      <c r="S1095" s="18" t="str">
        <f>IF('Classe 1ère A'!$B55="","",N('Classe 1ère A'!O55))</f>
        <v/>
      </c>
      <c r="T1095" s="18" t="str">
        <f>IF('Classe 1ère A'!$B55="","",N('Classe 1ère A'!P55))</f>
        <v/>
      </c>
    </row>
    <row r="1096">
      <c r="A1096" s="20" t="str">
        <f>IF('Classe 1ère A'!$B56="","",IF('Classe 1ère A'!A56="","",'Classe 1ère A'!A56))</f>
        <v/>
      </c>
      <c r="B1096" s="20" t="str">
        <f>IF('Classe 1ère A'!$B56="","",IF('Classe 1ère A'!B56="","",'Classe 1ère A'!B56))</f>
        <v/>
      </c>
      <c r="C1096" s="20" t="str">
        <f>IF('Classe 1ère A'!$B56="","",IF('Classe 1ère A'!C56="","",'Classe 1ère A'!C56))</f>
        <v/>
      </c>
      <c r="D1096" s="20" t="str">
        <f>IF($B1096="","",C1096&amp;" "&amp;B1096&amp;" - "&amp;E1096)</f>
        <v/>
      </c>
      <c r="E1096" s="21" t="str">
        <f>IF($B1096="","",Paramètres!$A$28)</f>
        <v/>
      </c>
      <c r="F1096" s="21" t="str">
        <f>IF($B1096="","",Paramètres!$B$28)</f>
        <v/>
      </c>
      <c r="G1096" s="21" t="str">
        <f>IF('Classe 1ère A'!$B56="","",IF('Classe 1ère A'!D56="","",'Classe 1ère A'!D56))</f>
        <v/>
      </c>
      <c r="H1096" s="77" t="str">
        <f>IF('Classe 1ère A'!$B56="","",IF('Classe 1ère A'!E56="","",'Classe 1ère A'!E56))</f>
        <v/>
      </c>
      <c r="I1096" s="20" t="str">
        <f>IF('Classe 1ère A'!$B56="","",IF('Classe 1ère A'!F56="","",'Classe 1ère A'!F56))</f>
        <v/>
      </c>
      <c r="J1096" s="20" t="str">
        <f>IF('Classe 1ère A'!$B56="","",IF('Classe 1ère A'!G56="","",'Classe 1ère A'!G56))</f>
        <v/>
      </c>
      <c r="K1096" s="51" t="str">
        <f>IF('Classe 1ère A'!$B56="","",N('Classe 1ère A'!H56))</f>
        <v/>
      </c>
      <c r="L1096" s="51" t="str">
        <f>IF('Classe 1ère A'!$B56="","",N('Classe 1ère A'!I56))</f>
        <v/>
      </c>
      <c r="M1096" s="51" t="str">
        <f>IF('Classe 1ère A'!$B56="","",N('Classe 1ère A'!J56))</f>
        <v/>
      </c>
      <c r="N1096" s="51" t="str">
        <f>IF('Classe 1ère A'!$B56="","",N('Classe 1ère A'!K56))</f>
        <v/>
      </c>
      <c r="O1096" s="51" t="str">
        <f>IF('Classe 1ère A'!$B56="","",N('Classe 1ère A'!L56))</f>
        <v/>
      </c>
      <c r="P1096" s="51" t="str">
        <f>IF('Classe 1ère A'!$B56="","",N('Classe 1ère A'!M56))</f>
        <v/>
      </c>
      <c r="Q1096" s="21" t="str">
        <f>IF('Classe 1ère A'!$B56="","",IF('Classe 1ère A'!Q56="","",'Classe 1ère A'!Q56))</f>
        <v/>
      </c>
      <c r="R1096" s="51" t="str">
        <f>IF('Classe 1ère A'!$B56="","",N('Classe 1ère A'!N56))</f>
        <v/>
      </c>
      <c r="S1096" s="51" t="str">
        <f>IF('Classe 1ère A'!$B56="","",N('Classe 1ère A'!O56))</f>
        <v/>
      </c>
      <c r="T1096" s="51" t="str">
        <f>IF('Classe 1ère A'!$B56="","",N('Classe 1ère A'!P56))</f>
        <v/>
      </c>
    </row>
    <row r="1097">
      <c r="A1097" s="16" t="str">
        <f>IF('Classe 1ère A'!$B57="","",IF('Classe 1ère A'!A57="","",'Classe 1ère A'!A57))</f>
        <v/>
      </c>
      <c r="B1097" s="16" t="str">
        <f>IF('Classe 1ère A'!$B57="","",IF('Classe 1ère A'!B57="","",'Classe 1ère A'!B57))</f>
        <v/>
      </c>
      <c r="C1097" s="16" t="str">
        <f>IF('Classe 1ère A'!$B57="","",IF('Classe 1ère A'!C57="","",'Classe 1ère A'!C57))</f>
        <v/>
      </c>
      <c r="D1097" s="16" t="str">
        <f>IF($B1097="","",C1097&amp;" "&amp;B1097&amp;" - "&amp;E1097)</f>
        <v/>
      </c>
      <c r="E1097" s="17" t="str">
        <f>IF($B1097="","",Paramètres!$A$28)</f>
        <v/>
      </c>
      <c r="F1097" s="17" t="str">
        <f>IF($B1097="","",Paramètres!$B$28)</f>
        <v/>
      </c>
      <c r="G1097" s="17" t="str">
        <f>IF('Classe 1ère A'!$B57="","",IF('Classe 1ère A'!D57="","",'Classe 1ère A'!D57))</f>
        <v/>
      </c>
      <c r="H1097" s="78" t="str">
        <f>IF('Classe 1ère A'!$B57="","",IF('Classe 1ère A'!E57="","",'Classe 1ère A'!E57))</f>
        <v/>
      </c>
      <c r="I1097" s="16" t="str">
        <f>IF('Classe 1ère A'!$B57="","",IF('Classe 1ère A'!F57="","",'Classe 1ère A'!F57))</f>
        <v/>
      </c>
      <c r="J1097" s="16" t="str">
        <f>IF('Classe 1ère A'!$B57="","",IF('Classe 1ère A'!G57="","",'Classe 1ère A'!G57))</f>
        <v/>
      </c>
      <c r="K1097" s="18" t="str">
        <f>IF('Classe 1ère A'!$B57="","",N('Classe 1ère A'!H57))</f>
        <v/>
      </c>
      <c r="L1097" s="18" t="str">
        <f>IF('Classe 1ère A'!$B57="","",N('Classe 1ère A'!I57))</f>
        <v/>
      </c>
      <c r="M1097" s="18" t="str">
        <f>IF('Classe 1ère A'!$B57="","",N('Classe 1ère A'!J57))</f>
        <v/>
      </c>
      <c r="N1097" s="18" t="str">
        <f>IF('Classe 1ère A'!$B57="","",N('Classe 1ère A'!K57))</f>
        <v/>
      </c>
      <c r="O1097" s="18" t="str">
        <f>IF('Classe 1ère A'!$B57="","",N('Classe 1ère A'!L57))</f>
        <v/>
      </c>
      <c r="P1097" s="18" t="str">
        <f>IF('Classe 1ère A'!$B57="","",N('Classe 1ère A'!M57))</f>
        <v/>
      </c>
      <c r="Q1097" s="17" t="str">
        <f>IF('Classe 1ère A'!$B57="","",IF('Classe 1ère A'!Q57="","",'Classe 1ère A'!Q57))</f>
        <v/>
      </c>
      <c r="R1097" s="18" t="str">
        <f>IF('Classe 1ère A'!$B57="","",N('Classe 1ère A'!N57))</f>
        <v/>
      </c>
      <c r="S1097" s="18" t="str">
        <f>IF('Classe 1ère A'!$B57="","",N('Classe 1ère A'!O57))</f>
        <v/>
      </c>
      <c r="T1097" s="18" t="str">
        <f>IF('Classe 1ère A'!$B57="","",N('Classe 1ère A'!P57))</f>
        <v/>
      </c>
    </row>
    <row r="1098">
      <c r="A1098" s="20" t="str">
        <f>IF('Classe 1ère A'!$B58="","",IF('Classe 1ère A'!A58="","",'Classe 1ère A'!A58))</f>
        <v/>
      </c>
      <c r="B1098" s="20" t="str">
        <f>IF('Classe 1ère A'!$B58="","",IF('Classe 1ère A'!B58="","",'Classe 1ère A'!B58))</f>
        <v/>
      </c>
      <c r="C1098" s="20" t="str">
        <f>IF('Classe 1ère A'!$B58="","",IF('Classe 1ère A'!C58="","",'Classe 1ère A'!C58))</f>
        <v/>
      </c>
      <c r="D1098" s="20" t="str">
        <f>IF($B1098="","",C1098&amp;" "&amp;B1098&amp;" - "&amp;E1098)</f>
        <v/>
      </c>
      <c r="E1098" s="21" t="str">
        <f>IF($B1098="","",Paramètres!$A$28)</f>
        <v/>
      </c>
      <c r="F1098" s="21" t="str">
        <f>IF($B1098="","",Paramètres!$B$28)</f>
        <v/>
      </c>
      <c r="G1098" s="21" t="str">
        <f>IF('Classe 1ère A'!$B58="","",IF('Classe 1ère A'!D58="","",'Classe 1ère A'!D58))</f>
        <v/>
      </c>
      <c r="H1098" s="77" t="str">
        <f>IF('Classe 1ère A'!$B58="","",IF('Classe 1ère A'!E58="","",'Classe 1ère A'!E58))</f>
        <v/>
      </c>
      <c r="I1098" s="20" t="str">
        <f>IF('Classe 1ère A'!$B58="","",IF('Classe 1ère A'!F58="","",'Classe 1ère A'!F58))</f>
        <v/>
      </c>
      <c r="J1098" s="20" t="str">
        <f>IF('Classe 1ère A'!$B58="","",IF('Classe 1ère A'!G58="","",'Classe 1ère A'!G58))</f>
        <v/>
      </c>
      <c r="K1098" s="51" t="str">
        <f>IF('Classe 1ère A'!$B58="","",N('Classe 1ère A'!H58))</f>
        <v/>
      </c>
      <c r="L1098" s="51" t="str">
        <f>IF('Classe 1ère A'!$B58="","",N('Classe 1ère A'!I58))</f>
        <v/>
      </c>
      <c r="M1098" s="51" t="str">
        <f>IF('Classe 1ère A'!$B58="","",N('Classe 1ère A'!J58))</f>
        <v/>
      </c>
      <c r="N1098" s="51" t="str">
        <f>IF('Classe 1ère A'!$B58="","",N('Classe 1ère A'!K58))</f>
        <v/>
      </c>
      <c r="O1098" s="51" t="str">
        <f>IF('Classe 1ère A'!$B58="","",N('Classe 1ère A'!L58))</f>
        <v/>
      </c>
      <c r="P1098" s="51" t="str">
        <f>IF('Classe 1ère A'!$B58="","",N('Classe 1ère A'!M58))</f>
        <v/>
      </c>
      <c r="Q1098" s="21" t="str">
        <f>IF('Classe 1ère A'!$B58="","",IF('Classe 1ère A'!Q58="","",'Classe 1ère A'!Q58))</f>
        <v/>
      </c>
      <c r="R1098" s="51" t="str">
        <f>IF('Classe 1ère A'!$B58="","",N('Classe 1ère A'!N58))</f>
        <v/>
      </c>
      <c r="S1098" s="51" t="str">
        <f>IF('Classe 1ère A'!$B58="","",N('Classe 1ère A'!O58))</f>
        <v/>
      </c>
      <c r="T1098" s="51" t="str">
        <f>IF('Classe 1ère A'!$B58="","",N('Classe 1ère A'!P58))</f>
        <v/>
      </c>
    </row>
    <row r="1099">
      <c r="A1099" s="16" t="str">
        <f>IF('Classe 1ère A'!$B59="","",IF('Classe 1ère A'!A59="","",'Classe 1ère A'!A59))</f>
        <v/>
      </c>
      <c r="B1099" s="16" t="str">
        <f>IF('Classe 1ère A'!$B59="","",IF('Classe 1ère A'!B59="","",'Classe 1ère A'!B59))</f>
        <v/>
      </c>
      <c r="C1099" s="16" t="str">
        <f>IF('Classe 1ère A'!$B59="","",IF('Classe 1ère A'!C59="","",'Classe 1ère A'!C59))</f>
        <v/>
      </c>
      <c r="D1099" s="16" t="str">
        <f>IF($B1099="","",C1099&amp;" "&amp;B1099&amp;" - "&amp;E1099)</f>
        <v/>
      </c>
      <c r="E1099" s="17" t="str">
        <f>IF($B1099="","",Paramètres!$A$28)</f>
        <v/>
      </c>
      <c r="F1099" s="17" t="str">
        <f>IF($B1099="","",Paramètres!$B$28)</f>
        <v/>
      </c>
      <c r="G1099" s="17" t="str">
        <f>IF('Classe 1ère A'!$B59="","",IF('Classe 1ère A'!D59="","",'Classe 1ère A'!D59))</f>
        <v/>
      </c>
      <c r="H1099" s="78" t="str">
        <f>IF('Classe 1ère A'!$B59="","",IF('Classe 1ère A'!E59="","",'Classe 1ère A'!E59))</f>
        <v/>
      </c>
      <c r="I1099" s="16" t="str">
        <f>IF('Classe 1ère A'!$B59="","",IF('Classe 1ère A'!F59="","",'Classe 1ère A'!F59))</f>
        <v/>
      </c>
      <c r="J1099" s="16" t="str">
        <f>IF('Classe 1ère A'!$B59="","",IF('Classe 1ère A'!G59="","",'Classe 1ère A'!G59))</f>
        <v/>
      </c>
      <c r="K1099" s="18" t="str">
        <f>IF('Classe 1ère A'!$B59="","",N('Classe 1ère A'!H59))</f>
        <v/>
      </c>
      <c r="L1099" s="18" t="str">
        <f>IF('Classe 1ère A'!$B59="","",N('Classe 1ère A'!I59))</f>
        <v/>
      </c>
      <c r="M1099" s="18" t="str">
        <f>IF('Classe 1ère A'!$B59="","",N('Classe 1ère A'!J59))</f>
        <v/>
      </c>
      <c r="N1099" s="18" t="str">
        <f>IF('Classe 1ère A'!$B59="","",N('Classe 1ère A'!K59))</f>
        <v/>
      </c>
      <c r="O1099" s="18" t="str">
        <f>IF('Classe 1ère A'!$B59="","",N('Classe 1ère A'!L59))</f>
        <v/>
      </c>
      <c r="P1099" s="18" t="str">
        <f>IF('Classe 1ère A'!$B59="","",N('Classe 1ère A'!M59))</f>
        <v/>
      </c>
      <c r="Q1099" s="17" t="str">
        <f>IF('Classe 1ère A'!$B59="","",IF('Classe 1ère A'!Q59="","",'Classe 1ère A'!Q59))</f>
        <v/>
      </c>
      <c r="R1099" s="18" t="str">
        <f>IF('Classe 1ère A'!$B59="","",N('Classe 1ère A'!N59))</f>
        <v/>
      </c>
      <c r="S1099" s="18" t="str">
        <f>IF('Classe 1ère A'!$B59="","",N('Classe 1ère A'!O59))</f>
        <v/>
      </c>
      <c r="T1099" s="18" t="str">
        <f>IF('Classe 1ère A'!$B59="","",N('Classe 1ère A'!P59))</f>
        <v/>
      </c>
    </row>
    <row r="1100">
      <c r="A1100" s="20" t="str">
        <f>IF('Classe 1ère A'!$B60="","",IF('Classe 1ère A'!A60="","",'Classe 1ère A'!A60))</f>
        <v/>
      </c>
      <c r="B1100" s="20" t="str">
        <f>IF('Classe 1ère A'!$B60="","",IF('Classe 1ère A'!B60="","",'Classe 1ère A'!B60))</f>
        <v/>
      </c>
      <c r="C1100" s="20" t="str">
        <f>IF('Classe 1ère A'!$B60="","",IF('Classe 1ère A'!C60="","",'Classe 1ère A'!C60))</f>
        <v/>
      </c>
      <c r="D1100" s="20" t="str">
        <f>IF($B1100="","",C1100&amp;" "&amp;B1100&amp;" - "&amp;E1100)</f>
        <v/>
      </c>
      <c r="E1100" s="21" t="str">
        <f>IF($B1100="","",Paramètres!$A$28)</f>
        <v/>
      </c>
      <c r="F1100" s="21" t="str">
        <f>IF($B1100="","",Paramètres!$B$28)</f>
        <v/>
      </c>
      <c r="G1100" s="21" t="str">
        <f>IF('Classe 1ère A'!$B60="","",IF('Classe 1ère A'!D60="","",'Classe 1ère A'!D60))</f>
        <v/>
      </c>
      <c r="H1100" s="77" t="str">
        <f>IF('Classe 1ère A'!$B60="","",IF('Classe 1ère A'!E60="","",'Classe 1ère A'!E60))</f>
        <v/>
      </c>
      <c r="I1100" s="20" t="str">
        <f>IF('Classe 1ère A'!$B60="","",IF('Classe 1ère A'!F60="","",'Classe 1ère A'!F60))</f>
        <v/>
      </c>
      <c r="J1100" s="20" t="str">
        <f>IF('Classe 1ère A'!$B60="","",IF('Classe 1ère A'!G60="","",'Classe 1ère A'!G60))</f>
        <v/>
      </c>
      <c r="K1100" s="51" t="str">
        <f>IF('Classe 1ère A'!$B60="","",N('Classe 1ère A'!H60))</f>
        <v/>
      </c>
      <c r="L1100" s="51" t="str">
        <f>IF('Classe 1ère A'!$B60="","",N('Classe 1ère A'!I60))</f>
        <v/>
      </c>
      <c r="M1100" s="51" t="str">
        <f>IF('Classe 1ère A'!$B60="","",N('Classe 1ère A'!J60))</f>
        <v/>
      </c>
      <c r="N1100" s="51" t="str">
        <f>IF('Classe 1ère A'!$B60="","",N('Classe 1ère A'!K60))</f>
        <v/>
      </c>
      <c r="O1100" s="51" t="str">
        <f>IF('Classe 1ère A'!$B60="","",N('Classe 1ère A'!L60))</f>
        <v/>
      </c>
      <c r="P1100" s="51" t="str">
        <f>IF('Classe 1ère A'!$B60="","",N('Classe 1ère A'!M60))</f>
        <v/>
      </c>
      <c r="Q1100" s="21" t="str">
        <f>IF('Classe 1ère A'!$B60="","",IF('Classe 1ère A'!Q60="","",'Classe 1ère A'!Q60))</f>
        <v/>
      </c>
      <c r="R1100" s="51" t="str">
        <f>IF('Classe 1ère A'!$B60="","",N('Classe 1ère A'!N60))</f>
        <v/>
      </c>
      <c r="S1100" s="51" t="str">
        <f>IF('Classe 1ère A'!$B60="","",N('Classe 1ère A'!O60))</f>
        <v/>
      </c>
      <c r="T1100" s="51" t="str">
        <f>IF('Classe 1ère A'!$B60="","",N('Classe 1ère A'!P60))</f>
        <v/>
      </c>
    </row>
    <row r="1101">
      <c r="A1101" s="16" t="str">
        <f>IF('Classe 1ère A'!$B61="","",IF('Classe 1ère A'!A61="","",'Classe 1ère A'!A61))</f>
        <v/>
      </c>
      <c r="B1101" s="16" t="str">
        <f>IF('Classe 1ère A'!$B61="","",IF('Classe 1ère A'!B61="","",'Classe 1ère A'!B61))</f>
        <v/>
      </c>
      <c r="C1101" s="16" t="str">
        <f>IF('Classe 1ère A'!$B61="","",IF('Classe 1ère A'!C61="","",'Classe 1ère A'!C61))</f>
        <v/>
      </c>
      <c r="D1101" s="16" t="str">
        <f>IF($B1101="","",C1101&amp;" "&amp;B1101&amp;" - "&amp;E1101)</f>
        <v/>
      </c>
      <c r="E1101" s="17" t="str">
        <f>IF($B1101="","",Paramètres!$A$28)</f>
        <v/>
      </c>
      <c r="F1101" s="17" t="str">
        <f>IF($B1101="","",Paramètres!$B$28)</f>
        <v/>
      </c>
      <c r="G1101" s="17" t="str">
        <f>IF('Classe 1ère A'!$B61="","",IF('Classe 1ère A'!D61="","",'Classe 1ère A'!D61))</f>
        <v/>
      </c>
      <c r="H1101" s="78" t="str">
        <f>IF('Classe 1ère A'!$B61="","",IF('Classe 1ère A'!E61="","",'Classe 1ère A'!E61))</f>
        <v/>
      </c>
      <c r="I1101" s="16" t="str">
        <f>IF('Classe 1ère A'!$B61="","",IF('Classe 1ère A'!F61="","",'Classe 1ère A'!F61))</f>
        <v/>
      </c>
      <c r="J1101" s="16" t="str">
        <f>IF('Classe 1ère A'!$B61="","",IF('Classe 1ère A'!G61="","",'Classe 1ère A'!G61))</f>
        <v/>
      </c>
      <c r="K1101" s="18" t="str">
        <f>IF('Classe 1ère A'!$B61="","",N('Classe 1ère A'!H61))</f>
        <v/>
      </c>
      <c r="L1101" s="18" t="str">
        <f>IF('Classe 1ère A'!$B61="","",N('Classe 1ère A'!I61))</f>
        <v/>
      </c>
      <c r="M1101" s="18" t="str">
        <f>IF('Classe 1ère A'!$B61="","",N('Classe 1ère A'!J61))</f>
        <v/>
      </c>
      <c r="N1101" s="18" t="str">
        <f>IF('Classe 1ère A'!$B61="","",N('Classe 1ère A'!K61))</f>
        <v/>
      </c>
      <c r="O1101" s="18" t="str">
        <f>IF('Classe 1ère A'!$B61="","",N('Classe 1ère A'!L61))</f>
        <v/>
      </c>
      <c r="P1101" s="18" t="str">
        <f>IF('Classe 1ère A'!$B61="","",N('Classe 1ère A'!M61))</f>
        <v/>
      </c>
      <c r="Q1101" s="17" t="str">
        <f>IF('Classe 1ère A'!$B61="","",IF('Classe 1ère A'!Q61="","",'Classe 1ère A'!Q61))</f>
        <v/>
      </c>
      <c r="R1101" s="18" t="str">
        <f>IF('Classe 1ère A'!$B61="","",N('Classe 1ère A'!N61))</f>
        <v/>
      </c>
      <c r="S1101" s="18" t="str">
        <f>IF('Classe 1ère A'!$B61="","",N('Classe 1ère A'!O61))</f>
        <v/>
      </c>
      <c r="T1101" s="18" t="str">
        <f>IF('Classe 1ère A'!$B61="","",N('Classe 1ère A'!P61))</f>
        <v/>
      </c>
    </row>
    <row r="1102">
      <c r="A1102" s="20" t="str">
        <f>IF('Classe 1ère A'!$B62="","",IF('Classe 1ère A'!A62="","",'Classe 1ère A'!A62))</f>
        <v/>
      </c>
      <c r="B1102" s="20" t="str">
        <f>IF('Classe 1ère A'!$B62="","",IF('Classe 1ère A'!B62="","",'Classe 1ère A'!B62))</f>
        <v/>
      </c>
      <c r="C1102" s="20" t="str">
        <f>IF('Classe 1ère A'!$B62="","",IF('Classe 1ère A'!C62="","",'Classe 1ère A'!C62))</f>
        <v/>
      </c>
      <c r="D1102" s="20" t="str">
        <f>IF($B1102="","",C1102&amp;" "&amp;B1102&amp;" - "&amp;E1102)</f>
        <v/>
      </c>
      <c r="E1102" s="21" t="str">
        <f>IF($B1102="","",Paramètres!$A$28)</f>
        <v/>
      </c>
      <c r="F1102" s="21" t="str">
        <f>IF($B1102="","",Paramètres!$B$28)</f>
        <v/>
      </c>
      <c r="G1102" s="21" t="str">
        <f>IF('Classe 1ère A'!$B62="","",IF('Classe 1ère A'!D62="","",'Classe 1ère A'!D62))</f>
        <v/>
      </c>
      <c r="H1102" s="77" t="str">
        <f>IF('Classe 1ère A'!$B62="","",IF('Classe 1ère A'!E62="","",'Classe 1ère A'!E62))</f>
        <v/>
      </c>
      <c r="I1102" s="20" t="str">
        <f>IF('Classe 1ère A'!$B62="","",IF('Classe 1ère A'!F62="","",'Classe 1ère A'!F62))</f>
        <v/>
      </c>
      <c r="J1102" s="20" t="str">
        <f>IF('Classe 1ère A'!$B62="","",IF('Classe 1ère A'!G62="","",'Classe 1ère A'!G62))</f>
        <v/>
      </c>
      <c r="K1102" s="51" t="str">
        <f>IF('Classe 1ère A'!$B62="","",N('Classe 1ère A'!H62))</f>
        <v/>
      </c>
      <c r="L1102" s="51" t="str">
        <f>IF('Classe 1ère A'!$B62="","",N('Classe 1ère A'!I62))</f>
        <v/>
      </c>
      <c r="M1102" s="51" t="str">
        <f>IF('Classe 1ère A'!$B62="","",N('Classe 1ère A'!J62))</f>
        <v/>
      </c>
      <c r="N1102" s="51" t="str">
        <f>IF('Classe 1ère A'!$B62="","",N('Classe 1ère A'!K62))</f>
        <v/>
      </c>
      <c r="O1102" s="51" t="str">
        <f>IF('Classe 1ère A'!$B62="","",N('Classe 1ère A'!L62))</f>
        <v/>
      </c>
      <c r="P1102" s="51" t="str">
        <f>IF('Classe 1ère A'!$B62="","",N('Classe 1ère A'!M62))</f>
        <v/>
      </c>
      <c r="Q1102" s="21" t="str">
        <f>IF('Classe 1ère A'!$B62="","",IF('Classe 1ère A'!Q62="","",'Classe 1ère A'!Q62))</f>
        <v/>
      </c>
      <c r="R1102" s="51" t="str">
        <f>IF('Classe 1ère A'!$B62="","",N('Classe 1ère A'!N62))</f>
        <v/>
      </c>
      <c r="S1102" s="51" t="str">
        <f>IF('Classe 1ère A'!$B62="","",N('Classe 1ère A'!O62))</f>
        <v/>
      </c>
      <c r="T1102" s="51" t="str">
        <f>IF('Classe 1ère A'!$B62="","",N('Classe 1ère A'!P62))</f>
        <v/>
      </c>
    </row>
    <row r="1103">
      <c r="A1103" s="16" t="str">
        <f>IF('Classe 1ère A'!$B63="","",IF('Classe 1ère A'!A63="","",'Classe 1ère A'!A63))</f>
        <v/>
      </c>
      <c r="B1103" s="16" t="str">
        <f>IF('Classe 1ère A'!$B63="","",IF('Classe 1ère A'!B63="","",'Classe 1ère A'!B63))</f>
        <v/>
      </c>
      <c r="C1103" s="16" t="str">
        <f>IF('Classe 1ère A'!$B63="","",IF('Classe 1ère A'!C63="","",'Classe 1ère A'!C63))</f>
        <v/>
      </c>
      <c r="D1103" s="16" t="str">
        <f>IF($B1103="","",C1103&amp;" "&amp;B1103&amp;" - "&amp;E1103)</f>
        <v/>
      </c>
      <c r="E1103" s="17" t="str">
        <f>IF($B1103="","",Paramètres!$A$28)</f>
        <v/>
      </c>
      <c r="F1103" s="17" t="str">
        <f>IF($B1103="","",Paramètres!$B$28)</f>
        <v/>
      </c>
      <c r="G1103" s="17" t="str">
        <f>IF('Classe 1ère A'!$B63="","",IF('Classe 1ère A'!D63="","",'Classe 1ère A'!D63))</f>
        <v/>
      </c>
      <c r="H1103" s="78" t="str">
        <f>IF('Classe 1ère A'!$B63="","",IF('Classe 1ère A'!E63="","",'Classe 1ère A'!E63))</f>
        <v/>
      </c>
      <c r="I1103" s="16" t="str">
        <f>IF('Classe 1ère A'!$B63="","",IF('Classe 1ère A'!F63="","",'Classe 1ère A'!F63))</f>
        <v/>
      </c>
      <c r="J1103" s="16" t="str">
        <f>IF('Classe 1ère A'!$B63="","",IF('Classe 1ère A'!G63="","",'Classe 1ère A'!G63))</f>
        <v/>
      </c>
      <c r="K1103" s="18" t="str">
        <f>IF('Classe 1ère A'!$B63="","",N('Classe 1ère A'!H63))</f>
        <v/>
      </c>
      <c r="L1103" s="18" t="str">
        <f>IF('Classe 1ère A'!$B63="","",N('Classe 1ère A'!I63))</f>
        <v/>
      </c>
      <c r="M1103" s="18" t="str">
        <f>IF('Classe 1ère A'!$B63="","",N('Classe 1ère A'!J63))</f>
        <v/>
      </c>
      <c r="N1103" s="18" t="str">
        <f>IF('Classe 1ère A'!$B63="","",N('Classe 1ère A'!K63))</f>
        <v/>
      </c>
      <c r="O1103" s="18" t="str">
        <f>IF('Classe 1ère A'!$B63="","",N('Classe 1ère A'!L63))</f>
        <v/>
      </c>
      <c r="P1103" s="18" t="str">
        <f>IF('Classe 1ère A'!$B63="","",N('Classe 1ère A'!M63))</f>
        <v/>
      </c>
      <c r="Q1103" s="17" t="str">
        <f>IF('Classe 1ère A'!$B63="","",IF('Classe 1ère A'!Q63="","",'Classe 1ère A'!Q63))</f>
        <v/>
      </c>
      <c r="R1103" s="18" t="str">
        <f>IF('Classe 1ère A'!$B63="","",N('Classe 1ère A'!N63))</f>
        <v/>
      </c>
      <c r="S1103" s="18" t="str">
        <f>IF('Classe 1ère A'!$B63="","",N('Classe 1ère A'!O63))</f>
        <v/>
      </c>
      <c r="T1103" s="18" t="str">
        <f>IF('Classe 1ère A'!$B63="","",N('Classe 1ère A'!P63))</f>
        <v/>
      </c>
    </row>
    <row r="1104">
      <c r="A1104" s="20" t="str">
        <f>IF('Classe 1ère A'!$B64="","",IF('Classe 1ère A'!A64="","",'Classe 1ère A'!A64))</f>
        <v/>
      </c>
      <c r="B1104" s="20" t="str">
        <f>IF('Classe 1ère A'!$B64="","",IF('Classe 1ère A'!B64="","",'Classe 1ère A'!B64))</f>
        <v/>
      </c>
      <c r="C1104" s="20" t="str">
        <f>IF('Classe 1ère A'!$B64="","",IF('Classe 1ère A'!C64="","",'Classe 1ère A'!C64))</f>
        <v/>
      </c>
      <c r="D1104" s="20" t="str">
        <f>IF($B1104="","",C1104&amp;" "&amp;B1104&amp;" - "&amp;E1104)</f>
        <v/>
      </c>
      <c r="E1104" s="21" t="str">
        <f>IF($B1104="","",Paramètres!$A$28)</f>
        <v/>
      </c>
      <c r="F1104" s="21" t="str">
        <f>IF($B1104="","",Paramètres!$B$28)</f>
        <v/>
      </c>
      <c r="G1104" s="21" t="str">
        <f>IF('Classe 1ère A'!$B64="","",IF('Classe 1ère A'!D64="","",'Classe 1ère A'!D64))</f>
        <v/>
      </c>
      <c r="H1104" s="77" t="str">
        <f>IF('Classe 1ère A'!$B64="","",IF('Classe 1ère A'!E64="","",'Classe 1ère A'!E64))</f>
        <v/>
      </c>
      <c r="I1104" s="20" t="str">
        <f>IF('Classe 1ère A'!$B64="","",IF('Classe 1ère A'!F64="","",'Classe 1ère A'!F64))</f>
        <v/>
      </c>
      <c r="J1104" s="20" t="str">
        <f>IF('Classe 1ère A'!$B64="","",IF('Classe 1ère A'!G64="","",'Classe 1ère A'!G64))</f>
        <v/>
      </c>
      <c r="K1104" s="51" t="str">
        <f>IF('Classe 1ère A'!$B64="","",N('Classe 1ère A'!H64))</f>
        <v/>
      </c>
      <c r="L1104" s="51" t="str">
        <f>IF('Classe 1ère A'!$B64="","",N('Classe 1ère A'!I64))</f>
        <v/>
      </c>
      <c r="M1104" s="51" t="str">
        <f>IF('Classe 1ère A'!$B64="","",N('Classe 1ère A'!J64))</f>
        <v/>
      </c>
      <c r="N1104" s="51" t="str">
        <f>IF('Classe 1ère A'!$B64="","",N('Classe 1ère A'!K64))</f>
        <v/>
      </c>
      <c r="O1104" s="51" t="str">
        <f>IF('Classe 1ère A'!$B64="","",N('Classe 1ère A'!L64))</f>
        <v/>
      </c>
      <c r="P1104" s="51" t="str">
        <f>IF('Classe 1ère A'!$B64="","",N('Classe 1ère A'!M64))</f>
        <v/>
      </c>
      <c r="Q1104" s="21" t="str">
        <f>IF('Classe 1ère A'!$B64="","",IF('Classe 1ère A'!Q64="","",'Classe 1ère A'!Q64))</f>
        <v/>
      </c>
      <c r="R1104" s="51" t="str">
        <f>IF('Classe 1ère A'!$B64="","",N('Classe 1ère A'!N64))</f>
        <v/>
      </c>
      <c r="S1104" s="51" t="str">
        <f>IF('Classe 1ère A'!$B64="","",N('Classe 1ère A'!O64))</f>
        <v/>
      </c>
      <c r="T1104" s="51" t="str">
        <f>IF('Classe 1ère A'!$B64="","",N('Classe 1ère A'!P64))</f>
        <v/>
      </c>
    </row>
    <row r="1105">
      <c r="A1105" s="16" t="str">
        <f>IF('Classe 1ère A'!$B65="","",IF('Classe 1ère A'!A65="","",'Classe 1ère A'!A65))</f>
        <v/>
      </c>
      <c r="B1105" s="16" t="str">
        <f>IF('Classe 1ère A'!$B65="","",IF('Classe 1ère A'!B65="","",'Classe 1ère A'!B65))</f>
        <v/>
      </c>
      <c r="C1105" s="16" t="str">
        <f>IF('Classe 1ère A'!$B65="","",IF('Classe 1ère A'!C65="","",'Classe 1ère A'!C65))</f>
        <v/>
      </c>
      <c r="D1105" s="16" t="str">
        <f>IF($B1105="","",C1105&amp;" "&amp;B1105&amp;" - "&amp;E1105)</f>
        <v/>
      </c>
      <c r="E1105" s="17" t="str">
        <f>IF($B1105="","",Paramètres!$A$28)</f>
        <v/>
      </c>
      <c r="F1105" s="17" t="str">
        <f>IF($B1105="","",Paramètres!$B$28)</f>
        <v/>
      </c>
      <c r="G1105" s="17" t="str">
        <f>IF('Classe 1ère A'!$B65="","",IF('Classe 1ère A'!D65="","",'Classe 1ère A'!D65))</f>
        <v/>
      </c>
      <c r="H1105" s="78" t="str">
        <f>IF('Classe 1ère A'!$B65="","",IF('Classe 1ère A'!E65="","",'Classe 1ère A'!E65))</f>
        <v/>
      </c>
      <c r="I1105" s="16" t="str">
        <f>IF('Classe 1ère A'!$B65="","",IF('Classe 1ère A'!F65="","",'Classe 1ère A'!F65))</f>
        <v/>
      </c>
      <c r="J1105" s="16" t="str">
        <f>IF('Classe 1ère A'!$B65="","",IF('Classe 1ère A'!G65="","",'Classe 1ère A'!G65))</f>
        <v/>
      </c>
      <c r="K1105" s="18" t="str">
        <f>IF('Classe 1ère A'!$B65="","",N('Classe 1ère A'!H65))</f>
        <v/>
      </c>
      <c r="L1105" s="18" t="str">
        <f>IF('Classe 1ère A'!$B65="","",N('Classe 1ère A'!I65))</f>
        <v/>
      </c>
      <c r="M1105" s="18" t="str">
        <f>IF('Classe 1ère A'!$B65="","",N('Classe 1ère A'!J65))</f>
        <v/>
      </c>
      <c r="N1105" s="18" t="str">
        <f>IF('Classe 1ère A'!$B65="","",N('Classe 1ère A'!K65))</f>
        <v/>
      </c>
      <c r="O1105" s="18" t="str">
        <f>IF('Classe 1ère A'!$B65="","",N('Classe 1ère A'!L65))</f>
        <v/>
      </c>
      <c r="P1105" s="18" t="str">
        <f>IF('Classe 1ère A'!$B65="","",N('Classe 1ère A'!M65))</f>
        <v/>
      </c>
      <c r="Q1105" s="17" t="str">
        <f>IF('Classe 1ère A'!$B65="","",IF('Classe 1ère A'!Q65="","",'Classe 1ère A'!Q65))</f>
        <v/>
      </c>
      <c r="R1105" s="18" t="str">
        <f>IF('Classe 1ère A'!$B65="","",N('Classe 1ère A'!N65))</f>
        <v/>
      </c>
      <c r="S1105" s="18" t="str">
        <f>IF('Classe 1ère A'!$B65="","",N('Classe 1ère A'!O65))</f>
        <v/>
      </c>
      <c r="T1105" s="18" t="str">
        <f>IF('Classe 1ère A'!$B65="","",N('Classe 1ère A'!P65))</f>
        <v/>
      </c>
    </row>
    <row r="1106">
      <c r="A1106" s="20" t="str">
        <f>IF('Classe 1ère A'!$B66="","",IF('Classe 1ère A'!A66="","",'Classe 1ère A'!A66))</f>
        <v/>
      </c>
      <c r="B1106" s="20" t="str">
        <f>IF('Classe 1ère A'!$B66="","",IF('Classe 1ère A'!B66="","",'Classe 1ère A'!B66))</f>
        <v/>
      </c>
      <c r="C1106" s="20" t="str">
        <f>IF('Classe 1ère A'!$B66="","",IF('Classe 1ère A'!C66="","",'Classe 1ère A'!C66))</f>
        <v/>
      </c>
      <c r="D1106" s="20" t="str">
        <f>IF($B1106="","",C1106&amp;" "&amp;B1106&amp;" - "&amp;E1106)</f>
        <v/>
      </c>
      <c r="E1106" s="21" t="str">
        <f>IF($B1106="","",Paramètres!$A$28)</f>
        <v/>
      </c>
      <c r="F1106" s="21" t="str">
        <f>IF($B1106="","",Paramètres!$B$28)</f>
        <v/>
      </c>
      <c r="G1106" s="21" t="str">
        <f>IF('Classe 1ère A'!$B66="","",IF('Classe 1ère A'!D66="","",'Classe 1ère A'!D66))</f>
        <v/>
      </c>
      <c r="H1106" s="77" t="str">
        <f>IF('Classe 1ère A'!$B66="","",IF('Classe 1ère A'!E66="","",'Classe 1ère A'!E66))</f>
        <v/>
      </c>
      <c r="I1106" s="20" t="str">
        <f>IF('Classe 1ère A'!$B66="","",IF('Classe 1ère A'!F66="","",'Classe 1ère A'!F66))</f>
        <v/>
      </c>
      <c r="J1106" s="20" t="str">
        <f>IF('Classe 1ère A'!$B66="","",IF('Classe 1ère A'!G66="","",'Classe 1ère A'!G66))</f>
        <v/>
      </c>
      <c r="K1106" s="51" t="str">
        <f>IF('Classe 1ère A'!$B66="","",N('Classe 1ère A'!H66))</f>
        <v/>
      </c>
      <c r="L1106" s="51" t="str">
        <f>IF('Classe 1ère A'!$B66="","",N('Classe 1ère A'!I66))</f>
        <v/>
      </c>
      <c r="M1106" s="51" t="str">
        <f>IF('Classe 1ère A'!$B66="","",N('Classe 1ère A'!J66))</f>
        <v/>
      </c>
      <c r="N1106" s="51" t="str">
        <f>IF('Classe 1ère A'!$B66="","",N('Classe 1ère A'!K66))</f>
        <v/>
      </c>
      <c r="O1106" s="51" t="str">
        <f>IF('Classe 1ère A'!$B66="","",N('Classe 1ère A'!L66))</f>
        <v/>
      </c>
      <c r="P1106" s="51" t="str">
        <f>IF('Classe 1ère A'!$B66="","",N('Classe 1ère A'!M66))</f>
        <v/>
      </c>
      <c r="Q1106" s="21" t="str">
        <f>IF('Classe 1ère A'!$B66="","",IF('Classe 1ère A'!Q66="","",'Classe 1ère A'!Q66))</f>
        <v/>
      </c>
      <c r="R1106" s="51" t="str">
        <f>IF('Classe 1ère A'!$B66="","",N('Classe 1ère A'!N66))</f>
        <v/>
      </c>
      <c r="S1106" s="51" t="str">
        <f>IF('Classe 1ère A'!$B66="","",N('Classe 1ère A'!O66))</f>
        <v/>
      </c>
      <c r="T1106" s="51" t="str">
        <f>IF('Classe 1ère A'!$B66="","",N('Classe 1ère A'!P66))</f>
        <v/>
      </c>
    </row>
    <row r="1107">
      <c r="A1107" s="16" t="str">
        <f>IF('Classe 1ère A'!$B67="","",IF('Classe 1ère A'!A67="","",'Classe 1ère A'!A67))</f>
        <v/>
      </c>
      <c r="B1107" s="16" t="str">
        <f>IF('Classe 1ère A'!$B67="","",IF('Classe 1ère A'!B67="","",'Classe 1ère A'!B67))</f>
        <v/>
      </c>
      <c r="C1107" s="16" t="str">
        <f>IF('Classe 1ère A'!$B67="","",IF('Classe 1ère A'!C67="","",'Classe 1ère A'!C67))</f>
        <v/>
      </c>
      <c r="D1107" s="16" t="str">
        <f>IF($B1107="","",C1107&amp;" "&amp;B1107&amp;" - "&amp;E1107)</f>
        <v/>
      </c>
      <c r="E1107" s="17" t="str">
        <f>IF($B1107="","",Paramètres!$A$28)</f>
        <v/>
      </c>
      <c r="F1107" s="17" t="str">
        <f>IF($B1107="","",Paramètres!$B$28)</f>
        <v/>
      </c>
      <c r="G1107" s="17" t="str">
        <f>IF('Classe 1ère A'!$B67="","",IF('Classe 1ère A'!D67="","",'Classe 1ère A'!D67))</f>
        <v/>
      </c>
      <c r="H1107" s="78" t="str">
        <f>IF('Classe 1ère A'!$B67="","",IF('Classe 1ère A'!E67="","",'Classe 1ère A'!E67))</f>
        <v/>
      </c>
      <c r="I1107" s="16" t="str">
        <f>IF('Classe 1ère A'!$B67="","",IF('Classe 1ère A'!F67="","",'Classe 1ère A'!F67))</f>
        <v/>
      </c>
      <c r="J1107" s="16" t="str">
        <f>IF('Classe 1ère A'!$B67="","",IF('Classe 1ère A'!G67="","",'Classe 1ère A'!G67))</f>
        <v/>
      </c>
      <c r="K1107" s="18" t="str">
        <f>IF('Classe 1ère A'!$B67="","",N('Classe 1ère A'!H67))</f>
        <v/>
      </c>
      <c r="L1107" s="18" t="str">
        <f>IF('Classe 1ère A'!$B67="","",N('Classe 1ère A'!I67))</f>
        <v/>
      </c>
      <c r="M1107" s="18" t="str">
        <f>IF('Classe 1ère A'!$B67="","",N('Classe 1ère A'!J67))</f>
        <v/>
      </c>
      <c r="N1107" s="18" t="str">
        <f>IF('Classe 1ère A'!$B67="","",N('Classe 1ère A'!K67))</f>
        <v/>
      </c>
      <c r="O1107" s="18" t="str">
        <f>IF('Classe 1ère A'!$B67="","",N('Classe 1ère A'!L67))</f>
        <v/>
      </c>
      <c r="P1107" s="18" t="str">
        <f>IF('Classe 1ère A'!$B67="","",N('Classe 1ère A'!M67))</f>
        <v/>
      </c>
      <c r="Q1107" s="17" t="str">
        <f>IF('Classe 1ère A'!$B67="","",IF('Classe 1ère A'!Q67="","",'Classe 1ère A'!Q67))</f>
        <v/>
      </c>
      <c r="R1107" s="18" t="str">
        <f>IF('Classe 1ère A'!$B67="","",N('Classe 1ère A'!N67))</f>
        <v/>
      </c>
      <c r="S1107" s="18" t="str">
        <f>IF('Classe 1ère A'!$B67="","",N('Classe 1ère A'!O67))</f>
        <v/>
      </c>
      <c r="T1107" s="18" t="str">
        <f>IF('Classe 1ère A'!$B67="","",N('Classe 1ère A'!P67))</f>
        <v/>
      </c>
    </row>
    <row r="1108">
      <c r="A1108" s="20" t="str">
        <f>IF('Classe 1ère A'!$B68="","",IF('Classe 1ère A'!A68="","",'Classe 1ère A'!A68))</f>
        <v/>
      </c>
      <c r="B1108" s="20" t="str">
        <f>IF('Classe 1ère A'!$B68="","",IF('Classe 1ère A'!B68="","",'Classe 1ère A'!B68))</f>
        <v/>
      </c>
      <c r="C1108" s="20" t="str">
        <f>IF('Classe 1ère A'!$B68="","",IF('Classe 1ère A'!C68="","",'Classe 1ère A'!C68))</f>
        <v/>
      </c>
      <c r="D1108" s="20" t="str">
        <f>IF($B1108="","",C1108&amp;" "&amp;B1108&amp;" - "&amp;E1108)</f>
        <v/>
      </c>
      <c r="E1108" s="21" t="str">
        <f>IF($B1108="","",Paramètres!$A$28)</f>
        <v/>
      </c>
      <c r="F1108" s="21" t="str">
        <f>IF($B1108="","",Paramètres!$B$28)</f>
        <v/>
      </c>
      <c r="G1108" s="21" t="str">
        <f>IF('Classe 1ère A'!$B68="","",IF('Classe 1ère A'!D68="","",'Classe 1ère A'!D68))</f>
        <v/>
      </c>
      <c r="H1108" s="77" t="str">
        <f>IF('Classe 1ère A'!$B68="","",IF('Classe 1ère A'!E68="","",'Classe 1ère A'!E68))</f>
        <v/>
      </c>
      <c r="I1108" s="20" t="str">
        <f>IF('Classe 1ère A'!$B68="","",IF('Classe 1ère A'!F68="","",'Classe 1ère A'!F68))</f>
        <v/>
      </c>
      <c r="J1108" s="20" t="str">
        <f>IF('Classe 1ère A'!$B68="","",IF('Classe 1ère A'!G68="","",'Classe 1ère A'!G68))</f>
        <v/>
      </c>
      <c r="K1108" s="51" t="str">
        <f>IF('Classe 1ère A'!$B68="","",N('Classe 1ère A'!H68))</f>
        <v/>
      </c>
      <c r="L1108" s="51" t="str">
        <f>IF('Classe 1ère A'!$B68="","",N('Classe 1ère A'!I68))</f>
        <v/>
      </c>
      <c r="M1108" s="51" t="str">
        <f>IF('Classe 1ère A'!$B68="","",N('Classe 1ère A'!J68))</f>
        <v/>
      </c>
      <c r="N1108" s="51" t="str">
        <f>IF('Classe 1ère A'!$B68="","",N('Classe 1ère A'!K68))</f>
        <v/>
      </c>
      <c r="O1108" s="51" t="str">
        <f>IF('Classe 1ère A'!$B68="","",N('Classe 1ère A'!L68))</f>
        <v/>
      </c>
      <c r="P1108" s="51" t="str">
        <f>IF('Classe 1ère A'!$B68="","",N('Classe 1ère A'!M68))</f>
        <v/>
      </c>
      <c r="Q1108" s="21" t="str">
        <f>IF('Classe 1ère A'!$B68="","",IF('Classe 1ère A'!Q68="","",'Classe 1ère A'!Q68))</f>
        <v/>
      </c>
      <c r="R1108" s="51" t="str">
        <f>IF('Classe 1ère A'!$B68="","",N('Classe 1ère A'!N68))</f>
        <v/>
      </c>
      <c r="S1108" s="51" t="str">
        <f>IF('Classe 1ère A'!$B68="","",N('Classe 1ère A'!O68))</f>
        <v/>
      </c>
      <c r="T1108" s="51" t="str">
        <f>IF('Classe 1ère A'!$B68="","",N('Classe 1ère A'!P68))</f>
        <v/>
      </c>
    </row>
    <row r="1109">
      <c r="A1109" s="16" t="str">
        <f>IF('Classe 1ère A'!$B69="","",IF('Classe 1ère A'!A69="","",'Classe 1ère A'!A69))</f>
        <v/>
      </c>
      <c r="B1109" s="16" t="str">
        <f>IF('Classe 1ère A'!$B69="","",IF('Classe 1ère A'!B69="","",'Classe 1ère A'!B69))</f>
        <v/>
      </c>
      <c r="C1109" s="16" t="str">
        <f>IF('Classe 1ère A'!$B69="","",IF('Classe 1ère A'!C69="","",'Classe 1ère A'!C69))</f>
        <v/>
      </c>
      <c r="D1109" s="16" t="str">
        <f>IF($B1109="","",C1109&amp;" "&amp;B1109&amp;" - "&amp;E1109)</f>
        <v/>
      </c>
      <c r="E1109" s="17" t="str">
        <f>IF($B1109="","",Paramètres!$A$28)</f>
        <v/>
      </c>
      <c r="F1109" s="17" t="str">
        <f>IF($B1109="","",Paramètres!$B$28)</f>
        <v/>
      </c>
      <c r="G1109" s="17" t="str">
        <f>IF('Classe 1ère A'!$B69="","",IF('Classe 1ère A'!D69="","",'Classe 1ère A'!D69))</f>
        <v/>
      </c>
      <c r="H1109" s="78" t="str">
        <f>IF('Classe 1ère A'!$B69="","",IF('Classe 1ère A'!E69="","",'Classe 1ère A'!E69))</f>
        <v/>
      </c>
      <c r="I1109" s="16" t="str">
        <f>IF('Classe 1ère A'!$B69="","",IF('Classe 1ère A'!F69="","",'Classe 1ère A'!F69))</f>
        <v/>
      </c>
      <c r="J1109" s="16" t="str">
        <f>IF('Classe 1ère A'!$B69="","",IF('Classe 1ère A'!G69="","",'Classe 1ère A'!G69))</f>
        <v/>
      </c>
      <c r="K1109" s="18" t="str">
        <f>IF('Classe 1ère A'!$B69="","",N('Classe 1ère A'!H69))</f>
        <v/>
      </c>
      <c r="L1109" s="18" t="str">
        <f>IF('Classe 1ère A'!$B69="","",N('Classe 1ère A'!I69))</f>
        <v/>
      </c>
      <c r="M1109" s="18" t="str">
        <f>IF('Classe 1ère A'!$B69="","",N('Classe 1ère A'!J69))</f>
        <v/>
      </c>
      <c r="N1109" s="18" t="str">
        <f>IF('Classe 1ère A'!$B69="","",N('Classe 1ère A'!K69))</f>
        <v/>
      </c>
      <c r="O1109" s="18" t="str">
        <f>IF('Classe 1ère A'!$B69="","",N('Classe 1ère A'!L69))</f>
        <v/>
      </c>
      <c r="P1109" s="18" t="str">
        <f>IF('Classe 1ère A'!$B69="","",N('Classe 1ère A'!M69))</f>
        <v/>
      </c>
      <c r="Q1109" s="17" t="str">
        <f>IF('Classe 1ère A'!$B69="","",IF('Classe 1ère A'!Q69="","",'Classe 1ère A'!Q69))</f>
        <v/>
      </c>
      <c r="R1109" s="18" t="str">
        <f>IF('Classe 1ère A'!$B69="","",N('Classe 1ère A'!N69))</f>
        <v/>
      </c>
      <c r="S1109" s="18" t="str">
        <f>IF('Classe 1ère A'!$B69="","",N('Classe 1ère A'!O69))</f>
        <v/>
      </c>
      <c r="T1109" s="18" t="str">
        <f>IF('Classe 1ère A'!$B69="","",N('Classe 1ère A'!P69))</f>
        <v/>
      </c>
    </row>
    <row r="1110">
      <c r="A1110" s="20" t="str">
        <f>IF('Classe 1ère A'!$B70="","",IF('Classe 1ère A'!A70="","",'Classe 1ère A'!A70))</f>
        <v/>
      </c>
      <c r="B1110" s="20" t="str">
        <f>IF('Classe 1ère A'!$B70="","",IF('Classe 1ère A'!B70="","",'Classe 1ère A'!B70))</f>
        <v/>
      </c>
      <c r="C1110" s="20" t="str">
        <f>IF('Classe 1ère A'!$B70="","",IF('Classe 1ère A'!C70="","",'Classe 1ère A'!C70))</f>
        <v/>
      </c>
      <c r="D1110" s="20" t="str">
        <f>IF($B1110="","",C1110&amp;" "&amp;B1110&amp;" - "&amp;E1110)</f>
        <v/>
      </c>
      <c r="E1110" s="21" t="str">
        <f>IF($B1110="","",Paramètres!$A$28)</f>
        <v/>
      </c>
      <c r="F1110" s="21" t="str">
        <f>IF($B1110="","",Paramètres!$B$28)</f>
        <v/>
      </c>
      <c r="G1110" s="21" t="str">
        <f>IF('Classe 1ère A'!$B70="","",IF('Classe 1ère A'!D70="","",'Classe 1ère A'!D70))</f>
        <v/>
      </c>
      <c r="H1110" s="77" t="str">
        <f>IF('Classe 1ère A'!$B70="","",IF('Classe 1ère A'!E70="","",'Classe 1ère A'!E70))</f>
        <v/>
      </c>
      <c r="I1110" s="20" t="str">
        <f>IF('Classe 1ère A'!$B70="","",IF('Classe 1ère A'!F70="","",'Classe 1ère A'!F70))</f>
        <v/>
      </c>
      <c r="J1110" s="20" t="str">
        <f>IF('Classe 1ère A'!$B70="","",IF('Classe 1ère A'!G70="","",'Classe 1ère A'!G70))</f>
        <v/>
      </c>
      <c r="K1110" s="51" t="str">
        <f>IF('Classe 1ère A'!$B70="","",N('Classe 1ère A'!H70))</f>
        <v/>
      </c>
      <c r="L1110" s="51" t="str">
        <f>IF('Classe 1ère A'!$B70="","",N('Classe 1ère A'!I70))</f>
        <v/>
      </c>
      <c r="M1110" s="51" t="str">
        <f>IF('Classe 1ère A'!$B70="","",N('Classe 1ère A'!J70))</f>
        <v/>
      </c>
      <c r="N1110" s="51" t="str">
        <f>IF('Classe 1ère A'!$B70="","",N('Classe 1ère A'!K70))</f>
        <v/>
      </c>
      <c r="O1110" s="51" t="str">
        <f>IF('Classe 1ère A'!$B70="","",N('Classe 1ère A'!L70))</f>
        <v/>
      </c>
      <c r="P1110" s="51" t="str">
        <f>IF('Classe 1ère A'!$B70="","",N('Classe 1ère A'!M70))</f>
        <v/>
      </c>
      <c r="Q1110" s="21" t="str">
        <f>IF('Classe 1ère A'!$B70="","",IF('Classe 1ère A'!Q70="","",'Classe 1ère A'!Q70))</f>
        <v/>
      </c>
      <c r="R1110" s="51" t="str">
        <f>IF('Classe 1ère A'!$B70="","",N('Classe 1ère A'!N70))</f>
        <v/>
      </c>
      <c r="S1110" s="51" t="str">
        <f>IF('Classe 1ère A'!$B70="","",N('Classe 1ère A'!O70))</f>
        <v/>
      </c>
      <c r="T1110" s="51" t="str">
        <f>IF('Classe 1ère A'!$B70="","",N('Classe 1ère A'!P70))</f>
        <v/>
      </c>
    </row>
    <row r="1111">
      <c r="A1111" s="16" t="str">
        <f>IF('Classe 1ère A'!$B71="","",IF('Classe 1ère A'!A71="","",'Classe 1ère A'!A71))</f>
        <v/>
      </c>
      <c r="B1111" s="16" t="str">
        <f>IF('Classe 1ère A'!$B71="","",IF('Classe 1ère A'!B71="","",'Classe 1ère A'!B71))</f>
        <v/>
      </c>
      <c r="C1111" s="16" t="str">
        <f>IF('Classe 1ère A'!$B71="","",IF('Classe 1ère A'!C71="","",'Classe 1ère A'!C71))</f>
        <v/>
      </c>
      <c r="D1111" s="16" t="str">
        <f>IF($B1111="","",C1111&amp;" "&amp;B1111&amp;" - "&amp;E1111)</f>
        <v/>
      </c>
      <c r="E1111" s="17" t="str">
        <f>IF($B1111="","",Paramètres!$A$28)</f>
        <v/>
      </c>
      <c r="F1111" s="17" t="str">
        <f>IF($B1111="","",Paramètres!$B$28)</f>
        <v/>
      </c>
      <c r="G1111" s="17" t="str">
        <f>IF('Classe 1ère A'!$B71="","",IF('Classe 1ère A'!D71="","",'Classe 1ère A'!D71))</f>
        <v/>
      </c>
      <c r="H1111" s="78" t="str">
        <f>IF('Classe 1ère A'!$B71="","",IF('Classe 1ère A'!E71="","",'Classe 1ère A'!E71))</f>
        <v/>
      </c>
      <c r="I1111" s="16" t="str">
        <f>IF('Classe 1ère A'!$B71="","",IF('Classe 1ère A'!F71="","",'Classe 1ère A'!F71))</f>
        <v/>
      </c>
      <c r="J1111" s="16" t="str">
        <f>IF('Classe 1ère A'!$B71="","",IF('Classe 1ère A'!G71="","",'Classe 1ère A'!G71))</f>
        <v/>
      </c>
      <c r="K1111" s="18" t="str">
        <f>IF('Classe 1ère A'!$B71="","",N('Classe 1ère A'!H71))</f>
        <v/>
      </c>
      <c r="L1111" s="18" t="str">
        <f>IF('Classe 1ère A'!$B71="","",N('Classe 1ère A'!I71))</f>
        <v/>
      </c>
      <c r="M1111" s="18" t="str">
        <f>IF('Classe 1ère A'!$B71="","",N('Classe 1ère A'!J71))</f>
        <v/>
      </c>
      <c r="N1111" s="18" t="str">
        <f>IF('Classe 1ère A'!$B71="","",N('Classe 1ère A'!K71))</f>
        <v/>
      </c>
      <c r="O1111" s="18" t="str">
        <f>IF('Classe 1ère A'!$B71="","",N('Classe 1ère A'!L71))</f>
        <v/>
      </c>
      <c r="P1111" s="18" t="str">
        <f>IF('Classe 1ère A'!$B71="","",N('Classe 1ère A'!M71))</f>
        <v/>
      </c>
      <c r="Q1111" s="17" t="str">
        <f>IF('Classe 1ère A'!$B71="","",IF('Classe 1ère A'!Q71="","",'Classe 1ère A'!Q71))</f>
        <v/>
      </c>
      <c r="R1111" s="18" t="str">
        <f>IF('Classe 1ère A'!$B71="","",N('Classe 1ère A'!N71))</f>
        <v/>
      </c>
      <c r="S1111" s="18" t="str">
        <f>IF('Classe 1ère A'!$B71="","",N('Classe 1ère A'!O71))</f>
        <v/>
      </c>
      <c r="T1111" s="18" t="str">
        <f>IF('Classe 1ère A'!$B71="","",N('Classe 1ère A'!P71))</f>
        <v/>
      </c>
    </row>
    <row r="1112">
      <c r="A1112" s="20" t="str">
        <f>IF('Classe 1ère A'!$B72="","",IF('Classe 1ère A'!A72="","",'Classe 1ère A'!A72))</f>
        <v/>
      </c>
      <c r="B1112" s="20" t="str">
        <f>IF('Classe 1ère A'!$B72="","",IF('Classe 1ère A'!B72="","",'Classe 1ère A'!B72))</f>
        <v/>
      </c>
      <c r="C1112" s="20" t="str">
        <f>IF('Classe 1ère A'!$B72="","",IF('Classe 1ère A'!C72="","",'Classe 1ère A'!C72))</f>
        <v/>
      </c>
      <c r="D1112" s="20" t="str">
        <f>IF($B1112="","",C1112&amp;" "&amp;B1112&amp;" - "&amp;E1112)</f>
        <v/>
      </c>
      <c r="E1112" s="21" t="str">
        <f>IF($B1112="","",Paramètres!$A$28)</f>
        <v/>
      </c>
      <c r="F1112" s="21" t="str">
        <f>IF($B1112="","",Paramètres!$B$28)</f>
        <v/>
      </c>
      <c r="G1112" s="21" t="str">
        <f>IF('Classe 1ère A'!$B72="","",IF('Classe 1ère A'!D72="","",'Classe 1ère A'!D72))</f>
        <v/>
      </c>
      <c r="H1112" s="77" t="str">
        <f>IF('Classe 1ère A'!$B72="","",IF('Classe 1ère A'!E72="","",'Classe 1ère A'!E72))</f>
        <v/>
      </c>
      <c r="I1112" s="20" t="str">
        <f>IF('Classe 1ère A'!$B72="","",IF('Classe 1ère A'!F72="","",'Classe 1ère A'!F72))</f>
        <v/>
      </c>
      <c r="J1112" s="20" t="str">
        <f>IF('Classe 1ère A'!$B72="","",IF('Classe 1ère A'!G72="","",'Classe 1ère A'!G72))</f>
        <v/>
      </c>
      <c r="K1112" s="51" t="str">
        <f>IF('Classe 1ère A'!$B72="","",N('Classe 1ère A'!H72))</f>
        <v/>
      </c>
      <c r="L1112" s="51" t="str">
        <f>IF('Classe 1ère A'!$B72="","",N('Classe 1ère A'!I72))</f>
        <v/>
      </c>
      <c r="M1112" s="51" t="str">
        <f>IF('Classe 1ère A'!$B72="","",N('Classe 1ère A'!J72))</f>
        <v/>
      </c>
      <c r="N1112" s="51" t="str">
        <f>IF('Classe 1ère A'!$B72="","",N('Classe 1ère A'!K72))</f>
        <v/>
      </c>
      <c r="O1112" s="51" t="str">
        <f>IF('Classe 1ère A'!$B72="","",N('Classe 1ère A'!L72))</f>
        <v/>
      </c>
      <c r="P1112" s="51" t="str">
        <f>IF('Classe 1ère A'!$B72="","",N('Classe 1ère A'!M72))</f>
        <v/>
      </c>
      <c r="Q1112" s="21" t="str">
        <f>IF('Classe 1ère A'!$B72="","",IF('Classe 1ère A'!Q72="","",'Classe 1ère A'!Q72))</f>
        <v/>
      </c>
      <c r="R1112" s="51" t="str">
        <f>IF('Classe 1ère A'!$B72="","",N('Classe 1ère A'!N72))</f>
        <v/>
      </c>
      <c r="S1112" s="51" t="str">
        <f>IF('Classe 1ère A'!$B72="","",N('Classe 1ère A'!O72))</f>
        <v/>
      </c>
      <c r="T1112" s="51" t="str">
        <f>IF('Classe 1ère A'!$B72="","",N('Classe 1ère A'!P72))</f>
        <v/>
      </c>
    </row>
    <row r="1113">
      <c r="A1113" s="16" t="str">
        <f>IF('Classe 1ère A'!$B73="","",IF('Classe 1ère A'!A73="","",'Classe 1ère A'!A73))</f>
        <v/>
      </c>
      <c r="B1113" s="16" t="str">
        <f>IF('Classe 1ère A'!$B73="","",IF('Classe 1ère A'!B73="","",'Classe 1ère A'!B73))</f>
        <v/>
      </c>
      <c r="C1113" s="16" t="str">
        <f>IF('Classe 1ère A'!$B73="","",IF('Classe 1ère A'!C73="","",'Classe 1ère A'!C73))</f>
        <v/>
      </c>
      <c r="D1113" s="16" t="str">
        <f>IF($B1113="","",C1113&amp;" "&amp;B1113&amp;" - "&amp;E1113)</f>
        <v/>
      </c>
      <c r="E1113" s="17" t="str">
        <f>IF($B1113="","",Paramètres!$A$28)</f>
        <v/>
      </c>
      <c r="F1113" s="17" t="str">
        <f>IF($B1113="","",Paramètres!$B$28)</f>
        <v/>
      </c>
      <c r="G1113" s="17" t="str">
        <f>IF('Classe 1ère A'!$B73="","",IF('Classe 1ère A'!D73="","",'Classe 1ère A'!D73))</f>
        <v/>
      </c>
      <c r="H1113" s="78" t="str">
        <f>IF('Classe 1ère A'!$B73="","",IF('Classe 1ère A'!E73="","",'Classe 1ère A'!E73))</f>
        <v/>
      </c>
      <c r="I1113" s="16" t="str">
        <f>IF('Classe 1ère A'!$B73="","",IF('Classe 1ère A'!F73="","",'Classe 1ère A'!F73))</f>
        <v/>
      </c>
      <c r="J1113" s="16" t="str">
        <f>IF('Classe 1ère A'!$B73="","",IF('Classe 1ère A'!G73="","",'Classe 1ère A'!G73))</f>
        <v/>
      </c>
      <c r="K1113" s="18" t="str">
        <f>IF('Classe 1ère A'!$B73="","",N('Classe 1ère A'!H73))</f>
        <v/>
      </c>
      <c r="L1113" s="18" t="str">
        <f>IF('Classe 1ère A'!$B73="","",N('Classe 1ère A'!I73))</f>
        <v/>
      </c>
      <c r="M1113" s="18" t="str">
        <f>IF('Classe 1ère A'!$B73="","",N('Classe 1ère A'!J73))</f>
        <v/>
      </c>
      <c r="N1113" s="18" t="str">
        <f>IF('Classe 1ère A'!$B73="","",N('Classe 1ère A'!K73))</f>
        <v/>
      </c>
      <c r="O1113" s="18" t="str">
        <f>IF('Classe 1ère A'!$B73="","",N('Classe 1ère A'!L73))</f>
        <v/>
      </c>
      <c r="P1113" s="18" t="str">
        <f>IF('Classe 1ère A'!$B73="","",N('Classe 1ère A'!M73))</f>
        <v/>
      </c>
      <c r="Q1113" s="17" t="str">
        <f>IF('Classe 1ère A'!$B73="","",IF('Classe 1ère A'!Q73="","",'Classe 1ère A'!Q73))</f>
        <v/>
      </c>
      <c r="R1113" s="18" t="str">
        <f>IF('Classe 1ère A'!$B73="","",N('Classe 1ère A'!N73))</f>
        <v/>
      </c>
      <c r="S1113" s="18" t="str">
        <f>IF('Classe 1ère A'!$B73="","",N('Classe 1ère A'!O73))</f>
        <v/>
      </c>
      <c r="T1113" s="18" t="str">
        <f>IF('Classe 1ère A'!$B73="","",N('Classe 1ère A'!P73))</f>
        <v/>
      </c>
    </row>
    <row r="1114">
      <c r="A1114" s="20" t="str">
        <f>IF('Classe 1ère A'!$B74="","",IF('Classe 1ère A'!A74="","",'Classe 1ère A'!A74))</f>
        <v/>
      </c>
      <c r="B1114" s="20" t="str">
        <f>IF('Classe 1ère A'!$B74="","",IF('Classe 1ère A'!B74="","",'Classe 1ère A'!B74))</f>
        <v/>
      </c>
      <c r="C1114" s="20" t="str">
        <f>IF('Classe 1ère A'!$B74="","",IF('Classe 1ère A'!C74="","",'Classe 1ère A'!C74))</f>
        <v/>
      </c>
      <c r="D1114" s="20" t="str">
        <f>IF($B1114="","",C1114&amp;" "&amp;B1114&amp;" - "&amp;E1114)</f>
        <v/>
      </c>
      <c r="E1114" s="21" t="str">
        <f>IF($B1114="","",Paramètres!$A$28)</f>
        <v/>
      </c>
      <c r="F1114" s="21" t="str">
        <f>IF($B1114="","",Paramètres!$B$28)</f>
        <v/>
      </c>
      <c r="G1114" s="21" t="str">
        <f>IF('Classe 1ère A'!$B74="","",IF('Classe 1ère A'!D74="","",'Classe 1ère A'!D74))</f>
        <v/>
      </c>
      <c r="H1114" s="77" t="str">
        <f>IF('Classe 1ère A'!$B74="","",IF('Classe 1ère A'!E74="","",'Classe 1ère A'!E74))</f>
        <v/>
      </c>
      <c r="I1114" s="20" t="str">
        <f>IF('Classe 1ère A'!$B74="","",IF('Classe 1ère A'!F74="","",'Classe 1ère A'!F74))</f>
        <v/>
      </c>
      <c r="J1114" s="20" t="str">
        <f>IF('Classe 1ère A'!$B74="","",IF('Classe 1ère A'!G74="","",'Classe 1ère A'!G74))</f>
        <v/>
      </c>
      <c r="K1114" s="51" t="str">
        <f>IF('Classe 1ère A'!$B74="","",N('Classe 1ère A'!H74))</f>
        <v/>
      </c>
      <c r="L1114" s="51" t="str">
        <f>IF('Classe 1ère A'!$B74="","",N('Classe 1ère A'!I74))</f>
        <v/>
      </c>
      <c r="M1114" s="51" t="str">
        <f>IF('Classe 1ère A'!$B74="","",N('Classe 1ère A'!J74))</f>
        <v/>
      </c>
      <c r="N1114" s="51" t="str">
        <f>IF('Classe 1ère A'!$B74="","",N('Classe 1ère A'!K74))</f>
        <v/>
      </c>
      <c r="O1114" s="51" t="str">
        <f>IF('Classe 1ère A'!$B74="","",N('Classe 1ère A'!L74))</f>
        <v/>
      </c>
      <c r="P1114" s="51" t="str">
        <f>IF('Classe 1ère A'!$B74="","",N('Classe 1ère A'!M74))</f>
        <v/>
      </c>
      <c r="Q1114" s="21" t="str">
        <f>IF('Classe 1ère A'!$B74="","",IF('Classe 1ère A'!Q74="","",'Classe 1ère A'!Q74))</f>
        <v/>
      </c>
      <c r="R1114" s="51" t="str">
        <f>IF('Classe 1ère A'!$B74="","",N('Classe 1ère A'!N74))</f>
        <v/>
      </c>
      <c r="S1114" s="51" t="str">
        <f>IF('Classe 1ère A'!$B74="","",N('Classe 1ère A'!O74))</f>
        <v/>
      </c>
      <c r="T1114" s="51" t="str">
        <f>IF('Classe 1ère A'!$B74="","",N('Classe 1ère A'!P74))</f>
        <v/>
      </c>
    </row>
    <row r="1115">
      <c r="A1115" s="16" t="str">
        <f>IF('Classe 1ère A'!$B75="","",IF('Classe 1ère A'!A75="","",'Classe 1ère A'!A75))</f>
        <v/>
      </c>
      <c r="B1115" s="16" t="str">
        <f>IF('Classe 1ère A'!$B75="","",IF('Classe 1ère A'!B75="","",'Classe 1ère A'!B75))</f>
        <v/>
      </c>
      <c r="C1115" s="16" t="str">
        <f>IF('Classe 1ère A'!$B75="","",IF('Classe 1ère A'!C75="","",'Classe 1ère A'!C75))</f>
        <v/>
      </c>
      <c r="D1115" s="16" t="str">
        <f>IF($B1115="","",C1115&amp;" "&amp;B1115&amp;" - "&amp;E1115)</f>
        <v/>
      </c>
      <c r="E1115" s="17" t="str">
        <f>IF($B1115="","",Paramètres!$A$28)</f>
        <v/>
      </c>
      <c r="F1115" s="17" t="str">
        <f>IF($B1115="","",Paramètres!$B$28)</f>
        <v/>
      </c>
      <c r="G1115" s="17" t="str">
        <f>IF('Classe 1ère A'!$B75="","",IF('Classe 1ère A'!D75="","",'Classe 1ère A'!D75))</f>
        <v/>
      </c>
      <c r="H1115" s="78" t="str">
        <f>IF('Classe 1ère A'!$B75="","",IF('Classe 1ère A'!E75="","",'Classe 1ère A'!E75))</f>
        <v/>
      </c>
      <c r="I1115" s="16" t="str">
        <f>IF('Classe 1ère A'!$B75="","",IF('Classe 1ère A'!F75="","",'Classe 1ère A'!F75))</f>
        <v/>
      </c>
      <c r="J1115" s="16" t="str">
        <f>IF('Classe 1ère A'!$B75="","",IF('Classe 1ère A'!G75="","",'Classe 1ère A'!G75))</f>
        <v/>
      </c>
      <c r="K1115" s="18" t="str">
        <f>IF('Classe 1ère A'!$B75="","",N('Classe 1ère A'!H75))</f>
        <v/>
      </c>
      <c r="L1115" s="18" t="str">
        <f>IF('Classe 1ère A'!$B75="","",N('Classe 1ère A'!I75))</f>
        <v/>
      </c>
      <c r="M1115" s="18" t="str">
        <f>IF('Classe 1ère A'!$B75="","",N('Classe 1ère A'!J75))</f>
        <v/>
      </c>
      <c r="N1115" s="18" t="str">
        <f>IF('Classe 1ère A'!$B75="","",N('Classe 1ère A'!K75))</f>
        <v/>
      </c>
      <c r="O1115" s="18" t="str">
        <f>IF('Classe 1ère A'!$B75="","",N('Classe 1ère A'!L75))</f>
        <v/>
      </c>
      <c r="P1115" s="18" t="str">
        <f>IF('Classe 1ère A'!$B75="","",N('Classe 1ère A'!M75))</f>
        <v/>
      </c>
      <c r="Q1115" s="17" t="str">
        <f>IF('Classe 1ère A'!$B75="","",IF('Classe 1ère A'!Q75="","",'Classe 1ère A'!Q75))</f>
        <v/>
      </c>
      <c r="R1115" s="18" t="str">
        <f>IF('Classe 1ère A'!$B75="","",N('Classe 1ère A'!N75))</f>
        <v/>
      </c>
      <c r="S1115" s="18" t="str">
        <f>IF('Classe 1ère A'!$B75="","",N('Classe 1ère A'!O75))</f>
        <v/>
      </c>
      <c r="T1115" s="18" t="str">
        <f>IF('Classe 1ère A'!$B75="","",N('Classe 1ère A'!P75))</f>
        <v/>
      </c>
    </row>
    <row r="1116">
      <c r="A1116" s="20" t="str">
        <f>IF('Classe 1ère A'!$B76="","",IF('Classe 1ère A'!A76="","",'Classe 1ère A'!A76))</f>
        <v/>
      </c>
      <c r="B1116" s="20" t="str">
        <f>IF('Classe 1ère A'!$B76="","",IF('Classe 1ère A'!B76="","",'Classe 1ère A'!B76))</f>
        <v/>
      </c>
      <c r="C1116" s="20" t="str">
        <f>IF('Classe 1ère A'!$B76="","",IF('Classe 1ère A'!C76="","",'Classe 1ère A'!C76))</f>
        <v/>
      </c>
      <c r="D1116" s="20" t="str">
        <f>IF($B1116="","",C1116&amp;" "&amp;B1116&amp;" - "&amp;E1116)</f>
        <v/>
      </c>
      <c r="E1116" s="21" t="str">
        <f>IF($B1116="","",Paramètres!$A$28)</f>
        <v/>
      </c>
      <c r="F1116" s="21" t="str">
        <f>IF($B1116="","",Paramètres!$B$28)</f>
        <v/>
      </c>
      <c r="G1116" s="21" t="str">
        <f>IF('Classe 1ère A'!$B76="","",IF('Classe 1ère A'!D76="","",'Classe 1ère A'!D76))</f>
        <v/>
      </c>
      <c r="H1116" s="77" t="str">
        <f>IF('Classe 1ère A'!$B76="","",IF('Classe 1ère A'!E76="","",'Classe 1ère A'!E76))</f>
        <v/>
      </c>
      <c r="I1116" s="20" t="str">
        <f>IF('Classe 1ère A'!$B76="","",IF('Classe 1ère A'!F76="","",'Classe 1ère A'!F76))</f>
        <v/>
      </c>
      <c r="J1116" s="20" t="str">
        <f>IF('Classe 1ère A'!$B76="","",IF('Classe 1ère A'!G76="","",'Classe 1ère A'!G76))</f>
        <v/>
      </c>
      <c r="K1116" s="51" t="str">
        <f>IF('Classe 1ère A'!$B76="","",N('Classe 1ère A'!H76))</f>
        <v/>
      </c>
      <c r="L1116" s="51" t="str">
        <f>IF('Classe 1ère A'!$B76="","",N('Classe 1ère A'!I76))</f>
        <v/>
      </c>
      <c r="M1116" s="51" t="str">
        <f>IF('Classe 1ère A'!$B76="","",N('Classe 1ère A'!J76))</f>
        <v/>
      </c>
      <c r="N1116" s="51" t="str">
        <f>IF('Classe 1ère A'!$B76="","",N('Classe 1ère A'!K76))</f>
        <v/>
      </c>
      <c r="O1116" s="51" t="str">
        <f>IF('Classe 1ère A'!$B76="","",N('Classe 1ère A'!L76))</f>
        <v/>
      </c>
      <c r="P1116" s="51" t="str">
        <f>IF('Classe 1ère A'!$B76="","",N('Classe 1ère A'!M76))</f>
        <v/>
      </c>
      <c r="Q1116" s="21" t="str">
        <f>IF('Classe 1ère A'!$B76="","",IF('Classe 1ère A'!Q76="","",'Classe 1ère A'!Q76))</f>
        <v/>
      </c>
      <c r="R1116" s="51" t="str">
        <f>IF('Classe 1ère A'!$B76="","",N('Classe 1ère A'!N76))</f>
        <v/>
      </c>
      <c r="S1116" s="51" t="str">
        <f>IF('Classe 1ère A'!$B76="","",N('Classe 1ère A'!O76))</f>
        <v/>
      </c>
      <c r="T1116" s="51" t="str">
        <f>IF('Classe 1ère A'!$B76="","",N('Classe 1ère A'!P76))</f>
        <v/>
      </c>
    </row>
    <row r="1117">
      <c r="A1117" s="16" t="str">
        <f>IF('Classe 1ère A'!$B77="","",IF('Classe 1ère A'!A77="","",'Classe 1ère A'!A77))</f>
        <v/>
      </c>
      <c r="B1117" s="16" t="str">
        <f>IF('Classe 1ère A'!$B77="","",IF('Classe 1ère A'!B77="","",'Classe 1ère A'!B77))</f>
        <v/>
      </c>
      <c r="C1117" s="16" t="str">
        <f>IF('Classe 1ère A'!$B77="","",IF('Classe 1ère A'!C77="","",'Classe 1ère A'!C77))</f>
        <v/>
      </c>
      <c r="D1117" s="16" t="str">
        <f>IF($B1117="","",C1117&amp;" "&amp;B1117&amp;" - "&amp;E1117)</f>
        <v/>
      </c>
      <c r="E1117" s="17" t="str">
        <f>IF($B1117="","",Paramètres!$A$28)</f>
        <v/>
      </c>
      <c r="F1117" s="17" t="str">
        <f>IF($B1117="","",Paramètres!$B$28)</f>
        <v/>
      </c>
      <c r="G1117" s="17" t="str">
        <f>IF('Classe 1ère A'!$B77="","",IF('Classe 1ère A'!D77="","",'Classe 1ère A'!D77))</f>
        <v/>
      </c>
      <c r="H1117" s="78" t="str">
        <f>IF('Classe 1ère A'!$B77="","",IF('Classe 1ère A'!E77="","",'Classe 1ère A'!E77))</f>
        <v/>
      </c>
      <c r="I1117" s="16" t="str">
        <f>IF('Classe 1ère A'!$B77="","",IF('Classe 1ère A'!F77="","",'Classe 1ère A'!F77))</f>
        <v/>
      </c>
      <c r="J1117" s="16" t="str">
        <f>IF('Classe 1ère A'!$B77="","",IF('Classe 1ère A'!G77="","",'Classe 1ère A'!G77))</f>
        <v/>
      </c>
      <c r="K1117" s="18" t="str">
        <f>IF('Classe 1ère A'!$B77="","",N('Classe 1ère A'!H77))</f>
        <v/>
      </c>
      <c r="L1117" s="18" t="str">
        <f>IF('Classe 1ère A'!$B77="","",N('Classe 1ère A'!I77))</f>
        <v/>
      </c>
      <c r="M1117" s="18" t="str">
        <f>IF('Classe 1ère A'!$B77="","",N('Classe 1ère A'!J77))</f>
        <v/>
      </c>
      <c r="N1117" s="18" t="str">
        <f>IF('Classe 1ère A'!$B77="","",N('Classe 1ère A'!K77))</f>
        <v/>
      </c>
      <c r="O1117" s="18" t="str">
        <f>IF('Classe 1ère A'!$B77="","",N('Classe 1ère A'!L77))</f>
        <v/>
      </c>
      <c r="P1117" s="18" t="str">
        <f>IF('Classe 1ère A'!$B77="","",N('Classe 1ère A'!M77))</f>
        <v/>
      </c>
      <c r="Q1117" s="17" t="str">
        <f>IF('Classe 1ère A'!$B77="","",IF('Classe 1ère A'!Q77="","",'Classe 1ère A'!Q77))</f>
        <v/>
      </c>
      <c r="R1117" s="18" t="str">
        <f>IF('Classe 1ère A'!$B77="","",N('Classe 1ère A'!N77))</f>
        <v/>
      </c>
      <c r="S1117" s="18" t="str">
        <f>IF('Classe 1ère A'!$B77="","",N('Classe 1ère A'!O77))</f>
        <v/>
      </c>
      <c r="T1117" s="18" t="str">
        <f>IF('Classe 1ère A'!$B77="","",N('Classe 1ère A'!P77))</f>
        <v/>
      </c>
    </row>
    <row r="1118">
      <c r="A1118" s="20" t="str">
        <f>IF('Classe 1ère A'!$B78="","",IF('Classe 1ère A'!A78="","",'Classe 1ère A'!A78))</f>
        <v/>
      </c>
      <c r="B1118" s="20" t="str">
        <f>IF('Classe 1ère A'!$B78="","",IF('Classe 1ère A'!B78="","",'Classe 1ère A'!B78))</f>
        <v/>
      </c>
      <c r="C1118" s="20" t="str">
        <f>IF('Classe 1ère A'!$B78="","",IF('Classe 1ère A'!C78="","",'Classe 1ère A'!C78))</f>
        <v/>
      </c>
      <c r="D1118" s="20" t="str">
        <f>IF($B1118="","",C1118&amp;" "&amp;B1118&amp;" - "&amp;E1118)</f>
        <v/>
      </c>
      <c r="E1118" s="21" t="str">
        <f>IF($B1118="","",Paramètres!$A$28)</f>
        <v/>
      </c>
      <c r="F1118" s="21" t="str">
        <f>IF($B1118="","",Paramètres!$B$28)</f>
        <v/>
      </c>
      <c r="G1118" s="21" t="str">
        <f>IF('Classe 1ère A'!$B78="","",IF('Classe 1ère A'!D78="","",'Classe 1ère A'!D78))</f>
        <v/>
      </c>
      <c r="H1118" s="77" t="str">
        <f>IF('Classe 1ère A'!$B78="","",IF('Classe 1ère A'!E78="","",'Classe 1ère A'!E78))</f>
        <v/>
      </c>
      <c r="I1118" s="20" t="str">
        <f>IF('Classe 1ère A'!$B78="","",IF('Classe 1ère A'!F78="","",'Classe 1ère A'!F78))</f>
        <v/>
      </c>
      <c r="J1118" s="20" t="str">
        <f>IF('Classe 1ère A'!$B78="","",IF('Classe 1ère A'!G78="","",'Classe 1ère A'!G78))</f>
        <v/>
      </c>
      <c r="K1118" s="51" t="str">
        <f>IF('Classe 1ère A'!$B78="","",N('Classe 1ère A'!H78))</f>
        <v/>
      </c>
      <c r="L1118" s="51" t="str">
        <f>IF('Classe 1ère A'!$B78="","",N('Classe 1ère A'!I78))</f>
        <v/>
      </c>
      <c r="M1118" s="51" t="str">
        <f>IF('Classe 1ère A'!$B78="","",N('Classe 1ère A'!J78))</f>
        <v/>
      </c>
      <c r="N1118" s="51" t="str">
        <f>IF('Classe 1ère A'!$B78="","",N('Classe 1ère A'!K78))</f>
        <v/>
      </c>
      <c r="O1118" s="51" t="str">
        <f>IF('Classe 1ère A'!$B78="","",N('Classe 1ère A'!L78))</f>
        <v/>
      </c>
      <c r="P1118" s="51" t="str">
        <f>IF('Classe 1ère A'!$B78="","",N('Classe 1ère A'!M78))</f>
        <v/>
      </c>
      <c r="Q1118" s="21" t="str">
        <f>IF('Classe 1ère A'!$B78="","",IF('Classe 1ère A'!Q78="","",'Classe 1ère A'!Q78))</f>
        <v/>
      </c>
      <c r="R1118" s="51" t="str">
        <f>IF('Classe 1ère A'!$B78="","",N('Classe 1ère A'!N78))</f>
        <v/>
      </c>
      <c r="S1118" s="51" t="str">
        <f>IF('Classe 1ère A'!$B78="","",N('Classe 1ère A'!O78))</f>
        <v/>
      </c>
      <c r="T1118" s="51" t="str">
        <f>IF('Classe 1ère A'!$B78="","",N('Classe 1ère A'!P78))</f>
        <v/>
      </c>
    </row>
    <row r="1119">
      <c r="A1119" s="16" t="str">
        <f>IF('Classe 1ère A'!$B79="","",IF('Classe 1ère A'!A79="","",'Classe 1ère A'!A79))</f>
        <v/>
      </c>
      <c r="B1119" s="16" t="str">
        <f>IF('Classe 1ère A'!$B79="","",IF('Classe 1ère A'!B79="","",'Classe 1ère A'!B79))</f>
        <v/>
      </c>
      <c r="C1119" s="16" t="str">
        <f>IF('Classe 1ère A'!$B79="","",IF('Classe 1ère A'!C79="","",'Classe 1ère A'!C79))</f>
        <v/>
      </c>
      <c r="D1119" s="16" t="str">
        <f>IF($B1119="","",C1119&amp;" "&amp;B1119&amp;" - "&amp;E1119)</f>
        <v/>
      </c>
      <c r="E1119" s="17" t="str">
        <f>IF($B1119="","",Paramètres!$A$28)</f>
        <v/>
      </c>
      <c r="F1119" s="17" t="str">
        <f>IF($B1119="","",Paramètres!$B$28)</f>
        <v/>
      </c>
      <c r="G1119" s="17" t="str">
        <f>IF('Classe 1ère A'!$B79="","",IF('Classe 1ère A'!D79="","",'Classe 1ère A'!D79))</f>
        <v/>
      </c>
      <c r="H1119" s="78" t="str">
        <f>IF('Classe 1ère A'!$B79="","",IF('Classe 1ère A'!E79="","",'Classe 1ère A'!E79))</f>
        <v/>
      </c>
      <c r="I1119" s="16" t="str">
        <f>IF('Classe 1ère A'!$B79="","",IF('Classe 1ère A'!F79="","",'Classe 1ère A'!F79))</f>
        <v/>
      </c>
      <c r="J1119" s="16" t="str">
        <f>IF('Classe 1ère A'!$B79="","",IF('Classe 1ère A'!G79="","",'Classe 1ère A'!G79))</f>
        <v/>
      </c>
      <c r="K1119" s="18" t="str">
        <f>IF('Classe 1ère A'!$B79="","",N('Classe 1ère A'!H79))</f>
        <v/>
      </c>
      <c r="L1119" s="18" t="str">
        <f>IF('Classe 1ère A'!$B79="","",N('Classe 1ère A'!I79))</f>
        <v/>
      </c>
      <c r="M1119" s="18" t="str">
        <f>IF('Classe 1ère A'!$B79="","",N('Classe 1ère A'!J79))</f>
        <v/>
      </c>
      <c r="N1119" s="18" t="str">
        <f>IF('Classe 1ère A'!$B79="","",N('Classe 1ère A'!K79))</f>
        <v/>
      </c>
      <c r="O1119" s="18" t="str">
        <f>IF('Classe 1ère A'!$B79="","",N('Classe 1ère A'!L79))</f>
        <v/>
      </c>
      <c r="P1119" s="18" t="str">
        <f>IF('Classe 1ère A'!$B79="","",N('Classe 1ère A'!M79))</f>
        <v/>
      </c>
      <c r="Q1119" s="17" t="str">
        <f>IF('Classe 1ère A'!$B79="","",IF('Classe 1ère A'!Q79="","",'Classe 1ère A'!Q79))</f>
        <v/>
      </c>
      <c r="R1119" s="18" t="str">
        <f>IF('Classe 1ère A'!$B79="","",N('Classe 1ère A'!N79))</f>
        <v/>
      </c>
      <c r="S1119" s="18" t="str">
        <f>IF('Classe 1ère A'!$B79="","",N('Classe 1ère A'!O79))</f>
        <v/>
      </c>
      <c r="T1119" s="18" t="str">
        <f>IF('Classe 1ère A'!$B79="","",N('Classe 1ère A'!P79))</f>
        <v/>
      </c>
    </row>
    <row r="1120">
      <c r="A1120" s="20" t="str">
        <f>IF('Classe 1ère A'!$B80="","",IF('Classe 1ère A'!A80="","",'Classe 1ère A'!A80))</f>
        <v/>
      </c>
      <c r="B1120" s="20" t="str">
        <f>IF('Classe 1ère A'!$B80="","",IF('Classe 1ère A'!B80="","",'Classe 1ère A'!B80))</f>
        <v/>
      </c>
      <c r="C1120" s="20" t="str">
        <f>IF('Classe 1ère A'!$B80="","",IF('Classe 1ère A'!C80="","",'Classe 1ère A'!C80))</f>
        <v/>
      </c>
      <c r="D1120" s="20" t="str">
        <f>IF($B1120="","",C1120&amp;" "&amp;B1120&amp;" - "&amp;E1120)</f>
        <v/>
      </c>
      <c r="E1120" s="21" t="str">
        <f>IF($B1120="","",Paramètres!$A$28)</f>
        <v/>
      </c>
      <c r="F1120" s="21" t="str">
        <f>IF($B1120="","",Paramètres!$B$28)</f>
        <v/>
      </c>
      <c r="G1120" s="21" t="str">
        <f>IF('Classe 1ère A'!$B80="","",IF('Classe 1ère A'!D80="","",'Classe 1ère A'!D80))</f>
        <v/>
      </c>
      <c r="H1120" s="77" t="str">
        <f>IF('Classe 1ère A'!$B80="","",IF('Classe 1ère A'!E80="","",'Classe 1ère A'!E80))</f>
        <v/>
      </c>
      <c r="I1120" s="20" t="str">
        <f>IF('Classe 1ère A'!$B80="","",IF('Classe 1ère A'!F80="","",'Classe 1ère A'!F80))</f>
        <v/>
      </c>
      <c r="J1120" s="20" t="str">
        <f>IF('Classe 1ère A'!$B80="","",IF('Classe 1ère A'!G80="","",'Classe 1ère A'!G80))</f>
        <v/>
      </c>
      <c r="K1120" s="51" t="str">
        <f>IF('Classe 1ère A'!$B80="","",N('Classe 1ère A'!H80))</f>
        <v/>
      </c>
      <c r="L1120" s="51" t="str">
        <f>IF('Classe 1ère A'!$B80="","",N('Classe 1ère A'!I80))</f>
        <v/>
      </c>
      <c r="M1120" s="51" t="str">
        <f>IF('Classe 1ère A'!$B80="","",N('Classe 1ère A'!J80))</f>
        <v/>
      </c>
      <c r="N1120" s="51" t="str">
        <f>IF('Classe 1ère A'!$B80="","",N('Classe 1ère A'!K80))</f>
        <v/>
      </c>
      <c r="O1120" s="51" t="str">
        <f>IF('Classe 1ère A'!$B80="","",N('Classe 1ère A'!L80))</f>
        <v/>
      </c>
      <c r="P1120" s="51" t="str">
        <f>IF('Classe 1ère A'!$B80="","",N('Classe 1ère A'!M80))</f>
        <v/>
      </c>
      <c r="Q1120" s="21" t="str">
        <f>IF('Classe 1ère A'!$B80="","",IF('Classe 1ère A'!Q80="","",'Classe 1ère A'!Q80))</f>
        <v/>
      </c>
      <c r="R1120" s="51" t="str">
        <f>IF('Classe 1ère A'!$B80="","",N('Classe 1ère A'!N80))</f>
        <v/>
      </c>
      <c r="S1120" s="51" t="str">
        <f>IF('Classe 1ère A'!$B80="","",N('Classe 1ère A'!O80))</f>
        <v/>
      </c>
      <c r="T1120" s="51" t="str">
        <f>IF('Classe 1ère A'!$B80="","",N('Classe 1ère A'!P80))</f>
        <v/>
      </c>
    </row>
    <row r="1121">
      <c r="A1121" s="16" t="str">
        <f>IF('Classe 1ère A'!$B81="","",IF('Classe 1ère A'!A81="","",'Classe 1ère A'!A81))</f>
        <v/>
      </c>
      <c r="B1121" s="16" t="str">
        <f>IF('Classe 1ère A'!$B81="","",IF('Classe 1ère A'!B81="","",'Classe 1ère A'!B81))</f>
        <v/>
      </c>
      <c r="C1121" s="16" t="str">
        <f>IF('Classe 1ère A'!$B81="","",IF('Classe 1ère A'!C81="","",'Classe 1ère A'!C81))</f>
        <v/>
      </c>
      <c r="D1121" s="16" t="str">
        <f>IF($B1121="","",C1121&amp;" "&amp;B1121&amp;" - "&amp;E1121)</f>
        <v/>
      </c>
      <c r="E1121" s="17" t="str">
        <f>IF($B1121="","",Paramètres!$A$28)</f>
        <v/>
      </c>
      <c r="F1121" s="17" t="str">
        <f>IF($B1121="","",Paramètres!$B$28)</f>
        <v/>
      </c>
      <c r="G1121" s="17" t="str">
        <f>IF('Classe 1ère A'!$B81="","",IF('Classe 1ère A'!D81="","",'Classe 1ère A'!D81))</f>
        <v/>
      </c>
      <c r="H1121" s="78" t="str">
        <f>IF('Classe 1ère A'!$B81="","",IF('Classe 1ère A'!E81="","",'Classe 1ère A'!E81))</f>
        <v/>
      </c>
      <c r="I1121" s="16" t="str">
        <f>IF('Classe 1ère A'!$B81="","",IF('Classe 1ère A'!F81="","",'Classe 1ère A'!F81))</f>
        <v/>
      </c>
      <c r="J1121" s="16" t="str">
        <f>IF('Classe 1ère A'!$B81="","",IF('Classe 1ère A'!G81="","",'Classe 1ère A'!G81))</f>
        <v/>
      </c>
      <c r="K1121" s="18" t="str">
        <f>IF('Classe 1ère A'!$B81="","",N('Classe 1ère A'!H81))</f>
        <v/>
      </c>
      <c r="L1121" s="18" t="str">
        <f>IF('Classe 1ère A'!$B81="","",N('Classe 1ère A'!I81))</f>
        <v/>
      </c>
      <c r="M1121" s="18" t="str">
        <f>IF('Classe 1ère A'!$B81="","",N('Classe 1ère A'!J81))</f>
        <v/>
      </c>
      <c r="N1121" s="18" t="str">
        <f>IF('Classe 1ère A'!$B81="","",N('Classe 1ère A'!K81))</f>
        <v/>
      </c>
      <c r="O1121" s="18" t="str">
        <f>IF('Classe 1ère A'!$B81="","",N('Classe 1ère A'!L81))</f>
        <v/>
      </c>
      <c r="P1121" s="18" t="str">
        <f>IF('Classe 1ère A'!$B81="","",N('Classe 1ère A'!M81))</f>
        <v/>
      </c>
      <c r="Q1121" s="17" t="str">
        <f>IF('Classe 1ère A'!$B81="","",IF('Classe 1ère A'!Q81="","",'Classe 1ère A'!Q81))</f>
        <v/>
      </c>
      <c r="R1121" s="18" t="str">
        <f>IF('Classe 1ère A'!$B81="","",N('Classe 1ère A'!N81))</f>
        <v/>
      </c>
      <c r="S1121" s="18" t="str">
        <f>IF('Classe 1ère A'!$B81="","",N('Classe 1ère A'!O81))</f>
        <v/>
      </c>
      <c r="T1121" s="18" t="str">
        <f>IF('Classe 1ère A'!$B81="","",N('Classe 1ère A'!P81))</f>
        <v/>
      </c>
    </row>
    <row r="1122">
      <c r="A1122" s="20" t="str">
        <f>IF('Classe 1ère A'!$B82="","",IF('Classe 1ère A'!A82="","",'Classe 1ère A'!A82))</f>
        <v/>
      </c>
      <c r="B1122" s="20" t="str">
        <f>IF('Classe 1ère A'!$B82="","",IF('Classe 1ère A'!B82="","",'Classe 1ère A'!B82))</f>
        <v/>
      </c>
      <c r="C1122" s="20" t="str">
        <f>IF('Classe 1ère A'!$B82="","",IF('Classe 1ère A'!C82="","",'Classe 1ère A'!C82))</f>
        <v/>
      </c>
      <c r="D1122" s="20" t="str">
        <f>IF($B1122="","",C1122&amp;" "&amp;B1122&amp;" - "&amp;E1122)</f>
        <v/>
      </c>
      <c r="E1122" s="21" t="str">
        <f>IF($B1122="","",Paramètres!$A$28)</f>
        <v/>
      </c>
      <c r="F1122" s="21" t="str">
        <f>IF($B1122="","",Paramètres!$B$28)</f>
        <v/>
      </c>
      <c r="G1122" s="21" t="str">
        <f>IF('Classe 1ère A'!$B82="","",IF('Classe 1ère A'!D82="","",'Classe 1ère A'!D82))</f>
        <v/>
      </c>
      <c r="H1122" s="77" t="str">
        <f>IF('Classe 1ère A'!$B82="","",IF('Classe 1ère A'!E82="","",'Classe 1ère A'!E82))</f>
        <v/>
      </c>
      <c r="I1122" s="20" t="str">
        <f>IF('Classe 1ère A'!$B82="","",IF('Classe 1ère A'!F82="","",'Classe 1ère A'!F82))</f>
        <v/>
      </c>
      <c r="J1122" s="20" t="str">
        <f>IF('Classe 1ère A'!$B82="","",IF('Classe 1ère A'!G82="","",'Classe 1ère A'!G82))</f>
        <v/>
      </c>
      <c r="K1122" s="51" t="str">
        <f>IF('Classe 1ère A'!$B82="","",N('Classe 1ère A'!H82))</f>
        <v/>
      </c>
      <c r="L1122" s="51" t="str">
        <f>IF('Classe 1ère A'!$B82="","",N('Classe 1ère A'!I82))</f>
        <v/>
      </c>
      <c r="M1122" s="51" t="str">
        <f>IF('Classe 1ère A'!$B82="","",N('Classe 1ère A'!J82))</f>
        <v/>
      </c>
      <c r="N1122" s="51" t="str">
        <f>IF('Classe 1ère A'!$B82="","",N('Classe 1ère A'!K82))</f>
        <v/>
      </c>
      <c r="O1122" s="51" t="str">
        <f>IF('Classe 1ère A'!$B82="","",N('Classe 1ère A'!L82))</f>
        <v/>
      </c>
      <c r="P1122" s="51" t="str">
        <f>IF('Classe 1ère A'!$B82="","",N('Classe 1ère A'!M82))</f>
        <v/>
      </c>
      <c r="Q1122" s="21" t="str">
        <f>IF('Classe 1ère A'!$B82="","",IF('Classe 1ère A'!Q82="","",'Classe 1ère A'!Q82))</f>
        <v/>
      </c>
      <c r="R1122" s="51" t="str">
        <f>IF('Classe 1ère A'!$B82="","",N('Classe 1ère A'!N82))</f>
        <v/>
      </c>
      <c r="S1122" s="51" t="str">
        <f>IF('Classe 1ère A'!$B82="","",N('Classe 1ère A'!O82))</f>
        <v/>
      </c>
      <c r="T1122" s="51" t="str">
        <f>IF('Classe 1ère A'!$B82="","",N('Classe 1ère A'!P82))</f>
        <v/>
      </c>
    </row>
    <row r="1123">
      <c r="A1123" s="16" t="str">
        <f>IF('Classe 1ère A'!$B83="","",IF('Classe 1ère A'!A83="","",'Classe 1ère A'!A83))</f>
        <v/>
      </c>
      <c r="B1123" s="16" t="str">
        <f>IF('Classe 1ère A'!$B83="","",IF('Classe 1ère A'!B83="","",'Classe 1ère A'!B83))</f>
        <v/>
      </c>
      <c r="C1123" s="16" t="str">
        <f>IF('Classe 1ère A'!$B83="","",IF('Classe 1ère A'!C83="","",'Classe 1ère A'!C83))</f>
        <v/>
      </c>
      <c r="D1123" s="16" t="str">
        <f>IF($B1123="","",C1123&amp;" "&amp;B1123&amp;" - "&amp;E1123)</f>
        <v/>
      </c>
      <c r="E1123" s="17" t="str">
        <f>IF($B1123="","",Paramètres!$A$28)</f>
        <v/>
      </c>
      <c r="F1123" s="17" t="str">
        <f>IF($B1123="","",Paramètres!$B$28)</f>
        <v/>
      </c>
      <c r="G1123" s="17" t="str">
        <f>IF('Classe 1ère A'!$B83="","",IF('Classe 1ère A'!D83="","",'Classe 1ère A'!D83))</f>
        <v/>
      </c>
      <c r="H1123" s="78" t="str">
        <f>IF('Classe 1ère A'!$B83="","",IF('Classe 1ère A'!E83="","",'Classe 1ère A'!E83))</f>
        <v/>
      </c>
      <c r="I1123" s="16" t="str">
        <f>IF('Classe 1ère A'!$B83="","",IF('Classe 1ère A'!F83="","",'Classe 1ère A'!F83))</f>
        <v/>
      </c>
      <c r="J1123" s="16" t="str">
        <f>IF('Classe 1ère A'!$B83="","",IF('Classe 1ère A'!G83="","",'Classe 1ère A'!G83))</f>
        <v/>
      </c>
      <c r="K1123" s="18" t="str">
        <f>IF('Classe 1ère A'!$B83="","",N('Classe 1ère A'!H83))</f>
        <v/>
      </c>
      <c r="L1123" s="18" t="str">
        <f>IF('Classe 1ère A'!$B83="","",N('Classe 1ère A'!I83))</f>
        <v/>
      </c>
      <c r="M1123" s="18" t="str">
        <f>IF('Classe 1ère A'!$B83="","",N('Classe 1ère A'!J83))</f>
        <v/>
      </c>
      <c r="N1123" s="18" t="str">
        <f>IF('Classe 1ère A'!$B83="","",N('Classe 1ère A'!K83))</f>
        <v/>
      </c>
      <c r="O1123" s="18" t="str">
        <f>IF('Classe 1ère A'!$B83="","",N('Classe 1ère A'!L83))</f>
        <v/>
      </c>
      <c r="P1123" s="18" t="str">
        <f>IF('Classe 1ère A'!$B83="","",N('Classe 1ère A'!M83))</f>
        <v/>
      </c>
      <c r="Q1123" s="17" t="str">
        <f>IF('Classe 1ère A'!$B83="","",IF('Classe 1ère A'!Q83="","",'Classe 1ère A'!Q83))</f>
        <v/>
      </c>
      <c r="R1123" s="18" t="str">
        <f>IF('Classe 1ère A'!$B83="","",N('Classe 1ère A'!N83))</f>
        <v/>
      </c>
      <c r="S1123" s="18" t="str">
        <f>IF('Classe 1ère A'!$B83="","",N('Classe 1ère A'!O83))</f>
        <v/>
      </c>
      <c r="T1123" s="18" t="str">
        <f>IF('Classe 1ère A'!$B83="","",N('Classe 1ère A'!P83))</f>
        <v/>
      </c>
    </row>
    <row r="1124">
      <c r="A1124" s="20" t="str">
        <f>IF('Classe 1ère D'!$B4="","",IF('Classe 1ère D'!A4="","",'Classe 1ère D'!A4))</f>
        <v/>
      </c>
      <c r="B1124" s="20" t="str">
        <f>IF('Classe 1ère D'!$B4="","",IF('Classe 1ère D'!B4="","",'Classe 1ère D'!B4))</f>
        <v/>
      </c>
      <c r="C1124" s="20" t="str">
        <f>IF('Classe 1ère D'!$B4="","",IF('Classe 1ère D'!C4="","",'Classe 1ère D'!C4))</f>
        <v/>
      </c>
      <c r="D1124" s="20" t="str">
        <f>IF($B1124="","",C1124&amp;" "&amp;B1124&amp;" - "&amp;E1124)</f>
        <v/>
      </c>
      <c r="E1124" s="21" t="str">
        <f>IF($B1124="","",Paramètres!$A$29)</f>
        <v/>
      </c>
      <c r="F1124" s="21" t="str">
        <f>IF($B1124="","",Paramètres!$B$29)</f>
        <v/>
      </c>
      <c r="G1124" s="21" t="str">
        <f>IF('Classe 1ère D'!$B4="","",IF('Classe 1ère D'!D4="","",'Classe 1ère D'!D4))</f>
        <v/>
      </c>
      <c r="H1124" s="77" t="str">
        <f>IF('Classe 1ère D'!$B4="","",IF('Classe 1ère D'!E4="","",'Classe 1ère D'!E4))</f>
        <v/>
      </c>
      <c r="I1124" s="20" t="str">
        <f>IF('Classe 1ère D'!$B4="","",IF('Classe 1ère D'!F4="","",'Classe 1ère D'!F4))</f>
        <v/>
      </c>
      <c r="J1124" s="20" t="str">
        <f>IF('Classe 1ère D'!$B4="","",IF('Classe 1ère D'!G4="","",'Classe 1ère D'!G4))</f>
        <v/>
      </c>
      <c r="K1124" s="51" t="str">
        <f>IF('Classe 1ère D'!$B4="","",N('Classe 1ère D'!H4))</f>
        <v/>
      </c>
      <c r="L1124" s="51" t="str">
        <f>IF('Classe 1ère D'!$B4="","",N('Classe 1ère D'!I4))</f>
        <v/>
      </c>
      <c r="M1124" s="51" t="str">
        <f>IF('Classe 1ère D'!$B4="","",N('Classe 1ère D'!J4))</f>
        <v/>
      </c>
      <c r="N1124" s="51" t="str">
        <f>IF('Classe 1ère D'!$B4="","",N('Classe 1ère D'!K4))</f>
        <v/>
      </c>
      <c r="O1124" s="51" t="str">
        <f>IF('Classe 1ère D'!$B4="","",N('Classe 1ère D'!L4))</f>
        <v/>
      </c>
      <c r="P1124" s="51" t="str">
        <f>IF('Classe 1ère D'!$B4="","",N('Classe 1ère D'!M4))</f>
        <v/>
      </c>
      <c r="Q1124" s="21" t="str">
        <f>IF('Classe 1ère D'!$B4="","",IF('Classe 1ère D'!Q4="","",'Classe 1ère D'!Q4))</f>
        <v/>
      </c>
      <c r="R1124" s="51" t="str">
        <f>IF('Classe 1ère D'!$B4="","",N('Classe 1ère D'!N4))</f>
        <v/>
      </c>
      <c r="S1124" s="51" t="str">
        <f>IF('Classe 1ère D'!$B4="","",N('Classe 1ère D'!O4))</f>
        <v/>
      </c>
      <c r="T1124" s="51" t="str">
        <f>IF('Classe 1ère D'!$B4="","",N('Classe 1ère D'!P4))</f>
        <v/>
      </c>
    </row>
    <row r="1125">
      <c r="A1125" s="16" t="str">
        <f>IF('Classe 1ère D'!$B5="","",IF('Classe 1ère D'!A5="","",'Classe 1ère D'!A5))</f>
        <v/>
      </c>
      <c r="B1125" s="16" t="str">
        <f>IF('Classe 1ère D'!$B5="","",IF('Classe 1ère D'!B5="","",'Classe 1ère D'!B5))</f>
        <v/>
      </c>
      <c r="C1125" s="16" t="str">
        <f>IF('Classe 1ère D'!$B5="","",IF('Classe 1ère D'!C5="","",'Classe 1ère D'!C5))</f>
        <v/>
      </c>
      <c r="D1125" s="16" t="str">
        <f>IF($B1125="","",C1125&amp;" "&amp;B1125&amp;" - "&amp;E1125)</f>
        <v/>
      </c>
      <c r="E1125" s="17" t="str">
        <f>IF($B1125="","",Paramètres!$A$29)</f>
        <v/>
      </c>
      <c r="F1125" s="17" t="str">
        <f>IF($B1125="","",Paramètres!$B$29)</f>
        <v/>
      </c>
      <c r="G1125" s="17" t="str">
        <f>IF('Classe 1ère D'!$B5="","",IF('Classe 1ère D'!D5="","",'Classe 1ère D'!D5))</f>
        <v/>
      </c>
      <c r="H1125" s="78" t="str">
        <f>IF('Classe 1ère D'!$B5="","",IF('Classe 1ère D'!E5="","",'Classe 1ère D'!E5))</f>
        <v/>
      </c>
      <c r="I1125" s="16" t="str">
        <f>IF('Classe 1ère D'!$B5="","",IF('Classe 1ère D'!F5="","",'Classe 1ère D'!F5))</f>
        <v/>
      </c>
      <c r="J1125" s="16" t="str">
        <f>IF('Classe 1ère D'!$B5="","",IF('Classe 1ère D'!G5="","",'Classe 1ère D'!G5))</f>
        <v/>
      </c>
      <c r="K1125" s="18" t="str">
        <f>IF('Classe 1ère D'!$B5="","",N('Classe 1ère D'!H5))</f>
        <v/>
      </c>
      <c r="L1125" s="18" t="str">
        <f>IF('Classe 1ère D'!$B5="","",N('Classe 1ère D'!I5))</f>
        <v/>
      </c>
      <c r="M1125" s="18" t="str">
        <f>IF('Classe 1ère D'!$B5="","",N('Classe 1ère D'!J5))</f>
        <v/>
      </c>
      <c r="N1125" s="18" t="str">
        <f>IF('Classe 1ère D'!$B5="","",N('Classe 1ère D'!K5))</f>
        <v/>
      </c>
      <c r="O1125" s="18" t="str">
        <f>IF('Classe 1ère D'!$B5="","",N('Classe 1ère D'!L5))</f>
        <v/>
      </c>
      <c r="P1125" s="18" t="str">
        <f>IF('Classe 1ère D'!$B5="","",N('Classe 1ère D'!M5))</f>
        <v/>
      </c>
      <c r="Q1125" s="17" t="str">
        <f>IF('Classe 1ère D'!$B5="","",IF('Classe 1ère D'!Q5="","",'Classe 1ère D'!Q5))</f>
        <v/>
      </c>
      <c r="R1125" s="18" t="str">
        <f>IF('Classe 1ère D'!$B5="","",N('Classe 1ère D'!N5))</f>
        <v/>
      </c>
      <c r="S1125" s="18" t="str">
        <f>IF('Classe 1ère D'!$B5="","",N('Classe 1ère D'!O5))</f>
        <v/>
      </c>
      <c r="T1125" s="18" t="str">
        <f>IF('Classe 1ère D'!$B5="","",N('Classe 1ère D'!P5))</f>
        <v/>
      </c>
    </row>
    <row r="1126">
      <c r="A1126" s="20" t="str">
        <f>IF('Classe 1ère D'!$B6="","",IF('Classe 1ère D'!A6="","",'Classe 1ère D'!A6))</f>
        <v/>
      </c>
      <c r="B1126" s="20" t="str">
        <f>IF('Classe 1ère D'!$B6="","",IF('Classe 1ère D'!B6="","",'Classe 1ère D'!B6))</f>
        <v/>
      </c>
      <c r="C1126" s="20" t="str">
        <f>IF('Classe 1ère D'!$B6="","",IF('Classe 1ère D'!C6="","",'Classe 1ère D'!C6))</f>
        <v/>
      </c>
      <c r="D1126" s="20" t="str">
        <f>IF($B1126="","",C1126&amp;" "&amp;B1126&amp;" - "&amp;E1126)</f>
        <v/>
      </c>
      <c r="E1126" s="21" t="str">
        <f>IF($B1126="","",Paramètres!$A$29)</f>
        <v/>
      </c>
      <c r="F1126" s="21" t="str">
        <f>IF($B1126="","",Paramètres!$B$29)</f>
        <v/>
      </c>
      <c r="G1126" s="21" t="str">
        <f>IF('Classe 1ère D'!$B6="","",IF('Classe 1ère D'!D6="","",'Classe 1ère D'!D6))</f>
        <v/>
      </c>
      <c r="H1126" s="77" t="str">
        <f>IF('Classe 1ère D'!$B6="","",IF('Classe 1ère D'!E6="","",'Classe 1ère D'!E6))</f>
        <v/>
      </c>
      <c r="I1126" s="20" t="str">
        <f>IF('Classe 1ère D'!$B6="","",IF('Classe 1ère D'!F6="","",'Classe 1ère D'!F6))</f>
        <v/>
      </c>
      <c r="J1126" s="20" t="str">
        <f>IF('Classe 1ère D'!$B6="","",IF('Classe 1ère D'!G6="","",'Classe 1ère D'!G6))</f>
        <v/>
      </c>
      <c r="K1126" s="51" t="str">
        <f>IF('Classe 1ère D'!$B6="","",N('Classe 1ère D'!H6))</f>
        <v/>
      </c>
      <c r="L1126" s="51" t="str">
        <f>IF('Classe 1ère D'!$B6="","",N('Classe 1ère D'!I6))</f>
        <v/>
      </c>
      <c r="M1126" s="51" t="str">
        <f>IF('Classe 1ère D'!$B6="","",N('Classe 1ère D'!J6))</f>
        <v/>
      </c>
      <c r="N1126" s="51" t="str">
        <f>IF('Classe 1ère D'!$B6="","",N('Classe 1ère D'!K6))</f>
        <v/>
      </c>
      <c r="O1126" s="51" t="str">
        <f>IF('Classe 1ère D'!$B6="","",N('Classe 1ère D'!L6))</f>
        <v/>
      </c>
      <c r="P1126" s="51" t="str">
        <f>IF('Classe 1ère D'!$B6="","",N('Classe 1ère D'!M6))</f>
        <v/>
      </c>
      <c r="Q1126" s="21" t="str">
        <f>IF('Classe 1ère D'!$B6="","",IF('Classe 1ère D'!Q6="","",'Classe 1ère D'!Q6))</f>
        <v/>
      </c>
      <c r="R1126" s="51" t="str">
        <f>IF('Classe 1ère D'!$B6="","",N('Classe 1ère D'!N6))</f>
        <v/>
      </c>
      <c r="S1126" s="51" t="str">
        <f>IF('Classe 1ère D'!$B6="","",N('Classe 1ère D'!O6))</f>
        <v/>
      </c>
      <c r="T1126" s="51" t="str">
        <f>IF('Classe 1ère D'!$B6="","",N('Classe 1ère D'!P6))</f>
        <v/>
      </c>
    </row>
    <row r="1127">
      <c r="A1127" s="16" t="str">
        <f>IF('Classe 1ère D'!$B7="","",IF('Classe 1ère D'!A7="","",'Classe 1ère D'!A7))</f>
        <v/>
      </c>
      <c r="B1127" s="16" t="str">
        <f>IF('Classe 1ère D'!$B7="","",IF('Classe 1ère D'!B7="","",'Classe 1ère D'!B7))</f>
        <v/>
      </c>
      <c r="C1127" s="16" t="str">
        <f>IF('Classe 1ère D'!$B7="","",IF('Classe 1ère D'!C7="","",'Classe 1ère D'!C7))</f>
        <v/>
      </c>
      <c r="D1127" s="16" t="str">
        <f>IF($B1127="","",C1127&amp;" "&amp;B1127&amp;" - "&amp;E1127)</f>
        <v/>
      </c>
      <c r="E1127" s="17" t="str">
        <f>IF($B1127="","",Paramètres!$A$29)</f>
        <v/>
      </c>
      <c r="F1127" s="17" t="str">
        <f>IF($B1127="","",Paramètres!$B$29)</f>
        <v/>
      </c>
      <c r="G1127" s="17" t="str">
        <f>IF('Classe 1ère D'!$B7="","",IF('Classe 1ère D'!D7="","",'Classe 1ère D'!D7))</f>
        <v/>
      </c>
      <c r="H1127" s="78" t="str">
        <f>IF('Classe 1ère D'!$B7="","",IF('Classe 1ère D'!E7="","",'Classe 1ère D'!E7))</f>
        <v/>
      </c>
      <c r="I1127" s="16" t="str">
        <f>IF('Classe 1ère D'!$B7="","",IF('Classe 1ère D'!F7="","",'Classe 1ère D'!F7))</f>
        <v/>
      </c>
      <c r="J1127" s="16" t="str">
        <f>IF('Classe 1ère D'!$B7="","",IF('Classe 1ère D'!G7="","",'Classe 1ère D'!G7))</f>
        <v/>
      </c>
      <c r="K1127" s="18" t="str">
        <f>IF('Classe 1ère D'!$B7="","",N('Classe 1ère D'!H7))</f>
        <v/>
      </c>
      <c r="L1127" s="18" t="str">
        <f>IF('Classe 1ère D'!$B7="","",N('Classe 1ère D'!I7))</f>
        <v/>
      </c>
      <c r="M1127" s="18" t="str">
        <f>IF('Classe 1ère D'!$B7="","",N('Classe 1ère D'!J7))</f>
        <v/>
      </c>
      <c r="N1127" s="18" t="str">
        <f>IF('Classe 1ère D'!$B7="","",N('Classe 1ère D'!K7))</f>
        <v/>
      </c>
      <c r="O1127" s="18" t="str">
        <f>IF('Classe 1ère D'!$B7="","",N('Classe 1ère D'!L7))</f>
        <v/>
      </c>
      <c r="P1127" s="18" t="str">
        <f>IF('Classe 1ère D'!$B7="","",N('Classe 1ère D'!M7))</f>
        <v/>
      </c>
      <c r="Q1127" s="17" t="str">
        <f>IF('Classe 1ère D'!$B7="","",IF('Classe 1ère D'!Q7="","",'Classe 1ère D'!Q7))</f>
        <v/>
      </c>
      <c r="R1127" s="18" t="str">
        <f>IF('Classe 1ère D'!$B7="","",N('Classe 1ère D'!N7))</f>
        <v/>
      </c>
      <c r="S1127" s="18" t="str">
        <f>IF('Classe 1ère D'!$B7="","",N('Classe 1ère D'!O7))</f>
        <v/>
      </c>
      <c r="T1127" s="18" t="str">
        <f>IF('Classe 1ère D'!$B7="","",N('Classe 1ère D'!P7))</f>
        <v/>
      </c>
    </row>
    <row r="1128">
      <c r="A1128" s="20" t="str">
        <f>IF('Classe 1ère D'!$B8="","",IF('Classe 1ère D'!A8="","",'Classe 1ère D'!A8))</f>
        <v/>
      </c>
      <c r="B1128" s="20" t="str">
        <f>IF('Classe 1ère D'!$B8="","",IF('Classe 1ère D'!B8="","",'Classe 1ère D'!B8))</f>
        <v/>
      </c>
      <c r="C1128" s="20" t="str">
        <f>IF('Classe 1ère D'!$B8="","",IF('Classe 1ère D'!C8="","",'Classe 1ère D'!C8))</f>
        <v/>
      </c>
      <c r="D1128" s="20" t="str">
        <f>IF($B1128="","",C1128&amp;" "&amp;B1128&amp;" - "&amp;E1128)</f>
        <v/>
      </c>
      <c r="E1128" s="21" t="str">
        <f>IF($B1128="","",Paramètres!$A$29)</f>
        <v/>
      </c>
      <c r="F1128" s="21" t="str">
        <f>IF($B1128="","",Paramètres!$B$29)</f>
        <v/>
      </c>
      <c r="G1128" s="21" t="str">
        <f>IF('Classe 1ère D'!$B8="","",IF('Classe 1ère D'!D8="","",'Classe 1ère D'!D8))</f>
        <v/>
      </c>
      <c r="H1128" s="77" t="str">
        <f>IF('Classe 1ère D'!$B8="","",IF('Classe 1ère D'!E8="","",'Classe 1ère D'!E8))</f>
        <v/>
      </c>
      <c r="I1128" s="20" t="str">
        <f>IF('Classe 1ère D'!$B8="","",IF('Classe 1ère D'!F8="","",'Classe 1ère D'!F8))</f>
        <v/>
      </c>
      <c r="J1128" s="20" t="str">
        <f>IF('Classe 1ère D'!$B8="","",IF('Classe 1ère D'!G8="","",'Classe 1ère D'!G8))</f>
        <v/>
      </c>
      <c r="K1128" s="51" t="str">
        <f>IF('Classe 1ère D'!$B8="","",N('Classe 1ère D'!H8))</f>
        <v/>
      </c>
      <c r="L1128" s="51" t="str">
        <f>IF('Classe 1ère D'!$B8="","",N('Classe 1ère D'!I8))</f>
        <v/>
      </c>
      <c r="M1128" s="51" t="str">
        <f>IF('Classe 1ère D'!$B8="","",N('Classe 1ère D'!J8))</f>
        <v/>
      </c>
      <c r="N1128" s="51" t="str">
        <f>IF('Classe 1ère D'!$B8="","",N('Classe 1ère D'!K8))</f>
        <v/>
      </c>
      <c r="O1128" s="51" t="str">
        <f>IF('Classe 1ère D'!$B8="","",N('Classe 1ère D'!L8))</f>
        <v/>
      </c>
      <c r="P1128" s="51" t="str">
        <f>IF('Classe 1ère D'!$B8="","",N('Classe 1ère D'!M8))</f>
        <v/>
      </c>
      <c r="Q1128" s="21" t="str">
        <f>IF('Classe 1ère D'!$B8="","",IF('Classe 1ère D'!Q8="","",'Classe 1ère D'!Q8))</f>
        <v/>
      </c>
      <c r="R1128" s="51" t="str">
        <f>IF('Classe 1ère D'!$B8="","",N('Classe 1ère D'!N8))</f>
        <v/>
      </c>
      <c r="S1128" s="51" t="str">
        <f>IF('Classe 1ère D'!$B8="","",N('Classe 1ère D'!O8))</f>
        <v/>
      </c>
      <c r="T1128" s="51" t="str">
        <f>IF('Classe 1ère D'!$B8="","",N('Classe 1ère D'!P8))</f>
        <v/>
      </c>
    </row>
    <row r="1129">
      <c r="A1129" s="16" t="str">
        <f>IF('Classe 1ère D'!$B9="","",IF('Classe 1ère D'!A9="","",'Classe 1ère D'!A9))</f>
        <v/>
      </c>
      <c r="B1129" s="16" t="str">
        <f>IF('Classe 1ère D'!$B9="","",IF('Classe 1ère D'!B9="","",'Classe 1ère D'!B9))</f>
        <v/>
      </c>
      <c r="C1129" s="16" t="str">
        <f>IF('Classe 1ère D'!$B9="","",IF('Classe 1ère D'!C9="","",'Classe 1ère D'!C9))</f>
        <v/>
      </c>
      <c r="D1129" s="16" t="str">
        <f>IF($B1129="","",C1129&amp;" "&amp;B1129&amp;" - "&amp;E1129)</f>
        <v/>
      </c>
      <c r="E1129" s="17" t="str">
        <f>IF($B1129="","",Paramètres!$A$29)</f>
        <v/>
      </c>
      <c r="F1129" s="17" t="str">
        <f>IF($B1129="","",Paramètres!$B$29)</f>
        <v/>
      </c>
      <c r="G1129" s="17" t="str">
        <f>IF('Classe 1ère D'!$B9="","",IF('Classe 1ère D'!D9="","",'Classe 1ère D'!D9))</f>
        <v/>
      </c>
      <c r="H1129" s="78" t="str">
        <f>IF('Classe 1ère D'!$B9="","",IF('Classe 1ère D'!E9="","",'Classe 1ère D'!E9))</f>
        <v/>
      </c>
      <c r="I1129" s="16" t="str">
        <f>IF('Classe 1ère D'!$B9="","",IF('Classe 1ère D'!F9="","",'Classe 1ère D'!F9))</f>
        <v/>
      </c>
      <c r="J1129" s="16" t="str">
        <f>IF('Classe 1ère D'!$B9="","",IF('Classe 1ère D'!G9="","",'Classe 1ère D'!G9))</f>
        <v/>
      </c>
      <c r="K1129" s="18" t="str">
        <f>IF('Classe 1ère D'!$B9="","",N('Classe 1ère D'!H9))</f>
        <v/>
      </c>
      <c r="L1129" s="18" t="str">
        <f>IF('Classe 1ère D'!$B9="","",N('Classe 1ère D'!I9))</f>
        <v/>
      </c>
      <c r="M1129" s="18" t="str">
        <f>IF('Classe 1ère D'!$B9="","",N('Classe 1ère D'!J9))</f>
        <v/>
      </c>
      <c r="N1129" s="18" t="str">
        <f>IF('Classe 1ère D'!$B9="","",N('Classe 1ère D'!K9))</f>
        <v/>
      </c>
      <c r="O1129" s="18" t="str">
        <f>IF('Classe 1ère D'!$B9="","",N('Classe 1ère D'!L9))</f>
        <v/>
      </c>
      <c r="P1129" s="18" t="str">
        <f>IF('Classe 1ère D'!$B9="","",N('Classe 1ère D'!M9))</f>
        <v/>
      </c>
      <c r="Q1129" s="17" t="str">
        <f>IF('Classe 1ère D'!$B9="","",IF('Classe 1ère D'!Q9="","",'Classe 1ère D'!Q9))</f>
        <v/>
      </c>
      <c r="R1129" s="18" t="str">
        <f>IF('Classe 1ère D'!$B9="","",N('Classe 1ère D'!N9))</f>
        <v/>
      </c>
      <c r="S1129" s="18" t="str">
        <f>IF('Classe 1ère D'!$B9="","",N('Classe 1ère D'!O9))</f>
        <v/>
      </c>
      <c r="T1129" s="18" t="str">
        <f>IF('Classe 1ère D'!$B9="","",N('Classe 1ère D'!P9))</f>
        <v/>
      </c>
    </row>
    <row r="1130">
      <c r="A1130" s="20" t="str">
        <f>IF('Classe 1ère D'!$B10="","",IF('Classe 1ère D'!A10="","",'Classe 1ère D'!A10))</f>
        <v/>
      </c>
      <c r="B1130" s="20" t="str">
        <f>IF('Classe 1ère D'!$B10="","",IF('Classe 1ère D'!B10="","",'Classe 1ère D'!B10))</f>
        <v/>
      </c>
      <c r="C1130" s="20" t="str">
        <f>IF('Classe 1ère D'!$B10="","",IF('Classe 1ère D'!C10="","",'Classe 1ère D'!C10))</f>
        <v/>
      </c>
      <c r="D1130" s="20" t="str">
        <f>IF($B1130="","",C1130&amp;" "&amp;B1130&amp;" - "&amp;E1130)</f>
        <v/>
      </c>
      <c r="E1130" s="21" t="str">
        <f>IF($B1130="","",Paramètres!$A$29)</f>
        <v/>
      </c>
      <c r="F1130" s="21" t="str">
        <f>IF($B1130="","",Paramètres!$B$29)</f>
        <v/>
      </c>
      <c r="G1130" s="21" t="str">
        <f>IF('Classe 1ère D'!$B10="","",IF('Classe 1ère D'!D10="","",'Classe 1ère D'!D10))</f>
        <v/>
      </c>
      <c r="H1130" s="77" t="str">
        <f>IF('Classe 1ère D'!$B10="","",IF('Classe 1ère D'!E10="","",'Classe 1ère D'!E10))</f>
        <v/>
      </c>
      <c r="I1130" s="20" t="str">
        <f>IF('Classe 1ère D'!$B10="","",IF('Classe 1ère D'!F10="","",'Classe 1ère D'!F10))</f>
        <v/>
      </c>
      <c r="J1130" s="20" t="str">
        <f>IF('Classe 1ère D'!$B10="","",IF('Classe 1ère D'!G10="","",'Classe 1ère D'!G10))</f>
        <v/>
      </c>
      <c r="K1130" s="51" t="str">
        <f>IF('Classe 1ère D'!$B10="","",N('Classe 1ère D'!H10))</f>
        <v/>
      </c>
      <c r="L1130" s="51" t="str">
        <f>IF('Classe 1ère D'!$B10="","",N('Classe 1ère D'!I10))</f>
        <v/>
      </c>
      <c r="M1130" s="51" t="str">
        <f>IF('Classe 1ère D'!$B10="","",N('Classe 1ère D'!J10))</f>
        <v/>
      </c>
      <c r="N1130" s="51" t="str">
        <f>IF('Classe 1ère D'!$B10="","",N('Classe 1ère D'!K10))</f>
        <v/>
      </c>
      <c r="O1130" s="51" t="str">
        <f>IF('Classe 1ère D'!$B10="","",N('Classe 1ère D'!L10))</f>
        <v/>
      </c>
      <c r="P1130" s="51" t="str">
        <f>IF('Classe 1ère D'!$B10="","",N('Classe 1ère D'!M10))</f>
        <v/>
      </c>
      <c r="Q1130" s="21" t="str">
        <f>IF('Classe 1ère D'!$B10="","",IF('Classe 1ère D'!Q10="","",'Classe 1ère D'!Q10))</f>
        <v/>
      </c>
      <c r="R1130" s="51" t="str">
        <f>IF('Classe 1ère D'!$B10="","",N('Classe 1ère D'!N10))</f>
        <v/>
      </c>
      <c r="S1130" s="51" t="str">
        <f>IF('Classe 1ère D'!$B10="","",N('Classe 1ère D'!O10))</f>
        <v/>
      </c>
      <c r="T1130" s="51" t="str">
        <f>IF('Classe 1ère D'!$B10="","",N('Classe 1ère D'!P10))</f>
        <v/>
      </c>
    </row>
    <row r="1131">
      <c r="A1131" s="16" t="str">
        <f>IF('Classe 1ère D'!$B11="","",IF('Classe 1ère D'!A11="","",'Classe 1ère D'!A11))</f>
        <v/>
      </c>
      <c r="B1131" s="16" t="str">
        <f>IF('Classe 1ère D'!$B11="","",IF('Classe 1ère D'!B11="","",'Classe 1ère D'!B11))</f>
        <v/>
      </c>
      <c r="C1131" s="16" t="str">
        <f>IF('Classe 1ère D'!$B11="","",IF('Classe 1ère D'!C11="","",'Classe 1ère D'!C11))</f>
        <v/>
      </c>
      <c r="D1131" s="16" t="str">
        <f>IF($B1131="","",C1131&amp;" "&amp;B1131&amp;" - "&amp;E1131)</f>
        <v/>
      </c>
      <c r="E1131" s="17" t="str">
        <f>IF($B1131="","",Paramètres!$A$29)</f>
        <v/>
      </c>
      <c r="F1131" s="17" t="str">
        <f>IF($B1131="","",Paramètres!$B$29)</f>
        <v/>
      </c>
      <c r="G1131" s="17" t="str">
        <f>IF('Classe 1ère D'!$B11="","",IF('Classe 1ère D'!D11="","",'Classe 1ère D'!D11))</f>
        <v/>
      </c>
      <c r="H1131" s="78" t="str">
        <f>IF('Classe 1ère D'!$B11="","",IF('Classe 1ère D'!E11="","",'Classe 1ère D'!E11))</f>
        <v/>
      </c>
      <c r="I1131" s="16" t="str">
        <f>IF('Classe 1ère D'!$B11="","",IF('Classe 1ère D'!F11="","",'Classe 1ère D'!F11))</f>
        <v/>
      </c>
      <c r="J1131" s="16" t="str">
        <f>IF('Classe 1ère D'!$B11="","",IF('Classe 1ère D'!G11="","",'Classe 1ère D'!G11))</f>
        <v/>
      </c>
      <c r="K1131" s="18" t="str">
        <f>IF('Classe 1ère D'!$B11="","",N('Classe 1ère D'!H11))</f>
        <v/>
      </c>
      <c r="L1131" s="18" t="str">
        <f>IF('Classe 1ère D'!$B11="","",N('Classe 1ère D'!I11))</f>
        <v/>
      </c>
      <c r="M1131" s="18" t="str">
        <f>IF('Classe 1ère D'!$B11="","",N('Classe 1ère D'!J11))</f>
        <v/>
      </c>
      <c r="N1131" s="18" t="str">
        <f>IF('Classe 1ère D'!$B11="","",N('Classe 1ère D'!K11))</f>
        <v/>
      </c>
      <c r="O1131" s="18" t="str">
        <f>IF('Classe 1ère D'!$B11="","",N('Classe 1ère D'!L11))</f>
        <v/>
      </c>
      <c r="P1131" s="18" t="str">
        <f>IF('Classe 1ère D'!$B11="","",N('Classe 1ère D'!M11))</f>
        <v/>
      </c>
      <c r="Q1131" s="17" t="str">
        <f>IF('Classe 1ère D'!$B11="","",IF('Classe 1ère D'!Q11="","",'Classe 1ère D'!Q11))</f>
        <v/>
      </c>
      <c r="R1131" s="18" t="str">
        <f>IF('Classe 1ère D'!$B11="","",N('Classe 1ère D'!N11))</f>
        <v/>
      </c>
      <c r="S1131" s="18" t="str">
        <f>IF('Classe 1ère D'!$B11="","",N('Classe 1ère D'!O11))</f>
        <v/>
      </c>
      <c r="T1131" s="18" t="str">
        <f>IF('Classe 1ère D'!$B11="","",N('Classe 1ère D'!P11))</f>
        <v/>
      </c>
    </row>
    <row r="1132">
      <c r="A1132" s="20" t="str">
        <f>IF('Classe 1ère D'!$B12="","",IF('Classe 1ère D'!A12="","",'Classe 1ère D'!A12))</f>
        <v/>
      </c>
      <c r="B1132" s="20" t="str">
        <f>IF('Classe 1ère D'!$B12="","",IF('Classe 1ère D'!B12="","",'Classe 1ère D'!B12))</f>
        <v/>
      </c>
      <c r="C1132" s="20" t="str">
        <f>IF('Classe 1ère D'!$B12="","",IF('Classe 1ère D'!C12="","",'Classe 1ère D'!C12))</f>
        <v/>
      </c>
      <c r="D1132" s="20" t="str">
        <f>IF($B1132="","",C1132&amp;" "&amp;B1132&amp;" - "&amp;E1132)</f>
        <v/>
      </c>
      <c r="E1132" s="21" t="str">
        <f>IF($B1132="","",Paramètres!$A$29)</f>
        <v/>
      </c>
      <c r="F1132" s="21" t="str">
        <f>IF($B1132="","",Paramètres!$B$29)</f>
        <v/>
      </c>
      <c r="G1132" s="21" t="str">
        <f>IF('Classe 1ère D'!$B12="","",IF('Classe 1ère D'!D12="","",'Classe 1ère D'!D12))</f>
        <v/>
      </c>
      <c r="H1132" s="77" t="str">
        <f>IF('Classe 1ère D'!$B12="","",IF('Classe 1ère D'!E12="","",'Classe 1ère D'!E12))</f>
        <v/>
      </c>
      <c r="I1132" s="20" t="str">
        <f>IF('Classe 1ère D'!$B12="","",IF('Classe 1ère D'!F12="","",'Classe 1ère D'!F12))</f>
        <v/>
      </c>
      <c r="J1132" s="20" t="str">
        <f>IF('Classe 1ère D'!$B12="","",IF('Classe 1ère D'!G12="","",'Classe 1ère D'!G12))</f>
        <v/>
      </c>
      <c r="K1132" s="51" t="str">
        <f>IF('Classe 1ère D'!$B12="","",N('Classe 1ère D'!H12))</f>
        <v/>
      </c>
      <c r="L1132" s="51" t="str">
        <f>IF('Classe 1ère D'!$B12="","",N('Classe 1ère D'!I12))</f>
        <v/>
      </c>
      <c r="M1132" s="51" t="str">
        <f>IF('Classe 1ère D'!$B12="","",N('Classe 1ère D'!J12))</f>
        <v/>
      </c>
      <c r="N1132" s="51" t="str">
        <f>IF('Classe 1ère D'!$B12="","",N('Classe 1ère D'!K12))</f>
        <v/>
      </c>
      <c r="O1132" s="51" t="str">
        <f>IF('Classe 1ère D'!$B12="","",N('Classe 1ère D'!L12))</f>
        <v/>
      </c>
      <c r="P1132" s="51" t="str">
        <f>IF('Classe 1ère D'!$B12="","",N('Classe 1ère D'!M12))</f>
        <v/>
      </c>
      <c r="Q1132" s="21" t="str">
        <f>IF('Classe 1ère D'!$B12="","",IF('Classe 1ère D'!Q12="","",'Classe 1ère D'!Q12))</f>
        <v/>
      </c>
      <c r="R1132" s="51" t="str">
        <f>IF('Classe 1ère D'!$B12="","",N('Classe 1ère D'!N12))</f>
        <v/>
      </c>
      <c r="S1132" s="51" t="str">
        <f>IF('Classe 1ère D'!$B12="","",N('Classe 1ère D'!O12))</f>
        <v/>
      </c>
      <c r="T1132" s="51" t="str">
        <f>IF('Classe 1ère D'!$B12="","",N('Classe 1ère D'!P12))</f>
        <v/>
      </c>
    </row>
    <row r="1133">
      <c r="A1133" s="16" t="str">
        <f>IF('Classe 1ère D'!$B13="","",IF('Classe 1ère D'!A13="","",'Classe 1ère D'!A13))</f>
        <v/>
      </c>
      <c r="B1133" s="16" t="str">
        <f>IF('Classe 1ère D'!$B13="","",IF('Classe 1ère D'!B13="","",'Classe 1ère D'!B13))</f>
        <v/>
      </c>
      <c r="C1133" s="16" t="str">
        <f>IF('Classe 1ère D'!$B13="","",IF('Classe 1ère D'!C13="","",'Classe 1ère D'!C13))</f>
        <v/>
      </c>
      <c r="D1133" s="16" t="str">
        <f>IF($B1133="","",C1133&amp;" "&amp;B1133&amp;" - "&amp;E1133)</f>
        <v/>
      </c>
      <c r="E1133" s="17" t="str">
        <f>IF($B1133="","",Paramètres!$A$29)</f>
        <v/>
      </c>
      <c r="F1133" s="17" t="str">
        <f>IF($B1133="","",Paramètres!$B$29)</f>
        <v/>
      </c>
      <c r="G1133" s="17" t="str">
        <f>IF('Classe 1ère D'!$B13="","",IF('Classe 1ère D'!D13="","",'Classe 1ère D'!D13))</f>
        <v/>
      </c>
      <c r="H1133" s="78" t="str">
        <f>IF('Classe 1ère D'!$B13="","",IF('Classe 1ère D'!E13="","",'Classe 1ère D'!E13))</f>
        <v/>
      </c>
      <c r="I1133" s="16" t="str">
        <f>IF('Classe 1ère D'!$B13="","",IF('Classe 1ère D'!F13="","",'Classe 1ère D'!F13))</f>
        <v/>
      </c>
      <c r="J1133" s="16" t="str">
        <f>IF('Classe 1ère D'!$B13="","",IF('Classe 1ère D'!G13="","",'Classe 1ère D'!G13))</f>
        <v/>
      </c>
      <c r="K1133" s="18" t="str">
        <f>IF('Classe 1ère D'!$B13="","",N('Classe 1ère D'!H13))</f>
        <v/>
      </c>
      <c r="L1133" s="18" t="str">
        <f>IF('Classe 1ère D'!$B13="","",N('Classe 1ère D'!I13))</f>
        <v/>
      </c>
      <c r="M1133" s="18" t="str">
        <f>IF('Classe 1ère D'!$B13="","",N('Classe 1ère D'!J13))</f>
        <v/>
      </c>
      <c r="N1133" s="18" t="str">
        <f>IF('Classe 1ère D'!$B13="","",N('Classe 1ère D'!K13))</f>
        <v/>
      </c>
      <c r="O1133" s="18" t="str">
        <f>IF('Classe 1ère D'!$B13="","",N('Classe 1ère D'!L13))</f>
        <v/>
      </c>
      <c r="P1133" s="18" t="str">
        <f>IF('Classe 1ère D'!$B13="","",N('Classe 1ère D'!M13))</f>
        <v/>
      </c>
      <c r="Q1133" s="17" t="str">
        <f>IF('Classe 1ère D'!$B13="","",IF('Classe 1ère D'!Q13="","",'Classe 1ère D'!Q13))</f>
        <v/>
      </c>
      <c r="R1133" s="18" t="str">
        <f>IF('Classe 1ère D'!$B13="","",N('Classe 1ère D'!N13))</f>
        <v/>
      </c>
      <c r="S1133" s="18" t="str">
        <f>IF('Classe 1ère D'!$B13="","",N('Classe 1ère D'!O13))</f>
        <v/>
      </c>
      <c r="T1133" s="18" t="str">
        <f>IF('Classe 1ère D'!$B13="","",N('Classe 1ère D'!P13))</f>
        <v/>
      </c>
    </row>
    <row r="1134">
      <c r="A1134" s="20" t="str">
        <f>IF('Classe 1ère D'!$B14="","",IF('Classe 1ère D'!A14="","",'Classe 1ère D'!A14))</f>
        <v/>
      </c>
      <c r="B1134" s="20" t="str">
        <f>IF('Classe 1ère D'!$B14="","",IF('Classe 1ère D'!B14="","",'Classe 1ère D'!B14))</f>
        <v/>
      </c>
      <c r="C1134" s="20" t="str">
        <f>IF('Classe 1ère D'!$B14="","",IF('Classe 1ère D'!C14="","",'Classe 1ère D'!C14))</f>
        <v/>
      </c>
      <c r="D1134" s="20" t="str">
        <f>IF($B1134="","",C1134&amp;" "&amp;B1134&amp;" - "&amp;E1134)</f>
        <v/>
      </c>
      <c r="E1134" s="21" t="str">
        <f>IF($B1134="","",Paramètres!$A$29)</f>
        <v/>
      </c>
      <c r="F1134" s="21" t="str">
        <f>IF($B1134="","",Paramètres!$B$29)</f>
        <v/>
      </c>
      <c r="G1134" s="21" t="str">
        <f>IF('Classe 1ère D'!$B14="","",IF('Classe 1ère D'!D14="","",'Classe 1ère D'!D14))</f>
        <v/>
      </c>
      <c r="H1134" s="77" t="str">
        <f>IF('Classe 1ère D'!$B14="","",IF('Classe 1ère D'!E14="","",'Classe 1ère D'!E14))</f>
        <v/>
      </c>
      <c r="I1134" s="20" t="str">
        <f>IF('Classe 1ère D'!$B14="","",IF('Classe 1ère D'!F14="","",'Classe 1ère D'!F14))</f>
        <v/>
      </c>
      <c r="J1134" s="20" t="str">
        <f>IF('Classe 1ère D'!$B14="","",IF('Classe 1ère D'!G14="","",'Classe 1ère D'!G14))</f>
        <v/>
      </c>
      <c r="K1134" s="51" t="str">
        <f>IF('Classe 1ère D'!$B14="","",N('Classe 1ère D'!H14))</f>
        <v/>
      </c>
      <c r="L1134" s="51" t="str">
        <f>IF('Classe 1ère D'!$B14="","",N('Classe 1ère D'!I14))</f>
        <v/>
      </c>
      <c r="M1134" s="51" t="str">
        <f>IF('Classe 1ère D'!$B14="","",N('Classe 1ère D'!J14))</f>
        <v/>
      </c>
      <c r="N1134" s="51" t="str">
        <f>IF('Classe 1ère D'!$B14="","",N('Classe 1ère D'!K14))</f>
        <v/>
      </c>
      <c r="O1134" s="51" t="str">
        <f>IF('Classe 1ère D'!$B14="","",N('Classe 1ère D'!L14))</f>
        <v/>
      </c>
      <c r="P1134" s="51" t="str">
        <f>IF('Classe 1ère D'!$B14="","",N('Classe 1ère D'!M14))</f>
        <v/>
      </c>
      <c r="Q1134" s="21" t="str">
        <f>IF('Classe 1ère D'!$B14="","",IF('Classe 1ère D'!Q14="","",'Classe 1ère D'!Q14))</f>
        <v/>
      </c>
      <c r="R1134" s="51" t="str">
        <f>IF('Classe 1ère D'!$B14="","",N('Classe 1ère D'!N14))</f>
        <v/>
      </c>
      <c r="S1134" s="51" t="str">
        <f>IF('Classe 1ère D'!$B14="","",N('Classe 1ère D'!O14))</f>
        <v/>
      </c>
      <c r="T1134" s="51" t="str">
        <f>IF('Classe 1ère D'!$B14="","",N('Classe 1ère D'!P14))</f>
        <v/>
      </c>
    </row>
    <row r="1135">
      <c r="A1135" s="16" t="str">
        <f>IF('Classe 1ère D'!$B15="","",IF('Classe 1ère D'!A15="","",'Classe 1ère D'!A15))</f>
        <v/>
      </c>
      <c r="B1135" s="16" t="str">
        <f>IF('Classe 1ère D'!$B15="","",IF('Classe 1ère D'!B15="","",'Classe 1ère D'!B15))</f>
        <v/>
      </c>
      <c r="C1135" s="16" t="str">
        <f>IF('Classe 1ère D'!$B15="","",IF('Classe 1ère D'!C15="","",'Classe 1ère D'!C15))</f>
        <v/>
      </c>
      <c r="D1135" s="16" t="str">
        <f>IF($B1135="","",C1135&amp;" "&amp;B1135&amp;" - "&amp;E1135)</f>
        <v/>
      </c>
      <c r="E1135" s="17" t="str">
        <f>IF($B1135="","",Paramètres!$A$29)</f>
        <v/>
      </c>
      <c r="F1135" s="17" t="str">
        <f>IF($B1135="","",Paramètres!$B$29)</f>
        <v/>
      </c>
      <c r="G1135" s="17" t="str">
        <f>IF('Classe 1ère D'!$B15="","",IF('Classe 1ère D'!D15="","",'Classe 1ère D'!D15))</f>
        <v/>
      </c>
      <c r="H1135" s="78" t="str">
        <f>IF('Classe 1ère D'!$B15="","",IF('Classe 1ère D'!E15="","",'Classe 1ère D'!E15))</f>
        <v/>
      </c>
      <c r="I1135" s="16" t="str">
        <f>IF('Classe 1ère D'!$B15="","",IF('Classe 1ère D'!F15="","",'Classe 1ère D'!F15))</f>
        <v/>
      </c>
      <c r="J1135" s="16" t="str">
        <f>IF('Classe 1ère D'!$B15="","",IF('Classe 1ère D'!G15="","",'Classe 1ère D'!G15))</f>
        <v/>
      </c>
      <c r="K1135" s="18" t="str">
        <f>IF('Classe 1ère D'!$B15="","",N('Classe 1ère D'!H15))</f>
        <v/>
      </c>
      <c r="L1135" s="18" t="str">
        <f>IF('Classe 1ère D'!$B15="","",N('Classe 1ère D'!I15))</f>
        <v/>
      </c>
      <c r="M1135" s="18" t="str">
        <f>IF('Classe 1ère D'!$B15="","",N('Classe 1ère D'!J15))</f>
        <v/>
      </c>
      <c r="N1135" s="18" t="str">
        <f>IF('Classe 1ère D'!$B15="","",N('Classe 1ère D'!K15))</f>
        <v/>
      </c>
      <c r="O1135" s="18" t="str">
        <f>IF('Classe 1ère D'!$B15="","",N('Classe 1ère D'!L15))</f>
        <v/>
      </c>
      <c r="P1135" s="18" t="str">
        <f>IF('Classe 1ère D'!$B15="","",N('Classe 1ère D'!M15))</f>
        <v/>
      </c>
      <c r="Q1135" s="17" t="str">
        <f>IF('Classe 1ère D'!$B15="","",IF('Classe 1ère D'!Q15="","",'Classe 1ère D'!Q15))</f>
        <v/>
      </c>
      <c r="R1135" s="18" t="str">
        <f>IF('Classe 1ère D'!$B15="","",N('Classe 1ère D'!N15))</f>
        <v/>
      </c>
      <c r="S1135" s="18" t="str">
        <f>IF('Classe 1ère D'!$B15="","",N('Classe 1ère D'!O15))</f>
        <v/>
      </c>
      <c r="T1135" s="18" t="str">
        <f>IF('Classe 1ère D'!$B15="","",N('Classe 1ère D'!P15))</f>
        <v/>
      </c>
    </row>
    <row r="1136">
      <c r="A1136" s="20" t="str">
        <f>IF('Classe 1ère D'!$B16="","",IF('Classe 1ère D'!A16="","",'Classe 1ère D'!A16))</f>
        <v/>
      </c>
      <c r="B1136" s="20" t="str">
        <f>IF('Classe 1ère D'!$B16="","",IF('Classe 1ère D'!B16="","",'Classe 1ère D'!B16))</f>
        <v/>
      </c>
      <c r="C1136" s="20" t="str">
        <f>IF('Classe 1ère D'!$B16="","",IF('Classe 1ère D'!C16="","",'Classe 1ère D'!C16))</f>
        <v/>
      </c>
      <c r="D1136" s="20" t="str">
        <f>IF($B1136="","",C1136&amp;" "&amp;B1136&amp;" - "&amp;E1136)</f>
        <v/>
      </c>
      <c r="E1136" s="21" t="str">
        <f>IF($B1136="","",Paramètres!$A$29)</f>
        <v/>
      </c>
      <c r="F1136" s="21" t="str">
        <f>IF($B1136="","",Paramètres!$B$29)</f>
        <v/>
      </c>
      <c r="G1136" s="21" t="str">
        <f>IF('Classe 1ère D'!$B16="","",IF('Classe 1ère D'!D16="","",'Classe 1ère D'!D16))</f>
        <v/>
      </c>
      <c r="H1136" s="77" t="str">
        <f>IF('Classe 1ère D'!$B16="","",IF('Classe 1ère D'!E16="","",'Classe 1ère D'!E16))</f>
        <v/>
      </c>
      <c r="I1136" s="20" t="str">
        <f>IF('Classe 1ère D'!$B16="","",IF('Classe 1ère D'!F16="","",'Classe 1ère D'!F16))</f>
        <v/>
      </c>
      <c r="J1136" s="20" t="str">
        <f>IF('Classe 1ère D'!$B16="","",IF('Classe 1ère D'!G16="","",'Classe 1ère D'!G16))</f>
        <v/>
      </c>
      <c r="K1136" s="51" t="str">
        <f>IF('Classe 1ère D'!$B16="","",N('Classe 1ère D'!H16))</f>
        <v/>
      </c>
      <c r="L1136" s="51" t="str">
        <f>IF('Classe 1ère D'!$B16="","",N('Classe 1ère D'!I16))</f>
        <v/>
      </c>
      <c r="M1136" s="51" t="str">
        <f>IF('Classe 1ère D'!$B16="","",N('Classe 1ère D'!J16))</f>
        <v/>
      </c>
      <c r="N1136" s="51" t="str">
        <f>IF('Classe 1ère D'!$B16="","",N('Classe 1ère D'!K16))</f>
        <v/>
      </c>
      <c r="O1136" s="51" t="str">
        <f>IF('Classe 1ère D'!$B16="","",N('Classe 1ère D'!L16))</f>
        <v/>
      </c>
      <c r="P1136" s="51" t="str">
        <f>IF('Classe 1ère D'!$B16="","",N('Classe 1ère D'!M16))</f>
        <v/>
      </c>
      <c r="Q1136" s="21" t="str">
        <f>IF('Classe 1ère D'!$B16="","",IF('Classe 1ère D'!Q16="","",'Classe 1ère D'!Q16))</f>
        <v/>
      </c>
      <c r="R1136" s="51" t="str">
        <f>IF('Classe 1ère D'!$B16="","",N('Classe 1ère D'!N16))</f>
        <v/>
      </c>
      <c r="S1136" s="51" t="str">
        <f>IF('Classe 1ère D'!$B16="","",N('Classe 1ère D'!O16))</f>
        <v/>
      </c>
      <c r="T1136" s="51" t="str">
        <f>IF('Classe 1ère D'!$B16="","",N('Classe 1ère D'!P16))</f>
        <v/>
      </c>
    </row>
    <row r="1137">
      <c r="A1137" s="16" t="str">
        <f>IF('Classe 1ère D'!$B17="","",IF('Classe 1ère D'!A17="","",'Classe 1ère D'!A17))</f>
        <v/>
      </c>
      <c r="B1137" s="16" t="str">
        <f>IF('Classe 1ère D'!$B17="","",IF('Classe 1ère D'!B17="","",'Classe 1ère D'!B17))</f>
        <v/>
      </c>
      <c r="C1137" s="16" t="str">
        <f>IF('Classe 1ère D'!$B17="","",IF('Classe 1ère D'!C17="","",'Classe 1ère D'!C17))</f>
        <v/>
      </c>
      <c r="D1137" s="16" t="str">
        <f>IF($B1137="","",C1137&amp;" "&amp;B1137&amp;" - "&amp;E1137)</f>
        <v/>
      </c>
      <c r="E1137" s="17" t="str">
        <f>IF($B1137="","",Paramètres!$A$29)</f>
        <v/>
      </c>
      <c r="F1137" s="17" t="str">
        <f>IF($B1137="","",Paramètres!$B$29)</f>
        <v/>
      </c>
      <c r="G1137" s="17" t="str">
        <f>IF('Classe 1ère D'!$B17="","",IF('Classe 1ère D'!D17="","",'Classe 1ère D'!D17))</f>
        <v/>
      </c>
      <c r="H1137" s="78" t="str">
        <f>IF('Classe 1ère D'!$B17="","",IF('Classe 1ère D'!E17="","",'Classe 1ère D'!E17))</f>
        <v/>
      </c>
      <c r="I1137" s="16" t="str">
        <f>IF('Classe 1ère D'!$B17="","",IF('Classe 1ère D'!F17="","",'Classe 1ère D'!F17))</f>
        <v/>
      </c>
      <c r="J1137" s="16" t="str">
        <f>IF('Classe 1ère D'!$B17="","",IF('Classe 1ère D'!G17="","",'Classe 1ère D'!G17))</f>
        <v/>
      </c>
      <c r="K1137" s="18" t="str">
        <f>IF('Classe 1ère D'!$B17="","",N('Classe 1ère D'!H17))</f>
        <v/>
      </c>
      <c r="L1137" s="18" t="str">
        <f>IF('Classe 1ère D'!$B17="","",N('Classe 1ère D'!I17))</f>
        <v/>
      </c>
      <c r="M1137" s="18" t="str">
        <f>IF('Classe 1ère D'!$B17="","",N('Classe 1ère D'!J17))</f>
        <v/>
      </c>
      <c r="N1137" s="18" t="str">
        <f>IF('Classe 1ère D'!$B17="","",N('Classe 1ère D'!K17))</f>
        <v/>
      </c>
      <c r="O1137" s="18" t="str">
        <f>IF('Classe 1ère D'!$B17="","",N('Classe 1ère D'!L17))</f>
        <v/>
      </c>
      <c r="P1137" s="18" t="str">
        <f>IF('Classe 1ère D'!$B17="","",N('Classe 1ère D'!M17))</f>
        <v/>
      </c>
      <c r="Q1137" s="17" t="str">
        <f>IF('Classe 1ère D'!$B17="","",IF('Classe 1ère D'!Q17="","",'Classe 1ère D'!Q17))</f>
        <v/>
      </c>
      <c r="R1137" s="18" t="str">
        <f>IF('Classe 1ère D'!$B17="","",N('Classe 1ère D'!N17))</f>
        <v/>
      </c>
      <c r="S1137" s="18" t="str">
        <f>IF('Classe 1ère D'!$B17="","",N('Classe 1ère D'!O17))</f>
        <v/>
      </c>
      <c r="T1137" s="18" t="str">
        <f>IF('Classe 1ère D'!$B17="","",N('Classe 1ère D'!P17))</f>
        <v/>
      </c>
    </row>
    <row r="1138">
      <c r="A1138" s="20" t="str">
        <f>IF('Classe 1ère D'!$B18="","",IF('Classe 1ère D'!A18="","",'Classe 1ère D'!A18))</f>
        <v/>
      </c>
      <c r="B1138" s="20" t="str">
        <f>IF('Classe 1ère D'!$B18="","",IF('Classe 1ère D'!B18="","",'Classe 1ère D'!B18))</f>
        <v/>
      </c>
      <c r="C1138" s="20" t="str">
        <f>IF('Classe 1ère D'!$B18="","",IF('Classe 1ère D'!C18="","",'Classe 1ère D'!C18))</f>
        <v/>
      </c>
      <c r="D1138" s="20" t="str">
        <f>IF($B1138="","",C1138&amp;" "&amp;B1138&amp;" - "&amp;E1138)</f>
        <v/>
      </c>
      <c r="E1138" s="21" t="str">
        <f>IF($B1138="","",Paramètres!$A$29)</f>
        <v/>
      </c>
      <c r="F1138" s="21" t="str">
        <f>IF($B1138="","",Paramètres!$B$29)</f>
        <v/>
      </c>
      <c r="G1138" s="21" t="str">
        <f>IF('Classe 1ère D'!$B18="","",IF('Classe 1ère D'!D18="","",'Classe 1ère D'!D18))</f>
        <v/>
      </c>
      <c r="H1138" s="77" t="str">
        <f>IF('Classe 1ère D'!$B18="","",IF('Classe 1ère D'!E18="","",'Classe 1ère D'!E18))</f>
        <v/>
      </c>
      <c r="I1138" s="20" t="str">
        <f>IF('Classe 1ère D'!$B18="","",IF('Classe 1ère D'!F18="","",'Classe 1ère D'!F18))</f>
        <v/>
      </c>
      <c r="J1138" s="20" t="str">
        <f>IF('Classe 1ère D'!$B18="","",IF('Classe 1ère D'!G18="","",'Classe 1ère D'!G18))</f>
        <v/>
      </c>
      <c r="K1138" s="51" t="str">
        <f>IF('Classe 1ère D'!$B18="","",N('Classe 1ère D'!H18))</f>
        <v/>
      </c>
      <c r="L1138" s="51" t="str">
        <f>IF('Classe 1ère D'!$B18="","",N('Classe 1ère D'!I18))</f>
        <v/>
      </c>
      <c r="M1138" s="51" t="str">
        <f>IF('Classe 1ère D'!$B18="","",N('Classe 1ère D'!J18))</f>
        <v/>
      </c>
      <c r="N1138" s="51" t="str">
        <f>IF('Classe 1ère D'!$B18="","",N('Classe 1ère D'!K18))</f>
        <v/>
      </c>
      <c r="O1138" s="51" t="str">
        <f>IF('Classe 1ère D'!$B18="","",N('Classe 1ère D'!L18))</f>
        <v/>
      </c>
      <c r="P1138" s="51" t="str">
        <f>IF('Classe 1ère D'!$B18="","",N('Classe 1ère D'!M18))</f>
        <v/>
      </c>
      <c r="Q1138" s="21" t="str">
        <f>IF('Classe 1ère D'!$B18="","",IF('Classe 1ère D'!Q18="","",'Classe 1ère D'!Q18))</f>
        <v/>
      </c>
      <c r="R1138" s="51" t="str">
        <f>IF('Classe 1ère D'!$B18="","",N('Classe 1ère D'!N18))</f>
        <v/>
      </c>
      <c r="S1138" s="51" t="str">
        <f>IF('Classe 1ère D'!$B18="","",N('Classe 1ère D'!O18))</f>
        <v/>
      </c>
      <c r="T1138" s="51" t="str">
        <f>IF('Classe 1ère D'!$B18="","",N('Classe 1ère D'!P18))</f>
        <v/>
      </c>
    </row>
    <row r="1139">
      <c r="A1139" s="16" t="str">
        <f>IF('Classe 1ère D'!$B19="","",IF('Classe 1ère D'!A19="","",'Classe 1ère D'!A19))</f>
        <v/>
      </c>
      <c r="B1139" s="16" t="str">
        <f>IF('Classe 1ère D'!$B19="","",IF('Classe 1ère D'!B19="","",'Classe 1ère D'!B19))</f>
        <v/>
      </c>
      <c r="C1139" s="16" t="str">
        <f>IF('Classe 1ère D'!$B19="","",IF('Classe 1ère D'!C19="","",'Classe 1ère D'!C19))</f>
        <v/>
      </c>
      <c r="D1139" s="16" t="str">
        <f>IF($B1139="","",C1139&amp;" "&amp;B1139&amp;" - "&amp;E1139)</f>
        <v/>
      </c>
      <c r="E1139" s="17" t="str">
        <f>IF($B1139="","",Paramètres!$A$29)</f>
        <v/>
      </c>
      <c r="F1139" s="17" t="str">
        <f>IF($B1139="","",Paramètres!$B$29)</f>
        <v/>
      </c>
      <c r="G1139" s="17" t="str">
        <f>IF('Classe 1ère D'!$B19="","",IF('Classe 1ère D'!D19="","",'Classe 1ère D'!D19))</f>
        <v/>
      </c>
      <c r="H1139" s="78" t="str">
        <f>IF('Classe 1ère D'!$B19="","",IF('Classe 1ère D'!E19="","",'Classe 1ère D'!E19))</f>
        <v/>
      </c>
      <c r="I1139" s="16" t="str">
        <f>IF('Classe 1ère D'!$B19="","",IF('Classe 1ère D'!F19="","",'Classe 1ère D'!F19))</f>
        <v/>
      </c>
      <c r="J1139" s="16" t="str">
        <f>IF('Classe 1ère D'!$B19="","",IF('Classe 1ère D'!G19="","",'Classe 1ère D'!G19))</f>
        <v/>
      </c>
      <c r="K1139" s="18" t="str">
        <f>IF('Classe 1ère D'!$B19="","",N('Classe 1ère D'!H19))</f>
        <v/>
      </c>
      <c r="L1139" s="18" t="str">
        <f>IF('Classe 1ère D'!$B19="","",N('Classe 1ère D'!I19))</f>
        <v/>
      </c>
      <c r="M1139" s="18" t="str">
        <f>IF('Classe 1ère D'!$B19="","",N('Classe 1ère D'!J19))</f>
        <v/>
      </c>
      <c r="N1139" s="18" t="str">
        <f>IF('Classe 1ère D'!$B19="","",N('Classe 1ère D'!K19))</f>
        <v/>
      </c>
      <c r="O1139" s="18" t="str">
        <f>IF('Classe 1ère D'!$B19="","",N('Classe 1ère D'!L19))</f>
        <v/>
      </c>
      <c r="P1139" s="18" t="str">
        <f>IF('Classe 1ère D'!$B19="","",N('Classe 1ère D'!M19))</f>
        <v/>
      </c>
      <c r="Q1139" s="17" t="str">
        <f>IF('Classe 1ère D'!$B19="","",IF('Classe 1ère D'!Q19="","",'Classe 1ère D'!Q19))</f>
        <v/>
      </c>
      <c r="R1139" s="18" t="str">
        <f>IF('Classe 1ère D'!$B19="","",N('Classe 1ère D'!N19))</f>
        <v/>
      </c>
      <c r="S1139" s="18" t="str">
        <f>IF('Classe 1ère D'!$B19="","",N('Classe 1ère D'!O19))</f>
        <v/>
      </c>
      <c r="T1139" s="18" t="str">
        <f>IF('Classe 1ère D'!$B19="","",N('Classe 1ère D'!P19))</f>
        <v/>
      </c>
    </row>
    <row r="1140">
      <c r="A1140" s="20" t="str">
        <f>IF('Classe 1ère D'!$B20="","",IF('Classe 1ère D'!A20="","",'Classe 1ère D'!A20))</f>
        <v/>
      </c>
      <c r="B1140" s="20" t="str">
        <f>IF('Classe 1ère D'!$B20="","",IF('Classe 1ère D'!B20="","",'Classe 1ère D'!B20))</f>
        <v/>
      </c>
      <c r="C1140" s="20" t="str">
        <f>IF('Classe 1ère D'!$B20="","",IF('Classe 1ère D'!C20="","",'Classe 1ère D'!C20))</f>
        <v/>
      </c>
      <c r="D1140" s="20" t="str">
        <f>IF($B1140="","",C1140&amp;" "&amp;B1140&amp;" - "&amp;E1140)</f>
        <v/>
      </c>
      <c r="E1140" s="21" t="str">
        <f>IF($B1140="","",Paramètres!$A$29)</f>
        <v/>
      </c>
      <c r="F1140" s="21" t="str">
        <f>IF($B1140="","",Paramètres!$B$29)</f>
        <v/>
      </c>
      <c r="G1140" s="21" t="str">
        <f>IF('Classe 1ère D'!$B20="","",IF('Classe 1ère D'!D20="","",'Classe 1ère D'!D20))</f>
        <v/>
      </c>
      <c r="H1140" s="77" t="str">
        <f>IF('Classe 1ère D'!$B20="","",IF('Classe 1ère D'!E20="","",'Classe 1ère D'!E20))</f>
        <v/>
      </c>
      <c r="I1140" s="20" t="str">
        <f>IF('Classe 1ère D'!$B20="","",IF('Classe 1ère D'!F20="","",'Classe 1ère D'!F20))</f>
        <v/>
      </c>
      <c r="J1140" s="20" t="str">
        <f>IF('Classe 1ère D'!$B20="","",IF('Classe 1ère D'!G20="","",'Classe 1ère D'!G20))</f>
        <v/>
      </c>
      <c r="K1140" s="51" t="str">
        <f>IF('Classe 1ère D'!$B20="","",N('Classe 1ère D'!H20))</f>
        <v/>
      </c>
      <c r="L1140" s="51" t="str">
        <f>IF('Classe 1ère D'!$B20="","",N('Classe 1ère D'!I20))</f>
        <v/>
      </c>
      <c r="M1140" s="51" t="str">
        <f>IF('Classe 1ère D'!$B20="","",N('Classe 1ère D'!J20))</f>
        <v/>
      </c>
      <c r="N1140" s="51" t="str">
        <f>IF('Classe 1ère D'!$B20="","",N('Classe 1ère D'!K20))</f>
        <v/>
      </c>
      <c r="O1140" s="51" t="str">
        <f>IF('Classe 1ère D'!$B20="","",N('Classe 1ère D'!L20))</f>
        <v/>
      </c>
      <c r="P1140" s="51" t="str">
        <f>IF('Classe 1ère D'!$B20="","",N('Classe 1ère D'!M20))</f>
        <v/>
      </c>
      <c r="Q1140" s="21" t="str">
        <f>IF('Classe 1ère D'!$B20="","",IF('Classe 1ère D'!Q20="","",'Classe 1ère D'!Q20))</f>
        <v/>
      </c>
      <c r="R1140" s="51" t="str">
        <f>IF('Classe 1ère D'!$B20="","",N('Classe 1ère D'!N20))</f>
        <v/>
      </c>
      <c r="S1140" s="51" t="str">
        <f>IF('Classe 1ère D'!$B20="","",N('Classe 1ère D'!O20))</f>
        <v/>
      </c>
      <c r="T1140" s="51" t="str">
        <f>IF('Classe 1ère D'!$B20="","",N('Classe 1ère D'!P20))</f>
        <v/>
      </c>
    </row>
    <row r="1141">
      <c r="A1141" s="16" t="str">
        <f>IF('Classe 1ère D'!$B21="","",IF('Classe 1ère D'!A21="","",'Classe 1ère D'!A21))</f>
        <v/>
      </c>
      <c r="B1141" s="16" t="str">
        <f>IF('Classe 1ère D'!$B21="","",IF('Classe 1ère D'!B21="","",'Classe 1ère D'!B21))</f>
        <v/>
      </c>
      <c r="C1141" s="16" t="str">
        <f>IF('Classe 1ère D'!$B21="","",IF('Classe 1ère D'!C21="","",'Classe 1ère D'!C21))</f>
        <v/>
      </c>
      <c r="D1141" s="16" t="str">
        <f>IF($B1141="","",C1141&amp;" "&amp;B1141&amp;" - "&amp;E1141)</f>
        <v/>
      </c>
      <c r="E1141" s="17" t="str">
        <f>IF($B1141="","",Paramètres!$A$29)</f>
        <v/>
      </c>
      <c r="F1141" s="17" t="str">
        <f>IF($B1141="","",Paramètres!$B$29)</f>
        <v/>
      </c>
      <c r="G1141" s="17" t="str">
        <f>IF('Classe 1ère D'!$B21="","",IF('Classe 1ère D'!D21="","",'Classe 1ère D'!D21))</f>
        <v/>
      </c>
      <c r="H1141" s="78" t="str">
        <f>IF('Classe 1ère D'!$B21="","",IF('Classe 1ère D'!E21="","",'Classe 1ère D'!E21))</f>
        <v/>
      </c>
      <c r="I1141" s="16" t="str">
        <f>IF('Classe 1ère D'!$B21="","",IF('Classe 1ère D'!F21="","",'Classe 1ère D'!F21))</f>
        <v/>
      </c>
      <c r="J1141" s="16" t="str">
        <f>IF('Classe 1ère D'!$B21="","",IF('Classe 1ère D'!G21="","",'Classe 1ère D'!G21))</f>
        <v/>
      </c>
      <c r="K1141" s="18" t="str">
        <f>IF('Classe 1ère D'!$B21="","",N('Classe 1ère D'!H21))</f>
        <v/>
      </c>
      <c r="L1141" s="18" t="str">
        <f>IF('Classe 1ère D'!$B21="","",N('Classe 1ère D'!I21))</f>
        <v/>
      </c>
      <c r="M1141" s="18" t="str">
        <f>IF('Classe 1ère D'!$B21="","",N('Classe 1ère D'!J21))</f>
        <v/>
      </c>
      <c r="N1141" s="18" t="str">
        <f>IF('Classe 1ère D'!$B21="","",N('Classe 1ère D'!K21))</f>
        <v/>
      </c>
      <c r="O1141" s="18" t="str">
        <f>IF('Classe 1ère D'!$B21="","",N('Classe 1ère D'!L21))</f>
        <v/>
      </c>
      <c r="P1141" s="18" t="str">
        <f>IF('Classe 1ère D'!$B21="","",N('Classe 1ère D'!M21))</f>
        <v/>
      </c>
      <c r="Q1141" s="17" t="str">
        <f>IF('Classe 1ère D'!$B21="","",IF('Classe 1ère D'!Q21="","",'Classe 1ère D'!Q21))</f>
        <v/>
      </c>
      <c r="R1141" s="18" t="str">
        <f>IF('Classe 1ère D'!$B21="","",N('Classe 1ère D'!N21))</f>
        <v/>
      </c>
      <c r="S1141" s="18" t="str">
        <f>IF('Classe 1ère D'!$B21="","",N('Classe 1ère D'!O21))</f>
        <v/>
      </c>
      <c r="T1141" s="18" t="str">
        <f>IF('Classe 1ère D'!$B21="","",N('Classe 1ère D'!P21))</f>
        <v/>
      </c>
    </row>
    <row r="1142">
      <c r="A1142" s="20" t="str">
        <f>IF('Classe 1ère D'!$B22="","",IF('Classe 1ère D'!A22="","",'Classe 1ère D'!A22))</f>
        <v/>
      </c>
      <c r="B1142" s="20" t="str">
        <f>IF('Classe 1ère D'!$B22="","",IF('Classe 1ère D'!B22="","",'Classe 1ère D'!B22))</f>
        <v/>
      </c>
      <c r="C1142" s="20" t="str">
        <f>IF('Classe 1ère D'!$B22="","",IF('Classe 1ère D'!C22="","",'Classe 1ère D'!C22))</f>
        <v/>
      </c>
      <c r="D1142" s="20" t="str">
        <f>IF($B1142="","",C1142&amp;" "&amp;B1142&amp;" - "&amp;E1142)</f>
        <v/>
      </c>
      <c r="E1142" s="21" t="str">
        <f>IF($B1142="","",Paramètres!$A$29)</f>
        <v/>
      </c>
      <c r="F1142" s="21" t="str">
        <f>IF($B1142="","",Paramètres!$B$29)</f>
        <v/>
      </c>
      <c r="G1142" s="21" t="str">
        <f>IF('Classe 1ère D'!$B22="","",IF('Classe 1ère D'!D22="","",'Classe 1ère D'!D22))</f>
        <v/>
      </c>
      <c r="H1142" s="77" t="str">
        <f>IF('Classe 1ère D'!$B22="","",IF('Classe 1ère D'!E22="","",'Classe 1ère D'!E22))</f>
        <v/>
      </c>
      <c r="I1142" s="20" t="str">
        <f>IF('Classe 1ère D'!$B22="","",IF('Classe 1ère D'!F22="","",'Classe 1ère D'!F22))</f>
        <v/>
      </c>
      <c r="J1142" s="20" t="str">
        <f>IF('Classe 1ère D'!$B22="","",IF('Classe 1ère D'!G22="","",'Classe 1ère D'!G22))</f>
        <v/>
      </c>
      <c r="K1142" s="51" t="str">
        <f>IF('Classe 1ère D'!$B22="","",N('Classe 1ère D'!H22))</f>
        <v/>
      </c>
      <c r="L1142" s="51" t="str">
        <f>IF('Classe 1ère D'!$B22="","",N('Classe 1ère D'!I22))</f>
        <v/>
      </c>
      <c r="M1142" s="51" t="str">
        <f>IF('Classe 1ère D'!$B22="","",N('Classe 1ère D'!J22))</f>
        <v/>
      </c>
      <c r="N1142" s="51" t="str">
        <f>IF('Classe 1ère D'!$B22="","",N('Classe 1ère D'!K22))</f>
        <v/>
      </c>
      <c r="O1142" s="51" t="str">
        <f>IF('Classe 1ère D'!$B22="","",N('Classe 1ère D'!L22))</f>
        <v/>
      </c>
      <c r="P1142" s="51" t="str">
        <f>IF('Classe 1ère D'!$B22="","",N('Classe 1ère D'!M22))</f>
        <v/>
      </c>
      <c r="Q1142" s="21" t="str">
        <f>IF('Classe 1ère D'!$B22="","",IF('Classe 1ère D'!Q22="","",'Classe 1ère D'!Q22))</f>
        <v/>
      </c>
      <c r="R1142" s="51" t="str">
        <f>IF('Classe 1ère D'!$B22="","",N('Classe 1ère D'!N22))</f>
        <v/>
      </c>
      <c r="S1142" s="51" t="str">
        <f>IF('Classe 1ère D'!$B22="","",N('Classe 1ère D'!O22))</f>
        <v/>
      </c>
      <c r="T1142" s="51" t="str">
        <f>IF('Classe 1ère D'!$B22="","",N('Classe 1ère D'!P22))</f>
        <v/>
      </c>
    </row>
    <row r="1143">
      <c r="A1143" s="16" t="str">
        <f>IF('Classe 1ère D'!$B23="","",IF('Classe 1ère D'!A23="","",'Classe 1ère D'!A23))</f>
        <v/>
      </c>
      <c r="B1143" s="16" t="str">
        <f>IF('Classe 1ère D'!$B23="","",IF('Classe 1ère D'!B23="","",'Classe 1ère D'!B23))</f>
        <v/>
      </c>
      <c r="C1143" s="16" t="str">
        <f>IF('Classe 1ère D'!$B23="","",IF('Classe 1ère D'!C23="","",'Classe 1ère D'!C23))</f>
        <v/>
      </c>
      <c r="D1143" s="16" t="str">
        <f>IF($B1143="","",C1143&amp;" "&amp;B1143&amp;" - "&amp;E1143)</f>
        <v/>
      </c>
      <c r="E1143" s="17" t="str">
        <f>IF($B1143="","",Paramètres!$A$29)</f>
        <v/>
      </c>
      <c r="F1143" s="17" t="str">
        <f>IF($B1143="","",Paramètres!$B$29)</f>
        <v/>
      </c>
      <c r="G1143" s="17" t="str">
        <f>IF('Classe 1ère D'!$B23="","",IF('Classe 1ère D'!D23="","",'Classe 1ère D'!D23))</f>
        <v/>
      </c>
      <c r="H1143" s="78" t="str">
        <f>IF('Classe 1ère D'!$B23="","",IF('Classe 1ère D'!E23="","",'Classe 1ère D'!E23))</f>
        <v/>
      </c>
      <c r="I1143" s="16" t="str">
        <f>IF('Classe 1ère D'!$B23="","",IF('Classe 1ère D'!F23="","",'Classe 1ère D'!F23))</f>
        <v/>
      </c>
      <c r="J1143" s="16" t="str">
        <f>IF('Classe 1ère D'!$B23="","",IF('Classe 1ère D'!G23="","",'Classe 1ère D'!G23))</f>
        <v/>
      </c>
      <c r="K1143" s="18" t="str">
        <f>IF('Classe 1ère D'!$B23="","",N('Classe 1ère D'!H23))</f>
        <v/>
      </c>
      <c r="L1143" s="18" t="str">
        <f>IF('Classe 1ère D'!$B23="","",N('Classe 1ère D'!I23))</f>
        <v/>
      </c>
      <c r="M1143" s="18" t="str">
        <f>IF('Classe 1ère D'!$B23="","",N('Classe 1ère D'!J23))</f>
        <v/>
      </c>
      <c r="N1143" s="18" t="str">
        <f>IF('Classe 1ère D'!$B23="","",N('Classe 1ère D'!K23))</f>
        <v/>
      </c>
      <c r="O1143" s="18" t="str">
        <f>IF('Classe 1ère D'!$B23="","",N('Classe 1ère D'!L23))</f>
        <v/>
      </c>
      <c r="P1143" s="18" t="str">
        <f>IF('Classe 1ère D'!$B23="","",N('Classe 1ère D'!M23))</f>
        <v/>
      </c>
      <c r="Q1143" s="17" t="str">
        <f>IF('Classe 1ère D'!$B23="","",IF('Classe 1ère D'!Q23="","",'Classe 1ère D'!Q23))</f>
        <v/>
      </c>
      <c r="R1143" s="18" t="str">
        <f>IF('Classe 1ère D'!$B23="","",N('Classe 1ère D'!N23))</f>
        <v/>
      </c>
      <c r="S1143" s="18" t="str">
        <f>IF('Classe 1ère D'!$B23="","",N('Classe 1ère D'!O23))</f>
        <v/>
      </c>
      <c r="T1143" s="18" t="str">
        <f>IF('Classe 1ère D'!$B23="","",N('Classe 1ère D'!P23))</f>
        <v/>
      </c>
    </row>
    <row r="1144">
      <c r="A1144" s="20" t="str">
        <f>IF('Classe 1ère D'!$B24="","",IF('Classe 1ère D'!A24="","",'Classe 1ère D'!A24))</f>
        <v/>
      </c>
      <c r="B1144" s="20" t="str">
        <f>IF('Classe 1ère D'!$B24="","",IF('Classe 1ère D'!B24="","",'Classe 1ère D'!B24))</f>
        <v/>
      </c>
      <c r="C1144" s="20" t="str">
        <f>IF('Classe 1ère D'!$B24="","",IF('Classe 1ère D'!C24="","",'Classe 1ère D'!C24))</f>
        <v/>
      </c>
      <c r="D1144" s="20" t="str">
        <f>IF($B1144="","",C1144&amp;" "&amp;B1144&amp;" - "&amp;E1144)</f>
        <v/>
      </c>
      <c r="E1144" s="21" t="str">
        <f>IF($B1144="","",Paramètres!$A$29)</f>
        <v/>
      </c>
      <c r="F1144" s="21" t="str">
        <f>IF($B1144="","",Paramètres!$B$29)</f>
        <v/>
      </c>
      <c r="G1144" s="21" t="str">
        <f>IF('Classe 1ère D'!$B24="","",IF('Classe 1ère D'!D24="","",'Classe 1ère D'!D24))</f>
        <v/>
      </c>
      <c r="H1144" s="77" t="str">
        <f>IF('Classe 1ère D'!$B24="","",IF('Classe 1ère D'!E24="","",'Classe 1ère D'!E24))</f>
        <v/>
      </c>
      <c r="I1144" s="20" t="str">
        <f>IF('Classe 1ère D'!$B24="","",IF('Classe 1ère D'!F24="","",'Classe 1ère D'!F24))</f>
        <v/>
      </c>
      <c r="J1144" s="20" t="str">
        <f>IF('Classe 1ère D'!$B24="","",IF('Classe 1ère D'!G24="","",'Classe 1ère D'!G24))</f>
        <v/>
      </c>
      <c r="K1144" s="51" t="str">
        <f>IF('Classe 1ère D'!$B24="","",N('Classe 1ère D'!H24))</f>
        <v/>
      </c>
      <c r="L1144" s="51" t="str">
        <f>IF('Classe 1ère D'!$B24="","",N('Classe 1ère D'!I24))</f>
        <v/>
      </c>
      <c r="M1144" s="51" t="str">
        <f>IF('Classe 1ère D'!$B24="","",N('Classe 1ère D'!J24))</f>
        <v/>
      </c>
      <c r="N1144" s="51" t="str">
        <f>IF('Classe 1ère D'!$B24="","",N('Classe 1ère D'!K24))</f>
        <v/>
      </c>
      <c r="O1144" s="51" t="str">
        <f>IF('Classe 1ère D'!$B24="","",N('Classe 1ère D'!L24))</f>
        <v/>
      </c>
      <c r="P1144" s="51" t="str">
        <f>IF('Classe 1ère D'!$B24="","",N('Classe 1ère D'!M24))</f>
        <v/>
      </c>
      <c r="Q1144" s="21" t="str">
        <f>IF('Classe 1ère D'!$B24="","",IF('Classe 1ère D'!Q24="","",'Classe 1ère D'!Q24))</f>
        <v/>
      </c>
      <c r="R1144" s="51" t="str">
        <f>IF('Classe 1ère D'!$B24="","",N('Classe 1ère D'!N24))</f>
        <v/>
      </c>
      <c r="S1144" s="51" t="str">
        <f>IF('Classe 1ère D'!$B24="","",N('Classe 1ère D'!O24))</f>
        <v/>
      </c>
      <c r="T1144" s="51" t="str">
        <f>IF('Classe 1ère D'!$B24="","",N('Classe 1ère D'!P24))</f>
        <v/>
      </c>
    </row>
    <row r="1145">
      <c r="A1145" s="16" t="str">
        <f>IF('Classe 1ère D'!$B25="","",IF('Classe 1ère D'!A25="","",'Classe 1ère D'!A25))</f>
        <v/>
      </c>
      <c r="B1145" s="16" t="str">
        <f>IF('Classe 1ère D'!$B25="","",IF('Classe 1ère D'!B25="","",'Classe 1ère D'!B25))</f>
        <v/>
      </c>
      <c r="C1145" s="16" t="str">
        <f>IF('Classe 1ère D'!$B25="","",IF('Classe 1ère D'!C25="","",'Classe 1ère D'!C25))</f>
        <v/>
      </c>
      <c r="D1145" s="16" t="str">
        <f>IF($B1145="","",C1145&amp;" "&amp;B1145&amp;" - "&amp;E1145)</f>
        <v/>
      </c>
      <c r="E1145" s="17" t="str">
        <f>IF($B1145="","",Paramètres!$A$29)</f>
        <v/>
      </c>
      <c r="F1145" s="17" t="str">
        <f>IF($B1145="","",Paramètres!$B$29)</f>
        <v/>
      </c>
      <c r="G1145" s="17" t="str">
        <f>IF('Classe 1ère D'!$B25="","",IF('Classe 1ère D'!D25="","",'Classe 1ère D'!D25))</f>
        <v/>
      </c>
      <c r="H1145" s="78" t="str">
        <f>IF('Classe 1ère D'!$B25="","",IF('Classe 1ère D'!E25="","",'Classe 1ère D'!E25))</f>
        <v/>
      </c>
      <c r="I1145" s="16" t="str">
        <f>IF('Classe 1ère D'!$B25="","",IF('Classe 1ère D'!F25="","",'Classe 1ère D'!F25))</f>
        <v/>
      </c>
      <c r="J1145" s="16" t="str">
        <f>IF('Classe 1ère D'!$B25="","",IF('Classe 1ère D'!G25="","",'Classe 1ère D'!G25))</f>
        <v/>
      </c>
      <c r="K1145" s="18" t="str">
        <f>IF('Classe 1ère D'!$B25="","",N('Classe 1ère D'!H25))</f>
        <v/>
      </c>
      <c r="L1145" s="18" t="str">
        <f>IF('Classe 1ère D'!$B25="","",N('Classe 1ère D'!I25))</f>
        <v/>
      </c>
      <c r="M1145" s="18" t="str">
        <f>IF('Classe 1ère D'!$B25="","",N('Classe 1ère D'!J25))</f>
        <v/>
      </c>
      <c r="N1145" s="18" t="str">
        <f>IF('Classe 1ère D'!$B25="","",N('Classe 1ère D'!K25))</f>
        <v/>
      </c>
      <c r="O1145" s="18" t="str">
        <f>IF('Classe 1ère D'!$B25="","",N('Classe 1ère D'!L25))</f>
        <v/>
      </c>
      <c r="P1145" s="18" t="str">
        <f>IF('Classe 1ère D'!$B25="","",N('Classe 1ère D'!M25))</f>
        <v/>
      </c>
      <c r="Q1145" s="17" t="str">
        <f>IF('Classe 1ère D'!$B25="","",IF('Classe 1ère D'!Q25="","",'Classe 1ère D'!Q25))</f>
        <v/>
      </c>
      <c r="R1145" s="18" t="str">
        <f>IF('Classe 1ère D'!$B25="","",N('Classe 1ère D'!N25))</f>
        <v/>
      </c>
      <c r="S1145" s="18" t="str">
        <f>IF('Classe 1ère D'!$B25="","",N('Classe 1ère D'!O25))</f>
        <v/>
      </c>
      <c r="T1145" s="18" t="str">
        <f>IF('Classe 1ère D'!$B25="","",N('Classe 1ère D'!P25))</f>
        <v/>
      </c>
    </row>
    <row r="1146">
      <c r="A1146" s="20" t="str">
        <f>IF('Classe 1ère D'!$B26="","",IF('Classe 1ère D'!A26="","",'Classe 1ère D'!A26))</f>
        <v/>
      </c>
      <c r="B1146" s="20" t="str">
        <f>IF('Classe 1ère D'!$B26="","",IF('Classe 1ère D'!B26="","",'Classe 1ère D'!B26))</f>
        <v/>
      </c>
      <c r="C1146" s="20" t="str">
        <f>IF('Classe 1ère D'!$B26="","",IF('Classe 1ère D'!C26="","",'Classe 1ère D'!C26))</f>
        <v/>
      </c>
      <c r="D1146" s="20" t="str">
        <f>IF($B1146="","",C1146&amp;" "&amp;B1146&amp;" - "&amp;E1146)</f>
        <v/>
      </c>
      <c r="E1146" s="21" t="str">
        <f>IF($B1146="","",Paramètres!$A$29)</f>
        <v/>
      </c>
      <c r="F1146" s="21" t="str">
        <f>IF($B1146="","",Paramètres!$B$29)</f>
        <v/>
      </c>
      <c r="G1146" s="21" t="str">
        <f>IF('Classe 1ère D'!$B26="","",IF('Classe 1ère D'!D26="","",'Classe 1ère D'!D26))</f>
        <v/>
      </c>
      <c r="H1146" s="77" t="str">
        <f>IF('Classe 1ère D'!$B26="","",IF('Classe 1ère D'!E26="","",'Classe 1ère D'!E26))</f>
        <v/>
      </c>
      <c r="I1146" s="20" t="str">
        <f>IF('Classe 1ère D'!$B26="","",IF('Classe 1ère D'!F26="","",'Classe 1ère D'!F26))</f>
        <v/>
      </c>
      <c r="J1146" s="20" t="str">
        <f>IF('Classe 1ère D'!$B26="","",IF('Classe 1ère D'!G26="","",'Classe 1ère D'!G26))</f>
        <v/>
      </c>
      <c r="K1146" s="51" t="str">
        <f>IF('Classe 1ère D'!$B26="","",N('Classe 1ère D'!H26))</f>
        <v/>
      </c>
      <c r="L1146" s="51" t="str">
        <f>IF('Classe 1ère D'!$B26="","",N('Classe 1ère D'!I26))</f>
        <v/>
      </c>
      <c r="M1146" s="51" t="str">
        <f>IF('Classe 1ère D'!$B26="","",N('Classe 1ère D'!J26))</f>
        <v/>
      </c>
      <c r="N1146" s="51" t="str">
        <f>IF('Classe 1ère D'!$B26="","",N('Classe 1ère D'!K26))</f>
        <v/>
      </c>
      <c r="O1146" s="51" t="str">
        <f>IF('Classe 1ère D'!$B26="","",N('Classe 1ère D'!L26))</f>
        <v/>
      </c>
      <c r="P1146" s="51" t="str">
        <f>IF('Classe 1ère D'!$B26="","",N('Classe 1ère D'!M26))</f>
        <v/>
      </c>
      <c r="Q1146" s="21" t="str">
        <f>IF('Classe 1ère D'!$B26="","",IF('Classe 1ère D'!Q26="","",'Classe 1ère D'!Q26))</f>
        <v/>
      </c>
      <c r="R1146" s="51" t="str">
        <f>IF('Classe 1ère D'!$B26="","",N('Classe 1ère D'!N26))</f>
        <v/>
      </c>
      <c r="S1146" s="51" t="str">
        <f>IF('Classe 1ère D'!$B26="","",N('Classe 1ère D'!O26))</f>
        <v/>
      </c>
      <c r="T1146" s="51" t="str">
        <f>IF('Classe 1ère D'!$B26="","",N('Classe 1ère D'!P26))</f>
        <v/>
      </c>
    </row>
    <row r="1147">
      <c r="A1147" s="16" t="str">
        <f>IF('Classe 1ère D'!$B27="","",IF('Classe 1ère D'!A27="","",'Classe 1ère D'!A27))</f>
        <v/>
      </c>
      <c r="B1147" s="16" t="str">
        <f>IF('Classe 1ère D'!$B27="","",IF('Classe 1ère D'!B27="","",'Classe 1ère D'!B27))</f>
        <v/>
      </c>
      <c r="C1147" s="16" t="str">
        <f>IF('Classe 1ère D'!$B27="","",IF('Classe 1ère D'!C27="","",'Classe 1ère D'!C27))</f>
        <v/>
      </c>
      <c r="D1147" s="16" t="str">
        <f>IF($B1147="","",C1147&amp;" "&amp;B1147&amp;" - "&amp;E1147)</f>
        <v/>
      </c>
      <c r="E1147" s="17" t="str">
        <f>IF($B1147="","",Paramètres!$A$29)</f>
        <v/>
      </c>
      <c r="F1147" s="17" t="str">
        <f>IF($B1147="","",Paramètres!$B$29)</f>
        <v/>
      </c>
      <c r="G1147" s="17" t="str">
        <f>IF('Classe 1ère D'!$B27="","",IF('Classe 1ère D'!D27="","",'Classe 1ère D'!D27))</f>
        <v/>
      </c>
      <c r="H1147" s="78" t="str">
        <f>IF('Classe 1ère D'!$B27="","",IF('Classe 1ère D'!E27="","",'Classe 1ère D'!E27))</f>
        <v/>
      </c>
      <c r="I1147" s="16" t="str">
        <f>IF('Classe 1ère D'!$B27="","",IF('Classe 1ère D'!F27="","",'Classe 1ère D'!F27))</f>
        <v/>
      </c>
      <c r="J1147" s="16" t="str">
        <f>IF('Classe 1ère D'!$B27="","",IF('Classe 1ère D'!G27="","",'Classe 1ère D'!G27))</f>
        <v/>
      </c>
      <c r="K1147" s="18" t="str">
        <f>IF('Classe 1ère D'!$B27="","",N('Classe 1ère D'!H27))</f>
        <v/>
      </c>
      <c r="L1147" s="18" t="str">
        <f>IF('Classe 1ère D'!$B27="","",N('Classe 1ère D'!I27))</f>
        <v/>
      </c>
      <c r="M1147" s="18" t="str">
        <f>IF('Classe 1ère D'!$B27="","",N('Classe 1ère D'!J27))</f>
        <v/>
      </c>
      <c r="N1147" s="18" t="str">
        <f>IF('Classe 1ère D'!$B27="","",N('Classe 1ère D'!K27))</f>
        <v/>
      </c>
      <c r="O1147" s="18" t="str">
        <f>IF('Classe 1ère D'!$B27="","",N('Classe 1ère D'!L27))</f>
        <v/>
      </c>
      <c r="P1147" s="18" t="str">
        <f>IF('Classe 1ère D'!$B27="","",N('Classe 1ère D'!M27))</f>
        <v/>
      </c>
      <c r="Q1147" s="17" t="str">
        <f>IF('Classe 1ère D'!$B27="","",IF('Classe 1ère D'!Q27="","",'Classe 1ère D'!Q27))</f>
        <v/>
      </c>
      <c r="R1147" s="18" t="str">
        <f>IF('Classe 1ère D'!$B27="","",N('Classe 1ère D'!N27))</f>
        <v/>
      </c>
      <c r="S1147" s="18" t="str">
        <f>IF('Classe 1ère D'!$B27="","",N('Classe 1ère D'!O27))</f>
        <v/>
      </c>
      <c r="T1147" s="18" t="str">
        <f>IF('Classe 1ère D'!$B27="","",N('Classe 1ère D'!P27))</f>
        <v/>
      </c>
    </row>
    <row r="1148">
      <c r="A1148" s="20" t="str">
        <f>IF('Classe 1ère D'!$B28="","",IF('Classe 1ère D'!A28="","",'Classe 1ère D'!A28))</f>
        <v/>
      </c>
      <c r="B1148" s="20" t="str">
        <f>IF('Classe 1ère D'!$B28="","",IF('Classe 1ère D'!B28="","",'Classe 1ère D'!B28))</f>
        <v/>
      </c>
      <c r="C1148" s="20" t="str">
        <f>IF('Classe 1ère D'!$B28="","",IF('Classe 1ère D'!C28="","",'Classe 1ère D'!C28))</f>
        <v/>
      </c>
      <c r="D1148" s="20" t="str">
        <f>IF($B1148="","",C1148&amp;" "&amp;B1148&amp;" - "&amp;E1148)</f>
        <v/>
      </c>
      <c r="E1148" s="21" t="str">
        <f>IF($B1148="","",Paramètres!$A$29)</f>
        <v/>
      </c>
      <c r="F1148" s="21" t="str">
        <f>IF($B1148="","",Paramètres!$B$29)</f>
        <v/>
      </c>
      <c r="G1148" s="21" t="str">
        <f>IF('Classe 1ère D'!$B28="","",IF('Classe 1ère D'!D28="","",'Classe 1ère D'!D28))</f>
        <v/>
      </c>
      <c r="H1148" s="77" t="str">
        <f>IF('Classe 1ère D'!$B28="","",IF('Classe 1ère D'!E28="","",'Classe 1ère D'!E28))</f>
        <v/>
      </c>
      <c r="I1148" s="20" t="str">
        <f>IF('Classe 1ère D'!$B28="","",IF('Classe 1ère D'!F28="","",'Classe 1ère D'!F28))</f>
        <v/>
      </c>
      <c r="J1148" s="20" t="str">
        <f>IF('Classe 1ère D'!$B28="","",IF('Classe 1ère D'!G28="","",'Classe 1ère D'!G28))</f>
        <v/>
      </c>
      <c r="K1148" s="51" t="str">
        <f>IF('Classe 1ère D'!$B28="","",N('Classe 1ère D'!H28))</f>
        <v/>
      </c>
      <c r="L1148" s="51" t="str">
        <f>IF('Classe 1ère D'!$B28="","",N('Classe 1ère D'!I28))</f>
        <v/>
      </c>
      <c r="M1148" s="51" t="str">
        <f>IF('Classe 1ère D'!$B28="","",N('Classe 1ère D'!J28))</f>
        <v/>
      </c>
      <c r="N1148" s="51" t="str">
        <f>IF('Classe 1ère D'!$B28="","",N('Classe 1ère D'!K28))</f>
        <v/>
      </c>
      <c r="O1148" s="51" t="str">
        <f>IF('Classe 1ère D'!$B28="","",N('Classe 1ère D'!L28))</f>
        <v/>
      </c>
      <c r="P1148" s="51" t="str">
        <f>IF('Classe 1ère D'!$B28="","",N('Classe 1ère D'!M28))</f>
        <v/>
      </c>
      <c r="Q1148" s="21" t="str">
        <f>IF('Classe 1ère D'!$B28="","",IF('Classe 1ère D'!Q28="","",'Classe 1ère D'!Q28))</f>
        <v/>
      </c>
      <c r="R1148" s="51" t="str">
        <f>IF('Classe 1ère D'!$B28="","",N('Classe 1ère D'!N28))</f>
        <v/>
      </c>
      <c r="S1148" s="51" t="str">
        <f>IF('Classe 1ère D'!$B28="","",N('Classe 1ère D'!O28))</f>
        <v/>
      </c>
      <c r="T1148" s="51" t="str">
        <f>IF('Classe 1ère D'!$B28="","",N('Classe 1ère D'!P28))</f>
        <v/>
      </c>
    </row>
    <row r="1149">
      <c r="A1149" s="16" t="str">
        <f>IF('Classe 1ère D'!$B29="","",IF('Classe 1ère D'!A29="","",'Classe 1ère D'!A29))</f>
        <v/>
      </c>
      <c r="B1149" s="16" t="str">
        <f>IF('Classe 1ère D'!$B29="","",IF('Classe 1ère D'!B29="","",'Classe 1ère D'!B29))</f>
        <v/>
      </c>
      <c r="C1149" s="16" t="str">
        <f>IF('Classe 1ère D'!$B29="","",IF('Classe 1ère D'!C29="","",'Classe 1ère D'!C29))</f>
        <v/>
      </c>
      <c r="D1149" s="16" t="str">
        <f>IF($B1149="","",C1149&amp;" "&amp;B1149&amp;" - "&amp;E1149)</f>
        <v/>
      </c>
      <c r="E1149" s="17" t="str">
        <f>IF($B1149="","",Paramètres!$A$29)</f>
        <v/>
      </c>
      <c r="F1149" s="17" t="str">
        <f>IF($B1149="","",Paramètres!$B$29)</f>
        <v/>
      </c>
      <c r="G1149" s="17" t="str">
        <f>IF('Classe 1ère D'!$B29="","",IF('Classe 1ère D'!D29="","",'Classe 1ère D'!D29))</f>
        <v/>
      </c>
      <c r="H1149" s="78" t="str">
        <f>IF('Classe 1ère D'!$B29="","",IF('Classe 1ère D'!E29="","",'Classe 1ère D'!E29))</f>
        <v/>
      </c>
      <c r="I1149" s="16" t="str">
        <f>IF('Classe 1ère D'!$B29="","",IF('Classe 1ère D'!F29="","",'Classe 1ère D'!F29))</f>
        <v/>
      </c>
      <c r="J1149" s="16" t="str">
        <f>IF('Classe 1ère D'!$B29="","",IF('Classe 1ère D'!G29="","",'Classe 1ère D'!G29))</f>
        <v/>
      </c>
      <c r="K1149" s="18" t="str">
        <f>IF('Classe 1ère D'!$B29="","",N('Classe 1ère D'!H29))</f>
        <v/>
      </c>
      <c r="L1149" s="18" t="str">
        <f>IF('Classe 1ère D'!$B29="","",N('Classe 1ère D'!I29))</f>
        <v/>
      </c>
      <c r="M1149" s="18" t="str">
        <f>IF('Classe 1ère D'!$B29="","",N('Classe 1ère D'!J29))</f>
        <v/>
      </c>
      <c r="N1149" s="18" t="str">
        <f>IF('Classe 1ère D'!$B29="","",N('Classe 1ère D'!K29))</f>
        <v/>
      </c>
      <c r="O1149" s="18" t="str">
        <f>IF('Classe 1ère D'!$B29="","",N('Classe 1ère D'!L29))</f>
        <v/>
      </c>
      <c r="P1149" s="18" t="str">
        <f>IF('Classe 1ère D'!$B29="","",N('Classe 1ère D'!M29))</f>
        <v/>
      </c>
      <c r="Q1149" s="17" t="str">
        <f>IF('Classe 1ère D'!$B29="","",IF('Classe 1ère D'!Q29="","",'Classe 1ère D'!Q29))</f>
        <v/>
      </c>
      <c r="R1149" s="18" t="str">
        <f>IF('Classe 1ère D'!$B29="","",N('Classe 1ère D'!N29))</f>
        <v/>
      </c>
      <c r="S1149" s="18" t="str">
        <f>IF('Classe 1ère D'!$B29="","",N('Classe 1ère D'!O29))</f>
        <v/>
      </c>
      <c r="T1149" s="18" t="str">
        <f>IF('Classe 1ère D'!$B29="","",N('Classe 1ère D'!P29))</f>
        <v/>
      </c>
    </row>
    <row r="1150">
      <c r="A1150" s="20" t="str">
        <f>IF('Classe 1ère D'!$B30="","",IF('Classe 1ère D'!A30="","",'Classe 1ère D'!A30))</f>
        <v/>
      </c>
      <c r="B1150" s="20" t="str">
        <f>IF('Classe 1ère D'!$B30="","",IF('Classe 1ère D'!B30="","",'Classe 1ère D'!B30))</f>
        <v/>
      </c>
      <c r="C1150" s="20" t="str">
        <f>IF('Classe 1ère D'!$B30="","",IF('Classe 1ère D'!C30="","",'Classe 1ère D'!C30))</f>
        <v/>
      </c>
      <c r="D1150" s="20" t="str">
        <f>IF($B1150="","",C1150&amp;" "&amp;B1150&amp;" - "&amp;E1150)</f>
        <v/>
      </c>
      <c r="E1150" s="21" t="str">
        <f>IF($B1150="","",Paramètres!$A$29)</f>
        <v/>
      </c>
      <c r="F1150" s="21" t="str">
        <f>IF($B1150="","",Paramètres!$B$29)</f>
        <v/>
      </c>
      <c r="G1150" s="21" t="str">
        <f>IF('Classe 1ère D'!$B30="","",IF('Classe 1ère D'!D30="","",'Classe 1ère D'!D30))</f>
        <v/>
      </c>
      <c r="H1150" s="77" t="str">
        <f>IF('Classe 1ère D'!$B30="","",IF('Classe 1ère D'!E30="","",'Classe 1ère D'!E30))</f>
        <v/>
      </c>
      <c r="I1150" s="20" t="str">
        <f>IF('Classe 1ère D'!$B30="","",IF('Classe 1ère D'!F30="","",'Classe 1ère D'!F30))</f>
        <v/>
      </c>
      <c r="J1150" s="20" t="str">
        <f>IF('Classe 1ère D'!$B30="","",IF('Classe 1ère D'!G30="","",'Classe 1ère D'!G30))</f>
        <v/>
      </c>
      <c r="K1150" s="51" t="str">
        <f>IF('Classe 1ère D'!$B30="","",N('Classe 1ère D'!H30))</f>
        <v/>
      </c>
      <c r="L1150" s="51" t="str">
        <f>IF('Classe 1ère D'!$B30="","",N('Classe 1ère D'!I30))</f>
        <v/>
      </c>
      <c r="M1150" s="51" t="str">
        <f>IF('Classe 1ère D'!$B30="","",N('Classe 1ère D'!J30))</f>
        <v/>
      </c>
      <c r="N1150" s="51" t="str">
        <f>IF('Classe 1ère D'!$B30="","",N('Classe 1ère D'!K30))</f>
        <v/>
      </c>
      <c r="O1150" s="51" t="str">
        <f>IF('Classe 1ère D'!$B30="","",N('Classe 1ère D'!L30))</f>
        <v/>
      </c>
      <c r="P1150" s="51" t="str">
        <f>IF('Classe 1ère D'!$B30="","",N('Classe 1ère D'!M30))</f>
        <v/>
      </c>
      <c r="Q1150" s="21" t="str">
        <f>IF('Classe 1ère D'!$B30="","",IF('Classe 1ère D'!Q30="","",'Classe 1ère D'!Q30))</f>
        <v/>
      </c>
      <c r="R1150" s="51" t="str">
        <f>IF('Classe 1ère D'!$B30="","",N('Classe 1ère D'!N30))</f>
        <v/>
      </c>
      <c r="S1150" s="51" t="str">
        <f>IF('Classe 1ère D'!$B30="","",N('Classe 1ère D'!O30))</f>
        <v/>
      </c>
      <c r="T1150" s="51" t="str">
        <f>IF('Classe 1ère D'!$B30="","",N('Classe 1ère D'!P30))</f>
        <v/>
      </c>
    </row>
    <row r="1151">
      <c r="A1151" s="16" t="str">
        <f>IF('Classe 1ère D'!$B31="","",IF('Classe 1ère D'!A31="","",'Classe 1ère D'!A31))</f>
        <v/>
      </c>
      <c r="B1151" s="16" t="str">
        <f>IF('Classe 1ère D'!$B31="","",IF('Classe 1ère D'!B31="","",'Classe 1ère D'!B31))</f>
        <v/>
      </c>
      <c r="C1151" s="16" t="str">
        <f>IF('Classe 1ère D'!$B31="","",IF('Classe 1ère D'!C31="","",'Classe 1ère D'!C31))</f>
        <v/>
      </c>
      <c r="D1151" s="16" t="str">
        <f>IF($B1151="","",C1151&amp;" "&amp;B1151&amp;" - "&amp;E1151)</f>
        <v/>
      </c>
      <c r="E1151" s="17" t="str">
        <f>IF($B1151="","",Paramètres!$A$29)</f>
        <v/>
      </c>
      <c r="F1151" s="17" t="str">
        <f>IF($B1151="","",Paramètres!$B$29)</f>
        <v/>
      </c>
      <c r="G1151" s="17" t="str">
        <f>IF('Classe 1ère D'!$B31="","",IF('Classe 1ère D'!D31="","",'Classe 1ère D'!D31))</f>
        <v/>
      </c>
      <c r="H1151" s="78" t="str">
        <f>IF('Classe 1ère D'!$B31="","",IF('Classe 1ère D'!E31="","",'Classe 1ère D'!E31))</f>
        <v/>
      </c>
      <c r="I1151" s="16" t="str">
        <f>IF('Classe 1ère D'!$B31="","",IF('Classe 1ère D'!F31="","",'Classe 1ère D'!F31))</f>
        <v/>
      </c>
      <c r="J1151" s="16" t="str">
        <f>IF('Classe 1ère D'!$B31="","",IF('Classe 1ère D'!G31="","",'Classe 1ère D'!G31))</f>
        <v/>
      </c>
      <c r="K1151" s="18" t="str">
        <f>IF('Classe 1ère D'!$B31="","",N('Classe 1ère D'!H31))</f>
        <v/>
      </c>
      <c r="L1151" s="18" t="str">
        <f>IF('Classe 1ère D'!$B31="","",N('Classe 1ère D'!I31))</f>
        <v/>
      </c>
      <c r="M1151" s="18" t="str">
        <f>IF('Classe 1ère D'!$B31="","",N('Classe 1ère D'!J31))</f>
        <v/>
      </c>
      <c r="N1151" s="18" t="str">
        <f>IF('Classe 1ère D'!$B31="","",N('Classe 1ère D'!K31))</f>
        <v/>
      </c>
      <c r="O1151" s="18" t="str">
        <f>IF('Classe 1ère D'!$B31="","",N('Classe 1ère D'!L31))</f>
        <v/>
      </c>
      <c r="P1151" s="18" t="str">
        <f>IF('Classe 1ère D'!$B31="","",N('Classe 1ère D'!M31))</f>
        <v/>
      </c>
      <c r="Q1151" s="17" t="str">
        <f>IF('Classe 1ère D'!$B31="","",IF('Classe 1ère D'!Q31="","",'Classe 1ère D'!Q31))</f>
        <v/>
      </c>
      <c r="R1151" s="18" t="str">
        <f>IF('Classe 1ère D'!$B31="","",N('Classe 1ère D'!N31))</f>
        <v/>
      </c>
      <c r="S1151" s="18" t="str">
        <f>IF('Classe 1ère D'!$B31="","",N('Classe 1ère D'!O31))</f>
        <v/>
      </c>
      <c r="T1151" s="18" t="str">
        <f>IF('Classe 1ère D'!$B31="","",N('Classe 1ère D'!P31))</f>
        <v/>
      </c>
    </row>
    <row r="1152">
      <c r="A1152" s="20" t="str">
        <f>IF('Classe 1ère D'!$B32="","",IF('Classe 1ère D'!A32="","",'Classe 1ère D'!A32))</f>
        <v/>
      </c>
      <c r="B1152" s="20" t="str">
        <f>IF('Classe 1ère D'!$B32="","",IF('Classe 1ère D'!B32="","",'Classe 1ère D'!B32))</f>
        <v/>
      </c>
      <c r="C1152" s="20" t="str">
        <f>IF('Classe 1ère D'!$B32="","",IF('Classe 1ère D'!C32="","",'Classe 1ère D'!C32))</f>
        <v/>
      </c>
      <c r="D1152" s="20" t="str">
        <f>IF($B1152="","",C1152&amp;" "&amp;B1152&amp;" - "&amp;E1152)</f>
        <v/>
      </c>
      <c r="E1152" s="21" t="str">
        <f>IF($B1152="","",Paramètres!$A$29)</f>
        <v/>
      </c>
      <c r="F1152" s="21" t="str">
        <f>IF($B1152="","",Paramètres!$B$29)</f>
        <v/>
      </c>
      <c r="G1152" s="21" t="str">
        <f>IF('Classe 1ère D'!$B32="","",IF('Classe 1ère D'!D32="","",'Classe 1ère D'!D32))</f>
        <v/>
      </c>
      <c r="H1152" s="77" t="str">
        <f>IF('Classe 1ère D'!$B32="","",IF('Classe 1ère D'!E32="","",'Classe 1ère D'!E32))</f>
        <v/>
      </c>
      <c r="I1152" s="20" t="str">
        <f>IF('Classe 1ère D'!$B32="","",IF('Classe 1ère D'!F32="","",'Classe 1ère D'!F32))</f>
        <v/>
      </c>
      <c r="J1152" s="20" t="str">
        <f>IF('Classe 1ère D'!$B32="","",IF('Classe 1ère D'!G32="","",'Classe 1ère D'!G32))</f>
        <v/>
      </c>
      <c r="K1152" s="51" t="str">
        <f>IF('Classe 1ère D'!$B32="","",N('Classe 1ère D'!H32))</f>
        <v/>
      </c>
      <c r="L1152" s="51" t="str">
        <f>IF('Classe 1ère D'!$B32="","",N('Classe 1ère D'!I32))</f>
        <v/>
      </c>
      <c r="M1152" s="51" t="str">
        <f>IF('Classe 1ère D'!$B32="","",N('Classe 1ère D'!J32))</f>
        <v/>
      </c>
      <c r="N1152" s="51" t="str">
        <f>IF('Classe 1ère D'!$B32="","",N('Classe 1ère D'!K32))</f>
        <v/>
      </c>
      <c r="O1152" s="51" t="str">
        <f>IF('Classe 1ère D'!$B32="","",N('Classe 1ère D'!L32))</f>
        <v/>
      </c>
      <c r="P1152" s="51" t="str">
        <f>IF('Classe 1ère D'!$B32="","",N('Classe 1ère D'!M32))</f>
        <v/>
      </c>
      <c r="Q1152" s="21" t="str">
        <f>IF('Classe 1ère D'!$B32="","",IF('Classe 1ère D'!Q32="","",'Classe 1ère D'!Q32))</f>
        <v/>
      </c>
      <c r="R1152" s="51" t="str">
        <f>IF('Classe 1ère D'!$B32="","",N('Classe 1ère D'!N32))</f>
        <v/>
      </c>
      <c r="S1152" s="51" t="str">
        <f>IF('Classe 1ère D'!$B32="","",N('Classe 1ère D'!O32))</f>
        <v/>
      </c>
      <c r="T1152" s="51" t="str">
        <f>IF('Classe 1ère D'!$B32="","",N('Classe 1ère D'!P32))</f>
        <v/>
      </c>
    </row>
    <row r="1153">
      <c r="A1153" s="16" t="str">
        <f>IF('Classe 1ère D'!$B33="","",IF('Classe 1ère D'!A33="","",'Classe 1ère D'!A33))</f>
        <v/>
      </c>
      <c r="B1153" s="16" t="str">
        <f>IF('Classe 1ère D'!$B33="","",IF('Classe 1ère D'!B33="","",'Classe 1ère D'!B33))</f>
        <v/>
      </c>
      <c r="C1153" s="16" t="str">
        <f>IF('Classe 1ère D'!$B33="","",IF('Classe 1ère D'!C33="","",'Classe 1ère D'!C33))</f>
        <v/>
      </c>
      <c r="D1153" s="16" t="str">
        <f>IF($B1153="","",C1153&amp;" "&amp;B1153&amp;" - "&amp;E1153)</f>
        <v/>
      </c>
      <c r="E1153" s="17" t="str">
        <f>IF($B1153="","",Paramètres!$A$29)</f>
        <v/>
      </c>
      <c r="F1153" s="17" t="str">
        <f>IF($B1153="","",Paramètres!$B$29)</f>
        <v/>
      </c>
      <c r="G1153" s="17" t="str">
        <f>IF('Classe 1ère D'!$B33="","",IF('Classe 1ère D'!D33="","",'Classe 1ère D'!D33))</f>
        <v/>
      </c>
      <c r="H1153" s="78" t="str">
        <f>IF('Classe 1ère D'!$B33="","",IF('Classe 1ère D'!E33="","",'Classe 1ère D'!E33))</f>
        <v/>
      </c>
      <c r="I1153" s="16" t="str">
        <f>IF('Classe 1ère D'!$B33="","",IF('Classe 1ère D'!F33="","",'Classe 1ère D'!F33))</f>
        <v/>
      </c>
      <c r="J1153" s="16" t="str">
        <f>IF('Classe 1ère D'!$B33="","",IF('Classe 1ère D'!G33="","",'Classe 1ère D'!G33))</f>
        <v/>
      </c>
      <c r="K1153" s="18" t="str">
        <f>IF('Classe 1ère D'!$B33="","",N('Classe 1ère D'!H33))</f>
        <v/>
      </c>
      <c r="L1153" s="18" t="str">
        <f>IF('Classe 1ère D'!$B33="","",N('Classe 1ère D'!I33))</f>
        <v/>
      </c>
      <c r="M1153" s="18" t="str">
        <f>IF('Classe 1ère D'!$B33="","",N('Classe 1ère D'!J33))</f>
        <v/>
      </c>
      <c r="N1153" s="18" t="str">
        <f>IF('Classe 1ère D'!$B33="","",N('Classe 1ère D'!K33))</f>
        <v/>
      </c>
      <c r="O1153" s="18" t="str">
        <f>IF('Classe 1ère D'!$B33="","",N('Classe 1ère D'!L33))</f>
        <v/>
      </c>
      <c r="P1153" s="18" t="str">
        <f>IF('Classe 1ère D'!$B33="","",N('Classe 1ère D'!M33))</f>
        <v/>
      </c>
      <c r="Q1153" s="17" t="str">
        <f>IF('Classe 1ère D'!$B33="","",IF('Classe 1ère D'!Q33="","",'Classe 1ère D'!Q33))</f>
        <v/>
      </c>
      <c r="R1153" s="18" t="str">
        <f>IF('Classe 1ère D'!$B33="","",N('Classe 1ère D'!N33))</f>
        <v/>
      </c>
      <c r="S1153" s="18" t="str">
        <f>IF('Classe 1ère D'!$B33="","",N('Classe 1ère D'!O33))</f>
        <v/>
      </c>
      <c r="T1153" s="18" t="str">
        <f>IF('Classe 1ère D'!$B33="","",N('Classe 1ère D'!P33))</f>
        <v/>
      </c>
    </row>
    <row r="1154">
      <c r="A1154" s="20" t="str">
        <f>IF('Classe 1ère D'!$B34="","",IF('Classe 1ère D'!A34="","",'Classe 1ère D'!A34))</f>
        <v/>
      </c>
      <c r="B1154" s="20" t="str">
        <f>IF('Classe 1ère D'!$B34="","",IF('Classe 1ère D'!B34="","",'Classe 1ère D'!B34))</f>
        <v/>
      </c>
      <c r="C1154" s="20" t="str">
        <f>IF('Classe 1ère D'!$B34="","",IF('Classe 1ère D'!C34="","",'Classe 1ère D'!C34))</f>
        <v/>
      </c>
      <c r="D1154" s="20" t="str">
        <f>IF($B1154="","",C1154&amp;" "&amp;B1154&amp;" - "&amp;E1154)</f>
        <v/>
      </c>
      <c r="E1154" s="21" t="str">
        <f>IF($B1154="","",Paramètres!$A$29)</f>
        <v/>
      </c>
      <c r="F1154" s="21" t="str">
        <f>IF($B1154="","",Paramètres!$B$29)</f>
        <v/>
      </c>
      <c r="G1154" s="21" t="str">
        <f>IF('Classe 1ère D'!$B34="","",IF('Classe 1ère D'!D34="","",'Classe 1ère D'!D34))</f>
        <v/>
      </c>
      <c r="H1154" s="77" t="str">
        <f>IF('Classe 1ère D'!$B34="","",IF('Classe 1ère D'!E34="","",'Classe 1ère D'!E34))</f>
        <v/>
      </c>
      <c r="I1154" s="20" t="str">
        <f>IF('Classe 1ère D'!$B34="","",IF('Classe 1ère D'!F34="","",'Classe 1ère D'!F34))</f>
        <v/>
      </c>
      <c r="J1154" s="20" t="str">
        <f>IF('Classe 1ère D'!$B34="","",IF('Classe 1ère D'!G34="","",'Classe 1ère D'!G34))</f>
        <v/>
      </c>
      <c r="K1154" s="51" t="str">
        <f>IF('Classe 1ère D'!$B34="","",N('Classe 1ère D'!H34))</f>
        <v/>
      </c>
      <c r="L1154" s="51" t="str">
        <f>IF('Classe 1ère D'!$B34="","",N('Classe 1ère D'!I34))</f>
        <v/>
      </c>
      <c r="M1154" s="51" t="str">
        <f>IF('Classe 1ère D'!$B34="","",N('Classe 1ère D'!J34))</f>
        <v/>
      </c>
      <c r="N1154" s="51" t="str">
        <f>IF('Classe 1ère D'!$B34="","",N('Classe 1ère D'!K34))</f>
        <v/>
      </c>
      <c r="O1154" s="51" t="str">
        <f>IF('Classe 1ère D'!$B34="","",N('Classe 1ère D'!L34))</f>
        <v/>
      </c>
      <c r="P1154" s="51" t="str">
        <f>IF('Classe 1ère D'!$B34="","",N('Classe 1ère D'!M34))</f>
        <v/>
      </c>
      <c r="Q1154" s="21" t="str">
        <f>IF('Classe 1ère D'!$B34="","",IF('Classe 1ère D'!Q34="","",'Classe 1ère D'!Q34))</f>
        <v/>
      </c>
      <c r="R1154" s="51" t="str">
        <f>IF('Classe 1ère D'!$B34="","",N('Classe 1ère D'!N34))</f>
        <v/>
      </c>
      <c r="S1154" s="51" t="str">
        <f>IF('Classe 1ère D'!$B34="","",N('Classe 1ère D'!O34))</f>
        <v/>
      </c>
      <c r="T1154" s="51" t="str">
        <f>IF('Classe 1ère D'!$B34="","",N('Classe 1ère D'!P34))</f>
        <v/>
      </c>
    </row>
    <row r="1155">
      <c r="A1155" s="16" t="str">
        <f>IF('Classe 1ère D'!$B35="","",IF('Classe 1ère D'!A35="","",'Classe 1ère D'!A35))</f>
        <v/>
      </c>
      <c r="B1155" s="16" t="str">
        <f>IF('Classe 1ère D'!$B35="","",IF('Classe 1ère D'!B35="","",'Classe 1ère D'!B35))</f>
        <v/>
      </c>
      <c r="C1155" s="16" t="str">
        <f>IF('Classe 1ère D'!$B35="","",IF('Classe 1ère D'!C35="","",'Classe 1ère D'!C35))</f>
        <v/>
      </c>
      <c r="D1155" s="16" t="str">
        <f>IF($B1155="","",C1155&amp;" "&amp;B1155&amp;" - "&amp;E1155)</f>
        <v/>
      </c>
      <c r="E1155" s="17" t="str">
        <f>IF($B1155="","",Paramètres!$A$29)</f>
        <v/>
      </c>
      <c r="F1155" s="17" t="str">
        <f>IF($B1155="","",Paramètres!$B$29)</f>
        <v/>
      </c>
      <c r="G1155" s="17" t="str">
        <f>IF('Classe 1ère D'!$B35="","",IF('Classe 1ère D'!D35="","",'Classe 1ère D'!D35))</f>
        <v/>
      </c>
      <c r="H1155" s="78" t="str">
        <f>IF('Classe 1ère D'!$B35="","",IF('Classe 1ère D'!E35="","",'Classe 1ère D'!E35))</f>
        <v/>
      </c>
      <c r="I1155" s="16" t="str">
        <f>IF('Classe 1ère D'!$B35="","",IF('Classe 1ère D'!F35="","",'Classe 1ère D'!F35))</f>
        <v/>
      </c>
      <c r="J1155" s="16" t="str">
        <f>IF('Classe 1ère D'!$B35="","",IF('Classe 1ère D'!G35="","",'Classe 1ère D'!G35))</f>
        <v/>
      </c>
      <c r="K1155" s="18" t="str">
        <f>IF('Classe 1ère D'!$B35="","",N('Classe 1ère D'!H35))</f>
        <v/>
      </c>
      <c r="L1155" s="18" t="str">
        <f>IF('Classe 1ère D'!$B35="","",N('Classe 1ère D'!I35))</f>
        <v/>
      </c>
      <c r="M1155" s="18" t="str">
        <f>IF('Classe 1ère D'!$B35="","",N('Classe 1ère D'!J35))</f>
        <v/>
      </c>
      <c r="N1155" s="18" t="str">
        <f>IF('Classe 1ère D'!$B35="","",N('Classe 1ère D'!K35))</f>
        <v/>
      </c>
      <c r="O1155" s="18" t="str">
        <f>IF('Classe 1ère D'!$B35="","",N('Classe 1ère D'!L35))</f>
        <v/>
      </c>
      <c r="P1155" s="18" t="str">
        <f>IF('Classe 1ère D'!$B35="","",N('Classe 1ère D'!M35))</f>
        <v/>
      </c>
      <c r="Q1155" s="17" t="str">
        <f>IF('Classe 1ère D'!$B35="","",IF('Classe 1ère D'!Q35="","",'Classe 1ère D'!Q35))</f>
        <v/>
      </c>
      <c r="R1155" s="18" t="str">
        <f>IF('Classe 1ère D'!$B35="","",N('Classe 1ère D'!N35))</f>
        <v/>
      </c>
      <c r="S1155" s="18" t="str">
        <f>IF('Classe 1ère D'!$B35="","",N('Classe 1ère D'!O35))</f>
        <v/>
      </c>
      <c r="T1155" s="18" t="str">
        <f>IF('Classe 1ère D'!$B35="","",N('Classe 1ère D'!P35))</f>
        <v/>
      </c>
    </row>
    <row r="1156">
      <c r="A1156" s="20" t="str">
        <f>IF('Classe 1ère D'!$B36="","",IF('Classe 1ère D'!A36="","",'Classe 1ère D'!A36))</f>
        <v/>
      </c>
      <c r="B1156" s="20" t="str">
        <f>IF('Classe 1ère D'!$B36="","",IF('Classe 1ère D'!B36="","",'Classe 1ère D'!B36))</f>
        <v/>
      </c>
      <c r="C1156" s="20" t="str">
        <f>IF('Classe 1ère D'!$B36="","",IF('Classe 1ère D'!C36="","",'Classe 1ère D'!C36))</f>
        <v/>
      </c>
      <c r="D1156" s="20" t="str">
        <f>IF($B1156="","",C1156&amp;" "&amp;B1156&amp;" - "&amp;E1156)</f>
        <v/>
      </c>
      <c r="E1156" s="21" t="str">
        <f>IF($B1156="","",Paramètres!$A$29)</f>
        <v/>
      </c>
      <c r="F1156" s="21" t="str">
        <f>IF($B1156="","",Paramètres!$B$29)</f>
        <v/>
      </c>
      <c r="G1156" s="21" t="str">
        <f>IF('Classe 1ère D'!$B36="","",IF('Classe 1ère D'!D36="","",'Classe 1ère D'!D36))</f>
        <v/>
      </c>
      <c r="H1156" s="77" t="str">
        <f>IF('Classe 1ère D'!$B36="","",IF('Classe 1ère D'!E36="","",'Classe 1ère D'!E36))</f>
        <v/>
      </c>
      <c r="I1156" s="20" t="str">
        <f>IF('Classe 1ère D'!$B36="","",IF('Classe 1ère D'!F36="","",'Classe 1ère D'!F36))</f>
        <v/>
      </c>
      <c r="J1156" s="20" t="str">
        <f>IF('Classe 1ère D'!$B36="","",IF('Classe 1ère D'!G36="","",'Classe 1ère D'!G36))</f>
        <v/>
      </c>
      <c r="K1156" s="51" t="str">
        <f>IF('Classe 1ère D'!$B36="","",N('Classe 1ère D'!H36))</f>
        <v/>
      </c>
      <c r="L1156" s="51" t="str">
        <f>IF('Classe 1ère D'!$B36="","",N('Classe 1ère D'!I36))</f>
        <v/>
      </c>
      <c r="M1156" s="51" t="str">
        <f>IF('Classe 1ère D'!$B36="","",N('Classe 1ère D'!J36))</f>
        <v/>
      </c>
      <c r="N1156" s="51" t="str">
        <f>IF('Classe 1ère D'!$B36="","",N('Classe 1ère D'!K36))</f>
        <v/>
      </c>
      <c r="O1156" s="51" t="str">
        <f>IF('Classe 1ère D'!$B36="","",N('Classe 1ère D'!L36))</f>
        <v/>
      </c>
      <c r="P1156" s="51" t="str">
        <f>IF('Classe 1ère D'!$B36="","",N('Classe 1ère D'!M36))</f>
        <v/>
      </c>
      <c r="Q1156" s="21" t="str">
        <f>IF('Classe 1ère D'!$B36="","",IF('Classe 1ère D'!Q36="","",'Classe 1ère D'!Q36))</f>
        <v/>
      </c>
      <c r="R1156" s="51" t="str">
        <f>IF('Classe 1ère D'!$B36="","",N('Classe 1ère D'!N36))</f>
        <v/>
      </c>
      <c r="S1156" s="51" t="str">
        <f>IF('Classe 1ère D'!$B36="","",N('Classe 1ère D'!O36))</f>
        <v/>
      </c>
      <c r="T1156" s="51" t="str">
        <f>IF('Classe 1ère D'!$B36="","",N('Classe 1ère D'!P36))</f>
        <v/>
      </c>
    </row>
    <row r="1157">
      <c r="A1157" s="16" t="str">
        <f>IF('Classe 1ère D'!$B37="","",IF('Classe 1ère D'!A37="","",'Classe 1ère D'!A37))</f>
        <v/>
      </c>
      <c r="B1157" s="16" t="str">
        <f>IF('Classe 1ère D'!$B37="","",IF('Classe 1ère D'!B37="","",'Classe 1ère D'!B37))</f>
        <v/>
      </c>
      <c r="C1157" s="16" t="str">
        <f>IF('Classe 1ère D'!$B37="","",IF('Classe 1ère D'!C37="","",'Classe 1ère D'!C37))</f>
        <v/>
      </c>
      <c r="D1157" s="16" t="str">
        <f>IF($B1157="","",C1157&amp;" "&amp;B1157&amp;" - "&amp;E1157)</f>
        <v/>
      </c>
      <c r="E1157" s="17" t="str">
        <f>IF($B1157="","",Paramètres!$A$29)</f>
        <v/>
      </c>
      <c r="F1157" s="17" t="str">
        <f>IF($B1157="","",Paramètres!$B$29)</f>
        <v/>
      </c>
      <c r="G1157" s="17" t="str">
        <f>IF('Classe 1ère D'!$B37="","",IF('Classe 1ère D'!D37="","",'Classe 1ère D'!D37))</f>
        <v/>
      </c>
      <c r="H1157" s="78" t="str">
        <f>IF('Classe 1ère D'!$B37="","",IF('Classe 1ère D'!E37="","",'Classe 1ère D'!E37))</f>
        <v/>
      </c>
      <c r="I1157" s="16" t="str">
        <f>IF('Classe 1ère D'!$B37="","",IF('Classe 1ère D'!F37="","",'Classe 1ère D'!F37))</f>
        <v/>
      </c>
      <c r="J1157" s="16" t="str">
        <f>IF('Classe 1ère D'!$B37="","",IF('Classe 1ère D'!G37="","",'Classe 1ère D'!G37))</f>
        <v/>
      </c>
      <c r="K1157" s="18" t="str">
        <f>IF('Classe 1ère D'!$B37="","",N('Classe 1ère D'!H37))</f>
        <v/>
      </c>
      <c r="L1157" s="18" t="str">
        <f>IF('Classe 1ère D'!$B37="","",N('Classe 1ère D'!I37))</f>
        <v/>
      </c>
      <c r="M1157" s="18" t="str">
        <f>IF('Classe 1ère D'!$B37="","",N('Classe 1ère D'!J37))</f>
        <v/>
      </c>
      <c r="N1157" s="18" t="str">
        <f>IF('Classe 1ère D'!$B37="","",N('Classe 1ère D'!K37))</f>
        <v/>
      </c>
      <c r="O1157" s="18" t="str">
        <f>IF('Classe 1ère D'!$B37="","",N('Classe 1ère D'!L37))</f>
        <v/>
      </c>
      <c r="P1157" s="18" t="str">
        <f>IF('Classe 1ère D'!$B37="","",N('Classe 1ère D'!M37))</f>
        <v/>
      </c>
      <c r="Q1157" s="17" t="str">
        <f>IF('Classe 1ère D'!$B37="","",IF('Classe 1ère D'!Q37="","",'Classe 1ère D'!Q37))</f>
        <v/>
      </c>
      <c r="R1157" s="18" t="str">
        <f>IF('Classe 1ère D'!$B37="","",N('Classe 1ère D'!N37))</f>
        <v/>
      </c>
      <c r="S1157" s="18" t="str">
        <f>IF('Classe 1ère D'!$B37="","",N('Classe 1ère D'!O37))</f>
        <v/>
      </c>
      <c r="T1157" s="18" t="str">
        <f>IF('Classe 1ère D'!$B37="","",N('Classe 1ère D'!P37))</f>
        <v/>
      </c>
    </row>
    <row r="1158">
      <c r="A1158" s="20" t="str">
        <f>IF('Classe 1ère D'!$B38="","",IF('Classe 1ère D'!A38="","",'Classe 1ère D'!A38))</f>
        <v/>
      </c>
      <c r="B1158" s="20" t="str">
        <f>IF('Classe 1ère D'!$B38="","",IF('Classe 1ère D'!B38="","",'Classe 1ère D'!B38))</f>
        <v/>
      </c>
      <c r="C1158" s="20" t="str">
        <f>IF('Classe 1ère D'!$B38="","",IF('Classe 1ère D'!C38="","",'Classe 1ère D'!C38))</f>
        <v/>
      </c>
      <c r="D1158" s="20" t="str">
        <f>IF($B1158="","",C1158&amp;" "&amp;B1158&amp;" - "&amp;E1158)</f>
        <v/>
      </c>
      <c r="E1158" s="21" t="str">
        <f>IF($B1158="","",Paramètres!$A$29)</f>
        <v/>
      </c>
      <c r="F1158" s="21" t="str">
        <f>IF($B1158="","",Paramètres!$B$29)</f>
        <v/>
      </c>
      <c r="G1158" s="21" t="str">
        <f>IF('Classe 1ère D'!$B38="","",IF('Classe 1ère D'!D38="","",'Classe 1ère D'!D38))</f>
        <v/>
      </c>
      <c r="H1158" s="77" t="str">
        <f>IF('Classe 1ère D'!$B38="","",IF('Classe 1ère D'!E38="","",'Classe 1ère D'!E38))</f>
        <v/>
      </c>
      <c r="I1158" s="20" t="str">
        <f>IF('Classe 1ère D'!$B38="","",IF('Classe 1ère D'!F38="","",'Classe 1ère D'!F38))</f>
        <v/>
      </c>
      <c r="J1158" s="20" t="str">
        <f>IF('Classe 1ère D'!$B38="","",IF('Classe 1ère D'!G38="","",'Classe 1ère D'!G38))</f>
        <v/>
      </c>
      <c r="K1158" s="51" t="str">
        <f>IF('Classe 1ère D'!$B38="","",N('Classe 1ère D'!H38))</f>
        <v/>
      </c>
      <c r="L1158" s="51" t="str">
        <f>IF('Classe 1ère D'!$B38="","",N('Classe 1ère D'!I38))</f>
        <v/>
      </c>
      <c r="M1158" s="51" t="str">
        <f>IF('Classe 1ère D'!$B38="","",N('Classe 1ère D'!J38))</f>
        <v/>
      </c>
      <c r="N1158" s="51" t="str">
        <f>IF('Classe 1ère D'!$B38="","",N('Classe 1ère D'!K38))</f>
        <v/>
      </c>
      <c r="O1158" s="51" t="str">
        <f>IF('Classe 1ère D'!$B38="","",N('Classe 1ère D'!L38))</f>
        <v/>
      </c>
      <c r="P1158" s="51" t="str">
        <f>IF('Classe 1ère D'!$B38="","",N('Classe 1ère D'!M38))</f>
        <v/>
      </c>
      <c r="Q1158" s="21" t="str">
        <f>IF('Classe 1ère D'!$B38="","",IF('Classe 1ère D'!Q38="","",'Classe 1ère D'!Q38))</f>
        <v/>
      </c>
      <c r="R1158" s="51" t="str">
        <f>IF('Classe 1ère D'!$B38="","",N('Classe 1ère D'!N38))</f>
        <v/>
      </c>
      <c r="S1158" s="51" t="str">
        <f>IF('Classe 1ère D'!$B38="","",N('Classe 1ère D'!O38))</f>
        <v/>
      </c>
      <c r="T1158" s="51" t="str">
        <f>IF('Classe 1ère D'!$B38="","",N('Classe 1ère D'!P38))</f>
        <v/>
      </c>
    </row>
    <row r="1159">
      <c r="A1159" s="16" t="str">
        <f>IF('Classe 1ère D'!$B39="","",IF('Classe 1ère D'!A39="","",'Classe 1ère D'!A39))</f>
        <v/>
      </c>
      <c r="B1159" s="16" t="str">
        <f>IF('Classe 1ère D'!$B39="","",IF('Classe 1ère D'!B39="","",'Classe 1ère D'!B39))</f>
        <v/>
      </c>
      <c r="C1159" s="16" t="str">
        <f>IF('Classe 1ère D'!$B39="","",IF('Classe 1ère D'!C39="","",'Classe 1ère D'!C39))</f>
        <v/>
      </c>
      <c r="D1159" s="16" t="str">
        <f>IF($B1159="","",C1159&amp;" "&amp;B1159&amp;" - "&amp;E1159)</f>
        <v/>
      </c>
      <c r="E1159" s="17" t="str">
        <f>IF($B1159="","",Paramètres!$A$29)</f>
        <v/>
      </c>
      <c r="F1159" s="17" t="str">
        <f>IF($B1159="","",Paramètres!$B$29)</f>
        <v/>
      </c>
      <c r="G1159" s="17" t="str">
        <f>IF('Classe 1ère D'!$B39="","",IF('Classe 1ère D'!D39="","",'Classe 1ère D'!D39))</f>
        <v/>
      </c>
      <c r="H1159" s="78" t="str">
        <f>IF('Classe 1ère D'!$B39="","",IF('Classe 1ère D'!E39="","",'Classe 1ère D'!E39))</f>
        <v/>
      </c>
      <c r="I1159" s="16" t="str">
        <f>IF('Classe 1ère D'!$B39="","",IF('Classe 1ère D'!F39="","",'Classe 1ère D'!F39))</f>
        <v/>
      </c>
      <c r="J1159" s="16" t="str">
        <f>IF('Classe 1ère D'!$B39="","",IF('Classe 1ère D'!G39="","",'Classe 1ère D'!G39))</f>
        <v/>
      </c>
      <c r="K1159" s="18" t="str">
        <f>IF('Classe 1ère D'!$B39="","",N('Classe 1ère D'!H39))</f>
        <v/>
      </c>
      <c r="L1159" s="18" t="str">
        <f>IF('Classe 1ère D'!$B39="","",N('Classe 1ère D'!I39))</f>
        <v/>
      </c>
      <c r="M1159" s="18" t="str">
        <f>IF('Classe 1ère D'!$B39="","",N('Classe 1ère D'!J39))</f>
        <v/>
      </c>
      <c r="N1159" s="18" t="str">
        <f>IF('Classe 1ère D'!$B39="","",N('Classe 1ère D'!K39))</f>
        <v/>
      </c>
      <c r="O1159" s="18" t="str">
        <f>IF('Classe 1ère D'!$B39="","",N('Classe 1ère D'!L39))</f>
        <v/>
      </c>
      <c r="P1159" s="18" t="str">
        <f>IF('Classe 1ère D'!$B39="","",N('Classe 1ère D'!M39))</f>
        <v/>
      </c>
      <c r="Q1159" s="17" t="str">
        <f>IF('Classe 1ère D'!$B39="","",IF('Classe 1ère D'!Q39="","",'Classe 1ère D'!Q39))</f>
        <v/>
      </c>
      <c r="R1159" s="18" t="str">
        <f>IF('Classe 1ère D'!$B39="","",N('Classe 1ère D'!N39))</f>
        <v/>
      </c>
      <c r="S1159" s="18" t="str">
        <f>IF('Classe 1ère D'!$B39="","",N('Classe 1ère D'!O39))</f>
        <v/>
      </c>
      <c r="T1159" s="18" t="str">
        <f>IF('Classe 1ère D'!$B39="","",N('Classe 1ère D'!P39))</f>
        <v/>
      </c>
    </row>
    <row r="1160">
      <c r="A1160" s="20" t="str">
        <f>IF('Classe 1ère D'!$B40="","",IF('Classe 1ère D'!A40="","",'Classe 1ère D'!A40))</f>
        <v/>
      </c>
      <c r="B1160" s="20" t="str">
        <f>IF('Classe 1ère D'!$B40="","",IF('Classe 1ère D'!B40="","",'Classe 1ère D'!B40))</f>
        <v/>
      </c>
      <c r="C1160" s="20" t="str">
        <f>IF('Classe 1ère D'!$B40="","",IF('Classe 1ère D'!C40="","",'Classe 1ère D'!C40))</f>
        <v/>
      </c>
      <c r="D1160" s="20" t="str">
        <f>IF($B1160="","",C1160&amp;" "&amp;B1160&amp;" - "&amp;E1160)</f>
        <v/>
      </c>
      <c r="E1160" s="21" t="str">
        <f>IF($B1160="","",Paramètres!$A$29)</f>
        <v/>
      </c>
      <c r="F1160" s="21" t="str">
        <f>IF($B1160="","",Paramètres!$B$29)</f>
        <v/>
      </c>
      <c r="G1160" s="21" t="str">
        <f>IF('Classe 1ère D'!$B40="","",IF('Classe 1ère D'!D40="","",'Classe 1ère D'!D40))</f>
        <v/>
      </c>
      <c r="H1160" s="77" t="str">
        <f>IF('Classe 1ère D'!$B40="","",IF('Classe 1ère D'!E40="","",'Classe 1ère D'!E40))</f>
        <v/>
      </c>
      <c r="I1160" s="20" t="str">
        <f>IF('Classe 1ère D'!$B40="","",IF('Classe 1ère D'!F40="","",'Classe 1ère D'!F40))</f>
        <v/>
      </c>
      <c r="J1160" s="20" t="str">
        <f>IF('Classe 1ère D'!$B40="","",IF('Classe 1ère D'!G40="","",'Classe 1ère D'!G40))</f>
        <v/>
      </c>
      <c r="K1160" s="51" t="str">
        <f>IF('Classe 1ère D'!$B40="","",N('Classe 1ère D'!H40))</f>
        <v/>
      </c>
      <c r="L1160" s="51" t="str">
        <f>IF('Classe 1ère D'!$B40="","",N('Classe 1ère D'!I40))</f>
        <v/>
      </c>
      <c r="M1160" s="51" t="str">
        <f>IF('Classe 1ère D'!$B40="","",N('Classe 1ère D'!J40))</f>
        <v/>
      </c>
      <c r="N1160" s="51" t="str">
        <f>IF('Classe 1ère D'!$B40="","",N('Classe 1ère D'!K40))</f>
        <v/>
      </c>
      <c r="O1160" s="51" t="str">
        <f>IF('Classe 1ère D'!$B40="","",N('Classe 1ère D'!L40))</f>
        <v/>
      </c>
      <c r="P1160" s="51" t="str">
        <f>IF('Classe 1ère D'!$B40="","",N('Classe 1ère D'!M40))</f>
        <v/>
      </c>
      <c r="Q1160" s="21" t="str">
        <f>IF('Classe 1ère D'!$B40="","",IF('Classe 1ère D'!Q40="","",'Classe 1ère D'!Q40))</f>
        <v/>
      </c>
      <c r="R1160" s="51" t="str">
        <f>IF('Classe 1ère D'!$B40="","",N('Classe 1ère D'!N40))</f>
        <v/>
      </c>
      <c r="S1160" s="51" t="str">
        <f>IF('Classe 1ère D'!$B40="","",N('Classe 1ère D'!O40))</f>
        <v/>
      </c>
      <c r="T1160" s="51" t="str">
        <f>IF('Classe 1ère D'!$B40="","",N('Classe 1ère D'!P40))</f>
        <v/>
      </c>
    </row>
    <row r="1161">
      <c r="A1161" s="16" t="str">
        <f>IF('Classe 1ère D'!$B41="","",IF('Classe 1ère D'!A41="","",'Classe 1ère D'!A41))</f>
        <v/>
      </c>
      <c r="B1161" s="16" t="str">
        <f>IF('Classe 1ère D'!$B41="","",IF('Classe 1ère D'!B41="","",'Classe 1ère D'!B41))</f>
        <v/>
      </c>
      <c r="C1161" s="16" t="str">
        <f>IF('Classe 1ère D'!$B41="","",IF('Classe 1ère D'!C41="","",'Classe 1ère D'!C41))</f>
        <v/>
      </c>
      <c r="D1161" s="16" t="str">
        <f>IF($B1161="","",C1161&amp;" "&amp;B1161&amp;" - "&amp;E1161)</f>
        <v/>
      </c>
      <c r="E1161" s="17" t="str">
        <f>IF($B1161="","",Paramètres!$A$29)</f>
        <v/>
      </c>
      <c r="F1161" s="17" t="str">
        <f>IF($B1161="","",Paramètres!$B$29)</f>
        <v/>
      </c>
      <c r="G1161" s="17" t="str">
        <f>IF('Classe 1ère D'!$B41="","",IF('Classe 1ère D'!D41="","",'Classe 1ère D'!D41))</f>
        <v/>
      </c>
      <c r="H1161" s="78" t="str">
        <f>IF('Classe 1ère D'!$B41="","",IF('Classe 1ère D'!E41="","",'Classe 1ère D'!E41))</f>
        <v/>
      </c>
      <c r="I1161" s="16" t="str">
        <f>IF('Classe 1ère D'!$B41="","",IF('Classe 1ère D'!F41="","",'Classe 1ère D'!F41))</f>
        <v/>
      </c>
      <c r="J1161" s="16" t="str">
        <f>IF('Classe 1ère D'!$B41="","",IF('Classe 1ère D'!G41="","",'Classe 1ère D'!G41))</f>
        <v/>
      </c>
      <c r="K1161" s="18" t="str">
        <f>IF('Classe 1ère D'!$B41="","",N('Classe 1ère D'!H41))</f>
        <v/>
      </c>
      <c r="L1161" s="18" t="str">
        <f>IF('Classe 1ère D'!$B41="","",N('Classe 1ère D'!I41))</f>
        <v/>
      </c>
      <c r="M1161" s="18" t="str">
        <f>IF('Classe 1ère D'!$B41="","",N('Classe 1ère D'!J41))</f>
        <v/>
      </c>
      <c r="N1161" s="18" t="str">
        <f>IF('Classe 1ère D'!$B41="","",N('Classe 1ère D'!K41))</f>
        <v/>
      </c>
      <c r="O1161" s="18" t="str">
        <f>IF('Classe 1ère D'!$B41="","",N('Classe 1ère D'!L41))</f>
        <v/>
      </c>
      <c r="P1161" s="18" t="str">
        <f>IF('Classe 1ère D'!$B41="","",N('Classe 1ère D'!M41))</f>
        <v/>
      </c>
      <c r="Q1161" s="17" t="str">
        <f>IF('Classe 1ère D'!$B41="","",IF('Classe 1ère D'!Q41="","",'Classe 1ère D'!Q41))</f>
        <v/>
      </c>
      <c r="R1161" s="18" t="str">
        <f>IF('Classe 1ère D'!$B41="","",N('Classe 1ère D'!N41))</f>
        <v/>
      </c>
      <c r="S1161" s="18" t="str">
        <f>IF('Classe 1ère D'!$B41="","",N('Classe 1ère D'!O41))</f>
        <v/>
      </c>
      <c r="T1161" s="18" t="str">
        <f>IF('Classe 1ère D'!$B41="","",N('Classe 1ère D'!P41))</f>
        <v/>
      </c>
    </row>
    <row r="1162">
      <c r="A1162" s="20" t="str">
        <f>IF('Classe 1ère D'!$B42="","",IF('Classe 1ère D'!A42="","",'Classe 1ère D'!A42))</f>
        <v/>
      </c>
      <c r="B1162" s="20" t="str">
        <f>IF('Classe 1ère D'!$B42="","",IF('Classe 1ère D'!B42="","",'Classe 1ère D'!B42))</f>
        <v/>
      </c>
      <c r="C1162" s="20" t="str">
        <f>IF('Classe 1ère D'!$B42="","",IF('Classe 1ère D'!C42="","",'Classe 1ère D'!C42))</f>
        <v/>
      </c>
      <c r="D1162" s="20" t="str">
        <f>IF($B1162="","",C1162&amp;" "&amp;B1162&amp;" - "&amp;E1162)</f>
        <v/>
      </c>
      <c r="E1162" s="21" t="str">
        <f>IF($B1162="","",Paramètres!$A$29)</f>
        <v/>
      </c>
      <c r="F1162" s="21" t="str">
        <f>IF($B1162="","",Paramètres!$B$29)</f>
        <v/>
      </c>
      <c r="G1162" s="21" t="str">
        <f>IF('Classe 1ère D'!$B42="","",IF('Classe 1ère D'!D42="","",'Classe 1ère D'!D42))</f>
        <v/>
      </c>
      <c r="H1162" s="77" t="str">
        <f>IF('Classe 1ère D'!$B42="","",IF('Classe 1ère D'!E42="","",'Classe 1ère D'!E42))</f>
        <v/>
      </c>
      <c r="I1162" s="20" t="str">
        <f>IF('Classe 1ère D'!$B42="","",IF('Classe 1ère D'!F42="","",'Classe 1ère D'!F42))</f>
        <v/>
      </c>
      <c r="J1162" s="20" t="str">
        <f>IF('Classe 1ère D'!$B42="","",IF('Classe 1ère D'!G42="","",'Classe 1ère D'!G42))</f>
        <v/>
      </c>
      <c r="K1162" s="51" t="str">
        <f>IF('Classe 1ère D'!$B42="","",N('Classe 1ère D'!H42))</f>
        <v/>
      </c>
      <c r="L1162" s="51" t="str">
        <f>IF('Classe 1ère D'!$B42="","",N('Classe 1ère D'!I42))</f>
        <v/>
      </c>
      <c r="M1162" s="51" t="str">
        <f>IF('Classe 1ère D'!$B42="","",N('Classe 1ère D'!J42))</f>
        <v/>
      </c>
      <c r="N1162" s="51" t="str">
        <f>IF('Classe 1ère D'!$B42="","",N('Classe 1ère D'!K42))</f>
        <v/>
      </c>
      <c r="O1162" s="51" t="str">
        <f>IF('Classe 1ère D'!$B42="","",N('Classe 1ère D'!L42))</f>
        <v/>
      </c>
      <c r="P1162" s="51" t="str">
        <f>IF('Classe 1ère D'!$B42="","",N('Classe 1ère D'!M42))</f>
        <v/>
      </c>
      <c r="Q1162" s="21" t="str">
        <f>IF('Classe 1ère D'!$B42="","",IF('Classe 1ère D'!Q42="","",'Classe 1ère D'!Q42))</f>
        <v/>
      </c>
      <c r="R1162" s="51" t="str">
        <f>IF('Classe 1ère D'!$B42="","",N('Classe 1ère D'!N42))</f>
        <v/>
      </c>
      <c r="S1162" s="51" t="str">
        <f>IF('Classe 1ère D'!$B42="","",N('Classe 1ère D'!O42))</f>
        <v/>
      </c>
      <c r="T1162" s="51" t="str">
        <f>IF('Classe 1ère D'!$B42="","",N('Classe 1ère D'!P42))</f>
        <v/>
      </c>
    </row>
    <row r="1163">
      <c r="A1163" s="16" t="str">
        <f>IF('Classe 1ère D'!$B43="","",IF('Classe 1ère D'!A43="","",'Classe 1ère D'!A43))</f>
        <v/>
      </c>
      <c r="B1163" s="16" t="str">
        <f>IF('Classe 1ère D'!$B43="","",IF('Classe 1ère D'!B43="","",'Classe 1ère D'!B43))</f>
        <v/>
      </c>
      <c r="C1163" s="16" t="str">
        <f>IF('Classe 1ère D'!$B43="","",IF('Classe 1ère D'!C43="","",'Classe 1ère D'!C43))</f>
        <v/>
      </c>
      <c r="D1163" s="16" t="str">
        <f>IF($B1163="","",C1163&amp;" "&amp;B1163&amp;" - "&amp;E1163)</f>
        <v/>
      </c>
      <c r="E1163" s="17" t="str">
        <f>IF($B1163="","",Paramètres!$A$29)</f>
        <v/>
      </c>
      <c r="F1163" s="17" t="str">
        <f>IF($B1163="","",Paramètres!$B$29)</f>
        <v/>
      </c>
      <c r="G1163" s="17" t="str">
        <f>IF('Classe 1ère D'!$B43="","",IF('Classe 1ère D'!D43="","",'Classe 1ère D'!D43))</f>
        <v/>
      </c>
      <c r="H1163" s="78" t="str">
        <f>IF('Classe 1ère D'!$B43="","",IF('Classe 1ère D'!E43="","",'Classe 1ère D'!E43))</f>
        <v/>
      </c>
      <c r="I1163" s="16" t="str">
        <f>IF('Classe 1ère D'!$B43="","",IF('Classe 1ère D'!F43="","",'Classe 1ère D'!F43))</f>
        <v/>
      </c>
      <c r="J1163" s="16" t="str">
        <f>IF('Classe 1ère D'!$B43="","",IF('Classe 1ère D'!G43="","",'Classe 1ère D'!G43))</f>
        <v/>
      </c>
      <c r="K1163" s="18" t="str">
        <f>IF('Classe 1ère D'!$B43="","",N('Classe 1ère D'!H43))</f>
        <v/>
      </c>
      <c r="L1163" s="18" t="str">
        <f>IF('Classe 1ère D'!$B43="","",N('Classe 1ère D'!I43))</f>
        <v/>
      </c>
      <c r="M1163" s="18" t="str">
        <f>IF('Classe 1ère D'!$B43="","",N('Classe 1ère D'!J43))</f>
        <v/>
      </c>
      <c r="N1163" s="18" t="str">
        <f>IF('Classe 1ère D'!$B43="","",N('Classe 1ère D'!K43))</f>
        <v/>
      </c>
      <c r="O1163" s="18" t="str">
        <f>IF('Classe 1ère D'!$B43="","",N('Classe 1ère D'!L43))</f>
        <v/>
      </c>
      <c r="P1163" s="18" t="str">
        <f>IF('Classe 1ère D'!$B43="","",N('Classe 1ère D'!M43))</f>
        <v/>
      </c>
      <c r="Q1163" s="17" t="str">
        <f>IF('Classe 1ère D'!$B43="","",IF('Classe 1ère D'!Q43="","",'Classe 1ère D'!Q43))</f>
        <v/>
      </c>
      <c r="R1163" s="18" t="str">
        <f>IF('Classe 1ère D'!$B43="","",N('Classe 1ère D'!N43))</f>
        <v/>
      </c>
      <c r="S1163" s="18" t="str">
        <f>IF('Classe 1ère D'!$B43="","",N('Classe 1ère D'!O43))</f>
        <v/>
      </c>
      <c r="T1163" s="18" t="str">
        <f>IF('Classe 1ère D'!$B43="","",N('Classe 1ère D'!P43))</f>
        <v/>
      </c>
    </row>
    <row r="1164">
      <c r="A1164" s="20" t="str">
        <f>IF('Classe 1ère D'!$B44="","",IF('Classe 1ère D'!A44="","",'Classe 1ère D'!A44))</f>
        <v/>
      </c>
      <c r="B1164" s="20" t="str">
        <f>IF('Classe 1ère D'!$B44="","",IF('Classe 1ère D'!B44="","",'Classe 1ère D'!B44))</f>
        <v/>
      </c>
      <c r="C1164" s="20" t="str">
        <f>IF('Classe 1ère D'!$B44="","",IF('Classe 1ère D'!C44="","",'Classe 1ère D'!C44))</f>
        <v/>
      </c>
      <c r="D1164" s="20" t="str">
        <f>IF($B1164="","",C1164&amp;" "&amp;B1164&amp;" - "&amp;E1164)</f>
        <v/>
      </c>
      <c r="E1164" s="21" t="str">
        <f>IF($B1164="","",Paramètres!$A$29)</f>
        <v/>
      </c>
      <c r="F1164" s="21" t="str">
        <f>IF($B1164="","",Paramètres!$B$29)</f>
        <v/>
      </c>
      <c r="G1164" s="21" t="str">
        <f>IF('Classe 1ère D'!$B44="","",IF('Classe 1ère D'!D44="","",'Classe 1ère D'!D44))</f>
        <v/>
      </c>
      <c r="H1164" s="77" t="str">
        <f>IF('Classe 1ère D'!$B44="","",IF('Classe 1ère D'!E44="","",'Classe 1ère D'!E44))</f>
        <v/>
      </c>
      <c r="I1164" s="20" t="str">
        <f>IF('Classe 1ère D'!$B44="","",IF('Classe 1ère D'!F44="","",'Classe 1ère D'!F44))</f>
        <v/>
      </c>
      <c r="J1164" s="20" t="str">
        <f>IF('Classe 1ère D'!$B44="","",IF('Classe 1ère D'!G44="","",'Classe 1ère D'!G44))</f>
        <v/>
      </c>
      <c r="K1164" s="51" t="str">
        <f>IF('Classe 1ère D'!$B44="","",N('Classe 1ère D'!H44))</f>
        <v/>
      </c>
      <c r="L1164" s="51" t="str">
        <f>IF('Classe 1ère D'!$B44="","",N('Classe 1ère D'!I44))</f>
        <v/>
      </c>
      <c r="M1164" s="51" t="str">
        <f>IF('Classe 1ère D'!$B44="","",N('Classe 1ère D'!J44))</f>
        <v/>
      </c>
      <c r="N1164" s="51" t="str">
        <f>IF('Classe 1ère D'!$B44="","",N('Classe 1ère D'!K44))</f>
        <v/>
      </c>
      <c r="O1164" s="51" t="str">
        <f>IF('Classe 1ère D'!$B44="","",N('Classe 1ère D'!L44))</f>
        <v/>
      </c>
      <c r="P1164" s="51" t="str">
        <f>IF('Classe 1ère D'!$B44="","",N('Classe 1ère D'!M44))</f>
        <v/>
      </c>
      <c r="Q1164" s="21" t="str">
        <f>IF('Classe 1ère D'!$B44="","",IF('Classe 1ère D'!Q44="","",'Classe 1ère D'!Q44))</f>
        <v/>
      </c>
      <c r="R1164" s="51" t="str">
        <f>IF('Classe 1ère D'!$B44="","",N('Classe 1ère D'!N44))</f>
        <v/>
      </c>
      <c r="S1164" s="51" t="str">
        <f>IF('Classe 1ère D'!$B44="","",N('Classe 1ère D'!O44))</f>
        <v/>
      </c>
      <c r="T1164" s="51" t="str">
        <f>IF('Classe 1ère D'!$B44="","",N('Classe 1ère D'!P44))</f>
        <v/>
      </c>
    </row>
    <row r="1165">
      <c r="A1165" s="16" t="str">
        <f>IF('Classe 1ère D'!$B45="","",IF('Classe 1ère D'!A45="","",'Classe 1ère D'!A45))</f>
        <v/>
      </c>
      <c r="B1165" s="16" t="str">
        <f>IF('Classe 1ère D'!$B45="","",IF('Classe 1ère D'!B45="","",'Classe 1ère D'!B45))</f>
        <v/>
      </c>
      <c r="C1165" s="16" t="str">
        <f>IF('Classe 1ère D'!$B45="","",IF('Classe 1ère D'!C45="","",'Classe 1ère D'!C45))</f>
        <v/>
      </c>
      <c r="D1165" s="16" t="str">
        <f>IF($B1165="","",C1165&amp;" "&amp;B1165&amp;" - "&amp;E1165)</f>
        <v/>
      </c>
      <c r="E1165" s="17" t="str">
        <f>IF($B1165="","",Paramètres!$A$29)</f>
        <v/>
      </c>
      <c r="F1165" s="17" t="str">
        <f>IF($B1165="","",Paramètres!$B$29)</f>
        <v/>
      </c>
      <c r="G1165" s="17" t="str">
        <f>IF('Classe 1ère D'!$B45="","",IF('Classe 1ère D'!D45="","",'Classe 1ère D'!D45))</f>
        <v/>
      </c>
      <c r="H1165" s="78" t="str">
        <f>IF('Classe 1ère D'!$B45="","",IF('Classe 1ère D'!E45="","",'Classe 1ère D'!E45))</f>
        <v/>
      </c>
      <c r="I1165" s="16" t="str">
        <f>IF('Classe 1ère D'!$B45="","",IF('Classe 1ère D'!F45="","",'Classe 1ère D'!F45))</f>
        <v/>
      </c>
      <c r="J1165" s="16" t="str">
        <f>IF('Classe 1ère D'!$B45="","",IF('Classe 1ère D'!G45="","",'Classe 1ère D'!G45))</f>
        <v/>
      </c>
      <c r="K1165" s="18" t="str">
        <f>IF('Classe 1ère D'!$B45="","",N('Classe 1ère D'!H45))</f>
        <v/>
      </c>
      <c r="L1165" s="18" t="str">
        <f>IF('Classe 1ère D'!$B45="","",N('Classe 1ère D'!I45))</f>
        <v/>
      </c>
      <c r="M1165" s="18" t="str">
        <f>IF('Classe 1ère D'!$B45="","",N('Classe 1ère D'!J45))</f>
        <v/>
      </c>
      <c r="N1165" s="18" t="str">
        <f>IF('Classe 1ère D'!$B45="","",N('Classe 1ère D'!K45))</f>
        <v/>
      </c>
      <c r="O1165" s="18" t="str">
        <f>IF('Classe 1ère D'!$B45="","",N('Classe 1ère D'!L45))</f>
        <v/>
      </c>
      <c r="P1165" s="18" t="str">
        <f>IF('Classe 1ère D'!$B45="","",N('Classe 1ère D'!M45))</f>
        <v/>
      </c>
      <c r="Q1165" s="17" t="str">
        <f>IF('Classe 1ère D'!$B45="","",IF('Classe 1ère D'!Q45="","",'Classe 1ère D'!Q45))</f>
        <v/>
      </c>
      <c r="R1165" s="18" t="str">
        <f>IF('Classe 1ère D'!$B45="","",N('Classe 1ère D'!N45))</f>
        <v/>
      </c>
      <c r="S1165" s="18" t="str">
        <f>IF('Classe 1ère D'!$B45="","",N('Classe 1ère D'!O45))</f>
        <v/>
      </c>
      <c r="T1165" s="18" t="str">
        <f>IF('Classe 1ère D'!$B45="","",N('Classe 1ère D'!P45))</f>
        <v/>
      </c>
    </row>
    <row r="1166">
      <c r="A1166" s="20" t="str">
        <f>IF('Classe 1ère D'!$B46="","",IF('Classe 1ère D'!A46="","",'Classe 1ère D'!A46))</f>
        <v/>
      </c>
      <c r="B1166" s="20" t="str">
        <f>IF('Classe 1ère D'!$B46="","",IF('Classe 1ère D'!B46="","",'Classe 1ère D'!B46))</f>
        <v/>
      </c>
      <c r="C1166" s="20" t="str">
        <f>IF('Classe 1ère D'!$B46="","",IF('Classe 1ère D'!C46="","",'Classe 1ère D'!C46))</f>
        <v/>
      </c>
      <c r="D1166" s="20" t="str">
        <f>IF($B1166="","",C1166&amp;" "&amp;B1166&amp;" - "&amp;E1166)</f>
        <v/>
      </c>
      <c r="E1166" s="21" t="str">
        <f>IF($B1166="","",Paramètres!$A$29)</f>
        <v/>
      </c>
      <c r="F1166" s="21" t="str">
        <f>IF($B1166="","",Paramètres!$B$29)</f>
        <v/>
      </c>
      <c r="G1166" s="21" t="str">
        <f>IF('Classe 1ère D'!$B46="","",IF('Classe 1ère D'!D46="","",'Classe 1ère D'!D46))</f>
        <v/>
      </c>
      <c r="H1166" s="77" t="str">
        <f>IF('Classe 1ère D'!$B46="","",IF('Classe 1ère D'!E46="","",'Classe 1ère D'!E46))</f>
        <v/>
      </c>
      <c r="I1166" s="20" t="str">
        <f>IF('Classe 1ère D'!$B46="","",IF('Classe 1ère D'!F46="","",'Classe 1ère D'!F46))</f>
        <v/>
      </c>
      <c r="J1166" s="20" t="str">
        <f>IF('Classe 1ère D'!$B46="","",IF('Classe 1ère D'!G46="","",'Classe 1ère D'!G46))</f>
        <v/>
      </c>
      <c r="K1166" s="51" t="str">
        <f>IF('Classe 1ère D'!$B46="","",N('Classe 1ère D'!H46))</f>
        <v/>
      </c>
      <c r="L1166" s="51" t="str">
        <f>IF('Classe 1ère D'!$B46="","",N('Classe 1ère D'!I46))</f>
        <v/>
      </c>
      <c r="M1166" s="51" t="str">
        <f>IF('Classe 1ère D'!$B46="","",N('Classe 1ère D'!J46))</f>
        <v/>
      </c>
      <c r="N1166" s="51" t="str">
        <f>IF('Classe 1ère D'!$B46="","",N('Classe 1ère D'!K46))</f>
        <v/>
      </c>
      <c r="O1166" s="51" t="str">
        <f>IF('Classe 1ère D'!$B46="","",N('Classe 1ère D'!L46))</f>
        <v/>
      </c>
      <c r="P1166" s="51" t="str">
        <f>IF('Classe 1ère D'!$B46="","",N('Classe 1ère D'!M46))</f>
        <v/>
      </c>
      <c r="Q1166" s="21" t="str">
        <f>IF('Classe 1ère D'!$B46="","",IF('Classe 1ère D'!Q46="","",'Classe 1ère D'!Q46))</f>
        <v/>
      </c>
      <c r="R1166" s="51" t="str">
        <f>IF('Classe 1ère D'!$B46="","",N('Classe 1ère D'!N46))</f>
        <v/>
      </c>
      <c r="S1166" s="51" t="str">
        <f>IF('Classe 1ère D'!$B46="","",N('Classe 1ère D'!O46))</f>
        <v/>
      </c>
      <c r="T1166" s="51" t="str">
        <f>IF('Classe 1ère D'!$B46="","",N('Classe 1ère D'!P46))</f>
        <v/>
      </c>
    </row>
    <row r="1167">
      <c r="A1167" s="16" t="str">
        <f>IF('Classe 1ère D'!$B47="","",IF('Classe 1ère D'!A47="","",'Classe 1ère D'!A47))</f>
        <v/>
      </c>
      <c r="B1167" s="16" t="str">
        <f>IF('Classe 1ère D'!$B47="","",IF('Classe 1ère D'!B47="","",'Classe 1ère D'!B47))</f>
        <v/>
      </c>
      <c r="C1167" s="16" t="str">
        <f>IF('Classe 1ère D'!$B47="","",IF('Classe 1ère D'!C47="","",'Classe 1ère D'!C47))</f>
        <v/>
      </c>
      <c r="D1167" s="16" t="str">
        <f>IF($B1167="","",C1167&amp;" "&amp;B1167&amp;" - "&amp;E1167)</f>
        <v/>
      </c>
      <c r="E1167" s="17" t="str">
        <f>IF($B1167="","",Paramètres!$A$29)</f>
        <v/>
      </c>
      <c r="F1167" s="17" t="str">
        <f>IF($B1167="","",Paramètres!$B$29)</f>
        <v/>
      </c>
      <c r="G1167" s="17" t="str">
        <f>IF('Classe 1ère D'!$B47="","",IF('Classe 1ère D'!D47="","",'Classe 1ère D'!D47))</f>
        <v/>
      </c>
      <c r="H1167" s="78" t="str">
        <f>IF('Classe 1ère D'!$B47="","",IF('Classe 1ère D'!E47="","",'Classe 1ère D'!E47))</f>
        <v/>
      </c>
      <c r="I1167" s="16" t="str">
        <f>IF('Classe 1ère D'!$B47="","",IF('Classe 1ère D'!F47="","",'Classe 1ère D'!F47))</f>
        <v/>
      </c>
      <c r="J1167" s="16" t="str">
        <f>IF('Classe 1ère D'!$B47="","",IF('Classe 1ère D'!G47="","",'Classe 1ère D'!G47))</f>
        <v/>
      </c>
      <c r="K1167" s="18" t="str">
        <f>IF('Classe 1ère D'!$B47="","",N('Classe 1ère D'!H47))</f>
        <v/>
      </c>
      <c r="L1167" s="18" t="str">
        <f>IF('Classe 1ère D'!$B47="","",N('Classe 1ère D'!I47))</f>
        <v/>
      </c>
      <c r="M1167" s="18" t="str">
        <f>IF('Classe 1ère D'!$B47="","",N('Classe 1ère D'!J47))</f>
        <v/>
      </c>
      <c r="N1167" s="18" t="str">
        <f>IF('Classe 1ère D'!$B47="","",N('Classe 1ère D'!K47))</f>
        <v/>
      </c>
      <c r="O1167" s="18" t="str">
        <f>IF('Classe 1ère D'!$B47="","",N('Classe 1ère D'!L47))</f>
        <v/>
      </c>
      <c r="P1167" s="18" t="str">
        <f>IF('Classe 1ère D'!$B47="","",N('Classe 1ère D'!M47))</f>
        <v/>
      </c>
      <c r="Q1167" s="17" t="str">
        <f>IF('Classe 1ère D'!$B47="","",IF('Classe 1ère D'!Q47="","",'Classe 1ère D'!Q47))</f>
        <v/>
      </c>
      <c r="R1167" s="18" t="str">
        <f>IF('Classe 1ère D'!$B47="","",N('Classe 1ère D'!N47))</f>
        <v/>
      </c>
      <c r="S1167" s="18" t="str">
        <f>IF('Classe 1ère D'!$B47="","",N('Classe 1ère D'!O47))</f>
        <v/>
      </c>
      <c r="T1167" s="18" t="str">
        <f>IF('Classe 1ère D'!$B47="","",N('Classe 1ère D'!P47))</f>
        <v/>
      </c>
    </row>
    <row r="1168">
      <c r="A1168" s="20" t="str">
        <f>IF('Classe 1ère D'!$B48="","",IF('Classe 1ère D'!A48="","",'Classe 1ère D'!A48))</f>
        <v/>
      </c>
      <c r="B1168" s="20" t="str">
        <f>IF('Classe 1ère D'!$B48="","",IF('Classe 1ère D'!B48="","",'Classe 1ère D'!B48))</f>
        <v/>
      </c>
      <c r="C1168" s="20" t="str">
        <f>IF('Classe 1ère D'!$B48="","",IF('Classe 1ère D'!C48="","",'Classe 1ère D'!C48))</f>
        <v/>
      </c>
      <c r="D1168" s="20" t="str">
        <f>IF($B1168="","",C1168&amp;" "&amp;B1168&amp;" - "&amp;E1168)</f>
        <v/>
      </c>
      <c r="E1168" s="21" t="str">
        <f>IF($B1168="","",Paramètres!$A$29)</f>
        <v/>
      </c>
      <c r="F1168" s="21" t="str">
        <f>IF($B1168="","",Paramètres!$B$29)</f>
        <v/>
      </c>
      <c r="G1168" s="21" t="str">
        <f>IF('Classe 1ère D'!$B48="","",IF('Classe 1ère D'!D48="","",'Classe 1ère D'!D48))</f>
        <v/>
      </c>
      <c r="H1168" s="77" t="str">
        <f>IF('Classe 1ère D'!$B48="","",IF('Classe 1ère D'!E48="","",'Classe 1ère D'!E48))</f>
        <v/>
      </c>
      <c r="I1168" s="20" t="str">
        <f>IF('Classe 1ère D'!$B48="","",IF('Classe 1ère D'!F48="","",'Classe 1ère D'!F48))</f>
        <v/>
      </c>
      <c r="J1168" s="20" t="str">
        <f>IF('Classe 1ère D'!$B48="","",IF('Classe 1ère D'!G48="","",'Classe 1ère D'!G48))</f>
        <v/>
      </c>
      <c r="K1168" s="51" t="str">
        <f>IF('Classe 1ère D'!$B48="","",N('Classe 1ère D'!H48))</f>
        <v/>
      </c>
      <c r="L1168" s="51" t="str">
        <f>IF('Classe 1ère D'!$B48="","",N('Classe 1ère D'!I48))</f>
        <v/>
      </c>
      <c r="M1168" s="51" t="str">
        <f>IF('Classe 1ère D'!$B48="","",N('Classe 1ère D'!J48))</f>
        <v/>
      </c>
      <c r="N1168" s="51" t="str">
        <f>IF('Classe 1ère D'!$B48="","",N('Classe 1ère D'!K48))</f>
        <v/>
      </c>
      <c r="O1168" s="51" t="str">
        <f>IF('Classe 1ère D'!$B48="","",N('Classe 1ère D'!L48))</f>
        <v/>
      </c>
      <c r="P1168" s="51" t="str">
        <f>IF('Classe 1ère D'!$B48="","",N('Classe 1ère D'!M48))</f>
        <v/>
      </c>
      <c r="Q1168" s="21" t="str">
        <f>IF('Classe 1ère D'!$B48="","",IF('Classe 1ère D'!Q48="","",'Classe 1ère D'!Q48))</f>
        <v/>
      </c>
      <c r="R1168" s="51" t="str">
        <f>IF('Classe 1ère D'!$B48="","",N('Classe 1ère D'!N48))</f>
        <v/>
      </c>
      <c r="S1168" s="51" t="str">
        <f>IF('Classe 1ère D'!$B48="","",N('Classe 1ère D'!O48))</f>
        <v/>
      </c>
      <c r="T1168" s="51" t="str">
        <f>IF('Classe 1ère D'!$B48="","",N('Classe 1ère D'!P48))</f>
        <v/>
      </c>
    </row>
    <row r="1169">
      <c r="A1169" s="16" t="str">
        <f>IF('Classe 1ère D'!$B49="","",IF('Classe 1ère D'!A49="","",'Classe 1ère D'!A49))</f>
        <v/>
      </c>
      <c r="B1169" s="16" t="str">
        <f>IF('Classe 1ère D'!$B49="","",IF('Classe 1ère D'!B49="","",'Classe 1ère D'!B49))</f>
        <v/>
      </c>
      <c r="C1169" s="16" t="str">
        <f>IF('Classe 1ère D'!$B49="","",IF('Classe 1ère D'!C49="","",'Classe 1ère D'!C49))</f>
        <v/>
      </c>
      <c r="D1169" s="16" t="str">
        <f>IF($B1169="","",C1169&amp;" "&amp;B1169&amp;" - "&amp;E1169)</f>
        <v/>
      </c>
      <c r="E1169" s="17" t="str">
        <f>IF($B1169="","",Paramètres!$A$29)</f>
        <v/>
      </c>
      <c r="F1169" s="17" t="str">
        <f>IF($B1169="","",Paramètres!$B$29)</f>
        <v/>
      </c>
      <c r="G1169" s="17" t="str">
        <f>IF('Classe 1ère D'!$B49="","",IF('Classe 1ère D'!D49="","",'Classe 1ère D'!D49))</f>
        <v/>
      </c>
      <c r="H1169" s="78" t="str">
        <f>IF('Classe 1ère D'!$B49="","",IF('Classe 1ère D'!E49="","",'Classe 1ère D'!E49))</f>
        <v/>
      </c>
      <c r="I1169" s="16" t="str">
        <f>IF('Classe 1ère D'!$B49="","",IF('Classe 1ère D'!F49="","",'Classe 1ère D'!F49))</f>
        <v/>
      </c>
      <c r="J1169" s="16" t="str">
        <f>IF('Classe 1ère D'!$B49="","",IF('Classe 1ère D'!G49="","",'Classe 1ère D'!G49))</f>
        <v/>
      </c>
      <c r="K1169" s="18" t="str">
        <f>IF('Classe 1ère D'!$B49="","",N('Classe 1ère D'!H49))</f>
        <v/>
      </c>
      <c r="L1169" s="18" t="str">
        <f>IF('Classe 1ère D'!$B49="","",N('Classe 1ère D'!I49))</f>
        <v/>
      </c>
      <c r="M1169" s="18" t="str">
        <f>IF('Classe 1ère D'!$B49="","",N('Classe 1ère D'!J49))</f>
        <v/>
      </c>
      <c r="N1169" s="18" t="str">
        <f>IF('Classe 1ère D'!$B49="","",N('Classe 1ère D'!K49))</f>
        <v/>
      </c>
      <c r="O1169" s="18" t="str">
        <f>IF('Classe 1ère D'!$B49="","",N('Classe 1ère D'!L49))</f>
        <v/>
      </c>
      <c r="P1169" s="18" t="str">
        <f>IF('Classe 1ère D'!$B49="","",N('Classe 1ère D'!M49))</f>
        <v/>
      </c>
      <c r="Q1169" s="17" t="str">
        <f>IF('Classe 1ère D'!$B49="","",IF('Classe 1ère D'!Q49="","",'Classe 1ère D'!Q49))</f>
        <v/>
      </c>
      <c r="R1169" s="18" t="str">
        <f>IF('Classe 1ère D'!$B49="","",N('Classe 1ère D'!N49))</f>
        <v/>
      </c>
      <c r="S1169" s="18" t="str">
        <f>IF('Classe 1ère D'!$B49="","",N('Classe 1ère D'!O49))</f>
        <v/>
      </c>
      <c r="T1169" s="18" t="str">
        <f>IF('Classe 1ère D'!$B49="","",N('Classe 1ère D'!P49))</f>
        <v/>
      </c>
    </row>
    <row r="1170">
      <c r="A1170" s="20" t="str">
        <f>IF('Classe 1ère D'!$B50="","",IF('Classe 1ère D'!A50="","",'Classe 1ère D'!A50))</f>
        <v/>
      </c>
      <c r="B1170" s="20" t="str">
        <f>IF('Classe 1ère D'!$B50="","",IF('Classe 1ère D'!B50="","",'Classe 1ère D'!B50))</f>
        <v/>
      </c>
      <c r="C1170" s="20" t="str">
        <f>IF('Classe 1ère D'!$B50="","",IF('Classe 1ère D'!C50="","",'Classe 1ère D'!C50))</f>
        <v/>
      </c>
      <c r="D1170" s="20" t="str">
        <f>IF($B1170="","",C1170&amp;" "&amp;B1170&amp;" - "&amp;E1170)</f>
        <v/>
      </c>
      <c r="E1170" s="21" t="str">
        <f>IF($B1170="","",Paramètres!$A$29)</f>
        <v/>
      </c>
      <c r="F1170" s="21" t="str">
        <f>IF($B1170="","",Paramètres!$B$29)</f>
        <v/>
      </c>
      <c r="G1170" s="21" t="str">
        <f>IF('Classe 1ère D'!$B50="","",IF('Classe 1ère D'!D50="","",'Classe 1ère D'!D50))</f>
        <v/>
      </c>
      <c r="H1170" s="77" t="str">
        <f>IF('Classe 1ère D'!$B50="","",IF('Classe 1ère D'!E50="","",'Classe 1ère D'!E50))</f>
        <v/>
      </c>
      <c r="I1170" s="20" t="str">
        <f>IF('Classe 1ère D'!$B50="","",IF('Classe 1ère D'!F50="","",'Classe 1ère D'!F50))</f>
        <v/>
      </c>
      <c r="J1170" s="20" t="str">
        <f>IF('Classe 1ère D'!$B50="","",IF('Classe 1ère D'!G50="","",'Classe 1ère D'!G50))</f>
        <v/>
      </c>
      <c r="K1170" s="51" t="str">
        <f>IF('Classe 1ère D'!$B50="","",N('Classe 1ère D'!H50))</f>
        <v/>
      </c>
      <c r="L1170" s="51" t="str">
        <f>IF('Classe 1ère D'!$B50="","",N('Classe 1ère D'!I50))</f>
        <v/>
      </c>
      <c r="M1170" s="51" t="str">
        <f>IF('Classe 1ère D'!$B50="","",N('Classe 1ère D'!J50))</f>
        <v/>
      </c>
      <c r="N1170" s="51" t="str">
        <f>IF('Classe 1ère D'!$B50="","",N('Classe 1ère D'!K50))</f>
        <v/>
      </c>
      <c r="O1170" s="51" t="str">
        <f>IF('Classe 1ère D'!$B50="","",N('Classe 1ère D'!L50))</f>
        <v/>
      </c>
      <c r="P1170" s="51" t="str">
        <f>IF('Classe 1ère D'!$B50="","",N('Classe 1ère D'!M50))</f>
        <v/>
      </c>
      <c r="Q1170" s="21" t="str">
        <f>IF('Classe 1ère D'!$B50="","",IF('Classe 1ère D'!Q50="","",'Classe 1ère D'!Q50))</f>
        <v/>
      </c>
      <c r="R1170" s="51" t="str">
        <f>IF('Classe 1ère D'!$B50="","",N('Classe 1ère D'!N50))</f>
        <v/>
      </c>
      <c r="S1170" s="51" t="str">
        <f>IF('Classe 1ère D'!$B50="","",N('Classe 1ère D'!O50))</f>
        <v/>
      </c>
      <c r="T1170" s="51" t="str">
        <f>IF('Classe 1ère D'!$B50="","",N('Classe 1ère D'!P50))</f>
        <v/>
      </c>
    </row>
    <row r="1171">
      <c r="A1171" s="16" t="str">
        <f>IF('Classe 1ère D'!$B51="","",IF('Classe 1ère D'!A51="","",'Classe 1ère D'!A51))</f>
        <v/>
      </c>
      <c r="B1171" s="16" t="str">
        <f>IF('Classe 1ère D'!$B51="","",IF('Classe 1ère D'!B51="","",'Classe 1ère D'!B51))</f>
        <v/>
      </c>
      <c r="C1171" s="16" t="str">
        <f>IF('Classe 1ère D'!$B51="","",IF('Classe 1ère D'!C51="","",'Classe 1ère D'!C51))</f>
        <v/>
      </c>
      <c r="D1171" s="16" t="str">
        <f>IF($B1171="","",C1171&amp;" "&amp;B1171&amp;" - "&amp;E1171)</f>
        <v/>
      </c>
      <c r="E1171" s="17" t="str">
        <f>IF($B1171="","",Paramètres!$A$29)</f>
        <v/>
      </c>
      <c r="F1171" s="17" t="str">
        <f>IF($B1171="","",Paramètres!$B$29)</f>
        <v/>
      </c>
      <c r="G1171" s="17" t="str">
        <f>IF('Classe 1ère D'!$B51="","",IF('Classe 1ère D'!D51="","",'Classe 1ère D'!D51))</f>
        <v/>
      </c>
      <c r="H1171" s="78" t="str">
        <f>IF('Classe 1ère D'!$B51="","",IF('Classe 1ère D'!E51="","",'Classe 1ère D'!E51))</f>
        <v/>
      </c>
      <c r="I1171" s="16" t="str">
        <f>IF('Classe 1ère D'!$B51="","",IF('Classe 1ère D'!F51="","",'Classe 1ère D'!F51))</f>
        <v/>
      </c>
      <c r="J1171" s="16" t="str">
        <f>IF('Classe 1ère D'!$B51="","",IF('Classe 1ère D'!G51="","",'Classe 1ère D'!G51))</f>
        <v/>
      </c>
      <c r="K1171" s="18" t="str">
        <f>IF('Classe 1ère D'!$B51="","",N('Classe 1ère D'!H51))</f>
        <v/>
      </c>
      <c r="L1171" s="18" t="str">
        <f>IF('Classe 1ère D'!$B51="","",N('Classe 1ère D'!I51))</f>
        <v/>
      </c>
      <c r="M1171" s="18" t="str">
        <f>IF('Classe 1ère D'!$B51="","",N('Classe 1ère D'!J51))</f>
        <v/>
      </c>
      <c r="N1171" s="18" t="str">
        <f>IF('Classe 1ère D'!$B51="","",N('Classe 1ère D'!K51))</f>
        <v/>
      </c>
      <c r="O1171" s="18" t="str">
        <f>IF('Classe 1ère D'!$B51="","",N('Classe 1ère D'!L51))</f>
        <v/>
      </c>
      <c r="P1171" s="18" t="str">
        <f>IF('Classe 1ère D'!$B51="","",N('Classe 1ère D'!M51))</f>
        <v/>
      </c>
      <c r="Q1171" s="17" t="str">
        <f>IF('Classe 1ère D'!$B51="","",IF('Classe 1ère D'!Q51="","",'Classe 1ère D'!Q51))</f>
        <v/>
      </c>
      <c r="R1171" s="18" t="str">
        <f>IF('Classe 1ère D'!$B51="","",N('Classe 1ère D'!N51))</f>
        <v/>
      </c>
      <c r="S1171" s="18" t="str">
        <f>IF('Classe 1ère D'!$B51="","",N('Classe 1ère D'!O51))</f>
        <v/>
      </c>
      <c r="T1171" s="18" t="str">
        <f>IF('Classe 1ère D'!$B51="","",N('Classe 1ère D'!P51))</f>
        <v/>
      </c>
    </row>
    <row r="1172">
      <c r="A1172" s="20" t="str">
        <f>IF('Classe 1ère D'!$B52="","",IF('Classe 1ère D'!A52="","",'Classe 1ère D'!A52))</f>
        <v/>
      </c>
      <c r="B1172" s="20" t="str">
        <f>IF('Classe 1ère D'!$B52="","",IF('Classe 1ère D'!B52="","",'Classe 1ère D'!B52))</f>
        <v/>
      </c>
      <c r="C1172" s="20" t="str">
        <f>IF('Classe 1ère D'!$B52="","",IF('Classe 1ère D'!C52="","",'Classe 1ère D'!C52))</f>
        <v/>
      </c>
      <c r="D1172" s="20" t="str">
        <f>IF($B1172="","",C1172&amp;" "&amp;B1172&amp;" - "&amp;E1172)</f>
        <v/>
      </c>
      <c r="E1172" s="21" t="str">
        <f>IF($B1172="","",Paramètres!$A$29)</f>
        <v/>
      </c>
      <c r="F1172" s="21" t="str">
        <f>IF($B1172="","",Paramètres!$B$29)</f>
        <v/>
      </c>
      <c r="G1172" s="21" t="str">
        <f>IF('Classe 1ère D'!$B52="","",IF('Classe 1ère D'!D52="","",'Classe 1ère D'!D52))</f>
        <v/>
      </c>
      <c r="H1172" s="77" t="str">
        <f>IF('Classe 1ère D'!$B52="","",IF('Classe 1ère D'!E52="","",'Classe 1ère D'!E52))</f>
        <v/>
      </c>
      <c r="I1172" s="20" t="str">
        <f>IF('Classe 1ère D'!$B52="","",IF('Classe 1ère D'!F52="","",'Classe 1ère D'!F52))</f>
        <v/>
      </c>
      <c r="J1172" s="20" t="str">
        <f>IF('Classe 1ère D'!$B52="","",IF('Classe 1ère D'!G52="","",'Classe 1ère D'!G52))</f>
        <v/>
      </c>
      <c r="K1172" s="51" t="str">
        <f>IF('Classe 1ère D'!$B52="","",N('Classe 1ère D'!H52))</f>
        <v/>
      </c>
      <c r="L1172" s="51" t="str">
        <f>IF('Classe 1ère D'!$B52="","",N('Classe 1ère D'!I52))</f>
        <v/>
      </c>
      <c r="M1172" s="51" t="str">
        <f>IF('Classe 1ère D'!$B52="","",N('Classe 1ère D'!J52))</f>
        <v/>
      </c>
      <c r="N1172" s="51" t="str">
        <f>IF('Classe 1ère D'!$B52="","",N('Classe 1ère D'!K52))</f>
        <v/>
      </c>
      <c r="O1172" s="51" t="str">
        <f>IF('Classe 1ère D'!$B52="","",N('Classe 1ère D'!L52))</f>
        <v/>
      </c>
      <c r="P1172" s="51" t="str">
        <f>IF('Classe 1ère D'!$B52="","",N('Classe 1ère D'!M52))</f>
        <v/>
      </c>
      <c r="Q1172" s="21" t="str">
        <f>IF('Classe 1ère D'!$B52="","",IF('Classe 1ère D'!Q52="","",'Classe 1ère D'!Q52))</f>
        <v/>
      </c>
      <c r="R1172" s="51" t="str">
        <f>IF('Classe 1ère D'!$B52="","",N('Classe 1ère D'!N52))</f>
        <v/>
      </c>
      <c r="S1172" s="51" t="str">
        <f>IF('Classe 1ère D'!$B52="","",N('Classe 1ère D'!O52))</f>
        <v/>
      </c>
      <c r="T1172" s="51" t="str">
        <f>IF('Classe 1ère D'!$B52="","",N('Classe 1ère D'!P52))</f>
        <v/>
      </c>
    </row>
    <row r="1173">
      <c r="A1173" s="16" t="str">
        <f>IF('Classe 1ère D'!$B53="","",IF('Classe 1ère D'!A53="","",'Classe 1ère D'!A53))</f>
        <v/>
      </c>
      <c r="B1173" s="16" t="str">
        <f>IF('Classe 1ère D'!$B53="","",IF('Classe 1ère D'!B53="","",'Classe 1ère D'!B53))</f>
        <v/>
      </c>
      <c r="C1173" s="16" t="str">
        <f>IF('Classe 1ère D'!$B53="","",IF('Classe 1ère D'!C53="","",'Classe 1ère D'!C53))</f>
        <v/>
      </c>
      <c r="D1173" s="16" t="str">
        <f>IF($B1173="","",C1173&amp;" "&amp;B1173&amp;" - "&amp;E1173)</f>
        <v/>
      </c>
      <c r="E1173" s="17" t="str">
        <f>IF($B1173="","",Paramètres!$A$29)</f>
        <v/>
      </c>
      <c r="F1173" s="17" t="str">
        <f>IF($B1173="","",Paramètres!$B$29)</f>
        <v/>
      </c>
      <c r="G1173" s="17" t="str">
        <f>IF('Classe 1ère D'!$B53="","",IF('Classe 1ère D'!D53="","",'Classe 1ère D'!D53))</f>
        <v/>
      </c>
      <c r="H1173" s="78" t="str">
        <f>IF('Classe 1ère D'!$B53="","",IF('Classe 1ère D'!E53="","",'Classe 1ère D'!E53))</f>
        <v/>
      </c>
      <c r="I1173" s="16" t="str">
        <f>IF('Classe 1ère D'!$B53="","",IF('Classe 1ère D'!F53="","",'Classe 1ère D'!F53))</f>
        <v/>
      </c>
      <c r="J1173" s="16" t="str">
        <f>IF('Classe 1ère D'!$B53="","",IF('Classe 1ère D'!G53="","",'Classe 1ère D'!G53))</f>
        <v/>
      </c>
      <c r="K1173" s="18" t="str">
        <f>IF('Classe 1ère D'!$B53="","",N('Classe 1ère D'!H53))</f>
        <v/>
      </c>
      <c r="L1173" s="18" t="str">
        <f>IF('Classe 1ère D'!$B53="","",N('Classe 1ère D'!I53))</f>
        <v/>
      </c>
      <c r="M1173" s="18" t="str">
        <f>IF('Classe 1ère D'!$B53="","",N('Classe 1ère D'!J53))</f>
        <v/>
      </c>
      <c r="N1173" s="18" t="str">
        <f>IF('Classe 1ère D'!$B53="","",N('Classe 1ère D'!K53))</f>
        <v/>
      </c>
      <c r="O1173" s="18" t="str">
        <f>IF('Classe 1ère D'!$B53="","",N('Classe 1ère D'!L53))</f>
        <v/>
      </c>
      <c r="P1173" s="18" t="str">
        <f>IF('Classe 1ère D'!$B53="","",N('Classe 1ère D'!M53))</f>
        <v/>
      </c>
      <c r="Q1173" s="17" t="str">
        <f>IF('Classe 1ère D'!$B53="","",IF('Classe 1ère D'!Q53="","",'Classe 1ère D'!Q53))</f>
        <v/>
      </c>
      <c r="R1173" s="18" t="str">
        <f>IF('Classe 1ère D'!$B53="","",N('Classe 1ère D'!N53))</f>
        <v/>
      </c>
      <c r="S1173" s="18" t="str">
        <f>IF('Classe 1ère D'!$B53="","",N('Classe 1ère D'!O53))</f>
        <v/>
      </c>
      <c r="T1173" s="18" t="str">
        <f>IF('Classe 1ère D'!$B53="","",N('Classe 1ère D'!P53))</f>
        <v/>
      </c>
    </row>
    <row r="1174">
      <c r="A1174" s="20" t="str">
        <f>IF('Classe 1ère D'!$B54="","",IF('Classe 1ère D'!A54="","",'Classe 1ère D'!A54))</f>
        <v/>
      </c>
      <c r="B1174" s="20" t="str">
        <f>IF('Classe 1ère D'!$B54="","",IF('Classe 1ère D'!B54="","",'Classe 1ère D'!B54))</f>
        <v/>
      </c>
      <c r="C1174" s="20" t="str">
        <f>IF('Classe 1ère D'!$B54="","",IF('Classe 1ère D'!C54="","",'Classe 1ère D'!C54))</f>
        <v/>
      </c>
      <c r="D1174" s="20" t="str">
        <f>IF($B1174="","",C1174&amp;" "&amp;B1174&amp;" - "&amp;E1174)</f>
        <v/>
      </c>
      <c r="E1174" s="21" t="str">
        <f>IF($B1174="","",Paramètres!$A$29)</f>
        <v/>
      </c>
      <c r="F1174" s="21" t="str">
        <f>IF($B1174="","",Paramètres!$B$29)</f>
        <v/>
      </c>
      <c r="G1174" s="21" t="str">
        <f>IF('Classe 1ère D'!$B54="","",IF('Classe 1ère D'!D54="","",'Classe 1ère D'!D54))</f>
        <v/>
      </c>
      <c r="H1174" s="77" t="str">
        <f>IF('Classe 1ère D'!$B54="","",IF('Classe 1ère D'!E54="","",'Classe 1ère D'!E54))</f>
        <v/>
      </c>
      <c r="I1174" s="20" t="str">
        <f>IF('Classe 1ère D'!$B54="","",IF('Classe 1ère D'!F54="","",'Classe 1ère D'!F54))</f>
        <v/>
      </c>
      <c r="J1174" s="20" t="str">
        <f>IF('Classe 1ère D'!$B54="","",IF('Classe 1ère D'!G54="","",'Classe 1ère D'!G54))</f>
        <v/>
      </c>
      <c r="K1174" s="51" t="str">
        <f>IF('Classe 1ère D'!$B54="","",N('Classe 1ère D'!H54))</f>
        <v/>
      </c>
      <c r="L1174" s="51" t="str">
        <f>IF('Classe 1ère D'!$B54="","",N('Classe 1ère D'!I54))</f>
        <v/>
      </c>
      <c r="M1174" s="51" t="str">
        <f>IF('Classe 1ère D'!$B54="","",N('Classe 1ère D'!J54))</f>
        <v/>
      </c>
      <c r="N1174" s="51" t="str">
        <f>IF('Classe 1ère D'!$B54="","",N('Classe 1ère D'!K54))</f>
        <v/>
      </c>
      <c r="O1174" s="51" t="str">
        <f>IF('Classe 1ère D'!$B54="","",N('Classe 1ère D'!L54))</f>
        <v/>
      </c>
      <c r="P1174" s="51" t="str">
        <f>IF('Classe 1ère D'!$B54="","",N('Classe 1ère D'!M54))</f>
        <v/>
      </c>
      <c r="Q1174" s="21" t="str">
        <f>IF('Classe 1ère D'!$B54="","",IF('Classe 1ère D'!Q54="","",'Classe 1ère D'!Q54))</f>
        <v/>
      </c>
      <c r="R1174" s="51" t="str">
        <f>IF('Classe 1ère D'!$B54="","",N('Classe 1ère D'!N54))</f>
        <v/>
      </c>
      <c r="S1174" s="51" t="str">
        <f>IF('Classe 1ère D'!$B54="","",N('Classe 1ère D'!O54))</f>
        <v/>
      </c>
      <c r="T1174" s="51" t="str">
        <f>IF('Classe 1ère D'!$B54="","",N('Classe 1ère D'!P54))</f>
        <v/>
      </c>
    </row>
    <row r="1175">
      <c r="A1175" s="16" t="str">
        <f>IF('Classe 1ère D'!$B55="","",IF('Classe 1ère D'!A55="","",'Classe 1ère D'!A55))</f>
        <v/>
      </c>
      <c r="B1175" s="16" t="str">
        <f>IF('Classe 1ère D'!$B55="","",IF('Classe 1ère D'!B55="","",'Classe 1ère D'!B55))</f>
        <v/>
      </c>
      <c r="C1175" s="16" t="str">
        <f>IF('Classe 1ère D'!$B55="","",IF('Classe 1ère D'!C55="","",'Classe 1ère D'!C55))</f>
        <v/>
      </c>
      <c r="D1175" s="16" t="str">
        <f>IF($B1175="","",C1175&amp;" "&amp;B1175&amp;" - "&amp;E1175)</f>
        <v/>
      </c>
      <c r="E1175" s="17" t="str">
        <f>IF($B1175="","",Paramètres!$A$29)</f>
        <v/>
      </c>
      <c r="F1175" s="17" t="str">
        <f>IF($B1175="","",Paramètres!$B$29)</f>
        <v/>
      </c>
      <c r="G1175" s="17" t="str">
        <f>IF('Classe 1ère D'!$B55="","",IF('Classe 1ère D'!D55="","",'Classe 1ère D'!D55))</f>
        <v/>
      </c>
      <c r="H1175" s="78" t="str">
        <f>IF('Classe 1ère D'!$B55="","",IF('Classe 1ère D'!E55="","",'Classe 1ère D'!E55))</f>
        <v/>
      </c>
      <c r="I1175" s="16" t="str">
        <f>IF('Classe 1ère D'!$B55="","",IF('Classe 1ère D'!F55="","",'Classe 1ère D'!F55))</f>
        <v/>
      </c>
      <c r="J1175" s="16" t="str">
        <f>IF('Classe 1ère D'!$B55="","",IF('Classe 1ère D'!G55="","",'Classe 1ère D'!G55))</f>
        <v/>
      </c>
      <c r="K1175" s="18" t="str">
        <f>IF('Classe 1ère D'!$B55="","",N('Classe 1ère D'!H55))</f>
        <v/>
      </c>
      <c r="L1175" s="18" t="str">
        <f>IF('Classe 1ère D'!$B55="","",N('Classe 1ère D'!I55))</f>
        <v/>
      </c>
      <c r="M1175" s="18" t="str">
        <f>IF('Classe 1ère D'!$B55="","",N('Classe 1ère D'!J55))</f>
        <v/>
      </c>
      <c r="N1175" s="18" t="str">
        <f>IF('Classe 1ère D'!$B55="","",N('Classe 1ère D'!K55))</f>
        <v/>
      </c>
      <c r="O1175" s="18" t="str">
        <f>IF('Classe 1ère D'!$B55="","",N('Classe 1ère D'!L55))</f>
        <v/>
      </c>
      <c r="P1175" s="18" t="str">
        <f>IF('Classe 1ère D'!$B55="","",N('Classe 1ère D'!M55))</f>
        <v/>
      </c>
      <c r="Q1175" s="17" t="str">
        <f>IF('Classe 1ère D'!$B55="","",IF('Classe 1ère D'!Q55="","",'Classe 1ère D'!Q55))</f>
        <v/>
      </c>
      <c r="R1175" s="18" t="str">
        <f>IF('Classe 1ère D'!$B55="","",N('Classe 1ère D'!N55))</f>
        <v/>
      </c>
      <c r="S1175" s="18" t="str">
        <f>IF('Classe 1ère D'!$B55="","",N('Classe 1ère D'!O55))</f>
        <v/>
      </c>
      <c r="T1175" s="18" t="str">
        <f>IF('Classe 1ère D'!$B55="","",N('Classe 1ère D'!P55))</f>
        <v/>
      </c>
    </row>
    <row r="1176">
      <c r="A1176" s="20" t="str">
        <f>IF('Classe 1ère D'!$B56="","",IF('Classe 1ère D'!A56="","",'Classe 1ère D'!A56))</f>
        <v/>
      </c>
      <c r="B1176" s="20" t="str">
        <f>IF('Classe 1ère D'!$B56="","",IF('Classe 1ère D'!B56="","",'Classe 1ère D'!B56))</f>
        <v/>
      </c>
      <c r="C1176" s="20" t="str">
        <f>IF('Classe 1ère D'!$B56="","",IF('Classe 1ère D'!C56="","",'Classe 1ère D'!C56))</f>
        <v/>
      </c>
      <c r="D1176" s="20" t="str">
        <f>IF($B1176="","",C1176&amp;" "&amp;B1176&amp;" - "&amp;E1176)</f>
        <v/>
      </c>
      <c r="E1176" s="21" t="str">
        <f>IF($B1176="","",Paramètres!$A$29)</f>
        <v/>
      </c>
      <c r="F1176" s="21" t="str">
        <f>IF($B1176="","",Paramètres!$B$29)</f>
        <v/>
      </c>
      <c r="G1176" s="21" t="str">
        <f>IF('Classe 1ère D'!$B56="","",IF('Classe 1ère D'!D56="","",'Classe 1ère D'!D56))</f>
        <v/>
      </c>
      <c r="H1176" s="77" t="str">
        <f>IF('Classe 1ère D'!$B56="","",IF('Classe 1ère D'!E56="","",'Classe 1ère D'!E56))</f>
        <v/>
      </c>
      <c r="I1176" s="20" t="str">
        <f>IF('Classe 1ère D'!$B56="","",IF('Classe 1ère D'!F56="","",'Classe 1ère D'!F56))</f>
        <v/>
      </c>
      <c r="J1176" s="20" t="str">
        <f>IF('Classe 1ère D'!$B56="","",IF('Classe 1ère D'!G56="","",'Classe 1ère D'!G56))</f>
        <v/>
      </c>
      <c r="K1176" s="51" t="str">
        <f>IF('Classe 1ère D'!$B56="","",N('Classe 1ère D'!H56))</f>
        <v/>
      </c>
      <c r="L1176" s="51" t="str">
        <f>IF('Classe 1ère D'!$B56="","",N('Classe 1ère D'!I56))</f>
        <v/>
      </c>
      <c r="M1176" s="51" t="str">
        <f>IF('Classe 1ère D'!$B56="","",N('Classe 1ère D'!J56))</f>
        <v/>
      </c>
      <c r="N1176" s="51" t="str">
        <f>IF('Classe 1ère D'!$B56="","",N('Classe 1ère D'!K56))</f>
        <v/>
      </c>
      <c r="O1176" s="51" t="str">
        <f>IF('Classe 1ère D'!$B56="","",N('Classe 1ère D'!L56))</f>
        <v/>
      </c>
      <c r="P1176" s="51" t="str">
        <f>IF('Classe 1ère D'!$B56="","",N('Classe 1ère D'!M56))</f>
        <v/>
      </c>
      <c r="Q1176" s="21" t="str">
        <f>IF('Classe 1ère D'!$B56="","",IF('Classe 1ère D'!Q56="","",'Classe 1ère D'!Q56))</f>
        <v/>
      </c>
      <c r="R1176" s="51" t="str">
        <f>IF('Classe 1ère D'!$B56="","",N('Classe 1ère D'!N56))</f>
        <v/>
      </c>
      <c r="S1176" s="51" t="str">
        <f>IF('Classe 1ère D'!$B56="","",N('Classe 1ère D'!O56))</f>
        <v/>
      </c>
      <c r="T1176" s="51" t="str">
        <f>IF('Classe 1ère D'!$B56="","",N('Classe 1ère D'!P56))</f>
        <v/>
      </c>
    </row>
    <row r="1177">
      <c r="A1177" s="16" t="str">
        <f>IF('Classe 1ère D'!$B57="","",IF('Classe 1ère D'!A57="","",'Classe 1ère D'!A57))</f>
        <v/>
      </c>
      <c r="B1177" s="16" t="str">
        <f>IF('Classe 1ère D'!$B57="","",IF('Classe 1ère D'!B57="","",'Classe 1ère D'!B57))</f>
        <v/>
      </c>
      <c r="C1177" s="16" t="str">
        <f>IF('Classe 1ère D'!$B57="","",IF('Classe 1ère D'!C57="","",'Classe 1ère D'!C57))</f>
        <v/>
      </c>
      <c r="D1177" s="16" t="str">
        <f>IF($B1177="","",C1177&amp;" "&amp;B1177&amp;" - "&amp;E1177)</f>
        <v/>
      </c>
      <c r="E1177" s="17" t="str">
        <f>IF($B1177="","",Paramètres!$A$29)</f>
        <v/>
      </c>
      <c r="F1177" s="17" t="str">
        <f>IF($B1177="","",Paramètres!$B$29)</f>
        <v/>
      </c>
      <c r="G1177" s="17" t="str">
        <f>IF('Classe 1ère D'!$B57="","",IF('Classe 1ère D'!D57="","",'Classe 1ère D'!D57))</f>
        <v/>
      </c>
      <c r="H1177" s="78" t="str">
        <f>IF('Classe 1ère D'!$B57="","",IF('Classe 1ère D'!E57="","",'Classe 1ère D'!E57))</f>
        <v/>
      </c>
      <c r="I1177" s="16" t="str">
        <f>IF('Classe 1ère D'!$B57="","",IF('Classe 1ère D'!F57="","",'Classe 1ère D'!F57))</f>
        <v/>
      </c>
      <c r="J1177" s="16" t="str">
        <f>IF('Classe 1ère D'!$B57="","",IF('Classe 1ère D'!G57="","",'Classe 1ère D'!G57))</f>
        <v/>
      </c>
      <c r="K1177" s="18" t="str">
        <f>IF('Classe 1ère D'!$B57="","",N('Classe 1ère D'!H57))</f>
        <v/>
      </c>
      <c r="L1177" s="18" t="str">
        <f>IF('Classe 1ère D'!$B57="","",N('Classe 1ère D'!I57))</f>
        <v/>
      </c>
      <c r="M1177" s="18" t="str">
        <f>IF('Classe 1ère D'!$B57="","",N('Classe 1ère D'!J57))</f>
        <v/>
      </c>
      <c r="N1177" s="18" t="str">
        <f>IF('Classe 1ère D'!$B57="","",N('Classe 1ère D'!K57))</f>
        <v/>
      </c>
      <c r="O1177" s="18" t="str">
        <f>IF('Classe 1ère D'!$B57="","",N('Classe 1ère D'!L57))</f>
        <v/>
      </c>
      <c r="P1177" s="18" t="str">
        <f>IF('Classe 1ère D'!$B57="","",N('Classe 1ère D'!M57))</f>
        <v/>
      </c>
      <c r="Q1177" s="17" t="str">
        <f>IF('Classe 1ère D'!$B57="","",IF('Classe 1ère D'!Q57="","",'Classe 1ère D'!Q57))</f>
        <v/>
      </c>
      <c r="R1177" s="18" t="str">
        <f>IF('Classe 1ère D'!$B57="","",N('Classe 1ère D'!N57))</f>
        <v/>
      </c>
      <c r="S1177" s="18" t="str">
        <f>IF('Classe 1ère D'!$B57="","",N('Classe 1ère D'!O57))</f>
        <v/>
      </c>
      <c r="T1177" s="18" t="str">
        <f>IF('Classe 1ère D'!$B57="","",N('Classe 1ère D'!P57))</f>
        <v/>
      </c>
    </row>
    <row r="1178">
      <c r="A1178" s="20" t="str">
        <f>IF('Classe 1ère D'!$B58="","",IF('Classe 1ère D'!A58="","",'Classe 1ère D'!A58))</f>
        <v/>
      </c>
      <c r="B1178" s="20" t="str">
        <f>IF('Classe 1ère D'!$B58="","",IF('Classe 1ère D'!B58="","",'Classe 1ère D'!B58))</f>
        <v/>
      </c>
      <c r="C1178" s="20" t="str">
        <f>IF('Classe 1ère D'!$B58="","",IF('Classe 1ère D'!C58="","",'Classe 1ère D'!C58))</f>
        <v/>
      </c>
      <c r="D1178" s="20" t="str">
        <f>IF($B1178="","",C1178&amp;" "&amp;B1178&amp;" - "&amp;E1178)</f>
        <v/>
      </c>
      <c r="E1178" s="21" t="str">
        <f>IF($B1178="","",Paramètres!$A$29)</f>
        <v/>
      </c>
      <c r="F1178" s="21" t="str">
        <f>IF($B1178="","",Paramètres!$B$29)</f>
        <v/>
      </c>
      <c r="G1178" s="21" t="str">
        <f>IF('Classe 1ère D'!$B58="","",IF('Classe 1ère D'!D58="","",'Classe 1ère D'!D58))</f>
        <v/>
      </c>
      <c r="H1178" s="77" t="str">
        <f>IF('Classe 1ère D'!$B58="","",IF('Classe 1ère D'!E58="","",'Classe 1ère D'!E58))</f>
        <v/>
      </c>
      <c r="I1178" s="20" t="str">
        <f>IF('Classe 1ère D'!$B58="","",IF('Classe 1ère D'!F58="","",'Classe 1ère D'!F58))</f>
        <v/>
      </c>
      <c r="J1178" s="20" t="str">
        <f>IF('Classe 1ère D'!$B58="","",IF('Classe 1ère D'!G58="","",'Classe 1ère D'!G58))</f>
        <v/>
      </c>
      <c r="K1178" s="51" t="str">
        <f>IF('Classe 1ère D'!$B58="","",N('Classe 1ère D'!H58))</f>
        <v/>
      </c>
      <c r="L1178" s="51" t="str">
        <f>IF('Classe 1ère D'!$B58="","",N('Classe 1ère D'!I58))</f>
        <v/>
      </c>
      <c r="M1178" s="51" t="str">
        <f>IF('Classe 1ère D'!$B58="","",N('Classe 1ère D'!J58))</f>
        <v/>
      </c>
      <c r="N1178" s="51" t="str">
        <f>IF('Classe 1ère D'!$B58="","",N('Classe 1ère D'!K58))</f>
        <v/>
      </c>
      <c r="O1178" s="51" t="str">
        <f>IF('Classe 1ère D'!$B58="","",N('Classe 1ère D'!L58))</f>
        <v/>
      </c>
      <c r="P1178" s="51" t="str">
        <f>IF('Classe 1ère D'!$B58="","",N('Classe 1ère D'!M58))</f>
        <v/>
      </c>
      <c r="Q1178" s="21" t="str">
        <f>IF('Classe 1ère D'!$B58="","",IF('Classe 1ère D'!Q58="","",'Classe 1ère D'!Q58))</f>
        <v/>
      </c>
      <c r="R1178" s="51" t="str">
        <f>IF('Classe 1ère D'!$B58="","",N('Classe 1ère D'!N58))</f>
        <v/>
      </c>
      <c r="S1178" s="51" t="str">
        <f>IF('Classe 1ère D'!$B58="","",N('Classe 1ère D'!O58))</f>
        <v/>
      </c>
      <c r="T1178" s="51" t="str">
        <f>IF('Classe 1ère D'!$B58="","",N('Classe 1ère D'!P58))</f>
        <v/>
      </c>
    </row>
    <row r="1179">
      <c r="A1179" s="16" t="str">
        <f>IF('Classe 1ère D'!$B59="","",IF('Classe 1ère D'!A59="","",'Classe 1ère D'!A59))</f>
        <v/>
      </c>
      <c r="B1179" s="16" t="str">
        <f>IF('Classe 1ère D'!$B59="","",IF('Classe 1ère D'!B59="","",'Classe 1ère D'!B59))</f>
        <v/>
      </c>
      <c r="C1179" s="16" t="str">
        <f>IF('Classe 1ère D'!$B59="","",IF('Classe 1ère D'!C59="","",'Classe 1ère D'!C59))</f>
        <v/>
      </c>
      <c r="D1179" s="16" t="str">
        <f>IF($B1179="","",C1179&amp;" "&amp;B1179&amp;" - "&amp;E1179)</f>
        <v/>
      </c>
      <c r="E1179" s="17" t="str">
        <f>IF($B1179="","",Paramètres!$A$29)</f>
        <v/>
      </c>
      <c r="F1179" s="17" t="str">
        <f>IF($B1179="","",Paramètres!$B$29)</f>
        <v/>
      </c>
      <c r="G1179" s="17" t="str">
        <f>IF('Classe 1ère D'!$B59="","",IF('Classe 1ère D'!D59="","",'Classe 1ère D'!D59))</f>
        <v/>
      </c>
      <c r="H1179" s="78" t="str">
        <f>IF('Classe 1ère D'!$B59="","",IF('Classe 1ère D'!E59="","",'Classe 1ère D'!E59))</f>
        <v/>
      </c>
      <c r="I1179" s="16" t="str">
        <f>IF('Classe 1ère D'!$B59="","",IF('Classe 1ère D'!F59="","",'Classe 1ère D'!F59))</f>
        <v/>
      </c>
      <c r="J1179" s="16" t="str">
        <f>IF('Classe 1ère D'!$B59="","",IF('Classe 1ère D'!G59="","",'Classe 1ère D'!G59))</f>
        <v/>
      </c>
      <c r="K1179" s="18" t="str">
        <f>IF('Classe 1ère D'!$B59="","",N('Classe 1ère D'!H59))</f>
        <v/>
      </c>
      <c r="L1179" s="18" t="str">
        <f>IF('Classe 1ère D'!$B59="","",N('Classe 1ère D'!I59))</f>
        <v/>
      </c>
      <c r="M1179" s="18" t="str">
        <f>IF('Classe 1ère D'!$B59="","",N('Classe 1ère D'!J59))</f>
        <v/>
      </c>
      <c r="N1179" s="18" t="str">
        <f>IF('Classe 1ère D'!$B59="","",N('Classe 1ère D'!K59))</f>
        <v/>
      </c>
      <c r="O1179" s="18" t="str">
        <f>IF('Classe 1ère D'!$B59="","",N('Classe 1ère D'!L59))</f>
        <v/>
      </c>
      <c r="P1179" s="18" t="str">
        <f>IF('Classe 1ère D'!$B59="","",N('Classe 1ère D'!M59))</f>
        <v/>
      </c>
      <c r="Q1179" s="17" t="str">
        <f>IF('Classe 1ère D'!$B59="","",IF('Classe 1ère D'!Q59="","",'Classe 1ère D'!Q59))</f>
        <v/>
      </c>
      <c r="R1179" s="18" t="str">
        <f>IF('Classe 1ère D'!$B59="","",N('Classe 1ère D'!N59))</f>
        <v/>
      </c>
      <c r="S1179" s="18" t="str">
        <f>IF('Classe 1ère D'!$B59="","",N('Classe 1ère D'!O59))</f>
        <v/>
      </c>
      <c r="T1179" s="18" t="str">
        <f>IF('Classe 1ère D'!$B59="","",N('Classe 1ère D'!P59))</f>
        <v/>
      </c>
    </row>
    <row r="1180">
      <c r="A1180" s="20" t="str">
        <f>IF('Classe 1ère D'!$B60="","",IF('Classe 1ère D'!A60="","",'Classe 1ère D'!A60))</f>
        <v/>
      </c>
      <c r="B1180" s="20" t="str">
        <f>IF('Classe 1ère D'!$B60="","",IF('Classe 1ère D'!B60="","",'Classe 1ère D'!B60))</f>
        <v/>
      </c>
      <c r="C1180" s="20" t="str">
        <f>IF('Classe 1ère D'!$B60="","",IF('Classe 1ère D'!C60="","",'Classe 1ère D'!C60))</f>
        <v/>
      </c>
      <c r="D1180" s="20" t="str">
        <f>IF($B1180="","",C1180&amp;" "&amp;B1180&amp;" - "&amp;E1180)</f>
        <v/>
      </c>
      <c r="E1180" s="21" t="str">
        <f>IF($B1180="","",Paramètres!$A$29)</f>
        <v/>
      </c>
      <c r="F1180" s="21" t="str">
        <f>IF($B1180="","",Paramètres!$B$29)</f>
        <v/>
      </c>
      <c r="G1180" s="21" t="str">
        <f>IF('Classe 1ère D'!$B60="","",IF('Classe 1ère D'!D60="","",'Classe 1ère D'!D60))</f>
        <v/>
      </c>
      <c r="H1180" s="77" t="str">
        <f>IF('Classe 1ère D'!$B60="","",IF('Classe 1ère D'!E60="","",'Classe 1ère D'!E60))</f>
        <v/>
      </c>
      <c r="I1180" s="20" t="str">
        <f>IF('Classe 1ère D'!$B60="","",IF('Classe 1ère D'!F60="","",'Classe 1ère D'!F60))</f>
        <v/>
      </c>
      <c r="J1180" s="20" t="str">
        <f>IF('Classe 1ère D'!$B60="","",IF('Classe 1ère D'!G60="","",'Classe 1ère D'!G60))</f>
        <v/>
      </c>
      <c r="K1180" s="51" t="str">
        <f>IF('Classe 1ère D'!$B60="","",N('Classe 1ère D'!H60))</f>
        <v/>
      </c>
      <c r="L1180" s="51" t="str">
        <f>IF('Classe 1ère D'!$B60="","",N('Classe 1ère D'!I60))</f>
        <v/>
      </c>
      <c r="M1180" s="51" t="str">
        <f>IF('Classe 1ère D'!$B60="","",N('Classe 1ère D'!J60))</f>
        <v/>
      </c>
      <c r="N1180" s="51" t="str">
        <f>IF('Classe 1ère D'!$B60="","",N('Classe 1ère D'!K60))</f>
        <v/>
      </c>
      <c r="O1180" s="51" t="str">
        <f>IF('Classe 1ère D'!$B60="","",N('Classe 1ère D'!L60))</f>
        <v/>
      </c>
      <c r="P1180" s="51" t="str">
        <f>IF('Classe 1ère D'!$B60="","",N('Classe 1ère D'!M60))</f>
        <v/>
      </c>
      <c r="Q1180" s="21" t="str">
        <f>IF('Classe 1ère D'!$B60="","",IF('Classe 1ère D'!Q60="","",'Classe 1ère D'!Q60))</f>
        <v/>
      </c>
      <c r="R1180" s="51" t="str">
        <f>IF('Classe 1ère D'!$B60="","",N('Classe 1ère D'!N60))</f>
        <v/>
      </c>
      <c r="S1180" s="51" t="str">
        <f>IF('Classe 1ère D'!$B60="","",N('Classe 1ère D'!O60))</f>
        <v/>
      </c>
      <c r="T1180" s="51" t="str">
        <f>IF('Classe 1ère D'!$B60="","",N('Classe 1ère D'!P60))</f>
        <v/>
      </c>
    </row>
    <row r="1181">
      <c r="A1181" s="16" t="str">
        <f>IF('Classe 1ère D'!$B61="","",IF('Classe 1ère D'!A61="","",'Classe 1ère D'!A61))</f>
        <v/>
      </c>
      <c r="B1181" s="16" t="str">
        <f>IF('Classe 1ère D'!$B61="","",IF('Classe 1ère D'!B61="","",'Classe 1ère D'!B61))</f>
        <v/>
      </c>
      <c r="C1181" s="16" t="str">
        <f>IF('Classe 1ère D'!$B61="","",IF('Classe 1ère D'!C61="","",'Classe 1ère D'!C61))</f>
        <v/>
      </c>
      <c r="D1181" s="16" t="str">
        <f>IF($B1181="","",C1181&amp;" "&amp;B1181&amp;" - "&amp;E1181)</f>
        <v/>
      </c>
      <c r="E1181" s="17" t="str">
        <f>IF($B1181="","",Paramètres!$A$29)</f>
        <v/>
      </c>
      <c r="F1181" s="17" t="str">
        <f>IF($B1181="","",Paramètres!$B$29)</f>
        <v/>
      </c>
      <c r="G1181" s="17" t="str">
        <f>IF('Classe 1ère D'!$B61="","",IF('Classe 1ère D'!D61="","",'Classe 1ère D'!D61))</f>
        <v/>
      </c>
      <c r="H1181" s="78" t="str">
        <f>IF('Classe 1ère D'!$B61="","",IF('Classe 1ère D'!E61="","",'Classe 1ère D'!E61))</f>
        <v/>
      </c>
      <c r="I1181" s="16" t="str">
        <f>IF('Classe 1ère D'!$B61="","",IF('Classe 1ère D'!F61="","",'Classe 1ère D'!F61))</f>
        <v/>
      </c>
      <c r="J1181" s="16" t="str">
        <f>IF('Classe 1ère D'!$B61="","",IF('Classe 1ère D'!G61="","",'Classe 1ère D'!G61))</f>
        <v/>
      </c>
      <c r="K1181" s="18" t="str">
        <f>IF('Classe 1ère D'!$B61="","",N('Classe 1ère D'!H61))</f>
        <v/>
      </c>
      <c r="L1181" s="18" t="str">
        <f>IF('Classe 1ère D'!$B61="","",N('Classe 1ère D'!I61))</f>
        <v/>
      </c>
      <c r="M1181" s="18" t="str">
        <f>IF('Classe 1ère D'!$B61="","",N('Classe 1ère D'!J61))</f>
        <v/>
      </c>
      <c r="N1181" s="18" t="str">
        <f>IF('Classe 1ère D'!$B61="","",N('Classe 1ère D'!K61))</f>
        <v/>
      </c>
      <c r="O1181" s="18" t="str">
        <f>IF('Classe 1ère D'!$B61="","",N('Classe 1ère D'!L61))</f>
        <v/>
      </c>
      <c r="P1181" s="18" t="str">
        <f>IF('Classe 1ère D'!$B61="","",N('Classe 1ère D'!M61))</f>
        <v/>
      </c>
      <c r="Q1181" s="17" t="str">
        <f>IF('Classe 1ère D'!$B61="","",IF('Classe 1ère D'!Q61="","",'Classe 1ère D'!Q61))</f>
        <v/>
      </c>
      <c r="R1181" s="18" t="str">
        <f>IF('Classe 1ère D'!$B61="","",N('Classe 1ère D'!N61))</f>
        <v/>
      </c>
      <c r="S1181" s="18" t="str">
        <f>IF('Classe 1ère D'!$B61="","",N('Classe 1ère D'!O61))</f>
        <v/>
      </c>
      <c r="T1181" s="18" t="str">
        <f>IF('Classe 1ère D'!$B61="","",N('Classe 1ère D'!P61))</f>
        <v/>
      </c>
    </row>
    <row r="1182">
      <c r="A1182" s="20" t="str">
        <f>IF('Classe 1ère D'!$B62="","",IF('Classe 1ère D'!A62="","",'Classe 1ère D'!A62))</f>
        <v/>
      </c>
      <c r="B1182" s="20" t="str">
        <f>IF('Classe 1ère D'!$B62="","",IF('Classe 1ère D'!B62="","",'Classe 1ère D'!B62))</f>
        <v/>
      </c>
      <c r="C1182" s="20" t="str">
        <f>IF('Classe 1ère D'!$B62="","",IF('Classe 1ère D'!C62="","",'Classe 1ère D'!C62))</f>
        <v/>
      </c>
      <c r="D1182" s="20" t="str">
        <f>IF($B1182="","",C1182&amp;" "&amp;B1182&amp;" - "&amp;E1182)</f>
        <v/>
      </c>
      <c r="E1182" s="21" t="str">
        <f>IF($B1182="","",Paramètres!$A$29)</f>
        <v/>
      </c>
      <c r="F1182" s="21" t="str">
        <f>IF($B1182="","",Paramètres!$B$29)</f>
        <v/>
      </c>
      <c r="G1182" s="21" t="str">
        <f>IF('Classe 1ère D'!$B62="","",IF('Classe 1ère D'!D62="","",'Classe 1ère D'!D62))</f>
        <v/>
      </c>
      <c r="H1182" s="77" t="str">
        <f>IF('Classe 1ère D'!$B62="","",IF('Classe 1ère D'!E62="","",'Classe 1ère D'!E62))</f>
        <v/>
      </c>
      <c r="I1182" s="20" t="str">
        <f>IF('Classe 1ère D'!$B62="","",IF('Classe 1ère D'!F62="","",'Classe 1ère D'!F62))</f>
        <v/>
      </c>
      <c r="J1182" s="20" t="str">
        <f>IF('Classe 1ère D'!$B62="","",IF('Classe 1ère D'!G62="","",'Classe 1ère D'!G62))</f>
        <v/>
      </c>
      <c r="K1182" s="51" t="str">
        <f>IF('Classe 1ère D'!$B62="","",N('Classe 1ère D'!H62))</f>
        <v/>
      </c>
      <c r="L1182" s="51" t="str">
        <f>IF('Classe 1ère D'!$B62="","",N('Classe 1ère D'!I62))</f>
        <v/>
      </c>
      <c r="M1182" s="51" t="str">
        <f>IF('Classe 1ère D'!$B62="","",N('Classe 1ère D'!J62))</f>
        <v/>
      </c>
      <c r="N1182" s="51" t="str">
        <f>IF('Classe 1ère D'!$B62="","",N('Classe 1ère D'!K62))</f>
        <v/>
      </c>
      <c r="O1182" s="51" t="str">
        <f>IF('Classe 1ère D'!$B62="","",N('Classe 1ère D'!L62))</f>
        <v/>
      </c>
      <c r="P1182" s="51" t="str">
        <f>IF('Classe 1ère D'!$B62="","",N('Classe 1ère D'!M62))</f>
        <v/>
      </c>
      <c r="Q1182" s="21" t="str">
        <f>IF('Classe 1ère D'!$B62="","",IF('Classe 1ère D'!Q62="","",'Classe 1ère D'!Q62))</f>
        <v/>
      </c>
      <c r="R1182" s="51" t="str">
        <f>IF('Classe 1ère D'!$B62="","",N('Classe 1ère D'!N62))</f>
        <v/>
      </c>
      <c r="S1182" s="51" t="str">
        <f>IF('Classe 1ère D'!$B62="","",N('Classe 1ère D'!O62))</f>
        <v/>
      </c>
      <c r="T1182" s="51" t="str">
        <f>IF('Classe 1ère D'!$B62="","",N('Classe 1ère D'!P62))</f>
        <v/>
      </c>
    </row>
    <row r="1183">
      <c r="A1183" s="16" t="str">
        <f>IF('Classe 1ère D'!$B63="","",IF('Classe 1ère D'!A63="","",'Classe 1ère D'!A63))</f>
        <v/>
      </c>
      <c r="B1183" s="16" t="str">
        <f>IF('Classe 1ère D'!$B63="","",IF('Classe 1ère D'!B63="","",'Classe 1ère D'!B63))</f>
        <v/>
      </c>
      <c r="C1183" s="16" t="str">
        <f>IF('Classe 1ère D'!$B63="","",IF('Classe 1ère D'!C63="","",'Classe 1ère D'!C63))</f>
        <v/>
      </c>
      <c r="D1183" s="16" t="str">
        <f>IF($B1183="","",C1183&amp;" "&amp;B1183&amp;" - "&amp;E1183)</f>
        <v/>
      </c>
      <c r="E1183" s="17" t="str">
        <f>IF($B1183="","",Paramètres!$A$29)</f>
        <v/>
      </c>
      <c r="F1183" s="17" t="str">
        <f>IF($B1183="","",Paramètres!$B$29)</f>
        <v/>
      </c>
      <c r="G1183" s="17" t="str">
        <f>IF('Classe 1ère D'!$B63="","",IF('Classe 1ère D'!D63="","",'Classe 1ère D'!D63))</f>
        <v/>
      </c>
      <c r="H1183" s="78" t="str">
        <f>IF('Classe 1ère D'!$B63="","",IF('Classe 1ère D'!E63="","",'Classe 1ère D'!E63))</f>
        <v/>
      </c>
      <c r="I1183" s="16" t="str">
        <f>IF('Classe 1ère D'!$B63="","",IF('Classe 1ère D'!F63="","",'Classe 1ère D'!F63))</f>
        <v/>
      </c>
      <c r="J1183" s="16" t="str">
        <f>IF('Classe 1ère D'!$B63="","",IF('Classe 1ère D'!G63="","",'Classe 1ère D'!G63))</f>
        <v/>
      </c>
      <c r="K1183" s="18" t="str">
        <f>IF('Classe 1ère D'!$B63="","",N('Classe 1ère D'!H63))</f>
        <v/>
      </c>
      <c r="L1183" s="18" t="str">
        <f>IF('Classe 1ère D'!$B63="","",N('Classe 1ère D'!I63))</f>
        <v/>
      </c>
      <c r="M1183" s="18" t="str">
        <f>IF('Classe 1ère D'!$B63="","",N('Classe 1ère D'!J63))</f>
        <v/>
      </c>
      <c r="N1183" s="18" t="str">
        <f>IF('Classe 1ère D'!$B63="","",N('Classe 1ère D'!K63))</f>
        <v/>
      </c>
      <c r="O1183" s="18" t="str">
        <f>IF('Classe 1ère D'!$B63="","",N('Classe 1ère D'!L63))</f>
        <v/>
      </c>
      <c r="P1183" s="18" t="str">
        <f>IF('Classe 1ère D'!$B63="","",N('Classe 1ère D'!M63))</f>
        <v/>
      </c>
      <c r="Q1183" s="17" t="str">
        <f>IF('Classe 1ère D'!$B63="","",IF('Classe 1ère D'!Q63="","",'Classe 1ère D'!Q63))</f>
        <v/>
      </c>
      <c r="R1183" s="18" t="str">
        <f>IF('Classe 1ère D'!$B63="","",N('Classe 1ère D'!N63))</f>
        <v/>
      </c>
      <c r="S1183" s="18" t="str">
        <f>IF('Classe 1ère D'!$B63="","",N('Classe 1ère D'!O63))</f>
        <v/>
      </c>
      <c r="T1183" s="18" t="str">
        <f>IF('Classe 1ère D'!$B63="","",N('Classe 1ère D'!P63))</f>
        <v/>
      </c>
    </row>
    <row r="1184">
      <c r="A1184" s="20" t="str">
        <f>IF('Classe 1ère D'!$B64="","",IF('Classe 1ère D'!A64="","",'Classe 1ère D'!A64))</f>
        <v/>
      </c>
      <c r="B1184" s="20" t="str">
        <f>IF('Classe 1ère D'!$B64="","",IF('Classe 1ère D'!B64="","",'Classe 1ère D'!B64))</f>
        <v/>
      </c>
      <c r="C1184" s="20" t="str">
        <f>IF('Classe 1ère D'!$B64="","",IF('Classe 1ère D'!C64="","",'Classe 1ère D'!C64))</f>
        <v/>
      </c>
      <c r="D1184" s="20" t="str">
        <f>IF($B1184="","",C1184&amp;" "&amp;B1184&amp;" - "&amp;E1184)</f>
        <v/>
      </c>
      <c r="E1184" s="21" t="str">
        <f>IF($B1184="","",Paramètres!$A$29)</f>
        <v/>
      </c>
      <c r="F1184" s="21" t="str">
        <f>IF($B1184="","",Paramètres!$B$29)</f>
        <v/>
      </c>
      <c r="G1184" s="21" t="str">
        <f>IF('Classe 1ère D'!$B64="","",IF('Classe 1ère D'!D64="","",'Classe 1ère D'!D64))</f>
        <v/>
      </c>
      <c r="H1184" s="77" t="str">
        <f>IF('Classe 1ère D'!$B64="","",IF('Classe 1ère D'!E64="","",'Classe 1ère D'!E64))</f>
        <v/>
      </c>
      <c r="I1184" s="20" t="str">
        <f>IF('Classe 1ère D'!$B64="","",IF('Classe 1ère D'!F64="","",'Classe 1ère D'!F64))</f>
        <v/>
      </c>
      <c r="J1184" s="20" t="str">
        <f>IF('Classe 1ère D'!$B64="","",IF('Classe 1ère D'!G64="","",'Classe 1ère D'!G64))</f>
        <v/>
      </c>
      <c r="K1184" s="51" t="str">
        <f>IF('Classe 1ère D'!$B64="","",N('Classe 1ère D'!H64))</f>
        <v/>
      </c>
      <c r="L1184" s="51" t="str">
        <f>IF('Classe 1ère D'!$B64="","",N('Classe 1ère D'!I64))</f>
        <v/>
      </c>
      <c r="M1184" s="51" t="str">
        <f>IF('Classe 1ère D'!$B64="","",N('Classe 1ère D'!J64))</f>
        <v/>
      </c>
      <c r="N1184" s="51" t="str">
        <f>IF('Classe 1ère D'!$B64="","",N('Classe 1ère D'!K64))</f>
        <v/>
      </c>
      <c r="O1184" s="51" t="str">
        <f>IF('Classe 1ère D'!$B64="","",N('Classe 1ère D'!L64))</f>
        <v/>
      </c>
      <c r="P1184" s="51" t="str">
        <f>IF('Classe 1ère D'!$B64="","",N('Classe 1ère D'!M64))</f>
        <v/>
      </c>
      <c r="Q1184" s="21" t="str">
        <f>IF('Classe 1ère D'!$B64="","",IF('Classe 1ère D'!Q64="","",'Classe 1ère D'!Q64))</f>
        <v/>
      </c>
      <c r="R1184" s="51" t="str">
        <f>IF('Classe 1ère D'!$B64="","",N('Classe 1ère D'!N64))</f>
        <v/>
      </c>
      <c r="S1184" s="51" t="str">
        <f>IF('Classe 1ère D'!$B64="","",N('Classe 1ère D'!O64))</f>
        <v/>
      </c>
      <c r="T1184" s="51" t="str">
        <f>IF('Classe 1ère D'!$B64="","",N('Classe 1ère D'!P64))</f>
        <v/>
      </c>
    </row>
    <row r="1185">
      <c r="A1185" s="16" t="str">
        <f>IF('Classe 1ère D'!$B65="","",IF('Classe 1ère D'!A65="","",'Classe 1ère D'!A65))</f>
        <v/>
      </c>
      <c r="B1185" s="16" t="str">
        <f>IF('Classe 1ère D'!$B65="","",IF('Classe 1ère D'!B65="","",'Classe 1ère D'!B65))</f>
        <v/>
      </c>
      <c r="C1185" s="16" t="str">
        <f>IF('Classe 1ère D'!$B65="","",IF('Classe 1ère D'!C65="","",'Classe 1ère D'!C65))</f>
        <v/>
      </c>
      <c r="D1185" s="16" t="str">
        <f>IF($B1185="","",C1185&amp;" "&amp;B1185&amp;" - "&amp;E1185)</f>
        <v/>
      </c>
      <c r="E1185" s="17" t="str">
        <f>IF($B1185="","",Paramètres!$A$29)</f>
        <v/>
      </c>
      <c r="F1185" s="17" t="str">
        <f>IF($B1185="","",Paramètres!$B$29)</f>
        <v/>
      </c>
      <c r="G1185" s="17" t="str">
        <f>IF('Classe 1ère D'!$B65="","",IF('Classe 1ère D'!D65="","",'Classe 1ère D'!D65))</f>
        <v/>
      </c>
      <c r="H1185" s="78" t="str">
        <f>IF('Classe 1ère D'!$B65="","",IF('Classe 1ère D'!E65="","",'Classe 1ère D'!E65))</f>
        <v/>
      </c>
      <c r="I1185" s="16" t="str">
        <f>IF('Classe 1ère D'!$B65="","",IF('Classe 1ère D'!F65="","",'Classe 1ère D'!F65))</f>
        <v/>
      </c>
      <c r="J1185" s="16" t="str">
        <f>IF('Classe 1ère D'!$B65="","",IF('Classe 1ère D'!G65="","",'Classe 1ère D'!G65))</f>
        <v/>
      </c>
      <c r="K1185" s="18" t="str">
        <f>IF('Classe 1ère D'!$B65="","",N('Classe 1ère D'!H65))</f>
        <v/>
      </c>
      <c r="L1185" s="18" t="str">
        <f>IF('Classe 1ère D'!$B65="","",N('Classe 1ère D'!I65))</f>
        <v/>
      </c>
      <c r="M1185" s="18" t="str">
        <f>IF('Classe 1ère D'!$B65="","",N('Classe 1ère D'!J65))</f>
        <v/>
      </c>
      <c r="N1185" s="18" t="str">
        <f>IF('Classe 1ère D'!$B65="","",N('Classe 1ère D'!K65))</f>
        <v/>
      </c>
      <c r="O1185" s="18" t="str">
        <f>IF('Classe 1ère D'!$B65="","",N('Classe 1ère D'!L65))</f>
        <v/>
      </c>
      <c r="P1185" s="18" t="str">
        <f>IF('Classe 1ère D'!$B65="","",N('Classe 1ère D'!M65))</f>
        <v/>
      </c>
      <c r="Q1185" s="17" t="str">
        <f>IF('Classe 1ère D'!$B65="","",IF('Classe 1ère D'!Q65="","",'Classe 1ère D'!Q65))</f>
        <v/>
      </c>
      <c r="R1185" s="18" t="str">
        <f>IF('Classe 1ère D'!$B65="","",N('Classe 1ère D'!N65))</f>
        <v/>
      </c>
      <c r="S1185" s="18" t="str">
        <f>IF('Classe 1ère D'!$B65="","",N('Classe 1ère D'!O65))</f>
        <v/>
      </c>
      <c r="T1185" s="18" t="str">
        <f>IF('Classe 1ère D'!$B65="","",N('Classe 1ère D'!P65))</f>
        <v/>
      </c>
    </row>
    <row r="1186">
      <c r="A1186" s="20" t="str">
        <f>IF('Classe 1ère D'!$B66="","",IF('Classe 1ère D'!A66="","",'Classe 1ère D'!A66))</f>
        <v/>
      </c>
      <c r="B1186" s="20" t="str">
        <f>IF('Classe 1ère D'!$B66="","",IF('Classe 1ère D'!B66="","",'Classe 1ère D'!B66))</f>
        <v/>
      </c>
      <c r="C1186" s="20" t="str">
        <f>IF('Classe 1ère D'!$B66="","",IF('Classe 1ère D'!C66="","",'Classe 1ère D'!C66))</f>
        <v/>
      </c>
      <c r="D1186" s="20" t="str">
        <f>IF($B1186="","",C1186&amp;" "&amp;B1186&amp;" - "&amp;E1186)</f>
        <v/>
      </c>
      <c r="E1186" s="21" t="str">
        <f>IF($B1186="","",Paramètres!$A$29)</f>
        <v/>
      </c>
      <c r="F1186" s="21" t="str">
        <f>IF($B1186="","",Paramètres!$B$29)</f>
        <v/>
      </c>
      <c r="G1186" s="21" t="str">
        <f>IF('Classe 1ère D'!$B66="","",IF('Classe 1ère D'!D66="","",'Classe 1ère D'!D66))</f>
        <v/>
      </c>
      <c r="H1186" s="77" t="str">
        <f>IF('Classe 1ère D'!$B66="","",IF('Classe 1ère D'!E66="","",'Classe 1ère D'!E66))</f>
        <v/>
      </c>
      <c r="I1186" s="20" t="str">
        <f>IF('Classe 1ère D'!$B66="","",IF('Classe 1ère D'!F66="","",'Classe 1ère D'!F66))</f>
        <v/>
      </c>
      <c r="J1186" s="20" t="str">
        <f>IF('Classe 1ère D'!$B66="","",IF('Classe 1ère D'!G66="","",'Classe 1ère D'!G66))</f>
        <v/>
      </c>
      <c r="K1186" s="51" t="str">
        <f>IF('Classe 1ère D'!$B66="","",N('Classe 1ère D'!H66))</f>
        <v/>
      </c>
      <c r="L1186" s="51" t="str">
        <f>IF('Classe 1ère D'!$B66="","",N('Classe 1ère D'!I66))</f>
        <v/>
      </c>
      <c r="M1186" s="51" t="str">
        <f>IF('Classe 1ère D'!$B66="","",N('Classe 1ère D'!J66))</f>
        <v/>
      </c>
      <c r="N1186" s="51" t="str">
        <f>IF('Classe 1ère D'!$B66="","",N('Classe 1ère D'!K66))</f>
        <v/>
      </c>
      <c r="O1186" s="51" t="str">
        <f>IF('Classe 1ère D'!$B66="","",N('Classe 1ère D'!L66))</f>
        <v/>
      </c>
      <c r="P1186" s="51" t="str">
        <f>IF('Classe 1ère D'!$B66="","",N('Classe 1ère D'!M66))</f>
        <v/>
      </c>
      <c r="Q1186" s="21" t="str">
        <f>IF('Classe 1ère D'!$B66="","",IF('Classe 1ère D'!Q66="","",'Classe 1ère D'!Q66))</f>
        <v/>
      </c>
      <c r="R1186" s="51" t="str">
        <f>IF('Classe 1ère D'!$B66="","",N('Classe 1ère D'!N66))</f>
        <v/>
      </c>
      <c r="S1186" s="51" t="str">
        <f>IF('Classe 1ère D'!$B66="","",N('Classe 1ère D'!O66))</f>
        <v/>
      </c>
      <c r="T1186" s="51" t="str">
        <f>IF('Classe 1ère D'!$B66="","",N('Classe 1ère D'!P66))</f>
        <v/>
      </c>
    </row>
    <row r="1187">
      <c r="A1187" s="16" t="str">
        <f>IF('Classe 1ère D'!$B67="","",IF('Classe 1ère D'!A67="","",'Classe 1ère D'!A67))</f>
        <v/>
      </c>
      <c r="B1187" s="16" t="str">
        <f>IF('Classe 1ère D'!$B67="","",IF('Classe 1ère D'!B67="","",'Classe 1ère D'!B67))</f>
        <v/>
      </c>
      <c r="C1187" s="16" t="str">
        <f>IF('Classe 1ère D'!$B67="","",IF('Classe 1ère D'!C67="","",'Classe 1ère D'!C67))</f>
        <v/>
      </c>
      <c r="D1187" s="16" t="str">
        <f>IF($B1187="","",C1187&amp;" "&amp;B1187&amp;" - "&amp;E1187)</f>
        <v/>
      </c>
      <c r="E1187" s="17" t="str">
        <f>IF($B1187="","",Paramètres!$A$29)</f>
        <v/>
      </c>
      <c r="F1187" s="17" t="str">
        <f>IF($B1187="","",Paramètres!$B$29)</f>
        <v/>
      </c>
      <c r="G1187" s="17" t="str">
        <f>IF('Classe 1ère D'!$B67="","",IF('Classe 1ère D'!D67="","",'Classe 1ère D'!D67))</f>
        <v/>
      </c>
      <c r="H1187" s="78" t="str">
        <f>IF('Classe 1ère D'!$B67="","",IF('Classe 1ère D'!E67="","",'Classe 1ère D'!E67))</f>
        <v/>
      </c>
      <c r="I1187" s="16" t="str">
        <f>IF('Classe 1ère D'!$B67="","",IF('Classe 1ère D'!F67="","",'Classe 1ère D'!F67))</f>
        <v/>
      </c>
      <c r="J1187" s="16" t="str">
        <f>IF('Classe 1ère D'!$B67="","",IF('Classe 1ère D'!G67="","",'Classe 1ère D'!G67))</f>
        <v/>
      </c>
      <c r="K1187" s="18" t="str">
        <f>IF('Classe 1ère D'!$B67="","",N('Classe 1ère D'!H67))</f>
        <v/>
      </c>
      <c r="L1187" s="18" t="str">
        <f>IF('Classe 1ère D'!$B67="","",N('Classe 1ère D'!I67))</f>
        <v/>
      </c>
      <c r="M1187" s="18" t="str">
        <f>IF('Classe 1ère D'!$B67="","",N('Classe 1ère D'!J67))</f>
        <v/>
      </c>
      <c r="N1187" s="18" t="str">
        <f>IF('Classe 1ère D'!$B67="","",N('Classe 1ère D'!K67))</f>
        <v/>
      </c>
      <c r="O1187" s="18" t="str">
        <f>IF('Classe 1ère D'!$B67="","",N('Classe 1ère D'!L67))</f>
        <v/>
      </c>
      <c r="P1187" s="18" t="str">
        <f>IF('Classe 1ère D'!$B67="","",N('Classe 1ère D'!M67))</f>
        <v/>
      </c>
      <c r="Q1187" s="17" t="str">
        <f>IF('Classe 1ère D'!$B67="","",IF('Classe 1ère D'!Q67="","",'Classe 1ère D'!Q67))</f>
        <v/>
      </c>
      <c r="R1187" s="18" t="str">
        <f>IF('Classe 1ère D'!$B67="","",N('Classe 1ère D'!N67))</f>
        <v/>
      </c>
      <c r="S1187" s="18" t="str">
        <f>IF('Classe 1ère D'!$B67="","",N('Classe 1ère D'!O67))</f>
        <v/>
      </c>
      <c r="T1187" s="18" t="str">
        <f>IF('Classe 1ère D'!$B67="","",N('Classe 1ère D'!P67))</f>
        <v/>
      </c>
    </row>
    <row r="1188">
      <c r="A1188" s="20" t="str">
        <f>IF('Classe 1ère D'!$B68="","",IF('Classe 1ère D'!A68="","",'Classe 1ère D'!A68))</f>
        <v/>
      </c>
      <c r="B1188" s="20" t="str">
        <f>IF('Classe 1ère D'!$B68="","",IF('Classe 1ère D'!B68="","",'Classe 1ère D'!B68))</f>
        <v/>
      </c>
      <c r="C1188" s="20" t="str">
        <f>IF('Classe 1ère D'!$B68="","",IF('Classe 1ère D'!C68="","",'Classe 1ère D'!C68))</f>
        <v/>
      </c>
      <c r="D1188" s="20" t="str">
        <f>IF($B1188="","",C1188&amp;" "&amp;B1188&amp;" - "&amp;E1188)</f>
        <v/>
      </c>
      <c r="E1188" s="21" t="str">
        <f>IF($B1188="","",Paramètres!$A$29)</f>
        <v/>
      </c>
      <c r="F1188" s="21" t="str">
        <f>IF($B1188="","",Paramètres!$B$29)</f>
        <v/>
      </c>
      <c r="G1188" s="21" t="str">
        <f>IF('Classe 1ère D'!$B68="","",IF('Classe 1ère D'!D68="","",'Classe 1ère D'!D68))</f>
        <v/>
      </c>
      <c r="H1188" s="77" t="str">
        <f>IF('Classe 1ère D'!$B68="","",IF('Classe 1ère D'!E68="","",'Classe 1ère D'!E68))</f>
        <v/>
      </c>
      <c r="I1188" s="20" t="str">
        <f>IF('Classe 1ère D'!$B68="","",IF('Classe 1ère D'!F68="","",'Classe 1ère D'!F68))</f>
        <v/>
      </c>
      <c r="J1188" s="20" t="str">
        <f>IF('Classe 1ère D'!$B68="","",IF('Classe 1ère D'!G68="","",'Classe 1ère D'!G68))</f>
        <v/>
      </c>
      <c r="K1188" s="51" t="str">
        <f>IF('Classe 1ère D'!$B68="","",N('Classe 1ère D'!H68))</f>
        <v/>
      </c>
      <c r="L1188" s="51" t="str">
        <f>IF('Classe 1ère D'!$B68="","",N('Classe 1ère D'!I68))</f>
        <v/>
      </c>
      <c r="M1188" s="51" t="str">
        <f>IF('Classe 1ère D'!$B68="","",N('Classe 1ère D'!J68))</f>
        <v/>
      </c>
      <c r="N1188" s="51" t="str">
        <f>IF('Classe 1ère D'!$B68="","",N('Classe 1ère D'!K68))</f>
        <v/>
      </c>
      <c r="O1188" s="51" t="str">
        <f>IF('Classe 1ère D'!$B68="","",N('Classe 1ère D'!L68))</f>
        <v/>
      </c>
      <c r="P1188" s="51" t="str">
        <f>IF('Classe 1ère D'!$B68="","",N('Classe 1ère D'!M68))</f>
        <v/>
      </c>
      <c r="Q1188" s="21" t="str">
        <f>IF('Classe 1ère D'!$B68="","",IF('Classe 1ère D'!Q68="","",'Classe 1ère D'!Q68))</f>
        <v/>
      </c>
      <c r="R1188" s="51" t="str">
        <f>IF('Classe 1ère D'!$B68="","",N('Classe 1ère D'!N68))</f>
        <v/>
      </c>
      <c r="S1188" s="51" t="str">
        <f>IF('Classe 1ère D'!$B68="","",N('Classe 1ère D'!O68))</f>
        <v/>
      </c>
      <c r="T1188" s="51" t="str">
        <f>IF('Classe 1ère D'!$B68="","",N('Classe 1ère D'!P68))</f>
        <v/>
      </c>
    </row>
    <row r="1189">
      <c r="A1189" s="16" t="str">
        <f>IF('Classe 1ère D'!$B69="","",IF('Classe 1ère D'!A69="","",'Classe 1ère D'!A69))</f>
        <v/>
      </c>
      <c r="B1189" s="16" t="str">
        <f>IF('Classe 1ère D'!$B69="","",IF('Classe 1ère D'!B69="","",'Classe 1ère D'!B69))</f>
        <v/>
      </c>
      <c r="C1189" s="16" t="str">
        <f>IF('Classe 1ère D'!$B69="","",IF('Classe 1ère D'!C69="","",'Classe 1ère D'!C69))</f>
        <v/>
      </c>
      <c r="D1189" s="16" t="str">
        <f>IF($B1189="","",C1189&amp;" "&amp;B1189&amp;" - "&amp;E1189)</f>
        <v/>
      </c>
      <c r="E1189" s="17" t="str">
        <f>IF($B1189="","",Paramètres!$A$29)</f>
        <v/>
      </c>
      <c r="F1189" s="17" t="str">
        <f>IF($B1189="","",Paramètres!$B$29)</f>
        <v/>
      </c>
      <c r="G1189" s="17" t="str">
        <f>IF('Classe 1ère D'!$B69="","",IF('Classe 1ère D'!D69="","",'Classe 1ère D'!D69))</f>
        <v/>
      </c>
      <c r="H1189" s="78" t="str">
        <f>IF('Classe 1ère D'!$B69="","",IF('Classe 1ère D'!E69="","",'Classe 1ère D'!E69))</f>
        <v/>
      </c>
      <c r="I1189" s="16" t="str">
        <f>IF('Classe 1ère D'!$B69="","",IF('Classe 1ère D'!F69="","",'Classe 1ère D'!F69))</f>
        <v/>
      </c>
      <c r="J1189" s="16" t="str">
        <f>IF('Classe 1ère D'!$B69="","",IF('Classe 1ère D'!G69="","",'Classe 1ère D'!G69))</f>
        <v/>
      </c>
      <c r="K1189" s="18" t="str">
        <f>IF('Classe 1ère D'!$B69="","",N('Classe 1ère D'!H69))</f>
        <v/>
      </c>
      <c r="L1189" s="18" t="str">
        <f>IF('Classe 1ère D'!$B69="","",N('Classe 1ère D'!I69))</f>
        <v/>
      </c>
      <c r="M1189" s="18" t="str">
        <f>IF('Classe 1ère D'!$B69="","",N('Classe 1ère D'!J69))</f>
        <v/>
      </c>
      <c r="N1189" s="18" t="str">
        <f>IF('Classe 1ère D'!$B69="","",N('Classe 1ère D'!K69))</f>
        <v/>
      </c>
      <c r="O1189" s="18" t="str">
        <f>IF('Classe 1ère D'!$B69="","",N('Classe 1ère D'!L69))</f>
        <v/>
      </c>
      <c r="P1189" s="18" t="str">
        <f>IF('Classe 1ère D'!$B69="","",N('Classe 1ère D'!M69))</f>
        <v/>
      </c>
      <c r="Q1189" s="17" t="str">
        <f>IF('Classe 1ère D'!$B69="","",IF('Classe 1ère D'!Q69="","",'Classe 1ère D'!Q69))</f>
        <v/>
      </c>
      <c r="R1189" s="18" t="str">
        <f>IF('Classe 1ère D'!$B69="","",N('Classe 1ère D'!N69))</f>
        <v/>
      </c>
      <c r="S1189" s="18" t="str">
        <f>IF('Classe 1ère D'!$B69="","",N('Classe 1ère D'!O69))</f>
        <v/>
      </c>
      <c r="T1189" s="18" t="str">
        <f>IF('Classe 1ère D'!$B69="","",N('Classe 1ère D'!P69))</f>
        <v/>
      </c>
    </row>
    <row r="1190">
      <c r="A1190" s="20" t="str">
        <f>IF('Classe 1ère D'!$B70="","",IF('Classe 1ère D'!A70="","",'Classe 1ère D'!A70))</f>
        <v/>
      </c>
      <c r="B1190" s="20" t="str">
        <f>IF('Classe 1ère D'!$B70="","",IF('Classe 1ère D'!B70="","",'Classe 1ère D'!B70))</f>
        <v/>
      </c>
      <c r="C1190" s="20" t="str">
        <f>IF('Classe 1ère D'!$B70="","",IF('Classe 1ère D'!C70="","",'Classe 1ère D'!C70))</f>
        <v/>
      </c>
      <c r="D1190" s="20" t="str">
        <f>IF($B1190="","",C1190&amp;" "&amp;B1190&amp;" - "&amp;E1190)</f>
        <v/>
      </c>
      <c r="E1190" s="21" t="str">
        <f>IF($B1190="","",Paramètres!$A$29)</f>
        <v/>
      </c>
      <c r="F1190" s="21" t="str">
        <f>IF($B1190="","",Paramètres!$B$29)</f>
        <v/>
      </c>
      <c r="G1190" s="21" t="str">
        <f>IF('Classe 1ère D'!$B70="","",IF('Classe 1ère D'!D70="","",'Classe 1ère D'!D70))</f>
        <v/>
      </c>
      <c r="H1190" s="77" t="str">
        <f>IF('Classe 1ère D'!$B70="","",IF('Classe 1ère D'!E70="","",'Classe 1ère D'!E70))</f>
        <v/>
      </c>
      <c r="I1190" s="20" t="str">
        <f>IF('Classe 1ère D'!$B70="","",IF('Classe 1ère D'!F70="","",'Classe 1ère D'!F70))</f>
        <v/>
      </c>
      <c r="J1190" s="20" t="str">
        <f>IF('Classe 1ère D'!$B70="","",IF('Classe 1ère D'!G70="","",'Classe 1ère D'!G70))</f>
        <v/>
      </c>
      <c r="K1190" s="51" t="str">
        <f>IF('Classe 1ère D'!$B70="","",N('Classe 1ère D'!H70))</f>
        <v/>
      </c>
      <c r="L1190" s="51" t="str">
        <f>IF('Classe 1ère D'!$B70="","",N('Classe 1ère D'!I70))</f>
        <v/>
      </c>
      <c r="M1190" s="51" t="str">
        <f>IF('Classe 1ère D'!$B70="","",N('Classe 1ère D'!J70))</f>
        <v/>
      </c>
      <c r="N1190" s="51" t="str">
        <f>IF('Classe 1ère D'!$B70="","",N('Classe 1ère D'!K70))</f>
        <v/>
      </c>
      <c r="O1190" s="51" t="str">
        <f>IF('Classe 1ère D'!$B70="","",N('Classe 1ère D'!L70))</f>
        <v/>
      </c>
      <c r="P1190" s="51" t="str">
        <f>IF('Classe 1ère D'!$B70="","",N('Classe 1ère D'!M70))</f>
        <v/>
      </c>
      <c r="Q1190" s="21" t="str">
        <f>IF('Classe 1ère D'!$B70="","",IF('Classe 1ère D'!Q70="","",'Classe 1ère D'!Q70))</f>
        <v/>
      </c>
      <c r="R1190" s="51" t="str">
        <f>IF('Classe 1ère D'!$B70="","",N('Classe 1ère D'!N70))</f>
        <v/>
      </c>
      <c r="S1190" s="51" t="str">
        <f>IF('Classe 1ère D'!$B70="","",N('Classe 1ère D'!O70))</f>
        <v/>
      </c>
      <c r="T1190" s="51" t="str">
        <f>IF('Classe 1ère D'!$B70="","",N('Classe 1ère D'!P70))</f>
        <v/>
      </c>
    </row>
    <row r="1191">
      <c r="A1191" s="16" t="str">
        <f>IF('Classe 1ère D'!$B71="","",IF('Classe 1ère D'!A71="","",'Classe 1ère D'!A71))</f>
        <v/>
      </c>
      <c r="B1191" s="16" t="str">
        <f>IF('Classe 1ère D'!$B71="","",IF('Classe 1ère D'!B71="","",'Classe 1ère D'!B71))</f>
        <v/>
      </c>
      <c r="C1191" s="16" t="str">
        <f>IF('Classe 1ère D'!$B71="","",IF('Classe 1ère D'!C71="","",'Classe 1ère D'!C71))</f>
        <v/>
      </c>
      <c r="D1191" s="16" t="str">
        <f>IF($B1191="","",C1191&amp;" "&amp;B1191&amp;" - "&amp;E1191)</f>
        <v/>
      </c>
      <c r="E1191" s="17" t="str">
        <f>IF($B1191="","",Paramètres!$A$29)</f>
        <v/>
      </c>
      <c r="F1191" s="17" t="str">
        <f>IF($B1191="","",Paramètres!$B$29)</f>
        <v/>
      </c>
      <c r="G1191" s="17" t="str">
        <f>IF('Classe 1ère D'!$B71="","",IF('Classe 1ère D'!D71="","",'Classe 1ère D'!D71))</f>
        <v/>
      </c>
      <c r="H1191" s="78" t="str">
        <f>IF('Classe 1ère D'!$B71="","",IF('Classe 1ère D'!E71="","",'Classe 1ère D'!E71))</f>
        <v/>
      </c>
      <c r="I1191" s="16" t="str">
        <f>IF('Classe 1ère D'!$B71="","",IF('Classe 1ère D'!F71="","",'Classe 1ère D'!F71))</f>
        <v/>
      </c>
      <c r="J1191" s="16" t="str">
        <f>IF('Classe 1ère D'!$B71="","",IF('Classe 1ère D'!G71="","",'Classe 1ère D'!G71))</f>
        <v/>
      </c>
      <c r="K1191" s="18" t="str">
        <f>IF('Classe 1ère D'!$B71="","",N('Classe 1ère D'!H71))</f>
        <v/>
      </c>
      <c r="L1191" s="18" t="str">
        <f>IF('Classe 1ère D'!$B71="","",N('Classe 1ère D'!I71))</f>
        <v/>
      </c>
      <c r="M1191" s="18" t="str">
        <f>IF('Classe 1ère D'!$B71="","",N('Classe 1ère D'!J71))</f>
        <v/>
      </c>
      <c r="N1191" s="18" t="str">
        <f>IF('Classe 1ère D'!$B71="","",N('Classe 1ère D'!K71))</f>
        <v/>
      </c>
      <c r="O1191" s="18" t="str">
        <f>IF('Classe 1ère D'!$B71="","",N('Classe 1ère D'!L71))</f>
        <v/>
      </c>
      <c r="P1191" s="18" t="str">
        <f>IF('Classe 1ère D'!$B71="","",N('Classe 1ère D'!M71))</f>
        <v/>
      </c>
      <c r="Q1191" s="17" t="str">
        <f>IF('Classe 1ère D'!$B71="","",IF('Classe 1ère D'!Q71="","",'Classe 1ère D'!Q71))</f>
        <v/>
      </c>
      <c r="R1191" s="18" t="str">
        <f>IF('Classe 1ère D'!$B71="","",N('Classe 1ère D'!N71))</f>
        <v/>
      </c>
      <c r="S1191" s="18" t="str">
        <f>IF('Classe 1ère D'!$B71="","",N('Classe 1ère D'!O71))</f>
        <v/>
      </c>
      <c r="T1191" s="18" t="str">
        <f>IF('Classe 1ère D'!$B71="","",N('Classe 1ère D'!P71))</f>
        <v/>
      </c>
    </row>
    <row r="1192">
      <c r="A1192" s="20" t="str">
        <f>IF('Classe 1ère D'!$B72="","",IF('Classe 1ère D'!A72="","",'Classe 1ère D'!A72))</f>
        <v/>
      </c>
      <c r="B1192" s="20" t="str">
        <f>IF('Classe 1ère D'!$B72="","",IF('Classe 1ère D'!B72="","",'Classe 1ère D'!B72))</f>
        <v/>
      </c>
      <c r="C1192" s="20" t="str">
        <f>IF('Classe 1ère D'!$B72="","",IF('Classe 1ère D'!C72="","",'Classe 1ère D'!C72))</f>
        <v/>
      </c>
      <c r="D1192" s="20" t="str">
        <f>IF($B1192="","",C1192&amp;" "&amp;B1192&amp;" - "&amp;E1192)</f>
        <v/>
      </c>
      <c r="E1192" s="21" t="str">
        <f>IF($B1192="","",Paramètres!$A$29)</f>
        <v/>
      </c>
      <c r="F1192" s="21" t="str">
        <f>IF($B1192="","",Paramètres!$B$29)</f>
        <v/>
      </c>
      <c r="G1192" s="21" t="str">
        <f>IF('Classe 1ère D'!$B72="","",IF('Classe 1ère D'!D72="","",'Classe 1ère D'!D72))</f>
        <v/>
      </c>
      <c r="H1192" s="77" t="str">
        <f>IF('Classe 1ère D'!$B72="","",IF('Classe 1ère D'!E72="","",'Classe 1ère D'!E72))</f>
        <v/>
      </c>
      <c r="I1192" s="20" t="str">
        <f>IF('Classe 1ère D'!$B72="","",IF('Classe 1ère D'!F72="","",'Classe 1ère D'!F72))</f>
        <v/>
      </c>
      <c r="J1192" s="20" t="str">
        <f>IF('Classe 1ère D'!$B72="","",IF('Classe 1ère D'!G72="","",'Classe 1ère D'!G72))</f>
        <v/>
      </c>
      <c r="K1192" s="51" t="str">
        <f>IF('Classe 1ère D'!$B72="","",N('Classe 1ère D'!H72))</f>
        <v/>
      </c>
      <c r="L1192" s="51" t="str">
        <f>IF('Classe 1ère D'!$B72="","",N('Classe 1ère D'!I72))</f>
        <v/>
      </c>
      <c r="M1192" s="51" t="str">
        <f>IF('Classe 1ère D'!$B72="","",N('Classe 1ère D'!J72))</f>
        <v/>
      </c>
      <c r="N1192" s="51" t="str">
        <f>IF('Classe 1ère D'!$B72="","",N('Classe 1ère D'!K72))</f>
        <v/>
      </c>
      <c r="O1192" s="51" t="str">
        <f>IF('Classe 1ère D'!$B72="","",N('Classe 1ère D'!L72))</f>
        <v/>
      </c>
      <c r="P1192" s="51" t="str">
        <f>IF('Classe 1ère D'!$B72="","",N('Classe 1ère D'!M72))</f>
        <v/>
      </c>
      <c r="Q1192" s="21" t="str">
        <f>IF('Classe 1ère D'!$B72="","",IF('Classe 1ère D'!Q72="","",'Classe 1ère D'!Q72))</f>
        <v/>
      </c>
      <c r="R1192" s="51" t="str">
        <f>IF('Classe 1ère D'!$B72="","",N('Classe 1ère D'!N72))</f>
        <v/>
      </c>
      <c r="S1192" s="51" t="str">
        <f>IF('Classe 1ère D'!$B72="","",N('Classe 1ère D'!O72))</f>
        <v/>
      </c>
      <c r="T1192" s="51" t="str">
        <f>IF('Classe 1ère D'!$B72="","",N('Classe 1ère D'!P72))</f>
        <v/>
      </c>
    </row>
    <row r="1193">
      <c r="A1193" s="16" t="str">
        <f>IF('Classe 1ère D'!$B73="","",IF('Classe 1ère D'!A73="","",'Classe 1ère D'!A73))</f>
        <v/>
      </c>
      <c r="B1193" s="16" t="str">
        <f>IF('Classe 1ère D'!$B73="","",IF('Classe 1ère D'!B73="","",'Classe 1ère D'!B73))</f>
        <v/>
      </c>
      <c r="C1193" s="16" t="str">
        <f>IF('Classe 1ère D'!$B73="","",IF('Classe 1ère D'!C73="","",'Classe 1ère D'!C73))</f>
        <v/>
      </c>
      <c r="D1193" s="16" t="str">
        <f>IF($B1193="","",C1193&amp;" "&amp;B1193&amp;" - "&amp;E1193)</f>
        <v/>
      </c>
      <c r="E1193" s="17" t="str">
        <f>IF($B1193="","",Paramètres!$A$29)</f>
        <v/>
      </c>
      <c r="F1193" s="17" t="str">
        <f>IF($B1193="","",Paramètres!$B$29)</f>
        <v/>
      </c>
      <c r="G1193" s="17" t="str">
        <f>IF('Classe 1ère D'!$B73="","",IF('Classe 1ère D'!D73="","",'Classe 1ère D'!D73))</f>
        <v/>
      </c>
      <c r="H1193" s="78" t="str">
        <f>IF('Classe 1ère D'!$B73="","",IF('Classe 1ère D'!E73="","",'Classe 1ère D'!E73))</f>
        <v/>
      </c>
      <c r="I1193" s="16" t="str">
        <f>IF('Classe 1ère D'!$B73="","",IF('Classe 1ère D'!F73="","",'Classe 1ère D'!F73))</f>
        <v/>
      </c>
      <c r="J1193" s="16" t="str">
        <f>IF('Classe 1ère D'!$B73="","",IF('Classe 1ère D'!G73="","",'Classe 1ère D'!G73))</f>
        <v/>
      </c>
      <c r="K1193" s="18" t="str">
        <f>IF('Classe 1ère D'!$B73="","",N('Classe 1ère D'!H73))</f>
        <v/>
      </c>
      <c r="L1193" s="18" t="str">
        <f>IF('Classe 1ère D'!$B73="","",N('Classe 1ère D'!I73))</f>
        <v/>
      </c>
      <c r="M1193" s="18" t="str">
        <f>IF('Classe 1ère D'!$B73="","",N('Classe 1ère D'!J73))</f>
        <v/>
      </c>
      <c r="N1193" s="18" t="str">
        <f>IF('Classe 1ère D'!$B73="","",N('Classe 1ère D'!K73))</f>
        <v/>
      </c>
      <c r="O1193" s="18" t="str">
        <f>IF('Classe 1ère D'!$B73="","",N('Classe 1ère D'!L73))</f>
        <v/>
      </c>
      <c r="P1193" s="18" t="str">
        <f>IF('Classe 1ère D'!$B73="","",N('Classe 1ère D'!M73))</f>
        <v/>
      </c>
      <c r="Q1193" s="17" t="str">
        <f>IF('Classe 1ère D'!$B73="","",IF('Classe 1ère D'!Q73="","",'Classe 1ère D'!Q73))</f>
        <v/>
      </c>
      <c r="R1193" s="18" t="str">
        <f>IF('Classe 1ère D'!$B73="","",N('Classe 1ère D'!N73))</f>
        <v/>
      </c>
      <c r="S1193" s="18" t="str">
        <f>IF('Classe 1ère D'!$B73="","",N('Classe 1ère D'!O73))</f>
        <v/>
      </c>
      <c r="T1193" s="18" t="str">
        <f>IF('Classe 1ère D'!$B73="","",N('Classe 1ère D'!P73))</f>
        <v/>
      </c>
    </row>
    <row r="1194">
      <c r="A1194" s="20" t="str">
        <f>IF('Classe 1ère D'!$B74="","",IF('Classe 1ère D'!A74="","",'Classe 1ère D'!A74))</f>
        <v/>
      </c>
      <c r="B1194" s="20" t="str">
        <f>IF('Classe 1ère D'!$B74="","",IF('Classe 1ère D'!B74="","",'Classe 1ère D'!B74))</f>
        <v/>
      </c>
      <c r="C1194" s="20" t="str">
        <f>IF('Classe 1ère D'!$B74="","",IF('Classe 1ère D'!C74="","",'Classe 1ère D'!C74))</f>
        <v/>
      </c>
      <c r="D1194" s="20" t="str">
        <f>IF($B1194="","",C1194&amp;" "&amp;B1194&amp;" - "&amp;E1194)</f>
        <v/>
      </c>
      <c r="E1194" s="21" t="str">
        <f>IF($B1194="","",Paramètres!$A$29)</f>
        <v/>
      </c>
      <c r="F1194" s="21" t="str">
        <f>IF($B1194="","",Paramètres!$B$29)</f>
        <v/>
      </c>
      <c r="G1194" s="21" t="str">
        <f>IF('Classe 1ère D'!$B74="","",IF('Classe 1ère D'!D74="","",'Classe 1ère D'!D74))</f>
        <v/>
      </c>
      <c r="H1194" s="77" t="str">
        <f>IF('Classe 1ère D'!$B74="","",IF('Classe 1ère D'!E74="","",'Classe 1ère D'!E74))</f>
        <v/>
      </c>
      <c r="I1194" s="20" t="str">
        <f>IF('Classe 1ère D'!$B74="","",IF('Classe 1ère D'!F74="","",'Classe 1ère D'!F74))</f>
        <v/>
      </c>
      <c r="J1194" s="20" t="str">
        <f>IF('Classe 1ère D'!$B74="","",IF('Classe 1ère D'!G74="","",'Classe 1ère D'!G74))</f>
        <v/>
      </c>
      <c r="K1194" s="51" t="str">
        <f>IF('Classe 1ère D'!$B74="","",N('Classe 1ère D'!H74))</f>
        <v/>
      </c>
      <c r="L1194" s="51" t="str">
        <f>IF('Classe 1ère D'!$B74="","",N('Classe 1ère D'!I74))</f>
        <v/>
      </c>
      <c r="M1194" s="51" t="str">
        <f>IF('Classe 1ère D'!$B74="","",N('Classe 1ère D'!J74))</f>
        <v/>
      </c>
      <c r="N1194" s="51" t="str">
        <f>IF('Classe 1ère D'!$B74="","",N('Classe 1ère D'!K74))</f>
        <v/>
      </c>
      <c r="O1194" s="51" t="str">
        <f>IF('Classe 1ère D'!$B74="","",N('Classe 1ère D'!L74))</f>
        <v/>
      </c>
      <c r="P1194" s="51" t="str">
        <f>IF('Classe 1ère D'!$B74="","",N('Classe 1ère D'!M74))</f>
        <v/>
      </c>
      <c r="Q1194" s="21" t="str">
        <f>IF('Classe 1ère D'!$B74="","",IF('Classe 1ère D'!Q74="","",'Classe 1ère D'!Q74))</f>
        <v/>
      </c>
      <c r="R1194" s="51" t="str">
        <f>IF('Classe 1ère D'!$B74="","",N('Classe 1ère D'!N74))</f>
        <v/>
      </c>
      <c r="S1194" s="51" t="str">
        <f>IF('Classe 1ère D'!$B74="","",N('Classe 1ère D'!O74))</f>
        <v/>
      </c>
      <c r="T1194" s="51" t="str">
        <f>IF('Classe 1ère D'!$B74="","",N('Classe 1ère D'!P74))</f>
        <v/>
      </c>
    </row>
    <row r="1195">
      <c r="A1195" s="16" t="str">
        <f>IF('Classe 1ère D'!$B75="","",IF('Classe 1ère D'!A75="","",'Classe 1ère D'!A75))</f>
        <v/>
      </c>
      <c r="B1195" s="16" t="str">
        <f>IF('Classe 1ère D'!$B75="","",IF('Classe 1ère D'!B75="","",'Classe 1ère D'!B75))</f>
        <v/>
      </c>
      <c r="C1195" s="16" t="str">
        <f>IF('Classe 1ère D'!$B75="","",IF('Classe 1ère D'!C75="","",'Classe 1ère D'!C75))</f>
        <v/>
      </c>
      <c r="D1195" s="16" t="str">
        <f>IF($B1195="","",C1195&amp;" "&amp;B1195&amp;" - "&amp;E1195)</f>
        <v/>
      </c>
      <c r="E1195" s="17" t="str">
        <f>IF($B1195="","",Paramètres!$A$29)</f>
        <v/>
      </c>
      <c r="F1195" s="17" t="str">
        <f>IF($B1195="","",Paramètres!$B$29)</f>
        <v/>
      </c>
      <c r="G1195" s="17" t="str">
        <f>IF('Classe 1ère D'!$B75="","",IF('Classe 1ère D'!D75="","",'Classe 1ère D'!D75))</f>
        <v/>
      </c>
      <c r="H1195" s="78" t="str">
        <f>IF('Classe 1ère D'!$B75="","",IF('Classe 1ère D'!E75="","",'Classe 1ère D'!E75))</f>
        <v/>
      </c>
      <c r="I1195" s="16" t="str">
        <f>IF('Classe 1ère D'!$B75="","",IF('Classe 1ère D'!F75="","",'Classe 1ère D'!F75))</f>
        <v/>
      </c>
      <c r="J1195" s="16" t="str">
        <f>IF('Classe 1ère D'!$B75="","",IF('Classe 1ère D'!G75="","",'Classe 1ère D'!G75))</f>
        <v/>
      </c>
      <c r="K1195" s="18" t="str">
        <f>IF('Classe 1ère D'!$B75="","",N('Classe 1ère D'!H75))</f>
        <v/>
      </c>
      <c r="L1195" s="18" t="str">
        <f>IF('Classe 1ère D'!$B75="","",N('Classe 1ère D'!I75))</f>
        <v/>
      </c>
      <c r="M1195" s="18" t="str">
        <f>IF('Classe 1ère D'!$B75="","",N('Classe 1ère D'!J75))</f>
        <v/>
      </c>
      <c r="N1195" s="18" t="str">
        <f>IF('Classe 1ère D'!$B75="","",N('Classe 1ère D'!K75))</f>
        <v/>
      </c>
      <c r="O1195" s="18" t="str">
        <f>IF('Classe 1ère D'!$B75="","",N('Classe 1ère D'!L75))</f>
        <v/>
      </c>
      <c r="P1195" s="18" t="str">
        <f>IF('Classe 1ère D'!$B75="","",N('Classe 1ère D'!M75))</f>
        <v/>
      </c>
      <c r="Q1195" s="17" t="str">
        <f>IF('Classe 1ère D'!$B75="","",IF('Classe 1ère D'!Q75="","",'Classe 1ère D'!Q75))</f>
        <v/>
      </c>
      <c r="R1195" s="18" t="str">
        <f>IF('Classe 1ère D'!$B75="","",N('Classe 1ère D'!N75))</f>
        <v/>
      </c>
      <c r="S1195" s="18" t="str">
        <f>IF('Classe 1ère D'!$B75="","",N('Classe 1ère D'!O75))</f>
        <v/>
      </c>
      <c r="T1195" s="18" t="str">
        <f>IF('Classe 1ère D'!$B75="","",N('Classe 1ère D'!P75))</f>
        <v/>
      </c>
    </row>
    <row r="1196">
      <c r="A1196" s="20" t="str">
        <f>IF('Classe 1ère D'!$B76="","",IF('Classe 1ère D'!A76="","",'Classe 1ère D'!A76))</f>
        <v/>
      </c>
      <c r="B1196" s="20" t="str">
        <f>IF('Classe 1ère D'!$B76="","",IF('Classe 1ère D'!B76="","",'Classe 1ère D'!B76))</f>
        <v/>
      </c>
      <c r="C1196" s="20" t="str">
        <f>IF('Classe 1ère D'!$B76="","",IF('Classe 1ère D'!C76="","",'Classe 1ère D'!C76))</f>
        <v/>
      </c>
      <c r="D1196" s="20" t="str">
        <f>IF($B1196="","",C1196&amp;" "&amp;B1196&amp;" - "&amp;E1196)</f>
        <v/>
      </c>
      <c r="E1196" s="21" t="str">
        <f>IF($B1196="","",Paramètres!$A$29)</f>
        <v/>
      </c>
      <c r="F1196" s="21" t="str">
        <f>IF($B1196="","",Paramètres!$B$29)</f>
        <v/>
      </c>
      <c r="G1196" s="21" t="str">
        <f>IF('Classe 1ère D'!$B76="","",IF('Classe 1ère D'!D76="","",'Classe 1ère D'!D76))</f>
        <v/>
      </c>
      <c r="H1196" s="77" t="str">
        <f>IF('Classe 1ère D'!$B76="","",IF('Classe 1ère D'!E76="","",'Classe 1ère D'!E76))</f>
        <v/>
      </c>
      <c r="I1196" s="20" t="str">
        <f>IF('Classe 1ère D'!$B76="","",IF('Classe 1ère D'!F76="","",'Classe 1ère D'!F76))</f>
        <v/>
      </c>
      <c r="J1196" s="20" t="str">
        <f>IF('Classe 1ère D'!$B76="","",IF('Classe 1ère D'!G76="","",'Classe 1ère D'!G76))</f>
        <v/>
      </c>
      <c r="K1196" s="51" t="str">
        <f>IF('Classe 1ère D'!$B76="","",N('Classe 1ère D'!H76))</f>
        <v/>
      </c>
      <c r="L1196" s="51" t="str">
        <f>IF('Classe 1ère D'!$B76="","",N('Classe 1ère D'!I76))</f>
        <v/>
      </c>
      <c r="M1196" s="51" t="str">
        <f>IF('Classe 1ère D'!$B76="","",N('Classe 1ère D'!J76))</f>
        <v/>
      </c>
      <c r="N1196" s="51" t="str">
        <f>IF('Classe 1ère D'!$B76="","",N('Classe 1ère D'!K76))</f>
        <v/>
      </c>
      <c r="O1196" s="51" t="str">
        <f>IF('Classe 1ère D'!$B76="","",N('Classe 1ère D'!L76))</f>
        <v/>
      </c>
      <c r="P1196" s="51" t="str">
        <f>IF('Classe 1ère D'!$B76="","",N('Classe 1ère D'!M76))</f>
        <v/>
      </c>
      <c r="Q1196" s="21" t="str">
        <f>IF('Classe 1ère D'!$B76="","",IF('Classe 1ère D'!Q76="","",'Classe 1ère D'!Q76))</f>
        <v/>
      </c>
      <c r="R1196" s="51" t="str">
        <f>IF('Classe 1ère D'!$B76="","",N('Classe 1ère D'!N76))</f>
        <v/>
      </c>
      <c r="S1196" s="51" t="str">
        <f>IF('Classe 1ère D'!$B76="","",N('Classe 1ère D'!O76))</f>
        <v/>
      </c>
      <c r="T1196" s="51" t="str">
        <f>IF('Classe 1ère D'!$B76="","",N('Classe 1ère D'!P76))</f>
        <v/>
      </c>
    </row>
    <row r="1197">
      <c r="A1197" s="16" t="str">
        <f>IF('Classe 1ère D'!$B77="","",IF('Classe 1ère D'!A77="","",'Classe 1ère D'!A77))</f>
        <v/>
      </c>
      <c r="B1197" s="16" t="str">
        <f>IF('Classe 1ère D'!$B77="","",IF('Classe 1ère D'!B77="","",'Classe 1ère D'!B77))</f>
        <v/>
      </c>
      <c r="C1197" s="16" t="str">
        <f>IF('Classe 1ère D'!$B77="","",IF('Classe 1ère D'!C77="","",'Classe 1ère D'!C77))</f>
        <v/>
      </c>
      <c r="D1197" s="16" t="str">
        <f>IF($B1197="","",C1197&amp;" "&amp;B1197&amp;" - "&amp;E1197)</f>
        <v/>
      </c>
      <c r="E1197" s="17" t="str">
        <f>IF($B1197="","",Paramètres!$A$29)</f>
        <v/>
      </c>
      <c r="F1197" s="17" t="str">
        <f>IF($B1197="","",Paramètres!$B$29)</f>
        <v/>
      </c>
      <c r="G1197" s="17" t="str">
        <f>IF('Classe 1ère D'!$B77="","",IF('Classe 1ère D'!D77="","",'Classe 1ère D'!D77))</f>
        <v/>
      </c>
      <c r="H1197" s="78" t="str">
        <f>IF('Classe 1ère D'!$B77="","",IF('Classe 1ère D'!E77="","",'Classe 1ère D'!E77))</f>
        <v/>
      </c>
      <c r="I1197" s="16" t="str">
        <f>IF('Classe 1ère D'!$B77="","",IF('Classe 1ère D'!F77="","",'Classe 1ère D'!F77))</f>
        <v/>
      </c>
      <c r="J1197" s="16" t="str">
        <f>IF('Classe 1ère D'!$B77="","",IF('Classe 1ère D'!G77="","",'Classe 1ère D'!G77))</f>
        <v/>
      </c>
      <c r="K1197" s="18" t="str">
        <f>IF('Classe 1ère D'!$B77="","",N('Classe 1ère D'!H77))</f>
        <v/>
      </c>
      <c r="L1197" s="18" t="str">
        <f>IF('Classe 1ère D'!$B77="","",N('Classe 1ère D'!I77))</f>
        <v/>
      </c>
      <c r="M1197" s="18" t="str">
        <f>IF('Classe 1ère D'!$B77="","",N('Classe 1ère D'!J77))</f>
        <v/>
      </c>
      <c r="N1197" s="18" t="str">
        <f>IF('Classe 1ère D'!$B77="","",N('Classe 1ère D'!K77))</f>
        <v/>
      </c>
      <c r="O1197" s="18" t="str">
        <f>IF('Classe 1ère D'!$B77="","",N('Classe 1ère D'!L77))</f>
        <v/>
      </c>
      <c r="P1197" s="18" t="str">
        <f>IF('Classe 1ère D'!$B77="","",N('Classe 1ère D'!M77))</f>
        <v/>
      </c>
      <c r="Q1197" s="17" t="str">
        <f>IF('Classe 1ère D'!$B77="","",IF('Classe 1ère D'!Q77="","",'Classe 1ère D'!Q77))</f>
        <v/>
      </c>
      <c r="R1197" s="18" t="str">
        <f>IF('Classe 1ère D'!$B77="","",N('Classe 1ère D'!N77))</f>
        <v/>
      </c>
      <c r="S1197" s="18" t="str">
        <f>IF('Classe 1ère D'!$B77="","",N('Classe 1ère D'!O77))</f>
        <v/>
      </c>
      <c r="T1197" s="18" t="str">
        <f>IF('Classe 1ère D'!$B77="","",N('Classe 1ère D'!P77))</f>
        <v/>
      </c>
    </row>
    <row r="1198">
      <c r="A1198" s="20" t="str">
        <f>IF('Classe 1ère D'!$B78="","",IF('Classe 1ère D'!A78="","",'Classe 1ère D'!A78))</f>
        <v/>
      </c>
      <c r="B1198" s="20" t="str">
        <f>IF('Classe 1ère D'!$B78="","",IF('Classe 1ère D'!B78="","",'Classe 1ère D'!B78))</f>
        <v/>
      </c>
      <c r="C1198" s="20" t="str">
        <f>IF('Classe 1ère D'!$B78="","",IF('Classe 1ère D'!C78="","",'Classe 1ère D'!C78))</f>
        <v/>
      </c>
      <c r="D1198" s="20" t="str">
        <f>IF($B1198="","",C1198&amp;" "&amp;B1198&amp;" - "&amp;E1198)</f>
        <v/>
      </c>
      <c r="E1198" s="21" t="str">
        <f>IF($B1198="","",Paramètres!$A$29)</f>
        <v/>
      </c>
      <c r="F1198" s="21" t="str">
        <f>IF($B1198="","",Paramètres!$B$29)</f>
        <v/>
      </c>
      <c r="G1198" s="21" t="str">
        <f>IF('Classe 1ère D'!$B78="","",IF('Classe 1ère D'!D78="","",'Classe 1ère D'!D78))</f>
        <v/>
      </c>
      <c r="H1198" s="77" t="str">
        <f>IF('Classe 1ère D'!$B78="","",IF('Classe 1ère D'!E78="","",'Classe 1ère D'!E78))</f>
        <v/>
      </c>
      <c r="I1198" s="20" t="str">
        <f>IF('Classe 1ère D'!$B78="","",IF('Classe 1ère D'!F78="","",'Classe 1ère D'!F78))</f>
        <v/>
      </c>
      <c r="J1198" s="20" t="str">
        <f>IF('Classe 1ère D'!$B78="","",IF('Classe 1ère D'!G78="","",'Classe 1ère D'!G78))</f>
        <v/>
      </c>
      <c r="K1198" s="51" t="str">
        <f>IF('Classe 1ère D'!$B78="","",N('Classe 1ère D'!H78))</f>
        <v/>
      </c>
      <c r="L1198" s="51" t="str">
        <f>IF('Classe 1ère D'!$B78="","",N('Classe 1ère D'!I78))</f>
        <v/>
      </c>
      <c r="M1198" s="51" t="str">
        <f>IF('Classe 1ère D'!$B78="","",N('Classe 1ère D'!J78))</f>
        <v/>
      </c>
      <c r="N1198" s="51" t="str">
        <f>IF('Classe 1ère D'!$B78="","",N('Classe 1ère D'!K78))</f>
        <v/>
      </c>
      <c r="O1198" s="51" t="str">
        <f>IF('Classe 1ère D'!$B78="","",N('Classe 1ère D'!L78))</f>
        <v/>
      </c>
      <c r="P1198" s="51" t="str">
        <f>IF('Classe 1ère D'!$B78="","",N('Classe 1ère D'!M78))</f>
        <v/>
      </c>
      <c r="Q1198" s="21" t="str">
        <f>IF('Classe 1ère D'!$B78="","",IF('Classe 1ère D'!Q78="","",'Classe 1ère D'!Q78))</f>
        <v/>
      </c>
      <c r="R1198" s="51" t="str">
        <f>IF('Classe 1ère D'!$B78="","",N('Classe 1ère D'!N78))</f>
        <v/>
      </c>
      <c r="S1198" s="51" t="str">
        <f>IF('Classe 1ère D'!$B78="","",N('Classe 1ère D'!O78))</f>
        <v/>
      </c>
      <c r="T1198" s="51" t="str">
        <f>IF('Classe 1ère D'!$B78="","",N('Classe 1ère D'!P78))</f>
        <v/>
      </c>
    </row>
    <row r="1199">
      <c r="A1199" s="16" t="str">
        <f>IF('Classe 1ère D'!$B79="","",IF('Classe 1ère D'!A79="","",'Classe 1ère D'!A79))</f>
        <v/>
      </c>
      <c r="B1199" s="16" t="str">
        <f>IF('Classe 1ère D'!$B79="","",IF('Classe 1ère D'!B79="","",'Classe 1ère D'!B79))</f>
        <v/>
      </c>
      <c r="C1199" s="16" t="str">
        <f>IF('Classe 1ère D'!$B79="","",IF('Classe 1ère D'!C79="","",'Classe 1ère D'!C79))</f>
        <v/>
      </c>
      <c r="D1199" s="16" t="str">
        <f>IF($B1199="","",C1199&amp;" "&amp;B1199&amp;" - "&amp;E1199)</f>
        <v/>
      </c>
      <c r="E1199" s="17" t="str">
        <f>IF($B1199="","",Paramètres!$A$29)</f>
        <v/>
      </c>
      <c r="F1199" s="17" t="str">
        <f>IF($B1199="","",Paramètres!$B$29)</f>
        <v/>
      </c>
      <c r="G1199" s="17" t="str">
        <f>IF('Classe 1ère D'!$B79="","",IF('Classe 1ère D'!D79="","",'Classe 1ère D'!D79))</f>
        <v/>
      </c>
      <c r="H1199" s="78" t="str">
        <f>IF('Classe 1ère D'!$B79="","",IF('Classe 1ère D'!E79="","",'Classe 1ère D'!E79))</f>
        <v/>
      </c>
      <c r="I1199" s="16" t="str">
        <f>IF('Classe 1ère D'!$B79="","",IF('Classe 1ère D'!F79="","",'Classe 1ère D'!F79))</f>
        <v/>
      </c>
      <c r="J1199" s="16" t="str">
        <f>IF('Classe 1ère D'!$B79="","",IF('Classe 1ère D'!G79="","",'Classe 1ère D'!G79))</f>
        <v/>
      </c>
      <c r="K1199" s="18" t="str">
        <f>IF('Classe 1ère D'!$B79="","",N('Classe 1ère D'!H79))</f>
        <v/>
      </c>
      <c r="L1199" s="18" t="str">
        <f>IF('Classe 1ère D'!$B79="","",N('Classe 1ère D'!I79))</f>
        <v/>
      </c>
      <c r="M1199" s="18" t="str">
        <f>IF('Classe 1ère D'!$B79="","",N('Classe 1ère D'!J79))</f>
        <v/>
      </c>
      <c r="N1199" s="18" t="str">
        <f>IF('Classe 1ère D'!$B79="","",N('Classe 1ère D'!K79))</f>
        <v/>
      </c>
      <c r="O1199" s="18" t="str">
        <f>IF('Classe 1ère D'!$B79="","",N('Classe 1ère D'!L79))</f>
        <v/>
      </c>
      <c r="P1199" s="18" t="str">
        <f>IF('Classe 1ère D'!$B79="","",N('Classe 1ère D'!M79))</f>
        <v/>
      </c>
      <c r="Q1199" s="17" t="str">
        <f>IF('Classe 1ère D'!$B79="","",IF('Classe 1ère D'!Q79="","",'Classe 1ère D'!Q79))</f>
        <v/>
      </c>
      <c r="R1199" s="18" t="str">
        <f>IF('Classe 1ère D'!$B79="","",N('Classe 1ère D'!N79))</f>
        <v/>
      </c>
      <c r="S1199" s="18" t="str">
        <f>IF('Classe 1ère D'!$B79="","",N('Classe 1ère D'!O79))</f>
        <v/>
      </c>
      <c r="T1199" s="18" t="str">
        <f>IF('Classe 1ère D'!$B79="","",N('Classe 1ère D'!P79))</f>
        <v/>
      </c>
    </row>
    <row r="1200">
      <c r="A1200" s="20" t="str">
        <f>IF('Classe 1ère D'!$B80="","",IF('Classe 1ère D'!A80="","",'Classe 1ère D'!A80))</f>
        <v/>
      </c>
      <c r="B1200" s="20" t="str">
        <f>IF('Classe 1ère D'!$B80="","",IF('Classe 1ère D'!B80="","",'Classe 1ère D'!B80))</f>
        <v/>
      </c>
      <c r="C1200" s="20" t="str">
        <f>IF('Classe 1ère D'!$B80="","",IF('Classe 1ère D'!C80="","",'Classe 1ère D'!C80))</f>
        <v/>
      </c>
      <c r="D1200" s="20" t="str">
        <f>IF($B1200="","",C1200&amp;" "&amp;B1200&amp;" - "&amp;E1200)</f>
        <v/>
      </c>
      <c r="E1200" s="21" t="str">
        <f>IF($B1200="","",Paramètres!$A$29)</f>
        <v/>
      </c>
      <c r="F1200" s="21" t="str">
        <f>IF($B1200="","",Paramètres!$B$29)</f>
        <v/>
      </c>
      <c r="G1200" s="21" t="str">
        <f>IF('Classe 1ère D'!$B80="","",IF('Classe 1ère D'!D80="","",'Classe 1ère D'!D80))</f>
        <v/>
      </c>
      <c r="H1200" s="77" t="str">
        <f>IF('Classe 1ère D'!$B80="","",IF('Classe 1ère D'!E80="","",'Classe 1ère D'!E80))</f>
        <v/>
      </c>
      <c r="I1200" s="20" t="str">
        <f>IF('Classe 1ère D'!$B80="","",IF('Classe 1ère D'!F80="","",'Classe 1ère D'!F80))</f>
        <v/>
      </c>
      <c r="J1200" s="20" t="str">
        <f>IF('Classe 1ère D'!$B80="","",IF('Classe 1ère D'!G80="","",'Classe 1ère D'!G80))</f>
        <v/>
      </c>
      <c r="K1200" s="51" t="str">
        <f>IF('Classe 1ère D'!$B80="","",N('Classe 1ère D'!H80))</f>
        <v/>
      </c>
      <c r="L1200" s="51" t="str">
        <f>IF('Classe 1ère D'!$B80="","",N('Classe 1ère D'!I80))</f>
        <v/>
      </c>
      <c r="M1200" s="51" t="str">
        <f>IF('Classe 1ère D'!$B80="","",N('Classe 1ère D'!J80))</f>
        <v/>
      </c>
      <c r="N1200" s="51" t="str">
        <f>IF('Classe 1ère D'!$B80="","",N('Classe 1ère D'!K80))</f>
        <v/>
      </c>
      <c r="O1200" s="51" t="str">
        <f>IF('Classe 1ère D'!$B80="","",N('Classe 1ère D'!L80))</f>
        <v/>
      </c>
      <c r="P1200" s="51" t="str">
        <f>IF('Classe 1ère D'!$B80="","",N('Classe 1ère D'!M80))</f>
        <v/>
      </c>
      <c r="Q1200" s="21" t="str">
        <f>IF('Classe 1ère D'!$B80="","",IF('Classe 1ère D'!Q80="","",'Classe 1ère D'!Q80))</f>
        <v/>
      </c>
      <c r="R1200" s="51" t="str">
        <f>IF('Classe 1ère D'!$B80="","",N('Classe 1ère D'!N80))</f>
        <v/>
      </c>
      <c r="S1200" s="51" t="str">
        <f>IF('Classe 1ère D'!$B80="","",N('Classe 1ère D'!O80))</f>
        <v/>
      </c>
      <c r="T1200" s="51" t="str">
        <f>IF('Classe 1ère D'!$B80="","",N('Classe 1ère D'!P80))</f>
        <v/>
      </c>
    </row>
    <row r="1201">
      <c r="A1201" s="16" t="str">
        <f>IF('Classe 1ère D'!$B81="","",IF('Classe 1ère D'!A81="","",'Classe 1ère D'!A81))</f>
        <v/>
      </c>
      <c r="B1201" s="16" t="str">
        <f>IF('Classe 1ère D'!$B81="","",IF('Classe 1ère D'!B81="","",'Classe 1ère D'!B81))</f>
        <v/>
      </c>
      <c r="C1201" s="16" t="str">
        <f>IF('Classe 1ère D'!$B81="","",IF('Classe 1ère D'!C81="","",'Classe 1ère D'!C81))</f>
        <v/>
      </c>
      <c r="D1201" s="16" t="str">
        <f>IF($B1201="","",C1201&amp;" "&amp;B1201&amp;" - "&amp;E1201)</f>
        <v/>
      </c>
      <c r="E1201" s="17" t="str">
        <f>IF($B1201="","",Paramètres!$A$29)</f>
        <v/>
      </c>
      <c r="F1201" s="17" t="str">
        <f>IF($B1201="","",Paramètres!$B$29)</f>
        <v/>
      </c>
      <c r="G1201" s="17" t="str">
        <f>IF('Classe 1ère D'!$B81="","",IF('Classe 1ère D'!D81="","",'Classe 1ère D'!D81))</f>
        <v/>
      </c>
      <c r="H1201" s="78" t="str">
        <f>IF('Classe 1ère D'!$B81="","",IF('Classe 1ère D'!E81="","",'Classe 1ère D'!E81))</f>
        <v/>
      </c>
      <c r="I1201" s="16" t="str">
        <f>IF('Classe 1ère D'!$B81="","",IF('Classe 1ère D'!F81="","",'Classe 1ère D'!F81))</f>
        <v/>
      </c>
      <c r="J1201" s="16" t="str">
        <f>IF('Classe 1ère D'!$B81="","",IF('Classe 1ère D'!G81="","",'Classe 1ère D'!G81))</f>
        <v/>
      </c>
      <c r="K1201" s="18" t="str">
        <f>IF('Classe 1ère D'!$B81="","",N('Classe 1ère D'!H81))</f>
        <v/>
      </c>
      <c r="L1201" s="18" t="str">
        <f>IF('Classe 1ère D'!$B81="","",N('Classe 1ère D'!I81))</f>
        <v/>
      </c>
      <c r="M1201" s="18" t="str">
        <f>IF('Classe 1ère D'!$B81="","",N('Classe 1ère D'!J81))</f>
        <v/>
      </c>
      <c r="N1201" s="18" t="str">
        <f>IF('Classe 1ère D'!$B81="","",N('Classe 1ère D'!K81))</f>
        <v/>
      </c>
      <c r="O1201" s="18" t="str">
        <f>IF('Classe 1ère D'!$B81="","",N('Classe 1ère D'!L81))</f>
        <v/>
      </c>
      <c r="P1201" s="18" t="str">
        <f>IF('Classe 1ère D'!$B81="","",N('Classe 1ère D'!M81))</f>
        <v/>
      </c>
      <c r="Q1201" s="17" t="str">
        <f>IF('Classe 1ère D'!$B81="","",IF('Classe 1ère D'!Q81="","",'Classe 1ère D'!Q81))</f>
        <v/>
      </c>
      <c r="R1201" s="18" t="str">
        <f>IF('Classe 1ère D'!$B81="","",N('Classe 1ère D'!N81))</f>
        <v/>
      </c>
      <c r="S1201" s="18" t="str">
        <f>IF('Classe 1ère D'!$B81="","",N('Classe 1ère D'!O81))</f>
        <v/>
      </c>
      <c r="T1201" s="18" t="str">
        <f>IF('Classe 1ère D'!$B81="","",N('Classe 1ère D'!P81))</f>
        <v/>
      </c>
    </row>
    <row r="1202">
      <c r="A1202" s="20" t="str">
        <f>IF('Classe 1ère D'!$B82="","",IF('Classe 1ère D'!A82="","",'Classe 1ère D'!A82))</f>
        <v/>
      </c>
      <c r="B1202" s="20" t="str">
        <f>IF('Classe 1ère D'!$B82="","",IF('Classe 1ère D'!B82="","",'Classe 1ère D'!B82))</f>
        <v/>
      </c>
      <c r="C1202" s="20" t="str">
        <f>IF('Classe 1ère D'!$B82="","",IF('Classe 1ère D'!C82="","",'Classe 1ère D'!C82))</f>
        <v/>
      </c>
      <c r="D1202" s="20" t="str">
        <f>IF($B1202="","",C1202&amp;" "&amp;B1202&amp;" - "&amp;E1202)</f>
        <v/>
      </c>
      <c r="E1202" s="21" t="str">
        <f>IF($B1202="","",Paramètres!$A$29)</f>
        <v/>
      </c>
      <c r="F1202" s="21" t="str">
        <f>IF($B1202="","",Paramètres!$B$29)</f>
        <v/>
      </c>
      <c r="G1202" s="21" t="str">
        <f>IF('Classe 1ère D'!$B82="","",IF('Classe 1ère D'!D82="","",'Classe 1ère D'!D82))</f>
        <v/>
      </c>
      <c r="H1202" s="77" t="str">
        <f>IF('Classe 1ère D'!$B82="","",IF('Classe 1ère D'!E82="","",'Classe 1ère D'!E82))</f>
        <v/>
      </c>
      <c r="I1202" s="20" t="str">
        <f>IF('Classe 1ère D'!$B82="","",IF('Classe 1ère D'!F82="","",'Classe 1ère D'!F82))</f>
        <v/>
      </c>
      <c r="J1202" s="20" t="str">
        <f>IF('Classe 1ère D'!$B82="","",IF('Classe 1ère D'!G82="","",'Classe 1ère D'!G82))</f>
        <v/>
      </c>
      <c r="K1202" s="51" t="str">
        <f>IF('Classe 1ère D'!$B82="","",N('Classe 1ère D'!H82))</f>
        <v/>
      </c>
      <c r="L1202" s="51" t="str">
        <f>IF('Classe 1ère D'!$B82="","",N('Classe 1ère D'!I82))</f>
        <v/>
      </c>
      <c r="M1202" s="51" t="str">
        <f>IF('Classe 1ère D'!$B82="","",N('Classe 1ère D'!J82))</f>
        <v/>
      </c>
      <c r="N1202" s="51" t="str">
        <f>IF('Classe 1ère D'!$B82="","",N('Classe 1ère D'!K82))</f>
        <v/>
      </c>
      <c r="O1202" s="51" t="str">
        <f>IF('Classe 1ère D'!$B82="","",N('Classe 1ère D'!L82))</f>
        <v/>
      </c>
      <c r="P1202" s="51" t="str">
        <f>IF('Classe 1ère D'!$B82="","",N('Classe 1ère D'!M82))</f>
        <v/>
      </c>
      <c r="Q1202" s="21" t="str">
        <f>IF('Classe 1ère D'!$B82="","",IF('Classe 1ère D'!Q82="","",'Classe 1ère D'!Q82))</f>
        <v/>
      </c>
      <c r="R1202" s="51" t="str">
        <f>IF('Classe 1ère D'!$B82="","",N('Classe 1ère D'!N82))</f>
        <v/>
      </c>
      <c r="S1202" s="51" t="str">
        <f>IF('Classe 1ère D'!$B82="","",N('Classe 1ère D'!O82))</f>
        <v/>
      </c>
      <c r="T1202" s="51" t="str">
        <f>IF('Classe 1ère D'!$B82="","",N('Classe 1ère D'!P82))</f>
        <v/>
      </c>
    </row>
    <row r="1203">
      <c r="A1203" s="16" t="str">
        <f>IF('Classe 1ère D'!$B83="","",IF('Classe 1ère D'!A83="","",'Classe 1ère D'!A83))</f>
        <v/>
      </c>
      <c r="B1203" s="16" t="str">
        <f>IF('Classe 1ère D'!$B83="","",IF('Classe 1ère D'!B83="","",'Classe 1ère D'!B83))</f>
        <v/>
      </c>
      <c r="C1203" s="16" t="str">
        <f>IF('Classe 1ère D'!$B83="","",IF('Classe 1ère D'!C83="","",'Classe 1ère D'!C83))</f>
        <v/>
      </c>
      <c r="D1203" s="16" t="str">
        <f>IF($B1203="","",C1203&amp;" "&amp;B1203&amp;" - "&amp;E1203)</f>
        <v/>
      </c>
      <c r="E1203" s="17" t="str">
        <f>IF($B1203="","",Paramètres!$A$29)</f>
        <v/>
      </c>
      <c r="F1203" s="17" t="str">
        <f>IF($B1203="","",Paramètres!$B$29)</f>
        <v/>
      </c>
      <c r="G1203" s="17" t="str">
        <f>IF('Classe 1ère D'!$B83="","",IF('Classe 1ère D'!D83="","",'Classe 1ère D'!D83))</f>
        <v/>
      </c>
      <c r="H1203" s="78" t="str">
        <f>IF('Classe 1ère D'!$B83="","",IF('Classe 1ère D'!E83="","",'Classe 1ère D'!E83))</f>
        <v/>
      </c>
      <c r="I1203" s="16" t="str">
        <f>IF('Classe 1ère D'!$B83="","",IF('Classe 1ère D'!F83="","",'Classe 1ère D'!F83))</f>
        <v/>
      </c>
      <c r="J1203" s="16" t="str">
        <f>IF('Classe 1ère D'!$B83="","",IF('Classe 1ère D'!G83="","",'Classe 1ère D'!G83))</f>
        <v/>
      </c>
      <c r="K1203" s="18" t="str">
        <f>IF('Classe 1ère D'!$B83="","",N('Classe 1ère D'!H83))</f>
        <v/>
      </c>
      <c r="L1203" s="18" t="str">
        <f>IF('Classe 1ère D'!$B83="","",N('Classe 1ère D'!I83))</f>
        <v/>
      </c>
      <c r="M1203" s="18" t="str">
        <f>IF('Classe 1ère D'!$B83="","",N('Classe 1ère D'!J83))</f>
        <v/>
      </c>
      <c r="N1203" s="18" t="str">
        <f>IF('Classe 1ère D'!$B83="","",N('Classe 1ère D'!K83))</f>
        <v/>
      </c>
      <c r="O1203" s="18" t="str">
        <f>IF('Classe 1ère D'!$B83="","",N('Classe 1ère D'!L83))</f>
        <v/>
      </c>
      <c r="P1203" s="18" t="str">
        <f>IF('Classe 1ère D'!$B83="","",N('Classe 1ère D'!M83))</f>
        <v/>
      </c>
      <c r="Q1203" s="17" t="str">
        <f>IF('Classe 1ère D'!$B83="","",IF('Classe 1ère D'!Q83="","",'Classe 1ère D'!Q83))</f>
        <v/>
      </c>
      <c r="R1203" s="18" t="str">
        <f>IF('Classe 1ère D'!$B83="","",N('Classe 1ère D'!N83))</f>
        <v/>
      </c>
      <c r="S1203" s="18" t="str">
        <f>IF('Classe 1ère D'!$B83="","",N('Classe 1ère D'!O83))</f>
        <v/>
      </c>
      <c r="T1203" s="18" t="str">
        <f>IF('Classe 1ère D'!$B83="","",N('Classe 1ère D'!P83))</f>
        <v/>
      </c>
    </row>
    <row r="1204">
      <c r="A1204" s="20" t="str">
        <f>IF('Classe Terminale A'!$B4="","",IF('Classe Terminale A'!A4="","",'Classe Terminale A'!A4))</f>
        <v/>
      </c>
      <c r="B1204" s="20" t="str">
        <f>IF('Classe Terminale A'!$B4="","",IF('Classe Terminale A'!B4="","",'Classe Terminale A'!B4))</f>
        <v/>
      </c>
      <c r="C1204" s="20" t="str">
        <f>IF('Classe Terminale A'!$B4="","",IF('Classe Terminale A'!C4="","",'Classe Terminale A'!C4))</f>
        <v/>
      </c>
      <c r="D1204" s="20" t="str">
        <f>IF($B1204="","",C1204&amp;" "&amp;B1204&amp;" - "&amp;E1204)</f>
        <v/>
      </c>
      <c r="E1204" s="21" t="str">
        <f>IF($B1204="","",Paramètres!$A$30)</f>
        <v/>
      </c>
      <c r="F1204" s="21" t="str">
        <f>IF($B1204="","",Paramètres!$B$30)</f>
        <v/>
      </c>
      <c r="G1204" s="21" t="str">
        <f>IF('Classe Terminale A'!$B4="","",IF('Classe Terminale A'!D4="","",'Classe Terminale A'!D4))</f>
        <v/>
      </c>
      <c r="H1204" s="77" t="str">
        <f>IF('Classe Terminale A'!$B4="","",IF('Classe Terminale A'!E4="","",'Classe Terminale A'!E4))</f>
        <v/>
      </c>
      <c r="I1204" s="20" t="str">
        <f>IF('Classe Terminale A'!$B4="","",IF('Classe Terminale A'!F4="","",'Classe Terminale A'!F4))</f>
        <v/>
      </c>
      <c r="J1204" s="20" t="str">
        <f>IF('Classe Terminale A'!$B4="","",IF('Classe Terminale A'!G4="","",'Classe Terminale A'!G4))</f>
        <v/>
      </c>
      <c r="K1204" s="51" t="str">
        <f>IF('Classe Terminale A'!$B4="","",N('Classe Terminale A'!H4))</f>
        <v/>
      </c>
      <c r="L1204" s="51" t="str">
        <f>IF('Classe Terminale A'!$B4="","",N('Classe Terminale A'!I4))</f>
        <v/>
      </c>
      <c r="M1204" s="51" t="str">
        <f>IF('Classe Terminale A'!$B4="","",N('Classe Terminale A'!J4))</f>
        <v/>
      </c>
      <c r="N1204" s="51" t="str">
        <f>IF('Classe Terminale A'!$B4="","",N('Classe Terminale A'!K4))</f>
        <v/>
      </c>
      <c r="O1204" s="51" t="str">
        <f>IF('Classe Terminale A'!$B4="","",N('Classe Terminale A'!L4))</f>
        <v/>
      </c>
      <c r="P1204" s="51" t="str">
        <f>IF('Classe Terminale A'!$B4="","",N('Classe Terminale A'!M4))</f>
        <v/>
      </c>
      <c r="Q1204" s="21" t="str">
        <f>IF('Classe Terminale A'!$B4="","",IF('Classe Terminale A'!Q4="","",'Classe Terminale A'!Q4))</f>
        <v/>
      </c>
      <c r="R1204" s="51" t="str">
        <f>IF('Classe Terminale A'!$B4="","",N('Classe Terminale A'!N4))</f>
        <v/>
      </c>
      <c r="S1204" s="51" t="str">
        <f>IF('Classe Terminale A'!$B4="","",N('Classe Terminale A'!O4))</f>
        <v/>
      </c>
      <c r="T1204" s="51" t="str">
        <f>IF('Classe Terminale A'!$B4="","",N('Classe Terminale A'!P4))</f>
        <v/>
      </c>
    </row>
    <row r="1205">
      <c r="A1205" s="16" t="str">
        <f>IF('Classe Terminale A'!$B5="","",IF('Classe Terminale A'!A5="","",'Classe Terminale A'!A5))</f>
        <v/>
      </c>
      <c r="B1205" s="16" t="str">
        <f>IF('Classe Terminale A'!$B5="","",IF('Classe Terminale A'!B5="","",'Classe Terminale A'!B5))</f>
        <v/>
      </c>
      <c r="C1205" s="16" t="str">
        <f>IF('Classe Terminale A'!$B5="","",IF('Classe Terminale A'!C5="","",'Classe Terminale A'!C5))</f>
        <v/>
      </c>
      <c r="D1205" s="16" t="str">
        <f>IF($B1205="","",C1205&amp;" "&amp;B1205&amp;" - "&amp;E1205)</f>
        <v/>
      </c>
      <c r="E1205" s="17" t="str">
        <f>IF($B1205="","",Paramètres!$A$30)</f>
        <v/>
      </c>
      <c r="F1205" s="17" t="str">
        <f>IF($B1205="","",Paramètres!$B$30)</f>
        <v/>
      </c>
      <c r="G1205" s="17" t="str">
        <f>IF('Classe Terminale A'!$B5="","",IF('Classe Terminale A'!D5="","",'Classe Terminale A'!D5))</f>
        <v/>
      </c>
      <c r="H1205" s="78" t="str">
        <f>IF('Classe Terminale A'!$B5="","",IF('Classe Terminale A'!E5="","",'Classe Terminale A'!E5))</f>
        <v/>
      </c>
      <c r="I1205" s="16" t="str">
        <f>IF('Classe Terminale A'!$B5="","",IF('Classe Terminale A'!F5="","",'Classe Terminale A'!F5))</f>
        <v/>
      </c>
      <c r="J1205" s="16" t="str">
        <f>IF('Classe Terminale A'!$B5="","",IF('Classe Terminale A'!G5="","",'Classe Terminale A'!G5))</f>
        <v/>
      </c>
      <c r="K1205" s="18" t="str">
        <f>IF('Classe Terminale A'!$B5="","",N('Classe Terminale A'!H5))</f>
        <v/>
      </c>
      <c r="L1205" s="18" t="str">
        <f>IF('Classe Terminale A'!$B5="","",N('Classe Terminale A'!I5))</f>
        <v/>
      </c>
      <c r="M1205" s="18" t="str">
        <f>IF('Classe Terminale A'!$B5="","",N('Classe Terminale A'!J5))</f>
        <v/>
      </c>
      <c r="N1205" s="18" t="str">
        <f>IF('Classe Terminale A'!$B5="","",N('Classe Terminale A'!K5))</f>
        <v/>
      </c>
      <c r="O1205" s="18" t="str">
        <f>IF('Classe Terminale A'!$B5="","",N('Classe Terminale A'!L5))</f>
        <v/>
      </c>
      <c r="P1205" s="18" t="str">
        <f>IF('Classe Terminale A'!$B5="","",N('Classe Terminale A'!M5))</f>
        <v/>
      </c>
      <c r="Q1205" s="17" t="str">
        <f>IF('Classe Terminale A'!$B5="","",IF('Classe Terminale A'!Q5="","",'Classe Terminale A'!Q5))</f>
        <v/>
      </c>
      <c r="R1205" s="18" t="str">
        <f>IF('Classe Terminale A'!$B5="","",N('Classe Terminale A'!N5))</f>
        <v/>
      </c>
      <c r="S1205" s="18" t="str">
        <f>IF('Classe Terminale A'!$B5="","",N('Classe Terminale A'!O5))</f>
        <v/>
      </c>
      <c r="T1205" s="18" t="str">
        <f>IF('Classe Terminale A'!$B5="","",N('Classe Terminale A'!P5))</f>
        <v/>
      </c>
    </row>
    <row r="1206">
      <c r="A1206" s="20" t="str">
        <f>IF('Classe Terminale A'!$B6="","",IF('Classe Terminale A'!A6="","",'Classe Terminale A'!A6))</f>
        <v/>
      </c>
      <c r="B1206" s="20" t="str">
        <f>IF('Classe Terminale A'!$B6="","",IF('Classe Terminale A'!B6="","",'Classe Terminale A'!B6))</f>
        <v/>
      </c>
      <c r="C1206" s="20" t="str">
        <f>IF('Classe Terminale A'!$B6="","",IF('Classe Terminale A'!C6="","",'Classe Terminale A'!C6))</f>
        <v/>
      </c>
      <c r="D1206" s="20" t="str">
        <f>IF($B1206="","",C1206&amp;" "&amp;B1206&amp;" - "&amp;E1206)</f>
        <v/>
      </c>
      <c r="E1206" s="21" t="str">
        <f>IF($B1206="","",Paramètres!$A$30)</f>
        <v/>
      </c>
      <c r="F1206" s="21" t="str">
        <f>IF($B1206="","",Paramètres!$B$30)</f>
        <v/>
      </c>
      <c r="G1206" s="21" t="str">
        <f>IF('Classe Terminale A'!$B6="","",IF('Classe Terminale A'!D6="","",'Classe Terminale A'!D6))</f>
        <v/>
      </c>
      <c r="H1206" s="77" t="str">
        <f>IF('Classe Terminale A'!$B6="","",IF('Classe Terminale A'!E6="","",'Classe Terminale A'!E6))</f>
        <v/>
      </c>
      <c r="I1206" s="20" t="str">
        <f>IF('Classe Terminale A'!$B6="","",IF('Classe Terminale A'!F6="","",'Classe Terminale A'!F6))</f>
        <v/>
      </c>
      <c r="J1206" s="20" t="str">
        <f>IF('Classe Terminale A'!$B6="","",IF('Classe Terminale A'!G6="","",'Classe Terminale A'!G6))</f>
        <v/>
      </c>
      <c r="K1206" s="51" t="str">
        <f>IF('Classe Terminale A'!$B6="","",N('Classe Terminale A'!H6))</f>
        <v/>
      </c>
      <c r="L1206" s="51" t="str">
        <f>IF('Classe Terminale A'!$B6="","",N('Classe Terminale A'!I6))</f>
        <v/>
      </c>
      <c r="M1206" s="51" t="str">
        <f>IF('Classe Terminale A'!$B6="","",N('Classe Terminale A'!J6))</f>
        <v/>
      </c>
      <c r="N1206" s="51" t="str">
        <f>IF('Classe Terminale A'!$B6="","",N('Classe Terminale A'!K6))</f>
        <v/>
      </c>
      <c r="O1206" s="51" t="str">
        <f>IF('Classe Terminale A'!$B6="","",N('Classe Terminale A'!L6))</f>
        <v/>
      </c>
      <c r="P1206" s="51" t="str">
        <f>IF('Classe Terminale A'!$B6="","",N('Classe Terminale A'!M6))</f>
        <v/>
      </c>
      <c r="Q1206" s="21" t="str">
        <f>IF('Classe Terminale A'!$B6="","",IF('Classe Terminale A'!Q6="","",'Classe Terminale A'!Q6))</f>
        <v/>
      </c>
      <c r="R1206" s="51" t="str">
        <f>IF('Classe Terminale A'!$B6="","",N('Classe Terminale A'!N6))</f>
        <v/>
      </c>
      <c r="S1206" s="51" t="str">
        <f>IF('Classe Terminale A'!$B6="","",N('Classe Terminale A'!O6))</f>
        <v/>
      </c>
      <c r="T1206" s="51" t="str">
        <f>IF('Classe Terminale A'!$B6="","",N('Classe Terminale A'!P6))</f>
        <v/>
      </c>
    </row>
    <row r="1207">
      <c r="A1207" s="16" t="str">
        <f>IF('Classe Terminale A'!$B7="","",IF('Classe Terminale A'!A7="","",'Classe Terminale A'!A7))</f>
        <v/>
      </c>
      <c r="B1207" s="16" t="str">
        <f>IF('Classe Terminale A'!$B7="","",IF('Classe Terminale A'!B7="","",'Classe Terminale A'!B7))</f>
        <v/>
      </c>
      <c r="C1207" s="16" t="str">
        <f>IF('Classe Terminale A'!$B7="","",IF('Classe Terminale A'!C7="","",'Classe Terminale A'!C7))</f>
        <v/>
      </c>
      <c r="D1207" s="16" t="str">
        <f>IF($B1207="","",C1207&amp;" "&amp;B1207&amp;" - "&amp;E1207)</f>
        <v/>
      </c>
      <c r="E1207" s="17" t="str">
        <f>IF($B1207="","",Paramètres!$A$30)</f>
        <v/>
      </c>
      <c r="F1207" s="17" t="str">
        <f>IF($B1207="","",Paramètres!$B$30)</f>
        <v/>
      </c>
      <c r="G1207" s="17" t="str">
        <f>IF('Classe Terminale A'!$B7="","",IF('Classe Terminale A'!D7="","",'Classe Terminale A'!D7))</f>
        <v/>
      </c>
      <c r="H1207" s="78" t="str">
        <f>IF('Classe Terminale A'!$B7="","",IF('Classe Terminale A'!E7="","",'Classe Terminale A'!E7))</f>
        <v/>
      </c>
      <c r="I1207" s="16" t="str">
        <f>IF('Classe Terminale A'!$B7="","",IF('Classe Terminale A'!F7="","",'Classe Terminale A'!F7))</f>
        <v/>
      </c>
      <c r="J1207" s="16" t="str">
        <f>IF('Classe Terminale A'!$B7="","",IF('Classe Terminale A'!G7="","",'Classe Terminale A'!G7))</f>
        <v/>
      </c>
      <c r="K1207" s="18" t="str">
        <f>IF('Classe Terminale A'!$B7="","",N('Classe Terminale A'!H7))</f>
        <v/>
      </c>
      <c r="L1207" s="18" t="str">
        <f>IF('Classe Terminale A'!$B7="","",N('Classe Terminale A'!I7))</f>
        <v/>
      </c>
      <c r="M1207" s="18" t="str">
        <f>IF('Classe Terminale A'!$B7="","",N('Classe Terminale A'!J7))</f>
        <v/>
      </c>
      <c r="N1207" s="18" t="str">
        <f>IF('Classe Terminale A'!$B7="","",N('Classe Terminale A'!K7))</f>
        <v/>
      </c>
      <c r="O1207" s="18" t="str">
        <f>IF('Classe Terminale A'!$B7="","",N('Classe Terminale A'!L7))</f>
        <v/>
      </c>
      <c r="P1207" s="18" t="str">
        <f>IF('Classe Terminale A'!$B7="","",N('Classe Terminale A'!M7))</f>
        <v/>
      </c>
      <c r="Q1207" s="17" t="str">
        <f>IF('Classe Terminale A'!$B7="","",IF('Classe Terminale A'!Q7="","",'Classe Terminale A'!Q7))</f>
        <v/>
      </c>
      <c r="R1207" s="18" t="str">
        <f>IF('Classe Terminale A'!$B7="","",N('Classe Terminale A'!N7))</f>
        <v/>
      </c>
      <c r="S1207" s="18" t="str">
        <f>IF('Classe Terminale A'!$B7="","",N('Classe Terminale A'!O7))</f>
        <v/>
      </c>
      <c r="T1207" s="18" t="str">
        <f>IF('Classe Terminale A'!$B7="","",N('Classe Terminale A'!P7))</f>
        <v/>
      </c>
    </row>
    <row r="1208">
      <c r="A1208" s="20" t="str">
        <f>IF('Classe Terminale A'!$B8="","",IF('Classe Terminale A'!A8="","",'Classe Terminale A'!A8))</f>
        <v/>
      </c>
      <c r="B1208" s="20" t="str">
        <f>IF('Classe Terminale A'!$B8="","",IF('Classe Terminale A'!B8="","",'Classe Terminale A'!B8))</f>
        <v/>
      </c>
      <c r="C1208" s="20" t="str">
        <f>IF('Classe Terminale A'!$B8="","",IF('Classe Terminale A'!C8="","",'Classe Terminale A'!C8))</f>
        <v/>
      </c>
      <c r="D1208" s="20" t="str">
        <f>IF($B1208="","",C1208&amp;" "&amp;B1208&amp;" - "&amp;E1208)</f>
        <v/>
      </c>
      <c r="E1208" s="21" t="str">
        <f>IF($B1208="","",Paramètres!$A$30)</f>
        <v/>
      </c>
      <c r="F1208" s="21" t="str">
        <f>IF($B1208="","",Paramètres!$B$30)</f>
        <v/>
      </c>
      <c r="G1208" s="21" t="str">
        <f>IF('Classe Terminale A'!$B8="","",IF('Classe Terminale A'!D8="","",'Classe Terminale A'!D8))</f>
        <v/>
      </c>
      <c r="H1208" s="77" t="str">
        <f>IF('Classe Terminale A'!$B8="","",IF('Classe Terminale A'!E8="","",'Classe Terminale A'!E8))</f>
        <v/>
      </c>
      <c r="I1208" s="20" t="str">
        <f>IF('Classe Terminale A'!$B8="","",IF('Classe Terminale A'!F8="","",'Classe Terminale A'!F8))</f>
        <v/>
      </c>
      <c r="J1208" s="20" t="str">
        <f>IF('Classe Terminale A'!$B8="","",IF('Classe Terminale A'!G8="","",'Classe Terminale A'!G8))</f>
        <v/>
      </c>
      <c r="K1208" s="51" t="str">
        <f>IF('Classe Terminale A'!$B8="","",N('Classe Terminale A'!H8))</f>
        <v/>
      </c>
      <c r="L1208" s="51" t="str">
        <f>IF('Classe Terminale A'!$B8="","",N('Classe Terminale A'!I8))</f>
        <v/>
      </c>
      <c r="M1208" s="51" t="str">
        <f>IF('Classe Terminale A'!$B8="","",N('Classe Terminale A'!J8))</f>
        <v/>
      </c>
      <c r="N1208" s="51" t="str">
        <f>IF('Classe Terminale A'!$B8="","",N('Classe Terminale A'!K8))</f>
        <v/>
      </c>
      <c r="O1208" s="51" t="str">
        <f>IF('Classe Terminale A'!$B8="","",N('Classe Terminale A'!L8))</f>
        <v/>
      </c>
      <c r="P1208" s="51" t="str">
        <f>IF('Classe Terminale A'!$B8="","",N('Classe Terminale A'!M8))</f>
        <v/>
      </c>
      <c r="Q1208" s="21" t="str">
        <f>IF('Classe Terminale A'!$B8="","",IF('Classe Terminale A'!Q8="","",'Classe Terminale A'!Q8))</f>
        <v/>
      </c>
      <c r="R1208" s="51" t="str">
        <f>IF('Classe Terminale A'!$B8="","",N('Classe Terminale A'!N8))</f>
        <v/>
      </c>
      <c r="S1208" s="51" t="str">
        <f>IF('Classe Terminale A'!$B8="","",N('Classe Terminale A'!O8))</f>
        <v/>
      </c>
      <c r="T1208" s="51" t="str">
        <f>IF('Classe Terminale A'!$B8="","",N('Classe Terminale A'!P8))</f>
        <v/>
      </c>
    </row>
    <row r="1209">
      <c r="A1209" s="16" t="str">
        <f>IF('Classe Terminale A'!$B9="","",IF('Classe Terminale A'!A9="","",'Classe Terminale A'!A9))</f>
        <v/>
      </c>
      <c r="B1209" s="16" t="str">
        <f>IF('Classe Terminale A'!$B9="","",IF('Classe Terminale A'!B9="","",'Classe Terminale A'!B9))</f>
        <v/>
      </c>
      <c r="C1209" s="16" t="str">
        <f>IF('Classe Terminale A'!$B9="","",IF('Classe Terminale A'!C9="","",'Classe Terminale A'!C9))</f>
        <v/>
      </c>
      <c r="D1209" s="16" t="str">
        <f>IF($B1209="","",C1209&amp;" "&amp;B1209&amp;" - "&amp;E1209)</f>
        <v/>
      </c>
      <c r="E1209" s="17" t="str">
        <f>IF($B1209="","",Paramètres!$A$30)</f>
        <v/>
      </c>
      <c r="F1209" s="17" t="str">
        <f>IF($B1209="","",Paramètres!$B$30)</f>
        <v/>
      </c>
      <c r="G1209" s="17" t="str">
        <f>IF('Classe Terminale A'!$B9="","",IF('Classe Terminale A'!D9="","",'Classe Terminale A'!D9))</f>
        <v/>
      </c>
      <c r="H1209" s="78" t="str">
        <f>IF('Classe Terminale A'!$B9="","",IF('Classe Terminale A'!E9="","",'Classe Terminale A'!E9))</f>
        <v/>
      </c>
      <c r="I1209" s="16" t="str">
        <f>IF('Classe Terminale A'!$B9="","",IF('Classe Terminale A'!F9="","",'Classe Terminale A'!F9))</f>
        <v/>
      </c>
      <c r="J1209" s="16" t="str">
        <f>IF('Classe Terminale A'!$B9="","",IF('Classe Terminale A'!G9="","",'Classe Terminale A'!G9))</f>
        <v/>
      </c>
      <c r="K1209" s="18" t="str">
        <f>IF('Classe Terminale A'!$B9="","",N('Classe Terminale A'!H9))</f>
        <v/>
      </c>
      <c r="L1209" s="18" t="str">
        <f>IF('Classe Terminale A'!$B9="","",N('Classe Terminale A'!I9))</f>
        <v/>
      </c>
      <c r="M1209" s="18" t="str">
        <f>IF('Classe Terminale A'!$B9="","",N('Classe Terminale A'!J9))</f>
        <v/>
      </c>
      <c r="N1209" s="18" t="str">
        <f>IF('Classe Terminale A'!$B9="","",N('Classe Terminale A'!K9))</f>
        <v/>
      </c>
      <c r="O1209" s="18" t="str">
        <f>IF('Classe Terminale A'!$B9="","",N('Classe Terminale A'!L9))</f>
        <v/>
      </c>
      <c r="P1209" s="18" t="str">
        <f>IF('Classe Terminale A'!$B9="","",N('Classe Terminale A'!M9))</f>
        <v/>
      </c>
      <c r="Q1209" s="17" t="str">
        <f>IF('Classe Terminale A'!$B9="","",IF('Classe Terminale A'!Q9="","",'Classe Terminale A'!Q9))</f>
        <v/>
      </c>
      <c r="R1209" s="18" t="str">
        <f>IF('Classe Terminale A'!$B9="","",N('Classe Terminale A'!N9))</f>
        <v/>
      </c>
      <c r="S1209" s="18" t="str">
        <f>IF('Classe Terminale A'!$B9="","",N('Classe Terminale A'!O9))</f>
        <v/>
      </c>
      <c r="T1209" s="18" t="str">
        <f>IF('Classe Terminale A'!$B9="","",N('Classe Terminale A'!P9))</f>
        <v/>
      </c>
    </row>
    <row r="1210">
      <c r="A1210" s="20" t="str">
        <f>IF('Classe Terminale A'!$B10="","",IF('Classe Terminale A'!A10="","",'Classe Terminale A'!A10))</f>
        <v/>
      </c>
      <c r="B1210" s="20" t="str">
        <f>IF('Classe Terminale A'!$B10="","",IF('Classe Terminale A'!B10="","",'Classe Terminale A'!B10))</f>
        <v/>
      </c>
      <c r="C1210" s="20" t="str">
        <f>IF('Classe Terminale A'!$B10="","",IF('Classe Terminale A'!C10="","",'Classe Terminale A'!C10))</f>
        <v/>
      </c>
      <c r="D1210" s="20" t="str">
        <f>IF($B1210="","",C1210&amp;" "&amp;B1210&amp;" - "&amp;E1210)</f>
        <v/>
      </c>
      <c r="E1210" s="21" t="str">
        <f>IF($B1210="","",Paramètres!$A$30)</f>
        <v/>
      </c>
      <c r="F1210" s="21" t="str">
        <f>IF($B1210="","",Paramètres!$B$30)</f>
        <v/>
      </c>
      <c r="G1210" s="21" t="str">
        <f>IF('Classe Terminale A'!$B10="","",IF('Classe Terminale A'!D10="","",'Classe Terminale A'!D10))</f>
        <v/>
      </c>
      <c r="H1210" s="77" t="str">
        <f>IF('Classe Terminale A'!$B10="","",IF('Classe Terminale A'!E10="","",'Classe Terminale A'!E10))</f>
        <v/>
      </c>
      <c r="I1210" s="20" t="str">
        <f>IF('Classe Terminale A'!$B10="","",IF('Classe Terminale A'!F10="","",'Classe Terminale A'!F10))</f>
        <v/>
      </c>
      <c r="J1210" s="20" t="str">
        <f>IF('Classe Terminale A'!$B10="","",IF('Classe Terminale A'!G10="","",'Classe Terminale A'!G10))</f>
        <v/>
      </c>
      <c r="K1210" s="51" t="str">
        <f>IF('Classe Terminale A'!$B10="","",N('Classe Terminale A'!H10))</f>
        <v/>
      </c>
      <c r="L1210" s="51" t="str">
        <f>IF('Classe Terminale A'!$B10="","",N('Classe Terminale A'!I10))</f>
        <v/>
      </c>
      <c r="M1210" s="51" t="str">
        <f>IF('Classe Terminale A'!$B10="","",N('Classe Terminale A'!J10))</f>
        <v/>
      </c>
      <c r="N1210" s="51" t="str">
        <f>IF('Classe Terminale A'!$B10="","",N('Classe Terminale A'!K10))</f>
        <v/>
      </c>
      <c r="O1210" s="51" t="str">
        <f>IF('Classe Terminale A'!$B10="","",N('Classe Terminale A'!L10))</f>
        <v/>
      </c>
      <c r="P1210" s="51" t="str">
        <f>IF('Classe Terminale A'!$B10="","",N('Classe Terminale A'!M10))</f>
        <v/>
      </c>
      <c r="Q1210" s="21" t="str">
        <f>IF('Classe Terminale A'!$B10="","",IF('Classe Terminale A'!Q10="","",'Classe Terminale A'!Q10))</f>
        <v/>
      </c>
      <c r="R1210" s="51" t="str">
        <f>IF('Classe Terminale A'!$B10="","",N('Classe Terminale A'!N10))</f>
        <v/>
      </c>
      <c r="S1210" s="51" t="str">
        <f>IF('Classe Terminale A'!$B10="","",N('Classe Terminale A'!O10))</f>
        <v/>
      </c>
      <c r="T1210" s="51" t="str">
        <f>IF('Classe Terminale A'!$B10="","",N('Classe Terminale A'!P10))</f>
        <v/>
      </c>
    </row>
    <row r="1211">
      <c r="A1211" s="16" t="str">
        <f>IF('Classe Terminale A'!$B11="","",IF('Classe Terminale A'!A11="","",'Classe Terminale A'!A11))</f>
        <v/>
      </c>
      <c r="B1211" s="16" t="str">
        <f>IF('Classe Terminale A'!$B11="","",IF('Classe Terminale A'!B11="","",'Classe Terminale A'!B11))</f>
        <v/>
      </c>
      <c r="C1211" s="16" t="str">
        <f>IF('Classe Terminale A'!$B11="","",IF('Classe Terminale A'!C11="","",'Classe Terminale A'!C11))</f>
        <v/>
      </c>
      <c r="D1211" s="16" t="str">
        <f>IF($B1211="","",C1211&amp;" "&amp;B1211&amp;" - "&amp;E1211)</f>
        <v/>
      </c>
      <c r="E1211" s="17" t="str">
        <f>IF($B1211="","",Paramètres!$A$30)</f>
        <v/>
      </c>
      <c r="F1211" s="17" t="str">
        <f>IF($B1211="","",Paramètres!$B$30)</f>
        <v/>
      </c>
      <c r="G1211" s="17" t="str">
        <f>IF('Classe Terminale A'!$B11="","",IF('Classe Terminale A'!D11="","",'Classe Terminale A'!D11))</f>
        <v/>
      </c>
      <c r="H1211" s="78" t="str">
        <f>IF('Classe Terminale A'!$B11="","",IF('Classe Terminale A'!E11="","",'Classe Terminale A'!E11))</f>
        <v/>
      </c>
      <c r="I1211" s="16" t="str">
        <f>IF('Classe Terminale A'!$B11="","",IF('Classe Terminale A'!F11="","",'Classe Terminale A'!F11))</f>
        <v/>
      </c>
      <c r="J1211" s="16" t="str">
        <f>IF('Classe Terminale A'!$B11="","",IF('Classe Terminale A'!G11="","",'Classe Terminale A'!G11))</f>
        <v/>
      </c>
      <c r="K1211" s="18" t="str">
        <f>IF('Classe Terminale A'!$B11="","",N('Classe Terminale A'!H11))</f>
        <v/>
      </c>
      <c r="L1211" s="18" t="str">
        <f>IF('Classe Terminale A'!$B11="","",N('Classe Terminale A'!I11))</f>
        <v/>
      </c>
      <c r="M1211" s="18" t="str">
        <f>IF('Classe Terminale A'!$B11="","",N('Classe Terminale A'!J11))</f>
        <v/>
      </c>
      <c r="N1211" s="18" t="str">
        <f>IF('Classe Terminale A'!$B11="","",N('Classe Terminale A'!K11))</f>
        <v/>
      </c>
      <c r="O1211" s="18" t="str">
        <f>IF('Classe Terminale A'!$B11="","",N('Classe Terminale A'!L11))</f>
        <v/>
      </c>
      <c r="P1211" s="18" t="str">
        <f>IF('Classe Terminale A'!$B11="","",N('Classe Terminale A'!M11))</f>
        <v/>
      </c>
      <c r="Q1211" s="17" t="str">
        <f>IF('Classe Terminale A'!$B11="","",IF('Classe Terminale A'!Q11="","",'Classe Terminale A'!Q11))</f>
        <v/>
      </c>
      <c r="R1211" s="18" t="str">
        <f>IF('Classe Terminale A'!$B11="","",N('Classe Terminale A'!N11))</f>
        <v/>
      </c>
      <c r="S1211" s="18" t="str">
        <f>IF('Classe Terminale A'!$B11="","",N('Classe Terminale A'!O11))</f>
        <v/>
      </c>
      <c r="T1211" s="18" t="str">
        <f>IF('Classe Terminale A'!$B11="","",N('Classe Terminale A'!P11))</f>
        <v/>
      </c>
    </row>
    <row r="1212">
      <c r="A1212" s="20" t="str">
        <f>IF('Classe Terminale A'!$B12="","",IF('Classe Terminale A'!A12="","",'Classe Terminale A'!A12))</f>
        <v/>
      </c>
      <c r="B1212" s="20" t="str">
        <f>IF('Classe Terminale A'!$B12="","",IF('Classe Terminale A'!B12="","",'Classe Terminale A'!B12))</f>
        <v/>
      </c>
      <c r="C1212" s="20" t="str">
        <f>IF('Classe Terminale A'!$B12="","",IF('Classe Terminale A'!C12="","",'Classe Terminale A'!C12))</f>
        <v/>
      </c>
      <c r="D1212" s="20" t="str">
        <f>IF($B1212="","",C1212&amp;" "&amp;B1212&amp;" - "&amp;E1212)</f>
        <v/>
      </c>
      <c r="E1212" s="21" t="str">
        <f>IF($B1212="","",Paramètres!$A$30)</f>
        <v/>
      </c>
      <c r="F1212" s="21" t="str">
        <f>IF($B1212="","",Paramètres!$B$30)</f>
        <v/>
      </c>
      <c r="G1212" s="21" t="str">
        <f>IF('Classe Terminale A'!$B12="","",IF('Classe Terminale A'!D12="","",'Classe Terminale A'!D12))</f>
        <v/>
      </c>
      <c r="H1212" s="77" t="str">
        <f>IF('Classe Terminale A'!$B12="","",IF('Classe Terminale A'!E12="","",'Classe Terminale A'!E12))</f>
        <v/>
      </c>
      <c r="I1212" s="20" t="str">
        <f>IF('Classe Terminale A'!$B12="","",IF('Classe Terminale A'!F12="","",'Classe Terminale A'!F12))</f>
        <v/>
      </c>
      <c r="J1212" s="20" t="str">
        <f>IF('Classe Terminale A'!$B12="","",IF('Classe Terminale A'!G12="","",'Classe Terminale A'!G12))</f>
        <v/>
      </c>
      <c r="K1212" s="51" t="str">
        <f>IF('Classe Terminale A'!$B12="","",N('Classe Terminale A'!H12))</f>
        <v/>
      </c>
      <c r="L1212" s="51" t="str">
        <f>IF('Classe Terminale A'!$B12="","",N('Classe Terminale A'!I12))</f>
        <v/>
      </c>
      <c r="M1212" s="51" t="str">
        <f>IF('Classe Terminale A'!$B12="","",N('Classe Terminale A'!J12))</f>
        <v/>
      </c>
      <c r="N1212" s="51" t="str">
        <f>IF('Classe Terminale A'!$B12="","",N('Classe Terminale A'!K12))</f>
        <v/>
      </c>
      <c r="O1212" s="51" t="str">
        <f>IF('Classe Terminale A'!$B12="","",N('Classe Terminale A'!L12))</f>
        <v/>
      </c>
      <c r="P1212" s="51" t="str">
        <f>IF('Classe Terminale A'!$B12="","",N('Classe Terminale A'!M12))</f>
        <v/>
      </c>
      <c r="Q1212" s="21" t="str">
        <f>IF('Classe Terminale A'!$B12="","",IF('Classe Terminale A'!Q12="","",'Classe Terminale A'!Q12))</f>
        <v/>
      </c>
      <c r="R1212" s="51" t="str">
        <f>IF('Classe Terminale A'!$B12="","",N('Classe Terminale A'!N12))</f>
        <v/>
      </c>
      <c r="S1212" s="51" t="str">
        <f>IF('Classe Terminale A'!$B12="","",N('Classe Terminale A'!O12))</f>
        <v/>
      </c>
      <c r="T1212" s="51" t="str">
        <f>IF('Classe Terminale A'!$B12="","",N('Classe Terminale A'!P12))</f>
        <v/>
      </c>
    </row>
    <row r="1213">
      <c r="A1213" s="16" t="str">
        <f>IF('Classe Terminale A'!$B13="","",IF('Classe Terminale A'!A13="","",'Classe Terminale A'!A13))</f>
        <v/>
      </c>
      <c r="B1213" s="16" t="str">
        <f>IF('Classe Terminale A'!$B13="","",IF('Classe Terminale A'!B13="","",'Classe Terminale A'!B13))</f>
        <v/>
      </c>
      <c r="C1213" s="16" t="str">
        <f>IF('Classe Terminale A'!$B13="","",IF('Classe Terminale A'!C13="","",'Classe Terminale A'!C13))</f>
        <v/>
      </c>
      <c r="D1213" s="16" t="str">
        <f>IF($B1213="","",C1213&amp;" "&amp;B1213&amp;" - "&amp;E1213)</f>
        <v/>
      </c>
      <c r="E1213" s="17" t="str">
        <f>IF($B1213="","",Paramètres!$A$30)</f>
        <v/>
      </c>
      <c r="F1213" s="17" t="str">
        <f>IF($B1213="","",Paramètres!$B$30)</f>
        <v/>
      </c>
      <c r="G1213" s="17" t="str">
        <f>IF('Classe Terminale A'!$B13="","",IF('Classe Terminale A'!D13="","",'Classe Terminale A'!D13))</f>
        <v/>
      </c>
      <c r="H1213" s="78" t="str">
        <f>IF('Classe Terminale A'!$B13="","",IF('Classe Terminale A'!E13="","",'Classe Terminale A'!E13))</f>
        <v/>
      </c>
      <c r="I1213" s="16" t="str">
        <f>IF('Classe Terminale A'!$B13="","",IF('Classe Terminale A'!F13="","",'Classe Terminale A'!F13))</f>
        <v/>
      </c>
      <c r="J1213" s="16" t="str">
        <f>IF('Classe Terminale A'!$B13="","",IF('Classe Terminale A'!G13="","",'Classe Terminale A'!G13))</f>
        <v/>
      </c>
      <c r="K1213" s="18" t="str">
        <f>IF('Classe Terminale A'!$B13="","",N('Classe Terminale A'!H13))</f>
        <v/>
      </c>
      <c r="L1213" s="18" t="str">
        <f>IF('Classe Terminale A'!$B13="","",N('Classe Terminale A'!I13))</f>
        <v/>
      </c>
      <c r="M1213" s="18" t="str">
        <f>IF('Classe Terminale A'!$B13="","",N('Classe Terminale A'!J13))</f>
        <v/>
      </c>
      <c r="N1213" s="18" t="str">
        <f>IF('Classe Terminale A'!$B13="","",N('Classe Terminale A'!K13))</f>
        <v/>
      </c>
      <c r="O1213" s="18" t="str">
        <f>IF('Classe Terminale A'!$B13="","",N('Classe Terminale A'!L13))</f>
        <v/>
      </c>
      <c r="P1213" s="18" t="str">
        <f>IF('Classe Terminale A'!$B13="","",N('Classe Terminale A'!M13))</f>
        <v/>
      </c>
      <c r="Q1213" s="17" t="str">
        <f>IF('Classe Terminale A'!$B13="","",IF('Classe Terminale A'!Q13="","",'Classe Terminale A'!Q13))</f>
        <v/>
      </c>
      <c r="R1213" s="18" t="str">
        <f>IF('Classe Terminale A'!$B13="","",N('Classe Terminale A'!N13))</f>
        <v/>
      </c>
      <c r="S1213" s="18" t="str">
        <f>IF('Classe Terminale A'!$B13="","",N('Classe Terminale A'!O13))</f>
        <v/>
      </c>
      <c r="T1213" s="18" t="str">
        <f>IF('Classe Terminale A'!$B13="","",N('Classe Terminale A'!P13))</f>
        <v/>
      </c>
    </row>
    <row r="1214">
      <c r="A1214" s="20" t="str">
        <f>IF('Classe Terminale A'!$B14="","",IF('Classe Terminale A'!A14="","",'Classe Terminale A'!A14))</f>
        <v/>
      </c>
      <c r="B1214" s="20" t="str">
        <f>IF('Classe Terminale A'!$B14="","",IF('Classe Terminale A'!B14="","",'Classe Terminale A'!B14))</f>
        <v/>
      </c>
      <c r="C1214" s="20" t="str">
        <f>IF('Classe Terminale A'!$B14="","",IF('Classe Terminale A'!C14="","",'Classe Terminale A'!C14))</f>
        <v/>
      </c>
      <c r="D1214" s="20" t="str">
        <f>IF($B1214="","",C1214&amp;" "&amp;B1214&amp;" - "&amp;E1214)</f>
        <v/>
      </c>
      <c r="E1214" s="21" t="str">
        <f>IF($B1214="","",Paramètres!$A$30)</f>
        <v/>
      </c>
      <c r="F1214" s="21" t="str">
        <f>IF($B1214="","",Paramètres!$B$30)</f>
        <v/>
      </c>
      <c r="G1214" s="21" t="str">
        <f>IF('Classe Terminale A'!$B14="","",IF('Classe Terminale A'!D14="","",'Classe Terminale A'!D14))</f>
        <v/>
      </c>
      <c r="H1214" s="77" t="str">
        <f>IF('Classe Terminale A'!$B14="","",IF('Classe Terminale A'!E14="","",'Classe Terminale A'!E14))</f>
        <v/>
      </c>
      <c r="I1214" s="20" t="str">
        <f>IF('Classe Terminale A'!$B14="","",IF('Classe Terminale A'!F14="","",'Classe Terminale A'!F14))</f>
        <v/>
      </c>
      <c r="J1214" s="20" t="str">
        <f>IF('Classe Terminale A'!$B14="","",IF('Classe Terminale A'!G14="","",'Classe Terminale A'!G14))</f>
        <v/>
      </c>
      <c r="K1214" s="51" t="str">
        <f>IF('Classe Terminale A'!$B14="","",N('Classe Terminale A'!H14))</f>
        <v/>
      </c>
      <c r="L1214" s="51" t="str">
        <f>IF('Classe Terminale A'!$B14="","",N('Classe Terminale A'!I14))</f>
        <v/>
      </c>
      <c r="M1214" s="51" t="str">
        <f>IF('Classe Terminale A'!$B14="","",N('Classe Terminale A'!J14))</f>
        <v/>
      </c>
      <c r="N1214" s="51" t="str">
        <f>IF('Classe Terminale A'!$B14="","",N('Classe Terminale A'!K14))</f>
        <v/>
      </c>
      <c r="O1214" s="51" t="str">
        <f>IF('Classe Terminale A'!$B14="","",N('Classe Terminale A'!L14))</f>
        <v/>
      </c>
      <c r="P1214" s="51" t="str">
        <f>IF('Classe Terminale A'!$B14="","",N('Classe Terminale A'!M14))</f>
        <v/>
      </c>
      <c r="Q1214" s="21" t="str">
        <f>IF('Classe Terminale A'!$B14="","",IF('Classe Terminale A'!Q14="","",'Classe Terminale A'!Q14))</f>
        <v/>
      </c>
      <c r="R1214" s="51" t="str">
        <f>IF('Classe Terminale A'!$B14="","",N('Classe Terminale A'!N14))</f>
        <v/>
      </c>
      <c r="S1214" s="51" t="str">
        <f>IF('Classe Terminale A'!$B14="","",N('Classe Terminale A'!O14))</f>
        <v/>
      </c>
      <c r="T1214" s="51" t="str">
        <f>IF('Classe Terminale A'!$B14="","",N('Classe Terminale A'!P14))</f>
        <v/>
      </c>
    </row>
    <row r="1215">
      <c r="A1215" s="16" t="str">
        <f>IF('Classe Terminale A'!$B15="","",IF('Classe Terminale A'!A15="","",'Classe Terminale A'!A15))</f>
        <v/>
      </c>
      <c r="B1215" s="16" t="str">
        <f>IF('Classe Terminale A'!$B15="","",IF('Classe Terminale A'!B15="","",'Classe Terminale A'!B15))</f>
        <v/>
      </c>
      <c r="C1215" s="16" t="str">
        <f>IF('Classe Terminale A'!$B15="","",IF('Classe Terminale A'!C15="","",'Classe Terminale A'!C15))</f>
        <v/>
      </c>
      <c r="D1215" s="16" t="str">
        <f>IF($B1215="","",C1215&amp;" "&amp;B1215&amp;" - "&amp;E1215)</f>
        <v/>
      </c>
      <c r="E1215" s="17" t="str">
        <f>IF($B1215="","",Paramètres!$A$30)</f>
        <v/>
      </c>
      <c r="F1215" s="17" t="str">
        <f>IF($B1215="","",Paramètres!$B$30)</f>
        <v/>
      </c>
      <c r="G1215" s="17" t="str">
        <f>IF('Classe Terminale A'!$B15="","",IF('Classe Terminale A'!D15="","",'Classe Terminale A'!D15))</f>
        <v/>
      </c>
      <c r="H1215" s="78" t="str">
        <f>IF('Classe Terminale A'!$B15="","",IF('Classe Terminale A'!E15="","",'Classe Terminale A'!E15))</f>
        <v/>
      </c>
      <c r="I1215" s="16" t="str">
        <f>IF('Classe Terminale A'!$B15="","",IF('Classe Terminale A'!F15="","",'Classe Terminale A'!F15))</f>
        <v/>
      </c>
      <c r="J1215" s="16" t="str">
        <f>IF('Classe Terminale A'!$B15="","",IF('Classe Terminale A'!G15="","",'Classe Terminale A'!G15))</f>
        <v/>
      </c>
      <c r="K1215" s="18" t="str">
        <f>IF('Classe Terminale A'!$B15="","",N('Classe Terminale A'!H15))</f>
        <v/>
      </c>
      <c r="L1215" s="18" t="str">
        <f>IF('Classe Terminale A'!$B15="","",N('Classe Terminale A'!I15))</f>
        <v/>
      </c>
      <c r="M1215" s="18" t="str">
        <f>IF('Classe Terminale A'!$B15="","",N('Classe Terminale A'!J15))</f>
        <v/>
      </c>
      <c r="N1215" s="18" t="str">
        <f>IF('Classe Terminale A'!$B15="","",N('Classe Terminale A'!K15))</f>
        <v/>
      </c>
      <c r="O1215" s="18" t="str">
        <f>IF('Classe Terminale A'!$B15="","",N('Classe Terminale A'!L15))</f>
        <v/>
      </c>
      <c r="P1215" s="18" t="str">
        <f>IF('Classe Terminale A'!$B15="","",N('Classe Terminale A'!M15))</f>
        <v/>
      </c>
      <c r="Q1215" s="17" t="str">
        <f>IF('Classe Terminale A'!$B15="","",IF('Classe Terminale A'!Q15="","",'Classe Terminale A'!Q15))</f>
        <v/>
      </c>
      <c r="R1215" s="18" t="str">
        <f>IF('Classe Terminale A'!$B15="","",N('Classe Terminale A'!N15))</f>
        <v/>
      </c>
      <c r="S1215" s="18" t="str">
        <f>IF('Classe Terminale A'!$B15="","",N('Classe Terminale A'!O15))</f>
        <v/>
      </c>
      <c r="T1215" s="18" t="str">
        <f>IF('Classe Terminale A'!$B15="","",N('Classe Terminale A'!P15))</f>
        <v/>
      </c>
    </row>
    <row r="1216">
      <c r="A1216" s="20" t="str">
        <f>IF('Classe Terminale A'!$B16="","",IF('Classe Terminale A'!A16="","",'Classe Terminale A'!A16))</f>
        <v/>
      </c>
      <c r="B1216" s="20" t="str">
        <f>IF('Classe Terminale A'!$B16="","",IF('Classe Terminale A'!B16="","",'Classe Terminale A'!B16))</f>
        <v/>
      </c>
      <c r="C1216" s="20" t="str">
        <f>IF('Classe Terminale A'!$B16="","",IF('Classe Terminale A'!C16="","",'Classe Terminale A'!C16))</f>
        <v/>
      </c>
      <c r="D1216" s="20" t="str">
        <f>IF($B1216="","",C1216&amp;" "&amp;B1216&amp;" - "&amp;E1216)</f>
        <v/>
      </c>
      <c r="E1216" s="21" t="str">
        <f>IF($B1216="","",Paramètres!$A$30)</f>
        <v/>
      </c>
      <c r="F1216" s="21" t="str">
        <f>IF($B1216="","",Paramètres!$B$30)</f>
        <v/>
      </c>
      <c r="G1216" s="21" t="str">
        <f>IF('Classe Terminale A'!$B16="","",IF('Classe Terminale A'!D16="","",'Classe Terminale A'!D16))</f>
        <v/>
      </c>
      <c r="H1216" s="77" t="str">
        <f>IF('Classe Terminale A'!$B16="","",IF('Classe Terminale A'!E16="","",'Classe Terminale A'!E16))</f>
        <v/>
      </c>
      <c r="I1216" s="20" t="str">
        <f>IF('Classe Terminale A'!$B16="","",IF('Classe Terminale A'!F16="","",'Classe Terminale A'!F16))</f>
        <v/>
      </c>
      <c r="J1216" s="20" t="str">
        <f>IF('Classe Terminale A'!$B16="","",IF('Classe Terminale A'!G16="","",'Classe Terminale A'!G16))</f>
        <v/>
      </c>
      <c r="K1216" s="51" t="str">
        <f>IF('Classe Terminale A'!$B16="","",N('Classe Terminale A'!H16))</f>
        <v/>
      </c>
      <c r="L1216" s="51" t="str">
        <f>IF('Classe Terminale A'!$B16="","",N('Classe Terminale A'!I16))</f>
        <v/>
      </c>
      <c r="M1216" s="51" t="str">
        <f>IF('Classe Terminale A'!$B16="","",N('Classe Terminale A'!J16))</f>
        <v/>
      </c>
      <c r="N1216" s="51" t="str">
        <f>IF('Classe Terminale A'!$B16="","",N('Classe Terminale A'!K16))</f>
        <v/>
      </c>
      <c r="O1216" s="51" t="str">
        <f>IF('Classe Terminale A'!$B16="","",N('Classe Terminale A'!L16))</f>
        <v/>
      </c>
      <c r="P1216" s="51" t="str">
        <f>IF('Classe Terminale A'!$B16="","",N('Classe Terminale A'!M16))</f>
        <v/>
      </c>
      <c r="Q1216" s="21" t="str">
        <f>IF('Classe Terminale A'!$B16="","",IF('Classe Terminale A'!Q16="","",'Classe Terminale A'!Q16))</f>
        <v/>
      </c>
      <c r="R1216" s="51" t="str">
        <f>IF('Classe Terminale A'!$B16="","",N('Classe Terminale A'!N16))</f>
        <v/>
      </c>
      <c r="S1216" s="51" t="str">
        <f>IF('Classe Terminale A'!$B16="","",N('Classe Terminale A'!O16))</f>
        <v/>
      </c>
      <c r="T1216" s="51" t="str">
        <f>IF('Classe Terminale A'!$B16="","",N('Classe Terminale A'!P16))</f>
        <v/>
      </c>
    </row>
    <row r="1217">
      <c r="A1217" s="16" t="str">
        <f>IF('Classe Terminale A'!$B17="","",IF('Classe Terminale A'!A17="","",'Classe Terminale A'!A17))</f>
        <v/>
      </c>
      <c r="B1217" s="16" t="str">
        <f>IF('Classe Terminale A'!$B17="","",IF('Classe Terminale A'!B17="","",'Classe Terminale A'!B17))</f>
        <v/>
      </c>
      <c r="C1217" s="16" t="str">
        <f>IF('Classe Terminale A'!$B17="","",IF('Classe Terminale A'!C17="","",'Classe Terminale A'!C17))</f>
        <v/>
      </c>
      <c r="D1217" s="16" t="str">
        <f>IF($B1217="","",C1217&amp;" "&amp;B1217&amp;" - "&amp;E1217)</f>
        <v/>
      </c>
      <c r="E1217" s="17" t="str">
        <f>IF($B1217="","",Paramètres!$A$30)</f>
        <v/>
      </c>
      <c r="F1217" s="17" t="str">
        <f>IF($B1217="","",Paramètres!$B$30)</f>
        <v/>
      </c>
      <c r="G1217" s="17" t="str">
        <f>IF('Classe Terminale A'!$B17="","",IF('Classe Terminale A'!D17="","",'Classe Terminale A'!D17))</f>
        <v/>
      </c>
      <c r="H1217" s="78" t="str">
        <f>IF('Classe Terminale A'!$B17="","",IF('Classe Terminale A'!E17="","",'Classe Terminale A'!E17))</f>
        <v/>
      </c>
      <c r="I1217" s="16" t="str">
        <f>IF('Classe Terminale A'!$B17="","",IF('Classe Terminale A'!F17="","",'Classe Terminale A'!F17))</f>
        <v/>
      </c>
      <c r="J1217" s="16" t="str">
        <f>IF('Classe Terminale A'!$B17="","",IF('Classe Terminale A'!G17="","",'Classe Terminale A'!G17))</f>
        <v/>
      </c>
      <c r="K1217" s="18" t="str">
        <f>IF('Classe Terminale A'!$B17="","",N('Classe Terminale A'!H17))</f>
        <v/>
      </c>
      <c r="L1217" s="18" t="str">
        <f>IF('Classe Terminale A'!$B17="","",N('Classe Terminale A'!I17))</f>
        <v/>
      </c>
      <c r="M1217" s="18" t="str">
        <f>IF('Classe Terminale A'!$B17="","",N('Classe Terminale A'!J17))</f>
        <v/>
      </c>
      <c r="N1217" s="18" t="str">
        <f>IF('Classe Terminale A'!$B17="","",N('Classe Terminale A'!K17))</f>
        <v/>
      </c>
      <c r="O1217" s="18" t="str">
        <f>IF('Classe Terminale A'!$B17="","",N('Classe Terminale A'!L17))</f>
        <v/>
      </c>
      <c r="P1217" s="18" t="str">
        <f>IF('Classe Terminale A'!$B17="","",N('Classe Terminale A'!M17))</f>
        <v/>
      </c>
      <c r="Q1217" s="17" t="str">
        <f>IF('Classe Terminale A'!$B17="","",IF('Classe Terminale A'!Q17="","",'Classe Terminale A'!Q17))</f>
        <v/>
      </c>
      <c r="R1217" s="18" t="str">
        <f>IF('Classe Terminale A'!$B17="","",N('Classe Terminale A'!N17))</f>
        <v/>
      </c>
      <c r="S1217" s="18" t="str">
        <f>IF('Classe Terminale A'!$B17="","",N('Classe Terminale A'!O17))</f>
        <v/>
      </c>
      <c r="T1217" s="18" t="str">
        <f>IF('Classe Terminale A'!$B17="","",N('Classe Terminale A'!P17))</f>
        <v/>
      </c>
    </row>
    <row r="1218">
      <c r="A1218" s="20" t="str">
        <f>IF('Classe Terminale A'!$B18="","",IF('Classe Terminale A'!A18="","",'Classe Terminale A'!A18))</f>
        <v/>
      </c>
      <c r="B1218" s="20" t="str">
        <f>IF('Classe Terminale A'!$B18="","",IF('Classe Terminale A'!B18="","",'Classe Terminale A'!B18))</f>
        <v/>
      </c>
      <c r="C1218" s="20" t="str">
        <f>IF('Classe Terminale A'!$B18="","",IF('Classe Terminale A'!C18="","",'Classe Terminale A'!C18))</f>
        <v/>
      </c>
      <c r="D1218" s="20" t="str">
        <f>IF($B1218="","",C1218&amp;" "&amp;B1218&amp;" - "&amp;E1218)</f>
        <v/>
      </c>
      <c r="E1218" s="21" t="str">
        <f>IF($B1218="","",Paramètres!$A$30)</f>
        <v/>
      </c>
      <c r="F1218" s="21" t="str">
        <f>IF($B1218="","",Paramètres!$B$30)</f>
        <v/>
      </c>
      <c r="G1218" s="21" t="str">
        <f>IF('Classe Terminale A'!$B18="","",IF('Classe Terminale A'!D18="","",'Classe Terminale A'!D18))</f>
        <v/>
      </c>
      <c r="H1218" s="77" t="str">
        <f>IF('Classe Terminale A'!$B18="","",IF('Classe Terminale A'!E18="","",'Classe Terminale A'!E18))</f>
        <v/>
      </c>
      <c r="I1218" s="20" t="str">
        <f>IF('Classe Terminale A'!$B18="","",IF('Classe Terminale A'!F18="","",'Classe Terminale A'!F18))</f>
        <v/>
      </c>
      <c r="J1218" s="20" t="str">
        <f>IF('Classe Terminale A'!$B18="","",IF('Classe Terminale A'!G18="","",'Classe Terminale A'!G18))</f>
        <v/>
      </c>
      <c r="K1218" s="51" t="str">
        <f>IF('Classe Terminale A'!$B18="","",N('Classe Terminale A'!H18))</f>
        <v/>
      </c>
      <c r="L1218" s="51" t="str">
        <f>IF('Classe Terminale A'!$B18="","",N('Classe Terminale A'!I18))</f>
        <v/>
      </c>
      <c r="M1218" s="51" t="str">
        <f>IF('Classe Terminale A'!$B18="","",N('Classe Terminale A'!J18))</f>
        <v/>
      </c>
      <c r="N1218" s="51" t="str">
        <f>IF('Classe Terminale A'!$B18="","",N('Classe Terminale A'!K18))</f>
        <v/>
      </c>
      <c r="O1218" s="51" t="str">
        <f>IF('Classe Terminale A'!$B18="","",N('Classe Terminale A'!L18))</f>
        <v/>
      </c>
      <c r="P1218" s="51" t="str">
        <f>IF('Classe Terminale A'!$B18="","",N('Classe Terminale A'!M18))</f>
        <v/>
      </c>
      <c r="Q1218" s="21" t="str">
        <f>IF('Classe Terminale A'!$B18="","",IF('Classe Terminale A'!Q18="","",'Classe Terminale A'!Q18))</f>
        <v/>
      </c>
      <c r="R1218" s="51" t="str">
        <f>IF('Classe Terminale A'!$B18="","",N('Classe Terminale A'!N18))</f>
        <v/>
      </c>
      <c r="S1218" s="51" t="str">
        <f>IF('Classe Terminale A'!$B18="","",N('Classe Terminale A'!O18))</f>
        <v/>
      </c>
      <c r="T1218" s="51" t="str">
        <f>IF('Classe Terminale A'!$B18="","",N('Classe Terminale A'!P18))</f>
        <v/>
      </c>
    </row>
    <row r="1219">
      <c r="A1219" s="16" t="str">
        <f>IF('Classe Terminale A'!$B19="","",IF('Classe Terminale A'!A19="","",'Classe Terminale A'!A19))</f>
        <v/>
      </c>
      <c r="B1219" s="16" t="str">
        <f>IF('Classe Terminale A'!$B19="","",IF('Classe Terminale A'!B19="","",'Classe Terminale A'!B19))</f>
        <v/>
      </c>
      <c r="C1219" s="16" t="str">
        <f>IF('Classe Terminale A'!$B19="","",IF('Classe Terminale A'!C19="","",'Classe Terminale A'!C19))</f>
        <v/>
      </c>
      <c r="D1219" s="16" t="str">
        <f>IF($B1219="","",C1219&amp;" "&amp;B1219&amp;" - "&amp;E1219)</f>
        <v/>
      </c>
      <c r="E1219" s="17" t="str">
        <f>IF($B1219="","",Paramètres!$A$30)</f>
        <v/>
      </c>
      <c r="F1219" s="17" t="str">
        <f>IF($B1219="","",Paramètres!$B$30)</f>
        <v/>
      </c>
      <c r="G1219" s="17" t="str">
        <f>IF('Classe Terminale A'!$B19="","",IF('Classe Terminale A'!D19="","",'Classe Terminale A'!D19))</f>
        <v/>
      </c>
      <c r="H1219" s="78" t="str">
        <f>IF('Classe Terminale A'!$B19="","",IF('Classe Terminale A'!E19="","",'Classe Terminale A'!E19))</f>
        <v/>
      </c>
      <c r="I1219" s="16" t="str">
        <f>IF('Classe Terminale A'!$B19="","",IF('Classe Terminale A'!F19="","",'Classe Terminale A'!F19))</f>
        <v/>
      </c>
      <c r="J1219" s="16" t="str">
        <f>IF('Classe Terminale A'!$B19="","",IF('Classe Terminale A'!G19="","",'Classe Terminale A'!G19))</f>
        <v/>
      </c>
      <c r="K1219" s="18" t="str">
        <f>IF('Classe Terminale A'!$B19="","",N('Classe Terminale A'!H19))</f>
        <v/>
      </c>
      <c r="L1219" s="18" t="str">
        <f>IF('Classe Terminale A'!$B19="","",N('Classe Terminale A'!I19))</f>
        <v/>
      </c>
      <c r="M1219" s="18" t="str">
        <f>IF('Classe Terminale A'!$B19="","",N('Classe Terminale A'!J19))</f>
        <v/>
      </c>
      <c r="N1219" s="18" t="str">
        <f>IF('Classe Terminale A'!$B19="","",N('Classe Terminale A'!K19))</f>
        <v/>
      </c>
      <c r="O1219" s="18" t="str">
        <f>IF('Classe Terminale A'!$B19="","",N('Classe Terminale A'!L19))</f>
        <v/>
      </c>
      <c r="P1219" s="18" t="str">
        <f>IF('Classe Terminale A'!$B19="","",N('Classe Terminale A'!M19))</f>
        <v/>
      </c>
      <c r="Q1219" s="17" t="str">
        <f>IF('Classe Terminale A'!$B19="","",IF('Classe Terminale A'!Q19="","",'Classe Terminale A'!Q19))</f>
        <v/>
      </c>
      <c r="R1219" s="18" t="str">
        <f>IF('Classe Terminale A'!$B19="","",N('Classe Terminale A'!N19))</f>
        <v/>
      </c>
      <c r="S1219" s="18" t="str">
        <f>IF('Classe Terminale A'!$B19="","",N('Classe Terminale A'!O19))</f>
        <v/>
      </c>
      <c r="T1219" s="18" t="str">
        <f>IF('Classe Terminale A'!$B19="","",N('Classe Terminale A'!P19))</f>
        <v/>
      </c>
    </row>
    <row r="1220">
      <c r="A1220" s="20" t="str">
        <f>IF('Classe Terminale A'!$B20="","",IF('Classe Terminale A'!A20="","",'Classe Terminale A'!A20))</f>
        <v/>
      </c>
      <c r="B1220" s="20" t="str">
        <f>IF('Classe Terminale A'!$B20="","",IF('Classe Terminale A'!B20="","",'Classe Terminale A'!B20))</f>
        <v/>
      </c>
      <c r="C1220" s="20" t="str">
        <f>IF('Classe Terminale A'!$B20="","",IF('Classe Terminale A'!C20="","",'Classe Terminale A'!C20))</f>
        <v/>
      </c>
      <c r="D1220" s="20" t="str">
        <f>IF($B1220="","",C1220&amp;" "&amp;B1220&amp;" - "&amp;E1220)</f>
        <v/>
      </c>
      <c r="E1220" s="21" t="str">
        <f>IF($B1220="","",Paramètres!$A$30)</f>
        <v/>
      </c>
      <c r="F1220" s="21" t="str">
        <f>IF($B1220="","",Paramètres!$B$30)</f>
        <v/>
      </c>
      <c r="G1220" s="21" t="str">
        <f>IF('Classe Terminale A'!$B20="","",IF('Classe Terminale A'!D20="","",'Classe Terminale A'!D20))</f>
        <v/>
      </c>
      <c r="H1220" s="77" t="str">
        <f>IF('Classe Terminale A'!$B20="","",IF('Classe Terminale A'!E20="","",'Classe Terminale A'!E20))</f>
        <v/>
      </c>
      <c r="I1220" s="20" t="str">
        <f>IF('Classe Terminale A'!$B20="","",IF('Classe Terminale A'!F20="","",'Classe Terminale A'!F20))</f>
        <v/>
      </c>
      <c r="J1220" s="20" t="str">
        <f>IF('Classe Terminale A'!$B20="","",IF('Classe Terminale A'!G20="","",'Classe Terminale A'!G20))</f>
        <v/>
      </c>
      <c r="K1220" s="51" t="str">
        <f>IF('Classe Terminale A'!$B20="","",N('Classe Terminale A'!H20))</f>
        <v/>
      </c>
      <c r="L1220" s="51" t="str">
        <f>IF('Classe Terminale A'!$B20="","",N('Classe Terminale A'!I20))</f>
        <v/>
      </c>
      <c r="M1220" s="51" t="str">
        <f>IF('Classe Terminale A'!$B20="","",N('Classe Terminale A'!J20))</f>
        <v/>
      </c>
      <c r="N1220" s="51" t="str">
        <f>IF('Classe Terminale A'!$B20="","",N('Classe Terminale A'!K20))</f>
        <v/>
      </c>
      <c r="O1220" s="51" t="str">
        <f>IF('Classe Terminale A'!$B20="","",N('Classe Terminale A'!L20))</f>
        <v/>
      </c>
      <c r="P1220" s="51" t="str">
        <f>IF('Classe Terminale A'!$B20="","",N('Classe Terminale A'!M20))</f>
        <v/>
      </c>
      <c r="Q1220" s="21" t="str">
        <f>IF('Classe Terminale A'!$B20="","",IF('Classe Terminale A'!Q20="","",'Classe Terminale A'!Q20))</f>
        <v/>
      </c>
      <c r="R1220" s="51" t="str">
        <f>IF('Classe Terminale A'!$B20="","",N('Classe Terminale A'!N20))</f>
        <v/>
      </c>
      <c r="S1220" s="51" t="str">
        <f>IF('Classe Terminale A'!$B20="","",N('Classe Terminale A'!O20))</f>
        <v/>
      </c>
      <c r="T1220" s="51" t="str">
        <f>IF('Classe Terminale A'!$B20="","",N('Classe Terminale A'!P20))</f>
        <v/>
      </c>
    </row>
    <row r="1221">
      <c r="A1221" s="16" t="str">
        <f>IF('Classe Terminale A'!$B21="","",IF('Classe Terminale A'!A21="","",'Classe Terminale A'!A21))</f>
        <v/>
      </c>
      <c r="B1221" s="16" t="str">
        <f>IF('Classe Terminale A'!$B21="","",IF('Classe Terminale A'!B21="","",'Classe Terminale A'!B21))</f>
        <v/>
      </c>
      <c r="C1221" s="16" t="str">
        <f>IF('Classe Terminale A'!$B21="","",IF('Classe Terminale A'!C21="","",'Classe Terminale A'!C21))</f>
        <v/>
      </c>
      <c r="D1221" s="16" t="str">
        <f>IF($B1221="","",C1221&amp;" "&amp;B1221&amp;" - "&amp;E1221)</f>
        <v/>
      </c>
      <c r="E1221" s="17" t="str">
        <f>IF($B1221="","",Paramètres!$A$30)</f>
        <v/>
      </c>
      <c r="F1221" s="17" t="str">
        <f>IF($B1221="","",Paramètres!$B$30)</f>
        <v/>
      </c>
      <c r="G1221" s="17" t="str">
        <f>IF('Classe Terminale A'!$B21="","",IF('Classe Terminale A'!D21="","",'Classe Terminale A'!D21))</f>
        <v/>
      </c>
      <c r="H1221" s="78" t="str">
        <f>IF('Classe Terminale A'!$B21="","",IF('Classe Terminale A'!E21="","",'Classe Terminale A'!E21))</f>
        <v/>
      </c>
      <c r="I1221" s="16" t="str">
        <f>IF('Classe Terminale A'!$B21="","",IF('Classe Terminale A'!F21="","",'Classe Terminale A'!F21))</f>
        <v/>
      </c>
      <c r="J1221" s="16" t="str">
        <f>IF('Classe Terminale A'!$B21="","",IF('Classe Terminale A'!G21="","",'Classe Terminale A'!G21))</f>
        <v/>
      </c>
      <c r="K1221" s="18" t="str">
        <f>IF('Classe Terminale A'!$B21="","",N('Classe Terminale A'!H21))</f>
        <v/>
      </c>
      <c r="L1221" s="18" t="str">
        <f>IF('Classe Terminale A'!$B21="","",N('Classe Terminale A'!I21))</f>
        <v/>
      </c>
      <c r="M1221" s="18" t="str">
        <f>IF('Classe Terminale A'!$B21="","",N('Classe Terminale A'!J21))</f>
        <v/>
      </c>
      <c r="N1221" s="18" t="str">
        <f>IF('Classe Terminale A'!$B21="","",N('Classe Terminale A'!K21))</f>
        <v/>
      </c>
      <c r="O1221" s="18" t="str">
        <f>IF('Classe Terminale A'!$B21="","",N('Classe Terminale A'!L21))</f>
        <v/>
      </c>
      <c r="P1221" s="18" t="str">
        <f>IF('Classe Terminale A'!$B21="","",N('Classe Terminale A'!M21))</f>
        <v/>
      </c>
      <c r="Q1221" s="17" t="str">
        <f>IF('Classe Terminale A'!$B21="","",IF('Classe Terminale A'!Q21="","",'Classe Terminale A'!Q21))</f>
        <v/>
      </c>
      <c r="R1221" s="18" t="str">
        <f>IF('Classe Terminale A'!$B21="","",N('Classe Terminale A'!N21))</f>
        <v/>
      </c>
      <c r="S1221" s="18" t="str">
        <f>IF('Classe Terminale A'!$B21="","",N('Classe Terminale A'!O21))</f>
        <v/>
      </c>
      <c r="T1221" s="18" t="str">
        <f>IF('Classe Terminale A'!$B21="","",N('Classe Terminale A'!P21))</f>
        <v/>
      </c>
    </row>
    <row r="1222">
      <c r="A1222" s="20" t="str">
        <f>IF('Classe Terminale A'!$B22="","",IF('Classe Terminale A'!A22="","",'Classe Terminale A'!A22))</f>
        <v/>
      </c>
      <c r="B1222" s="20" t="str">
        <f>IF('Classe Terminale A'!$B22="","",IF('Classe Terminale A'!B22="","",'Classe Terminale A'!B22))</f>
        <v/>
      </c>
      <c r="C1222" s="20" t="str">
        <f>IF('Classe Terminale A'!$B22="","",IF('Classe Terminale A'!C22="","",'Classe Terminale A'!C22))</f>
        <v/>
      </c>
      <c r="D1222" s="20" t="str">
        <f>IF($B1222="","",C1222&amp;" "&amp;B1222&amp;" - "&amp;E1222)</f>
        <v/>
      </c>
      <c r="E1222" s="21" t="str">
        <f>IF($B1222="","",Paramètres!$A$30)</f>
        <v/>
      </c>
      <c r="F1222" s="21" t="str">
        <f>IF($B1222="","",Paramètres!$B$30)</f>
        <v/>
      </c>
      <c r="G1222" s="21" t="str">
        <f>IF('Classe Terminale A'!$B22="","",IF('Classe Terminale A'!D22="","",'Classe Terminale A'!D22))</f>
        <v/>
      </c>
      <c r="H1222" s="77" t="str">
        <f>IF('Classe Terminale A'!$B22="","",IF('Classe Terminale A'!E22="","",'Classe Terminale A'!E22))</f>
        <v/>
      </c>
      <c r="I1222" s="20" t="str">
        <f>IF('Classe Terminale A'!$B22="","",IF('Classe Terminale A'!F22="","",'Classe Terminale A'!F22))</f>
        <v/>
      </c>
      <c r="J1222" s="20" t="str">
        <f>IF('Classe Terminale A'!$B22="","",IF('Classe Terminale A'!G22="","",'Classe Terminale A'!G22))</f>
        <v/>
      </c>
      <c r="K1222" s="51" t="str">
        <f>IF('Classe Terminale A'!$B22="","",N('Classe Terminale A'!H22))</f>
        <v/>
      </c>
      <c r="L1222" s="51" t="str">
        <f>IF('Classe Terminale A'!$B22="","",N('Classe Terminale A'!I22))</f>
        <v/>
      </c>
      <c r="M1222" s="51" t="str">
        <f>IF('Classe Terminale A'!$B22="","",N('Classe Terminale A'!J22))</f>
        <v/>
      </c>
      <c r="N1222" s="51" t="str">
        <f>IF('Classe Terminale A'!$B22="","",N('Classe Terminale A'!K22))</f>
        <v/>
      </c>
      <c r="O1222" s="51" t="str">
        <f>IF('Classe Terminale A'!$B22="","",N('Classe Terminale A'!L22))</f>
        <v/>
      </c>
      <c r="P1222" s="51" t="str">
        <f>IF('Classe Terminale A'!$B22="","",N('Classe Terminale A'!M22))</f>
        <v/>
      </c>
      <c r="Q1222" s="21" t="str">
        <f>IF('Classe Terminale A'!$B22="","",IF('Classe Terminale A'!Q22="","",'Classe Terminale A'!Q22))</f>
        <v/>
      </c>
      <c r="R1222" s="51" t="str">
        <f>IF('Classe Terminale A'!$B22="","",N('Classe Terminale A'!N22))</f>
        <v/>
      </c>
      <c r="S1222" s="51" t="str">
        <f>IF('Classe Terminale A'!$B22="","",N('Classe Terminale A'!O22))</f>
        <v/>
      </c>
      <c r="T1222" s="51" t="str">
        <f>IF('Classe Terminale A'!$B22="","",N('Classe Terminale A'!P22))</f>
        <v/>
      </c>
    </row>
    <row r="1223">
      <c r="A1223" s="16" t="str">
        <f>IF('Classe Terminale A'!$B23="","",IF('Classe Terminale A'!A23="","",'Classe Terminale A'!A23))</f>
        <v/>
      </c>
      <c r="B1223" s="16" t="str">
        <f>IF('Classe Terminale A'!$B23="","",IF('Classe Terminale A'!B23="","",'Classe Terminale A'!B23))</f>
        <v/>
      </c>
      <c r="C1223" s="16" t="str">
        <f>IF('Classe Terminale A'!$B23="","",IF('Classe Terminale A'!C23="","",'Classe Terminale A'!C23))</f>
        <v/>
      </c>
      <c r="D1223" s="16" t="str">
        <f>IF($B1223="","",C1223&amp;" "&amp;B1223&amp;" - "&amp;E1223)</f>
        <v/>
      </c>
      <c r="E1223" s="17" t="str">
        <f>IF($B1223="","",Paramètres!$A$30)</f>
        <v/>
      </c>
      <c r="F1223" s="17" t="str">
        <f>IF($B1223="","",Paramètres!$B$30)</f>
        <v/>
      </c>
      <c r="G1223" s="17" t="str">
        <f>IF('Classe Terminale A'!$B23="","",IF('Classe Terminale A'!D23="","",'Classe Terminale A'!D23))</f>
        <v/>
      </c>
      <c r="H1223" s="78" t="str">
        <f>IF('Classe Terminale A'!$B23="","",IF('Classe Terminale A'!E23="","",'Classe Terminale A'!E23))</f>
        <v/>
      </c>
      <c r="I1223" s="16" t="str">
        <f>IF('Classe Terminale A'!$B23="","",IF('Classe Terminale A'!F23="","",'Classe Terminale A'!F23))</f>
        <v/>
      </c>
      <c r="J1223" s="16" t="str">
        <f>IF('Classe Terminale A'!$B23="","",IF('Classe Terminale A'!G23="","",'Classe Terminale A'!G23))</f>
        <v/>
      </c>
      <c r="K1223" s="18" t="str">
        <f>IF('Classe Terminale A'!$B23="","",N('Classe Terminale A'!H23))</f>
        <v/>
      </c>
      <c r="L1223" s="18" t="str">
        <f>IF('Classe Terminale A'!$B23="","",N('Classe Terminale A'!I23))</f>
        <v/>
      </c>
      <c r="M1223" s="18" t="str">
        <f>IF('Classe Terminale A'!$B23="","",N('Classe Terminale A'!J23))</f>
        <v/>
      </c>
      <c r="N1223" s="18" t="str">
        <f>IF('Classe Terminale A'!$B23="","",N('Classe Terminale A'!K23))</f>
        <v/>
      </c>
      <c r="O1223" s="18" t="str">
        <f>IF('Classe Terminale A'!$B23="","",N('Classe Terminale A'!L23))</f>
        <v/>
      </c>
      <c r="P1223" s="18" t="str">
        <f>IF('Classe Terminale A'!$B23="","",N('Classe Terminale A'!M23))</f>
        <v/>
      </c>
      <c r="Q1223" s="17" t="str">
        <f>IF('Classe Terminale A'!$B23="","",IF('Classe Terminale A'!Q23="","",'Classe Terminale A'!Q23))</f>
        <v/>
      </c>
      <c r="R1223" s="18" t="str">
        <f>IF('Classe Terminale A'!$B23="","",N('Classe Terminale A'!N23))</f>
        <v/>
      </c>
      <c r="S1223" s="18" t="str">
        <f>IF('Classe Terminale A'!$B23="","",N('Classe Terminale A'!O23))</f>
        <v/>
      </c>
      <c r="T1223" s="18" t="str">
        <f>IF('Classe Terminale A'!$B23="","",N('Classe Terminale A'!P23))</f>
        <v/>
      </c>
    </row>
    <row r="1224">
      <c r="A1224" s="20" t="str">
        <f>IF('Classe Terminale A'!$B24="","",IF('Classe Terminale A'!A24="","",'Classe Terminale A'!A24))</f>
        <v/>
      </c>
      <c r="B1224" s="20" t="str">
        <f>IF('Classe Terminale A'!$B24="","",IF('Classe Terminale A'!B24="","",'Classe Terminale A'!B24))</f>
        <v/>
      </c>
      <c r="C1224" s="20" t="str">
        <f>IF('Classe Terminale A'!$B24="","",IF('Classe Terminale A'!C24="","",'Classe Terminale A'!C24))</f>
        <v/>
      </c>
      <c r="D1224" s="20" t="str">
        <f>IF($B1224="","",C1224&amp;" "&amp;B1224&amp;" - "&amp;E1224)</f>
        <v/>
      </c>
      <c r="E1224" s="21" t="str">
        <f>IF($B1224="","",Paramètres!$A$30)</f>
        <v/>
      </c>
      <c r="F1224" s="21" t="str">
        <f>IF($B1224="","",Paramètres!$B$30)</f>
        <v/>
      </c>
      <c r="G1224" s="21" t="str">
        <f>IF('Classe Terminale A'!$B24="","",IF('Classe Terminale A'!D24="","",'Classe Terminale A'!D24))</f>
        <v/>
      </c>
      <c r="H1224" s="77" t="str">
        <f>IF('Classe Terminale A'!$B24="","",IF('Classe Terminale A'!E24="","",'Classe Terminale A'!E24))</f>
        <v/>
      </c>
      <c r="I1224" s="20" t="str">
        <f>IF('Classe Terminale A'!$B24="","",IF('Classe Terminale A'!F24="","",'Classe Terminale A'!F24))</f>
        <v/>
      </c>
      <c r="J1224" s="20" t="str">
        <f>IF('Classe Terminale A'!$B24="","",IF('Classe Terminale A'!G24="","",'Classe Terminale A'!G24))</f>
        <v/>
      </c>
      <c r="K1224" s="51" t="str">
        <f>IF('Classe Terminale A'!$B24="","",N('Classe Terminale A'!H24))</f>
        <v/>
      </c>
      <c r="L1224" s="51" t="str">
        <f>IF('Classe Terminale A'!$B24="","",N('Classe Terminale A'!I24))</f>
        <v/>
      </c>
      <c r="M1224" s="51" t="str">
        <f>IF('Classe Terminale A'!$B24="","",N('Classe Terminale A'!J24))</f>
        <v/>
      </c>
      <c r="N1224" s="51" t="str">
        <f>IF('Classe Terminale A'!$B24="","",N('Classe Terminale A'!K24))</f>
        <v/>
      </c>
      <c r="O1224" s="51" t="str">
        <f>IF('Classe Terminale A'!$B24="","",N('Classe Terminale A'!L24))</f>
        <v/>
      </c>
      <c r="P1224" s="51" t="str">
        <f>IF('Classe Terminale A'!$B24="","",N('Classe Terminale A'!M24))</f>
        <v/>
      </c>
      <c r="Q1224" s="21" t="str">
        <f>IF('Classe Terminale A'!$B24="","",IF('Classe Terminale A'!Q24="","",'Classe Terminale A'!Q24))</f>
        <v/>
      </c>
      <c r="R1224" s="51" t="str">
        <f>IF('Classe Terminale A'!$B24="","",N('Classe Terminale A'!N24))</f>
        <v/>
      </c>
      <c r="S1224" s="51" t="str">
        <f>IF('Classe Terminale A'!$B24="","",N('Classe Terminale A'!O24))</f>
        <v/>
      </c>
      <c r="T1224" s="51" t="str">
        <f>IF('Classe Terminale A'!$B24="","",N('Classe Terminale A'!P24))</f>
        <v/>
      </c>
    </row>
    <row r="1225">
      <c r="A1225" s="16" t="str">
        <f>IF('Classe Terminale A'!$B25="","",IF('Classe Terminale A'!A25="","",'Classe Terminale A'!A25))</f>
        <v/>
      </c>
      <c r="B1225" s="16" t="str">
        <f>IF('Classe Terminale A'!$B25="","",IF('Classe Terminale A'!B25="","",'Classe Terminale A'!B25))</f>
        <v/>
      </c>
      <c r="C1225" s="16" t="str">
        <f>IF('Classe Terminale A'!$B25="","",IF('Classe Terminale A'!C25="","",'Classe Terminale A'!C25))</f>
        <v/>
      </c>
      <c r="D1225" s="16" t="str">
        <f>IF($B1225="","",C1225&amp;" "&amp;B1225&amp;" - "&amp;E1225)</f>
        <v/>
      </c>
      <c r="E1225" s="17" t="str">
        <f>IF($B1225="","",Paramètres!$A$30)</f>
        <v/>
      </c>
      <c r="F1225" s="17" t="str">
        <f>IF($B1225="","",Paramètres!$B$30)</f>
        <v/>
      </c>
      <c r="G1225" s="17" t="str">
        <f>IF('Classe Terminale A'!$B25="","",IF('Classe Terminale A'!D25="","",'Classe Terminale A'!D25))</f>
        <v/>
      </c>
      <c r="H1225" s="78" t="str">
        <f>IF('Classe Terminale A'!$B25="","",IF('Classe Terminale A'!E25="","",'Classe Terminale A'!E25))</f>
        <v/>
      </c>
      <c r="I1225" s="16" t="str">
        <f>IF('Classe Terminale A'!$B25="","",IF('Classe Terminale A'!F25="","",'Classe Terminale A'!F25))</f>
        <v/>
      </c>
      <c r="J1225" s="16" t="str">
        <f>IF('Classe Terminale A'!$B25="","",IF('Classe Terminale A'!G25="","",'Classe Terminale A'!G25))</f>
        <v/>
      </c>
      <c r="K1225" s="18" t="str">
        <f>IF('Classe Terminale A'!$B25="","",N('Classe Terminale A'!H25))</f>
        <v/>
      </c>
      <c r="L1225" s="18" t="str">
        <f>IF('Classe Terminale A'!$B25="","",N('Classe Terminale A'!I25))</f>
        <v/>
      </c>
      <c r="M1225" s="18" t="str">
        <f>IF('Classe Terminale A'!$B25="","",N('Classe Terminale A'!J25))</f>
        <v/>
      </c>
      <c r="N1225" s="18" t="str">
        <f>IF('Classe Terminale A'!$B25="","",N('Classe Terminale A'!K25))</f>
        <v/>
      </c>
      <c r="O1225" s="18" t="str">
        <f>IF('Classe Terminale A'!$B25="","",N('Classe Terminale A'!L25))</f>
        <v/>
      </c>
      <c r="P1225" s="18" t="str">
        <f>IF('Classe Terminale A'!$B25="","",N('Classe Terminale A'!M25))</f>
        <v/>
      </c>
      <c r="Q1225" s="17" t="str">
        <f>IF('Classe Terminale A'!$B25="","",IF('Classe Terminale A'!Q25="","",'Classe Terminale A'!Q25))</f>
        <v/>
      </c>
      <c r="R1225" s="18" t="str">
        <f>IF('Classe Terminale A'!$B25="","",N('Classe Terminale A'!N25))</f>
        <v/>
      </c>
      <c r="S1225" s="18" t="str">
        <f>IF('Classe Terminale A'!$B25="","",N('Classe Terminale A'!O25))</f>
        <v/>
      </c>
      <c r="T1225" s="18" t="str">
        <f>IF('Classe Terminale A'!$B25="","",N('Classe Terminale A'!P25))</f>
        <v/>
      </c>
    </row>
    <row r="1226">
      <c r="A1226" s="20" t="str">
        <f>IF('Classe Terminale A'!$B26="","",IF('Classe Terminale A'!A26="","",'Classe Terminale A'!A26))</f>
        <v/>
      </c>
      <c r="B1226" s="20" t="str">
        <f>IF('Classe Terminale A'!$B26="","",IF('Classe Terminale A'!B26="","",'Classe Terminale A'!B26))</f>
        <v/>
      </c>
      <c r="C1226" s="20" t="str">
        <f>IF('Classe Terminale A'!$B26="","",IF('Classe Terminale A'!C26="","",'Classe Terminale A'!C26))</f>
        <v/>
      </c>
      <c r="D1226" s="20" t="str">
        <f>IF($B1226="","",C1226&amp;" "&amp;B1226&amp;" - "&amp;E1226)</f>
        <v/>
      </c>
      <c r="E1226" s="21" t="str">
        <f>IF($B1226="","",Paramètres!$A$30)</f>
        <v/>
      </c>
      <c r="F1226" s="21" t="str">
        <f>IF($B1226="","",Paramètres!$B$30)</f>
        <v/>
      </c>
      <c r="G1226" s="21" t="str">
        <f>IF('Classe Terminale A'!$B26="","",IF('Classe Terminale A'!D26="","",'Classe Terminale A'!D26))</f>
        <v/>
      </c>
      <c r="H1226" s="77" t="str">
        <f>IF('Classe Terminale A'!$B26="","",IF('Classe Terminale A'!E26="","",'Classe Terminale A'!E26))</f>
        <v/>
      </c>
      <c r="I1226" s="20" t="str">
        <f>IF('Classe Terminale A'!$B26="","",IF('Classe Terminale A'!F26="","",'Classe Terminale A'!F26))</f>
        <v/>
      </c>
      <c r="J1226" s="20" t="str">
        <f>IF('Classe Terminale A'!$B26="","",IF('Classe Terminale A'!G26="","",'Classe Terminale A'!G26))</f>
        <v/>
      </c>
      <c r="K1226" s="51" t="str">
        <f>IF('Classe Terminale A'!$B26="","",N('Classe Terminale A'!H26))</f>
        <v/>
      </c>
      <c r="L1226" s="51" t="str">
        <f>IF('Classe Terminale A'!$B26="","",N('Classe Terminale A'!I26))</f>
        <v/>
      </c>
      <c r="M1226" s="51" t="str">
        <f>IF('Classe Terminale A'!$B26="","",N('Classe Terminale A'!J26))</f>
        <v/>
      </c>
      <c r="N1226" s="51" t="str">
        <f>IF('Classe Terminale A'!$B26="","",N('Classe Terminale A'!K26))</f>
        <v/>
      </c>
      <c r="O1226" s="51" t="str">
        <f>IF('Classe Terminale A'!$B26="","",N('Classe Terminale A'!L26))</f>
        <v/>
      </c>
      <c r="P1226" s="51" t="str">
        <f>IF('Classe Terminale A'!$B26="","",N('Classe Terminale A'!M26))</f>
        <v/>
      </c>
      <c r="Q1226" s="21" t="str">
        <f>IF('Classe Terminale A'!$B26="","",IF('Classe Terminale A'!Q26="","",'Classe Terminale A'!Q26))</f>
        <v/>
      </c>
      <c r="R1226" s="51" t="str">
        <f>IF('Classe Terminale A'!$B26="","",N('Classe Terminale A'!N26))</f>
        <v/>
      </c>
      <c r="S1226" s="51" t="str">
        <f>IF('Classe Terminale A'!$B26="","",N('Classe Terminale A'!O26))</f>
        <v/>
      </c>
      <c r="T1226" s="51" t="str">
        <f>IF('Classe Terminale A'!$B26="","",N('Classe Terminale A'!P26))</f>
        <v/>
      </c>
    </row>
    <row r="1227">
      <c r="A1227" s="16" t="str">
        <f>IF('Classe Terminale A'!$B27="","",IF('Classe Terminale A'!A27="","",'Classe Terminale A'!A27))</f>
        <v/>
      </c>
      <c r="B1227" s="16" t="str">
        <f>IF('Classe Terminale A'!$B27="","",IF('Classe Terminale A'!B27="","",'Classe Terminale A'!B27))</f>
        <v/>
      </c>
      <c r="C1227" s="16" t="str">
        <f>IF('Classe Terminale A'!$B27="","",IF('Classe Terminale A'!C27="","",'Classe Terminale A'!C27))</f>
        <v/>
      </c>
      <c r="D1227" s="16" t="str">
        <f>IF($B1227="","",C1227&amp;" "&amp;B1227&amp;" - "&amp;E1227)</f>
        <v/>
      </c>
      <c r="E1227" s="17" t="str">
        <f>IF($B1227="","",Paramètres!$A$30)</f>
        <v/>
      </c>
      <c r="F1227" s="17" t="str">
        <f>IF($B1227="","",Paramètres!$B$30)</f>
        <v/>
      </c>
      <c r="G1227" s="17" t="str">
        <f>IF('Classe Terminale A'!$B27="","",IF('Classe Terminale A'!D27="","",'Classe Terminale A'!D27))</f>
        <v/>
      </c>
      <c r="H1227" s="78" t="str">
        <f>IF('Classe Terminale A'!$B27="","",IF('Classe Terminale A'!E27="","",'Classe Terminale A'!E27))</f>
        <v/>
      </c>
      <c r="I1227" s="16" t="str">
        <f>IF('Classe Terminale A'!$B27="","",IF('Classe Terminale A'!F27="","",'Classe Terminale A'!F27))</f>
        <v/>
      </c>
      <c r="J1227" s="16" t="str">
        <f>IF('Classe Terminale A'!$B27="","",IF('Classe Terminale A'!G27="","",'Classe Terminale A'!G27))</f>
        <v/>
      </c>
      <c r="K1227" s="18" t="str">
        <f>IF('Classe Terminale A'!$B27="","",N('Classe Terminale A'!H27))</f>
        <v/>
      </c>
      <c r="L1227" s="18" t="str">
        <f>IF('Classe Terminale A'!$B27="","",N('Classe Terminale A'!I27))</f>
        <v/>
      </c>
      <c r="M1227" s="18" t="str">
        <f>IF('Classe Terminale A'!$B27="","",N('Classe Terminale A'!J27))</f>
        <v/>
      </c>
      <c r="N1227" s="18" t="str">
        <f>IF('Classe Terminale A'!$B27="","",N('Classe Terminale A'!K27))</f>
        <v/>
      </c>
      <c r="O1227" s="18" t="str">
        <f>IF('Classe Terminale A'!$B27="","",N('Classe Terminale A'!L27))</f>
        <v/>
      </c>
      <c r="P1227" s="18" t="str">
        <f>IF('Classe Terminale A'!$B27="","",N('Classe Terminale A'!M27))</f>
        <v/>
      </c>
      <c r="Q1227" s="17" t="str">
        <f>IF('Classe Terminale A'!$B27="","",IF('Classe Terminale A'!Q27="","",'Classe Terminale A'!Q27))</f>
        <v/>
      </c>
      <c r="R1227" s="18" t="str">
        <f>IF('Classe Terminale A'!$B27="","",N('Classe Terminale A'!N27))</f>
        <v/>
      </c>
      <c r="S1227" s="18" t="str">
        <f>IF('Classe Terminale A'!$B27="","",N('Classe Terminale A'!O27))</f>
        <v/>
      </c>
      <c r="T1227" s="18" t="str">
        <f>IF('Classe Terminale A'!$B27="","",N('Classe Terminale A'!P27))</f>
        <v/>
      </c>
    </row>
    <row r="1228">
      <c r="A1228" s="20" t="str">
        <f>IF('Classe Terminale A'!$B28="","",IF('Classe Terminale A'!A28="","",'Classe Terminale A'!A28))</f>
        <v/>
      </c>
      <c r="B1228" s="20" t="str">
        <f>IF('Classe Terminale A'!$B28="","",IF('Classe Terminale A'!B28="","",'Classe Terminale A'!B28))</f>
        <v/>
      </c>
      <c r="C1228" s="20" t="str">
        <f>IF('Classe Terminale A'!$B28="","",IF('Classe Terminale A'!C28="","",'Classe Terminale A'!C28))</f>
        <v/>
      </c>
      <c r="D1228" s="20" t="str">
        <f>IF($B1228="","",C1228&amp;" "&amp;B1228&amp;" - "&amp;E1228)</f>
        <v/>
      </c>
      <c r="E1228" s="21" t="str">
        <f>IF($B1228="","",Paramètres!$A$30)</f>
        <v/>
      </c>
      <c r="F1228" s="21" t="str">
        <f>IF($B1228="","",Paramètres!$B$30)</f>
        <v/>
      </c>
      <c r="G1228" s="21" t="str">
        <f>IF('Classe Terminale A'!$B28="","",IF('Classe Terminale A'!D28="","",'Classe Terminale A'!D28))</f>
        <v/>
      </c>
      <c r="H1228" s="77" t="str">
        <f>IF('Classe Terminale A'!$B28="","",IF('Classe Terminale A'!E28="","",'Classe Terminale A'!E28))</f>
        <v/>
      </c>
      <c r="I1228" s="20" t="str">
        <f>IF('Classe Terminale A'!$B28="","",IF('Classe Terminale A'!F28="","",'Classe Terminale A'!F28))</f>
        <v/>
      </c>
      <c r="J1228" s="20" t="str">
        <f>IF('Classe Terminale A'!$B28="","",IF('Classe Terminale A'!G28="","",'Classe Terminale A'!G28))</f>
        <v/>
      </c>
      <c r="K1228" s="51" t="str">
        <f>IF('Classe Terminale A'!$B28="","",N('Classe Terminale A'!H28))</f>
        <v/>
      </c>
      <c r="L1228" s="51" t="str">
        <f>IF('Classe Terminale A'!$B28="","",N('Classe Terminale A'!I28))</f>
        <v/>
      </c>
      <c r="M1228" s="51" t="str">
        <f>IF('Classe Terminale A'!$B28="","",N('Classe Terminale A'!J28))</f>
        <v/>
      </c>
      <c r="N1228" s="51" t="str">
        <f>IF('Classe Terminale A'!$B28="","",N('Classe Terminale A'!K28))</f>
        <v/>
      </c>
      <c r="O1228" s="51" t="str">
        <f>IF('Classe Terminale A'!$B28="","",N('Classe Terminale A'!L28))</f>
        <v/>
      </c>
      <c r="P1228" s="51" t="str">
        <f>IF('Classe Terminale A'!$B28="","",N('Classe Terminale A'!M28))</f>
        <v/>
      </c>
      <c r="Q1228" s="21" t="str">
        <f>IF('Classe Terminale A'!$B28="","",IF('Classe Terminale A'!Q28="","",'Classe Terminale A'!Q28))</f>
        <v/>
      </c>
      <c r="R1228" s="51" t="str">
        <f>IF('Classe Terminale A'!$B28="","",N('Classe Terminale A'!N28))</f>
        <v/>
      </c>
      <c r="S1228" s="51" t="str">
        <f>IF('Classe Terminale A'!$B28="","",N('Classe Terminale A'!O28))</f>
        <v/>
      </c>
      <c r="T1228" s="51" t="str">
        <f>IF('Classe Terminale A'!$B28="","",N('Classe Terminale A'!P28))</f>
        <v/>
      </c>
    </row>
    <row r="1229">
      <c r="A1229" s="16" t="str">
        <f>IF('Classe Terminale A'!$B29="","",IF('Classe Terminale A'!A29="","",'Classe Terminale A'!A29))</f>
        <v/>
      </c>
      <c r="B1229" s="16" t="str">
        <f>IF('Classe Terminale A'!$B29="","",IF('Classe Terminale A'!B29="","",'Classe Terminale A'!B29))</f>
        <v/>
      </c>
      <c r="C1229" s="16" t="str">
        <f>IF('Classe Terminale A'!$B29="","",IF('Classe Terminale A'!C29="","",'Classe Terminale A'!C29))</f>
        <v/>
      </c>
      <c r="D1229" s="16" t="str">
        <f>IF($B1229="","",C1229&amp;" "&amp;B1229&amp;" - "&amp;E1229)</f>
        <v/>
      </c>
      <c r="E1229" s="17" t="str">
        <f>IF($B1229="","",Paramètres!$A$30)</f>
        <v/>
      </c>
      <c r="F1229" s="17" t="str">
        <f>IF($B1229="","",Paramètres!$B$30)</f>
        <v/>
      </c>
      <c r="G1229" s="17" t="str">
        <f>IF('Classe Terminale A'!$B29="","",IF('Classe Terminale A'!D29="","",'Classe Terminale A'!D29))</f>
        <v/>
      </c>
      <c r="H1229" s="78" t="str">
        <f>IF('Classe Terminale A'!$B29="","",IF('Classe Terminale A'!E29="","",'Classe Terminale A'!E29))</f>
        <v/>
      </c>
      <c r="I1229" s="16" t="str">
        <f>IF('Classe Terminale A'!$B29="","",IF('Classe Terminale A'!F29="","",'Classe Terminale A'!F29))</f>
        <v/>
      </c>
      <c r="J1229" s="16" t="str">
        <f>IF('Classe Terminale A'!$B29="","",IF('Classe Terminale A'!G29="","",'Classe Terminale A'!G29))</f>
        <v/>
      </c>
      <c r="K1229" s="18" t="str">
        <f>IF('Classe Terminale A'!$B29="","",N('Classe Terminale A'!H29))</f>
        <v/>
      </c>
      <c r="L1229" s="18" t="str">
        <f>IF('Classe Terminale A'!$B29="","",N('Classe Terminale A'!I29))</f>
        <v/>
      </c>
      <c r="M1229" s="18" t="str">
        <f>IF('Classe Terminale A'!$B29="","",N('Classe Terminale A'!J29))</f>
        <v/>
      </c>
      <c r="N1229" s="18" t="str">
        <f>IF('Classe Terminale A'!$B29="","",N('Classe Terminale A'!K29))</f>
        <v/>
      </c>
      <c r="O1229" s="18" t="str">
        <f>IF('Classe Terminale A'!$B29="","",N('Classe Terminale A'!L29))</f>
        <v/>
      </c>
      <c r="P1229" s="18" t="str">
        <f>IF('Classe Terminale A'!$B29="","",N('Classe Terminale A'!M29))</f>
        <v/>
      </c>
      <c r="Q1229" s="17" t="str">
        <f>IF('Classe Terminale A'!$B29="","",IF('Classe Terminale A'!Q29="","",'Classe Terminale A'!Q29))</f>
        <v/>
      </c>
      <c r="R1229" s="18" t="str">
        <f>IF('Classe Terminale A'!$B29="","",N('Classe Terminale A'!N29))</f>
        <v/>
      </c>
      <c r="S1229" s="18" t="str">
        <f>IF('Classe Terminale A'!$B29="","",N('Classe Terminale A'!O29))</f>
        <v/>
      </c>
      <c r="T1229" s="18" t="str">
        <f>IF('Classe Terminale A'!$B29="","",N('Classe Terminale A'!P29))</f>
        <v/>
      </c>
    </row>
    <row r="1230">
      <c r="A1230" s="20" t="str">
        <f>IF('Classe Terminale A'!$B30="","",IF('Classe Terminale A'!A30="","",'Classe Terminale A'!A30))</f>
        <v/>
      </c>
      <c r="B1230" s="20" t="str">
        <f>IF('Classe Terminale A'!$B30="","",IF('Classe Terminale A'!B30="","",'Classe Terminale A'!B30))</f>
        <v/>
      </c>
      <c r="C1230" s="20" t="str">
        <f>IF('Classe Terminale A'!$B30="","",IF('Classe Terminale A'!C30="","",'Classe Terminale A'!C30))</f>
        <v/>
      </c>
      <c r="D1230" s="20" t="str">
        <f>IF($B1230="","",C1230&amp;" "&amp;B1230&amp;" - "&amp;E1230)</f>
        <v/>
      </c>
      <c r="E1230" s="21" t="str">
        <f>IF($B1230="","",Paramètres!$A$30)</f>
        <v/>
      </c>
      <c r="F1230" s="21" t="str">
        <f>IF($B1230="","",Paramètres!$B$30)</f>
        <v/>
      </c>
      <c r="G1230" s="21" t="str">
        <f>IF('Classe Terminale A'!$B30="","",IF('Classe Terminale A'!D30="","",'Classe Terminale A'!D30))</f>
        <v/>
      </c>
      <c r="H1230" s="77" t="str">
        <f>IF('Classe Terminale A'!$B30="","",IF('Classe Terminale A'!E30="","",'Classe Terminale A'!E30))</f>
        <v/>
      </c>
      <c r="I1230" s="20" t="str">
        <f>IF('Classe Terminale A'!$B30="","",IF('Classe Terminale A'!F30="","",'Classe Terminale A'!F30))</f>
        <v/>
      </c>
      <c r="J1230" s="20" t="str">
        <f>IF('Classe Terminale A'!$B30="","",IF('Classe Terminale A'!G30="","",'Classe Terminale A'!G30))</f>
        <v/>
      </c>
      <c r="K1230" s="51" t="str">
        <f>IF('Classe Terminale A'!$B30="","",N('Classe Terminale A'!H30))</f>
        <v/>
      </c>
      <c r="L1230" s="51" t="str">
        <f>IF('Classe Terminale A'!$B30="","",N('Classe Terminale A'!I30))</f>
        <v/>
      </c>
      <c r="M1230" s="51" t="str">
        <f>IF('Classe Terminale A'!$B30="","",N('Classe Terminale A'!J30))</f>
        <v/>
      </c>
      <c r="N1230" s="51" t="str">
        <f>IF('Classe Terminale A'!$B30="","",N('Classe Terminale A'!K30))</f>
        <v/>
      </c>
      <c r="O1230" s="51" t="str">
        <f>IF('Classe Terminale A'!$B30="","",N('Classe Terminale A'!L30))</f>
        <v/>
      </c>
      <c r="P1230" s="51" t="str">
        <f>IF('Classe Terminale A'!$B30="","",N('Classe Terminale A'!M30))</f>
        <v/>
      </c>
      <c r="Q1230" s="21" t="str">
        <f>IF('Classe Terminale A'!$B30="","",IF('Classe Terminale A'!Q30="","",'Classe Terminale A'!Q30))</f>
        <v/>
      </c>
      <c r="R1230" s="51" t="str">
        <f>IF('Classe Terminale A'!$B30="","",N('Classe Terminale A'!N30))</f>
        <v/>
      </c>
      <c r="S1230" s="51" t="str">
        <f>IF('Classe Terminale A'!$B30="","",N('Classe Terminale A'!O30))</f>
        <v/>
      </c>
      <c r="T1230" s="51" t="str">
        <f>IF('Classe Terminale A'!$B30="","",N('Classe Terminale A'!P30))</f>
        <v/>
      </c>
    </row>
    <row r="1231">
      <c r="A1231" s="16" t="str">
        <f>IF('Classe Terminale A'!$B31="","",IF('Classe Terminale A'!A31="","",'Classe Terminale A'!A31))</f>
        <v/>
      </c>
      <c r="B1231" s="16" t="str">
        <f>IF('Classe Terminale A'!$B31="","",IF('Classe Terminale A'!B31="","",'Classe Terminale A'!B31))</f>
        <v/>
      </c>
      <c r="C1231" s="16" t="str">
        <f>IF('Classe Terminale A'!$B31="","",IF('Classe Terminale A'!C31="","",'Classe Terminale A'!C31))</f>
        <v/>
      </c>
      <c r="D1231" s="16" t="str">
        <f>IF($B1231="","",C1231&amp;" "&amp;B1231&amp;" - "&amp;E1231)</f>
        <v/>
      </c>
      <c r="E1231" s="17" t="str">
        <f>IF($B1231="","",Paramètres!$A$30)</f>
        <v/>
      </c>
      <c r="F1231" s="17" t="str">
        <f>IF($B1231="","",Paramètres!$B$30)</f>
        <v/>
      </c>
      <c r="G1231" s="17" t="str">
        <f>IF('Classe Terminale A'!$B31="","",IF('Classe Terminale A'!D31="","",'Classe Terminale A'!D31))</f>
        <v/>
      </c>
      <c r="H1231" s="78" t="str">
        <f>IF('Classe Terminale A'!$B31="","",IF('Classe Terminale A'!E31="","",'Classe Terminale A'!E31))</f>
        <v/>
      </c>
      <c r="I1231" s="16" t="str">
        <f>IF('Classe Terminale A'!$B31="","",IF('Classe Terminale A'!F31="","",'Classe Terminale A'!F31))</f>
        <v/>
      </c>
      <c r="J1231" s="16" t="str">
        <f>IF('Classe Terminale A'!$B31="","",IF('Classe Terminale A'!G31="","",'Classe Terminale A'!G31))</f>
        <v/>
      </c>
      <c r="K1231" s="18" t="str">
        <f>IF('Classe Terminale A'!$B31="","",N('Classe Terminale A'!H31))</f>
        <v/>
      </c>
      <c r="L1231" s="18" t="str">
        <f>IF('Classe Terminale A'!$B31="","",N('Classe Terminale A'!I31))</f>
        <v/>
      </c>
      <c r="M1231" s="18" t="str">
        <f>IF('Classe Terminale A'!$B31="","",N('Classe Terminale A'!J31))</f>
        <v/>
      </c>
      <c r="N1231" s="18" t="str">
        <f>IF('Classe Terminale A'!$B31="","",N('Classe Terminale A'!K31))</f>
        <v/>
      </c>
      <c r="O1231" s="18" t="str">
        <f>IF('Classe Terminale A'!$B31="","",N('Classe Terminale A'!L31))</f>
        <v/>
      </c>
      <c r="P1231" s="18" t="str">
        <f>IF('Classe Terminale A'!$B31="","",N('Classe Terminale A'!M31))</f>
        <v/>
      </c>
      <c r="Q1231" s="17" t="str">
        <f>IF('Classe Terminale A'!$B31="","",IF('Classe Terminale A'!Q31="","",'Classe Terminale A'!Q31))</f>
        <v/>
      </c>
      <c r="R1231" s="18" t="str">
        <f>IF('Classe Terminale A'!$B31="","",N('Classe Terminale A'!N31))</f>
        <v/>
      </c>
      <c r="S1231" s="18" t="str">
        <f>IF('Classe Terminale A'!$B31="","",N('Classe Terminale A'!O31))</f>
        <v/>
      </c>
      <c r="T1231" s="18" t="str">
        <f>IF('Classe Terminale A'!$B31="","",N('Classe Terminale A'!P31))</f>
        <v/>
      </c>
    </row>
    <row r="1232">
      <c r="A1232" s="20" t="str">
        <f>IF('Classe Terminale A'!$B32="","",IF('Classe Terminale A'!A32="","",'Classe Terminale A'!A32))</f>
        <v/>
      </c>
      <c r="B1232" s="20" t="str">
        <f>IF('Classe Terminale A'!$B32="","",IF('Classe Terminale A'!B32="","",'Classe Terminale A'!B32))</f>
        <v/>
      </c>
      <c r="C1232" s="20" t="str">
        <f>IF('Classe Terminale A'!$B32="","",IF('Classe Terminale A'!C32="","",'Classe Terminale A'!C32))</f>
        <v/>
      </c>
      <c r="D1232" s="20" t="str">
        <f>IF($B1232="","",C1232&amp;" "&amp;B1232&amp;" - "&amp;E1232)</f>
        <v/>
      </c>
      <c r="E1232" s="21" t="str">
        <f>IF($B1232="","",Paramètres!$A$30)</f>
        <v/>
      </c>
      <c r="F1232" s="21" t="str">
        <f>IF($B1232="","",Paramètres!$B$30)</f>
        <v/>
      </c>
      <c r="G1232" s="21" t="str">
        <f>IF('Classe Terminale A'!$B32="","",IF('Classe Terminale A'!D32="","",'Classe Terminale A'!D32))</f>
        <v/>
      </c>
      <c r="H1232" s="77" t="str">
        <f>IF('Classe Terminale A'!$B32="","",IF('Classe Terminale A'!E32="","",'Classe Terminale A'!E32))</f>
        <v/>
      </c>
      <c r="I1232" s="20" t="str">
        <f>IF('Classe Terminale A'!$B32="","",IF('Classe Terminale A'!F32="","",'Classe Terminale A'!F32))</f>
        <v/>
      </c>
      <c r="J1232" s="20" t="str">
        <f>IF('Classe Terminale A'!$B32="","",IF('Classe Terminale A'!G32="","",'Classe Terminale A'!G32))</f>
        <v/>
      </c>
      <c r="K1232" s="51" t="str">
        <f>IF('Classe Terminale A'!$B32="","",N('Classe Terminale A'!H32))</f>
        <v/>
      </c>
      <c r="L1232" s="51" t="str">
        <f>IF('Classe Terminale A'!$B32="","",N('Classe Terminale A'!I32))</f>
        <v/>
      </c>
      <c r="M1232" s="51" t="str">
        <f>IF('Classe Terminale A'!$B32="","",N('Classe Terminale A'!J32))</f>
        <v/>
      </c>
      <c r="N1232" s="51" t="str">
        <f>IF('Classe Terminale A'!$B32="","",N('Classe Terminale A'!K32))</f>
        <v/>
      </c>
      <c r="O1232" s="51" t="str">
        <f>IF('Classe Terminale A'!$B32="","",N('Classe Terminale A'!L32))</f>
        <v/>
      </c>
      <c r="P1232" s="51" t="str">
        <f>IF('Classe Terminale A'!$B32="","",N('Classe Terminale A'!M32))</f>
        <v/>
      </c>
      <c r="Q1232" s="21" t="str">
        <f>IF('Classe Terminale A'!$B32="","",IF('Classe Terminale A'!Q32="","",'Classe Terminale A'!Q32))</f>
        <v/>
      </c>
      <c r="R1232" s="51" t="str">
        <f>IF('Classe Terminale A'!$B32="","",N('Classe Terminale A'!N32))</f>
        <v/>
      </c>
      <c r="S1232" s="51" t="str">
        <f>IF('Classe Terminale A'!$B32="","",N('Classe Terminale A'!O32))</f>
        <v/>
      </c>
      <c r="T1232" s="51" t="str">
        <f>IF('Classe Terminale A'!$B32="","",N('Classe Terminale A'!P32))</f>
        <v/>
      </c>
    </row>
    <row r="1233">
      <c r="A1233" s="16" t="str">
        <f>IF('Classe Terminale A'!$B33="","",IF('Classe Terminale A'!A33="","",'Classe Terminale A'!A33))</f>
        <v/>
      </c>
      <c r="B1233" s="16" t="str">
        <f>IF('Classe Terminale A'!$B33="","",IF('Classe Terminale A'!B33="","",'Classe Terminale A'!B33))</f>
        <v/>
      </c>
      <c r="C1233" s="16" t="str">
        <f>IF('Classe Terminale A'!$B33="","",IF('Classe Terminale A'!C33="","",'Classe Terminale A'!C33))</f>
        <v/>
      </c>
      <c r="D1233" s="16" t="str">
        <f>IF($B1233="","",C1233&amp;" "&amp;B1233&amp;" - "&amp;E1233)</f>
        <v/>
      </c>
      <c r="E1233" s="17" t="str">
        <f>IF($B1233="","",Paramètres!$A$30)</f>
        <v/>
      </c>
      <c r="F1233" s="17" t="str">
        <f>IF($B1233="","",Paramètres!$B$30)</f>
        <v/>
      </c>
      <c r="G1233" s="17" t="str">
        <f>IF('Classe Terminale A'!$B33="","",IF('Classe Terminale A'!D33="","",'Classe Terminale A'!D33))</f>
        <v/>
      </c>
      <c r="H1233" s="78" t="str">
        <f>IF('Classe Terminale A'!$B33="","",IF('Classe Terminale A'!E33="","",'Classe Terminale A'!E33))</f>
        <v/>
      </c>
      <c r="I1233" s="16" t="str">
        <f>IF('Classe Terminale A'!$B33="","",IF('Classe Terminale A'!F33="","",'Classe Terminale A'!F33))</f>
        <v/>
      </c>
      <c r="J1233" s="16" t="str">
        <f>IF('Classe Terminale A'!$B33="","",IF('Classe Terminale A'!G33="","",'Classe Terminale A'!G33))</f>
        <v/>
      </c>
      <c r="K1233" s="18" t="str">
        <f>IF('Classe Terminale A'!$B33="","",N('Classe Terminale A'!H33))</f>
        <v/>
      </c>
      <c r="L1233" s="18" t="str">
        <f>IF('Classe Terminale A'!$B33="","",N('Classe Terminale A'!I33))</f>
        <v/>
      </c>
      <c r="M1233" s="18" t="str">
        <f>IF('Classe Terminale A'!$B33="","",N('Classe Terminale A'!J33))</f>
        <v/>
      </c>
      <c r="N1233" s="18" t="str">
        <f>IF('Classe Terminale A'!$B33="","",N('Classe Terminale A'!K33))</f>
        <v/>
      </c>
      <c r="O1233" s="18" t="str">
        <f>IF('Classe Terminale A'!$B33="","",N('Classe Terminale A'!L33))</f>
        <v/>
      </c>
      <c r="P1233" s="18" t="str">
        <f>IF('Classe Terminale A'!$B33="","",N('Classe Terminale A'!M33))</f>
        <v/>
      </c>
      <c r="Q1233" s="17" t="str">
        <f>IF('Classe Terminale A'!$B33="","",IF('Classe Terminale A'!Q33="","",'Classe Terminale A'!Q33))</f>
        <v/>
      </c>
      <c r="R1233" s="18" t="str">
        <f>IF('Classe Terminale A'!$B33="","",N('Classe Terminale A'!N33))</f>
        <v/>
      </c>
      <c r="S1233" s="18" t="str">
        <f>IF('Classe Terminale A'!$B33="","",N('Classe Terminale A'!O33))</f>
        <v/>
      </c>
      <c r="T1233" s="18" t="str">
        <f>IF('Classe Terminale A'!$B33="","",N('Classe Terminale A'!P33))</f>
        <v/>
      </c>
    </row>
    <row r="1234">
      <c r="A1234" s="20" t="str">
        <f>IF('Classe Terminale A'!$B34="","",IF('Classe Terminale A'!A34="","",'Classe Terminale A'!A34))</f>
        <v/>
      </c>
      <c r="B1234" s="20" t="str">
        <f>IF('Classe Terminale A'!$B34="","",IF('Classe Terminale A'!B34="","",'Classe Terminale A'!B34))</f>
        <v/>
      </c>
      <c r="C1234" s="20" t="str">
        <f>IF('Classe Terminale A'!$B34="","",IF('Classe Terminale A'!C34="","",'Classe Terminale A'!C34))</f>
        <v/>
      </c>
      <c r="D1234" s="20" t="str">
        <f>IF($B1234="","",C1234&amp;" "&amp;B1234&amp;" - "&amp;E1234)</f>
        <v/>
      </c>
      <c r="E1234" s="21" t="str">
        <f>IF($B1234="","",Paramètres!$A$30)</f>
        <v/>
      </c>
      <c r="F1234" s="21" t="str">
        <f>IF($B1234="","",Paramètres!$B$30)</f>
        <v/>
      </c>
      <c r="G1234" s="21" t="str">
        <f>IF('Classe Terminale A'!$B34="","",IF('Classe Terminale A'!D34="","",'Classe Terminale A'!D34))</f>
        <v/>
      </c>
      <c r="H1234" s="77" t="str">
        <f>IF('Classe Terminale A'!$B34="","",IF('Classe Terminale A'!E34="","",'Classe Terminale A'!E34))</f>
        <v/>
      </c>
      <c r="I1234" s="20" t="str">
        <f>IF('Classe Terminale A'!$B34="","",IF('Classe Terminale A'!F34="","",'Classe Terminale A'!F34))</f>
        <v/>
      </c>
      <c r="J1234" s="20" t="str">
        <f>IF('Classe Terminale A'!$B34="","",IF('Classe Terminale A'!G34="","",'Classe Terminale A'!G34))</f>
        <v/>
      </c>
      <c r="K1234" s="51" t="str">
        <f>IF('Classe Terminale A'!$B34="","",N('Classe Terminale A'!H34))</f>
        <v/>
      </c>
      <c r="L1234" s="51" t="str">
        <f>IF('Classe Terminale A'!$B34="","",N('Classe Terminale A'!I34))</f>
        <v/>
      </c>
      <c r="M1234" s="51" t="str">
        <f>IF('Classe Terminale A'!$B34="","",N('Classe Terminale A'!J34))</f>
        <v/>
      </c>
      <c r="N1234" s="51" t="str">
        <f>IF('Classe Terminale A'!$B34="","",N('Classe Terminale A'!K34))</f>
        <v/>
      </c>
      <c r="O1234" s="51" t="str">
        <f>IF('Classe Terminale A'!$B34="","",N('Classe Terminale A'!L34))</f>
        <v/>
      </c>
      <c r="P1234" s="51" t="str">
        <f>IF('Classe Terminale A'!$B34="","",N('Classe Terminale A'!M34))</f>
        <v/>
      </c>
      <c r="Q1234" s="21" t="str">
        <f>IF('Classe Terminale A'!$B34="","",IF('Classe Terminale A'!Q34="","",'Classe Terminale A'!Q34))</f>
        <v/>
      </c>
      <c r="R1234" s="51" t="str">
        <f>IF('Classe Terminale A'!$B34="","",N('Classe Terminale A'!N34))</f>
        <v/>
      </c>
      <c r="S1234" s="51" t="str">
        <f>IF('Classe Terminale A'!$B34="","",N('Classe Terminale A'!O34))</f>
        <v/>
      </c>
      <c r="T1234" s="51" t="str">
        <f>IF('Classe Terminale A'!$B34="","",N('Classe Terminale A'!P34))</f>
        <v/>
      </c>
    </row>
    <row r="1235">
      <c r="A1235" s="16" t="str">
        <f>IF('Classe Terminale A'!$B35="","",IF('Classe Terminale A'!A35="","",'Classe Terminale A'!A35))</f>
        <v/>
      </c>
      <c r="B1235" s="16" t="str">
        <f>IF('Classe Terminale A'!$B35="","",IF('Classe Terminale A'!B35="","",'Classe Terminale A'!B35))</f>
        <v/>
      </c>
      <c r="C1235" s="16" t="str">
        <f>IF('Classe Terminale A'!$B35="","",IF('Classe Terminale A'!C35="","",'Classe Terminale A'!C35))</f>
        <v/>
      </c>
      <c r="D1235" s="16" t="str">
        <f>IF($B1235="","",C1235&amp;" "&amp;B1235&amp;" - "&amp;E1235)</f>
        <v/>
      </c>
      <c r="E1235" s="17" t="str">
        <f>IF($B1235="","",Paramètres!$A$30)</f>
        <v/>
      </c>
      <c r="F1235" s="17" t="str">
        <f>IF($B1235="","",Paramètres!$B$30)</f>
        <v/>
      </c>
      <c r="G1235" s="17" t="str">
        <f>IF('Classe Terminale A'!$B35="","",IF('Classe Terminale A'!D35="","",'Classe Terminale A'!D35))</f>
        <v/>
      </c>
      <c r="H1235" s="78" t="str">
        <f>IF('Classe Terminale A'!$B35="","",IF('Classe Terminale A'!E35="","",'Classe Terminale A'!E35))</f>
        <v/>
      </c>
      <c r="I1235" s="16" t="str">
        <f>IF('Classe Terminale A'!$B35="","",IF('Classe Terminale A'!F35="","",'Classe Terminale A'!F35))</f>
        <v/>
      </c>
      <c r="J1235" s="16" t="str">
        <f>IF('Classe Terminale A'!$B35="","",IF('Classe Terminale A'!G35="","",'Classe Terminale A'!G35))</f>
        <v/>
      </c>
      <c r="K1235" s="18" t="str">
        <f>IF('Classe Terminale A'!$B35="","",N('Classe Terminale A'!H35))</f>
        <v/>
      </c>
      <c r="L1235" s="18" t="str">
        <f>IF('Classe Terminale A'!$B35="","",N('Classe Terminale A'!I35))</f>
        <v/>
      </c>
      <c r="M1235" s="18" t="str">
        <f>IF('Classe Terminale A'!$B35="","",N('Classe Terminale A'!J35))</f>
        <v/>
      </c>
      <c r="N1235" s="18" t="str">
        <f>IF('Classe Terminale A'!$B35="","",N('Classe Terminale A'!K35))</f>
        <v/>
      </c>
      <c r="O1235" s="18" t="str">
        <f>IF('Classe Terminale A'!$B35="","",N('Classe Terminale A'!L35))</f>
        <v/>
      </c>
      <c r="P1235" s="18" t="str">
        <f>IF('Classe Terminale A'!$B35="","",N('Classe Terminale A'!M35))</f>
        <v/>
      </c>
      <c r="Q1235" s="17" t="str">
        <f>IF('Classe Terminale A'!$B35="","",IF('Classe Terminale A'!Q35="","",'Classe Terminale A'!Q35))</f>
        <v/>
      </c>
      <c r="R1235" s="18" t="str">
        <f>IF('Classe Terminale A'!$B35="","",N('Classe Terminale A'!N35))</f>
        <v/>
      </c>
      <c r="S1235" s="18" t="str">
        <f>IF('Classe Terminale A'!$B35="","",N('Classe Terminale A'!O35))</f>
        <v/>
      </c>
      <c r="T1235" s="18" t="str">
        <f>IF('Classe Terminale A'!$B35="","",N('Classe Terminale A'!P35))</f>
        <v/>
      </c>
    </row>
    <row r="1236">
      <c r="A1236" s="20" t="str">
        <f>IF('Classe Terminale A'!$B36="","",IF('Classe Terminale A'!A36="","",'Classe Terminale A'!A36))</f>
        <v/>
      </c>
      <c r="B1236" s="20" t="str">
        <f>IF('Classe Terminale A'!$B36="","",IF('Classe Terminale A'!B36="","",'Classe Terminale A'!B36))</f>
        <v/>
      </c>
      <c r="C1236" s="20" t="str">
        <f>IF('Classe Terminale A'!$B36="","",IF('Classe Terminale A'!C36="","",'Classe Terminale A'!C36))</f>
        <v/>
      </c>
      <c r="D1236" s="20" t="str">
        <f>IF($B1236="","",C1236&amp;" "&amp;B1236&amp;" - "&amp;E1236)</f>
        <v/>
      </c>
      <c r="E1236" s="21" t="str">
        <f>IF($B1236="","",Paramètres!$A$30)</f>
        <v/>
      </c>
      <c r="F1236" s="21" t="str">
        <f>IF($B1236="","",Paramètres!$B$30)</f>
        <v/>
      </c>
      <c r="G1236" s="21" t="str">
        <f>IF('Classe Terminale A'!$B36="","",IF('Classe Terminale A'!D36="","",'Classe Terminale A'!D36))</f>
        <v/>
      </c>
      <c r="H1236" s="77" t="str">
        <f>IF('Classe Terminale A'!$B36="","",IF('Classe Terminale A'!E36="","",'Classe Terminale A'!E36))</f>
        <v/>
      </c>
      <c r="I1236" s="20" t="str">
        <f>IF('Classe Terminale A'!$B36="","",IF('Classe Terminale A'!F36="","",'Classe Terminale A'!F36))</f>
        <v/>
      </c>
      <c r="J1236" s="20" t="str">
        <f>IF('Classe Terminale A'!$B36="","",IF('Classe Terminale A'!G36="","",'Classe Terminale A'!G36))</f>
        <v/>
      </c>
      <c r="K1236" s="51" t="str">
        <f>IF('Classe Terminale A'!$B36="","",N('Classe Terminale A'!H36))</f>
        <v/>
      </c>
      <c r="L1236" s="51" t="str">
        <f>IF('Classe Terminale A'!$B36="","",N('Classe Terminale A'!I36))</f>
        <v/>
      </c>
      <c r="M1236" s="51" t="str">
        <f>IF('Classe Terminale A'!$B36="","",N('Classe Terminale A'!J36))</f>
        <v/>
      </c>
      <c r="N1236" s="51" t="str">
        <f>IF('Classe Terminale A'!$B36="","",N('Classe Terminale A'!K36))</f>
        <v/>
      </c>
      <c r="O1236" s="51" t="str">
        <f>IF('Classe Terminale A'!$B36="","",N('Classe Terminale A'!L36))</f>
        <v/>
      </c>
      <c r="P1236" s="51" t="str">
        <f>IF('Classe Terminale A'!$B36="","",N('Classe Terminale A'!M36))</f>
        <v/>
      </c>
      <c r="Q1236" s="21" t="str">
        <f>IF('Classe Terminale A'!$B36="","",IF('Classe Terminale A'!Q36="","",'Classe Terminale A'!Q36))</f>
        <v/>
      </c>
      <c r="R1236" s="51" t="str">
        <f>IF('Classe Terminale A'!$B36="","",N('Classe Terminale A'!N36))</f>
        <v/>
      </c>
      <c r="S1236" s="51" t="str">
        <f>IF('Classe Terminale A'!$B36="","",N('Classe Terminale A'!O36))</f>
        <v/>
      </c>
      <c r="T1236" s="51" t="str">
        <f>IF('Classe Terminale A'!$B36="","",N('Classe Terminale A'!P36))</f>
        <v/>
      </c>
    </row>
    <row r="1237">
      <c r="A1237" s="16" t="str">
        <f>IF('Classe Terminale A'!$B37="","",IF('Classe Terminale A'!A37="","",'Classe Terminale A'!A37))</f>
        <v/>
      </c>
      <c r="B1237" s="16" t="str">
        <f>IF('Classe Terminale A'!$B37="","",IF('Classe Terminale A'!B37="","",'Classe Terminale A'!B37))</f>
        <v/>
      </c>
      <c r="C1237" s="16" t="str">
        <f>IF('Classe Terminale A'!$B37="","",IF('Classe Terminale A'!C37="","",'Classe Terminale A'!C37))</f>
        <v/>
      </c>
      <c r="D1237" s="16" t="str">
        <f>IF($B1237="","",C1237&amp;" "&amp;B1237&amp;" - "&amp;E1237)</f>
        <v/>
      </c>
      <c r="E1237" s="17" t="str">
        <f>IF($B1237="","",Paramètres!$A$30)</f>
        <v/>
      </c>
      <c r="F1237" s="17" t="str">
        <f>IF($B1237="","",Paramètres!$B$30)</f>
        <v/>
      </c>
      <c r="G1237" s="17" t="str">
        <f>IF('Classe Terminale A'!$B37="","",IF('Classe Terminale A'!D37="","",'Classe Terminale A'!D37))</f>
        <v/>
      </c>
      <c r="H1237" s="78" t="str">
        <f>IF('Classe Terminale A'!$B37="","",IF('Classe Terminale A'!E37="","",'Classe Terminale A'!E37))</f>
        <v/>
      </c>
      <c r="I1237" s="16" t="str">
        <f>IF('Classe Terminale A'!$B37="","",IF('Classe Terminale A'!F37="","",'Classe Terminale A'!F37))</f>
        <v/>
      </c>
      <c r="J1237" s="16" t="str">
        <f>IF('Classe Terminale A'!$B37="","",IF('Classe Terminale A'!G37="","",'Classe Terminale A'!G37))</f>
        <v/>
      </c>
      <c r="K1237" s="18" t="str">
        <f>IF('Classe Terminale A'!$B37="","",N('Classe Terminale A'!H37))</f>
        <v/>
      </c>
      <c r="L1237" s="18" t="str">
        <f>IF('Classe Terminale A'!$B37="","",N('Classe Terminale A'!I37))</f>
        <v/>
      </c>
      <c r="M1237" s="18" t="str">
        <f>IF('Classe Terminale A'!$B37="","",N('Classe Terminale A'!J37))</f>
        <v/>
      </c>
      <c r="N1237" s="18" t="str">
        <f>IF('Classe Terminale A'!$B37="","",N('Classe Terminale A'!K37))</f>
        <v/>
      </c>
      <c r="O1237" s="18" t="str">
        <f>IF('Classe Terminale A'!$B37="","",N('Classe Terminale A'!L37))</f>
        <v/>
      </c>
      <c r="P1237" s="18" t="str">
        <f>IF('Classe Terminale A'!$B37="","",N('Classe Terminale A'!M37))</f>
        <v/>
      </c>
      <c r="Q1237" s="17" t="str">
        <f>IF('Classe Terminale A'!$B37="","",IF('Classe Terminale A'!Q37="","",'Classe Terminale A'!Q37))</f>
        <v/>
      </c>
      <c r="R1237" s="18" t="str">
        <f>IF('Classe Terminale A'!$B37="","",N('Classe Terminale A'!N37))</f>
        <v/>
      </c>
      <c r="S1237" s="18" t="str">
        <f>IF('Classe Terminale A'!$B37="","",N('Classe Terminale A'!O37))</f>
        <v/>
      </c>
      <c r="T1237" s="18" t="str">
        <f>IF('Classe Terminale A'!$B37="","",N('Classe Terminale A'!P37))</f>
        <v/>
      </c>
    </row>
    <row r="1238">
      <c r="A1238" s="20" t="str">
        <f>IF('Classe Terminale A'!$B38="","",IF('Classe Terminale A'!A38="","",'Classe Terminale A'!A38))</f>
        <v/>
      </c>
      <c r="B1238" s="20" t="str">
        <f>IF('Classe Terminale A'!$B38="","",IF('Classe Terminale A'!B38="","",'Classe Terminale A'!B38))</f>
        <v/>
      </c>
      <c r="C1238" s="20" t="str">
        <f>IF('Classe Terminale A'!$B38="","",IF('Classe Terminale A'!C38="","",'Classe Terminale A'!C38))</f>
        <v/>
      </c>
      <c r="D1238" s="20" t="str">
        <f>IF($B1238="","",C1238&amp;" "&amp;B1238&amp;" - "&amp;E1238)</f>
        <v/>
      </c>
      <c r="E1238" s="21" t="str">
        <f>IF($B1238="","",Paramètres!$A$30)</f>
        <v/>
      </c>
      <c r="F1238" s="21" t="str">
        <f>IF($B1238="","",Paramètres!$B$30)</f>
        <v/>
      </c>
      <c r="G1238" s="21" t="str">
        <f>IF('Classe Terminale A'!$B38="","",IF('Classe Terminale A'!D38="","",'Classe Terminale A'!D38))</f>
        <v/>
      </c>
      <c r="H1238" s="77" t="str">
        <f>IF('Classe Terminale A'!$B38="","",IF('Classe Terminale A'!E38="","",'Classe Terminale A'!E38))</f>
        <v/>
      </c>
      <c r="I1238" s="20" t="str">
        <f>IF('Classe Terminale A'!$B38="","",IF('Classe Terminale A'!F38="","",'Classe Terminale A'!F38))</f>
        <v/>
      </c>
      <c r="J1238" s="20" t="str">
        <f>IF('Classe Terminale A'!$B38="","",IF('Classe Terminale A'!G38="","",'Classe Terminale A'!G38))</f>
        <v/>
      </c>
      <c r="K1238" s="51" t="str">
        <f>IF('Classe Terminale A'!$B38="","",N('Classe Terminale A'!H38))</f>
        <v/>
      </c>
      <c r="L1238" s="51" t="str">
        <f>IF('Classe Terminale A'!$B38="","",N('Classe Terminale A'!I38))</f>
        <v/>
      </c>
      <c r="M1238" s="51" t="str">
        <f>IF('Classe Terminale A'!$B38="","",N('Classe Terminale A'!J38))</f>
        <v/>
      </c>
      <c r="N1238" s="51" t="str">
        <f>IF('Classe Terminale A'!$B38="","",N('Classe Terminale A'!K38))</f>
        <v/>
      </c>
      <c r="O1238" s="51" t="str">
        <f>IF('Classe Terminale A'!$B38="","",N('Classe Terminale A'!L38))</f>
        <v/>
      </c>
      <c r="P1238" s="51" t="str">
        <f>IF('Classe Terminale A'!$B38="","",N('Classe Terminale A'!M38))</f>
        <v/>
      </c>
      <c r="Q1238" s="21" t="str">
        <f>IF('Classe Terminale A'!$B38="","",IF('Classe Terminale A'!Q38="","",'Classe Terminale A'!Q38))</f>
        <v/>
      </c>
      <c r="R1238" s="51" t="str">
        <f>IF('Classe Terminale A'!$B38="","",N('Classe Terminale A'!N38))</f>
        <v/>
      </c>
      <c r="S1238" s="51" t="str">
        <f>IF('Classe Terminale A'!$B38="","",N('Classe Terminale A'!O38))</f>
        <v/>
      </c>
      <c r="T1238" s="51" t="str">
        <f>IF('Classe Terminale A'!$B38="","",N('Classe Terminale A'!P38))</f>
        <v/>
      </c>
    </row>
    <row r="1239">
      <c r="A1239" s="16" t="str">
        <f>IF('Classe Terminale A'!$B39="","",IF('Classe Terminale A'!A39="","",'Classe Terminale A'!A39))</f>
        <v/>
      </c>
      <c r="B1239" s="16" t="str">
        <f>IF('Classe Terminale A'!$B39="","",IF('Classe Terminale A'!B39="","",'Classe Terminale A'!B39))</f>
        <v/>
      </c>
      <c r="C1239" s="16" t="str">
        <f>IF('Classe Terminale A'!$B39="","",IF('Classe Terminale A'!C39="","",'Classe Terminale A'!C39))</f>
        <v/>
      </c>
      <c r="D1239" s="16" t="str">
        <f>IF($B1239="","",C1239&amp;" "&amp;B1239&amp;" - "&amp;E1239)</f>
        <v/>
      </c>
      <c r="E1239" s="17" t="str">
        <f>IF($B1239="","",Paramètres!$A$30)</f>
        <v/>
      </c>
      <c r="F1239" s="17" t="str">
        <f>IF($B1239="","",Paramètres!$B$30)</f>
        <v/>
      </c>
      <c r="G1239" s="17" t="str">
        <f>IF('Classe Terminale A'!$B39="","",IF('Classe Terminale A'!D39="","",'Classe Terminale A'!D39))</f>
        <v/>
      </c>
      <c r="H1239" s="78" t="str">
        <f>IF('Classe Terminale A'!$B39="","",IF('Classe Terminale A'!E39="","",'Classe Terminale A'!E39))</f>
        <v/>
      </c>
      <c r="I1239" s="16" t="str">
        <f>IF('Classe Terminale A'!$B39="","",IF('Classe Terminale A'!F39="","",'Classe Terminale A'!F39))</f>
        <v/>
      </c>
      <c r="J1239" s="16" t="str">
        <f>IF('Classe Terminale A'!$B39="","",IF('Classe Terminale A'!G39="","",'Classe Terminale A'!G39))</f>
        <v/>
      </c>
      <c r="K1239" s="18" t="str">
        <f>IF('Classe Terminale A'!$B39="","",N('Classe Terminale A'!H39))</f>
        <v/>
      </c>
      <c r="L1239" s="18" t="str">
        <f>IF('Classe Terminale A'!$B39="","",N('Classe Terminale A'!I39))</f>
        <v/>
      </c>
      <c r="M1239" s="18" t="str">
        <f>IF('Classe Terminale A'!$B39="","",N('Classe Terminale A'!J39))</f>
        <v/>
      </c>
      <c r="N1239" s="18" t="str">
        <f>IF('Classe Terminale A'!$B39="","",N('Classe Terminale A'!K39))</f>
        <v/>
      </c>
      <c r="O1239" s="18" t="str">
        <f>IF('Classe Terminale A'!$B39="","",N('Classe Terminale A'!L39))</f>
        <v/>
      </c>
      <c r="P1239" s="18" t="str">
        <f>IF('Classe Terminale A'!$B39="","",N('Classe Terminale A'!M39))</f>
        <v/>
      </c>
      <c r="Q1239" s="17" t="str">
        <f>IF('Classe Terminale A'!$B39="","",IF('Classe Terminale A'!Q39="","",'Classe Terminale A'!Q39))</f>
        <v/>
      </c>
      <c r="R1239" s="18" t="str">
        <f>IF('Classe Terminale A'!$B39="","",N('Classe Terminale A'!N39))</f>
        <v/>
      </c>
      <c r="S1239" s="18" t="str">
        <f>IF('Classe Terminale A'!$B39="","",N('Classe Terminale A'!O39))</f>
        <v/>
      </c>
      <c r="T1239" s="18" t="str">
        <f>IF('Classe Terminale A'!$B39="","",N('Classe Terminale A'!P39))</f>
        <v/>
      </c>
    </row>
    <row r="1240">
      <c r="A1240" s="20" t="str">
        <f>IF('Classe Terminale A'!$B40="","",IF('Classe Terminale A'!A40="","",'Classe Terminale A'!A40))</f>
        <v/>
      </c>
      <c r="B1240" s="20" t="str">
        <f>IF('Classe Terminale A'!$B40="","",IF('Classe Terminale A'!B40="","",'Classe Terminale A'!B40))</f>
        <v/>
      </c>
      <c r="C1240" s="20" t="str">
        <f>IF('Classe Terminale A'!$B40="","",IF('Classe Terminale A'!C40="","",'Classe Terminale A'!C40))</f>
        <v/>
      </c>
      <c r="D1240" s="20" t="str">
        <f>IF($B1240="","",C1240&amp;" "&amp;B1240&amp;" - "&amp;E1240)</f>
        <v/>
      </c>
      <c r="E1240" s="21" t="str">
        <f>IF($B1240="","",Paramètres!$A$30)</f>
        <v/>
      </c>
      <c r="F1240" s="21" t="str">
        <f>IF($B1240="","",Paramètres!$B$30)</f>
        <v/>
      </c>
      <c r="G1240" s="21" t="str">
        <f>IF('Classe Terminale A'!$B40="","",IF('Classe Terminale A'!D40="","",'Classe Terminale A'!D40))</f>
        <v/>
      </c>
      <c r="H1240" s="77" t="str">
        <f>IF('Classe Terminale A'!$B40="","",IF('Classe Terminale A'!E40="","",'Classe Terminale A'!E40))</f>
        <v/>
      </c>
      <c r="I1240" s="20" t="str">
        <f>IF('Classe Terminale A'!$B40="","",IF('Classe Terminale A'!F40="","",'Classe Terminale A'!F40))</f>
        <v/>
      </c>
      <c r="J1240" s="20" t="str">
        <f>IF('Classe Terminale A'!$B40="","",IF('Classe Terminale A'!G40="","",'Classe Terminale A'!G40))</f>
        <v/>
      </c>
      <c r="K1240" s="51" t="str">
        <f>IF('Classe Terminale A'!$B40="","",N('Classe Terminale A'!H40))</f>
        <v/>
      </c>
      <c r="L1240" s="51" t="str">
        <f>IF('Classe Terminale A'!$B40="","",N('Classe Terminale A'!I40))</f>
        <v/>
      </c>
      <c r="M1240" s="51" t="str">
        <f>IF('Classe Terminale A'!$B40="","",N('Classe Terminale A'!J40))</f>
        <v/>
      </c>
      <c r="N1240" s="51" t="str">
        <f>IF('Classe Terminale A'!$B40="","",N('Classe Terminale A'!K40))</f>
        <v/>
      </c>
      <c r="O1240" s="51" t="str">
        <f>IF('Classe Terminale A'!$B40="","",N('Classe Terminale A'!L40))</f>
        <v/>
      </c>
      <c r="P1240" s="51" t="str">
        <f>IF('Classe Terminale A'!$B40="","",N('Classe Terminale A'!M40))</f>
        <v/>
      </c>
      <c r="Q1240" s="21" t="str">
        <f>IF('Classe Terminale A'!$B40="","",IF('Classe Terminale A'!Q40="","",'Classe Terminale A'!Q40))</f>
        <v/>
      </c>
      <c r="R1240" s="51" t="str">
        <f>IF('Classe Terminale A'!$B40="","",N('Classe Terminale A'!N40))</f>
        <v/>
      </c>
      <c r="S1240" s="51" t="str">
        <f>IF('Classe Terminale A'!$B40="","",N('Classe Terminale A'!O40))</f>
        <v/>
      </c>
      <c r="T1240" s="51" t="str">
        <f>IF('Classe Terminale A'!$B40="","",N('Classe Terminale A'!P40))</f>
        <v/>
      </c>
    </row>
    <row r="1241">
      <c r="A1241" s="16" t="str">
        <f>IF('Classe Terminale A'!$B41="","",IF('Classe Terminale A'!A41="","",'Classe Terminale A'!A41))</f>
        <v/>
      </c>
      <c r="B1241" s="16" t="str">
        <f>IF('Classe Terminale A'!$B41="","",IF('Classe Terminale A'!B41="","",'Classe Terminale A'!B41))</f>
        <v/>
      </c>
      <c r="C1241" s="16" t="str">
        <f>IF('Classe Terminale A'!$B41="","",IF('Classe Terminale A'!C41="","",'Classe Terminale A'!C41))</f>
        <v/>
      </c>
      <c r="D1241" s="16" t="str">
        <f>IF($B1241="","",C1241&amp;" "&amp;B1241&amp;" - "&amp;E1241)</f>
        <v/>
      </c>
      <c r="E1241" s="17" t="str">
        <f>IF($B1241="","",Paramètres!$A$30)</f>
        <v/>
      </c>
      <c r="F1241" s="17" t="str">
        <f>IF($B1241="","",Paramètres!$B$30)</f>
        <v/>
      </c>
      <c r="G1241" s="17" t="str">
        <f>IF('Classe Terminale A'!$B41="","",IF('Classe Terminale A'!D41="","",'Classe Terminale A'!D41))</f>
        <v/>
      </c>
      <c r="H1241" s="78" t="str">
        <f>IF('Classe Terminale A'!$B41="","",IF('Classe Terminale A'!E41="","",'Classe Terminale A'!E41))</f>
        <v/>
      </c>
      <c r="I1241" s="16" t="str">
        <f>IF('Classe Terminale A'!$B41="","",IF('Classe Terminale A'!F41="","",'Classe Terminale A'!F41))</f>
        <v/>
      </c>
      <c r="J1241" s="16" t="str">
        <f>IF('Classe Terminale A'!$B41="","",IF('Classe Terminale A'!G41="","",'Classe Terminale A'!G41))</f>
        <v/>
      </c>
      <c r="K1241" s="18" t="str">
        <f>IF('Classe Terminale A'!$B41="","",N('Classe Terminale A'!H41))</f>
        <v/>
      </c>
      <c r="L1241" s="18" t="str">
        <f>IF('Classe Terminale A'!$B41="","",N('Classe Terminale A'!I41))</f>
        <v/>
      </c>
      <c r="M1241" s="18" t="str">
        <f>IF('Classe Terminale A'!$B41="","",N('Classe Terminale A'!J41))</f>
        <v/>
      </c>
      <c r="N1241" s="18" t="str">
        <f>IF('Classe Terminale A'!$B41="","",N('Classe Terminale A'!K41))</f>
        <v/>
      </c>
      <c r="O1241" s="18" t="str">
        <f>IF('Classe Terminale A'!$B41="","",N('Classe Terminale A'!L41))</f>
        <v/>
      </c>
      <c r="P1241" s="18" t="str">
        <f>IF('Classe Terminale A'!$B41="","",N('Classe Terminale A'!M41))</f>
        <v/>
      </c>
      <c r="Q1241" s="17" t="str">
        <f>IF('Classe Terminale A'!$B41="","",IF('Classe Terminale A'!Q41="","",'Classe Terminale A'!Q41))</f>
        <v/>
      </c>
      <c r="R1241" s="18" t="str">
        <f>IF('Classe Terminale A'!$B41="","",N('Classe Terminale A'!N41))</f>
        <v/>
      </c>
      <c r="S1241" s="18" t="str">
        <f>IF('Classe Terminale A'!$B41="","",N('Classe Terminale A'!O41))</f>
        <v/>
      </c>
      <c r="T1241" s="18" t="str">
        <f>IF('Classe Terminale A'!$B41="","",N('Classe Terminale A'!P41))</f>
        <v/>
      </c>
    </row>
    <row r="1242">
      <c r="A1242" s="20" t="str">
        <f>IF('Classe Terminale A'!$B42="","",IF('Classe Terminale A'!A42="","",'Classe Terminale A'!A42))</f>
        <v/>
      </c>
      <c r="B1242" s="20" t="str">
        <f>IF('Classe Terminale A'!$B42="","",IF('Classe Terminale A'!B42="","",'Classe Terminale A'!B42))</f>
        <v/>
      </c>
      <c r="C1242" s="20" t="str">
        <f>IF('Classe Terminale A'!$B42="","",IF('Classe Terminale A'!C42="","",'Classe Terminale A'!C42))</f>
        <v/>
      </c>
      <c r="D1242" s="20" t="str">
        <f>IF($B1242="","",C1242&amp;" "&amp;B1242&amp;" - "&amp;E1242)</f>
        <v/>
      </c>
      <c r="E1242" s="21" t="str">
        <f>IF($B1242="","",Paramètres!$A$30)</f>
        <v/>
      </c>
      <c r="F1242" s="21" t="str">
        <f>IF($B1242="","",Paramètres!$B$30)</f>
        <v/>
      </c>
      <c r="G1242" s="21" t="str">
        <f>IF('Classe Terminale A'!$B42="","",IF('Classe Terminale A'!D42="","",'Classe Terminale A'!D42))</f>
        <v/>
      </c>
      <c r="H1242" s="77" t="str">
        <f>IF('Classe Terminale A'!$B42="","",IF('Classe Terminale A'!E42="","",'Classe Terminale A'!E42))</f>
        <v/>
      </c>
      <c r="I1242" s="20" t="str">
        <f>IF('Classe Terminale A'!$B42="","",IF('Classe Terminale A'!F42="","",'Classe Terminale A'!F42))</f>
        <v/>
      </c>
      <c r="J1242" s="20" t="str">
        <f>IF('Classe Terminale A'!$B42="","",IF('Classe Terminale A'!G42="","",'Classe Terminale A'!G42))</f>
        <v/>
      </c>
      <c r="K1242" s="51" t="str">
        <f>IF('Classe Terminale A'!$B42="","",N('Classe Terminale A'!H42))</f>
        <v/>
      </c>
      <c r="L1242" s="51" t="str">
        <f>IF('Classe Terminale A'!$B42="","",N('Classe Terminale A'!I42))</f>
        <v/>
      </c>
      <c r="M1242" s="51" t="str">
        <f>IF('Classe Terminale A'!$B42="","",N('Classe Terminale A'!J42))</f>
        <v/>
      </c>
      <c r="N1242" s="51" t="str">
        <f>IF('Classe Terminale A'!$B42="","",N('Classe Terminale A'!K42))</f>
        <v/>
      </c>
      <c r="O1242" s="51" t="str">
        <f>IF('Classe Terminale A'!$B42="","",N('Classe Terminale A'!L42))</f>
        <v/>
      </c>
      <c r="P1242" s="51" t="str">
        <f>IF('Classe Terminale A'!$B42="","",N('Classe Terminale A'!M42))</f>
        <v/>
      </c>
      <c r="Q1242" s="21" t="str">
        <f>IF('Classe Terminale A'!$B42="","",IF('Classe Terminale A'!Q42="","",'Classe Terminale A'!Q42))</f>
        <v/>
      </c>
      <c r="R1242" s="51" t="str">
        <f>IF('Classe Terminale A'!$B42="","",N('Classe Terminale A'!N42))</f>
        <v/>
      </c>
      <c r="S1242" s="51" t="str">
        <f>IF('Classe Terminale A'!$B42="","",N('Classe Terminale A'!O42))</f>
        <v/>
      </c>
      <c r="T1242" s="51" t="str">
        <f>IF('Classe Terminale A'!$B42="","",N('Classe Terminale A'!P42))</f>
        <v/>
      </c>
    </row>
    <row r="1243">
      <c r="A1243" s="16" t="str">
        <f>IF('Classe Terminale A'!$B43="","",IF('Classe Terminale A'!A43="","",'Classe Terminale A'!A43))</f>
        <v/>
      </c>
      <c r="B1243" s="16" t="str">
        <f>IF('Classe Terminale A'!$B43="","",IF('Classe Terminale A'!B43="","",'Classe Terminale A'!B43))</f>
        <v/>
      </c>
      <c r="C1243" s="16" t="str">
        <f>IF('Classe Terminale A'!$B43="","",IF('Classe Terminale A'!C43="","",'Classe Terminale A'!C43))</f>
        <v/>
      </c>
      <c r="D1243" s="16" t="str">
        <f>IF($B1243="","",C1243&amp;" "&amp;B1243&amp;" - "&amp;E1243)</f>
        <v/>
      </c>
      <c r="E1243" s="17" t="str">
        <f>IF($B1243="","",Paramètres!$A$30)</f>
        <v/>
      </c>
      <c r="F1243" s="17" t="str">
        <f>IF($B1243="","",Paramètres!$B$30)</f>
        <v/>
      </c>
      <c r="G1243" s="17" t="str">
        <f>IF('Classe Terminale A'!$B43="","",IF('Classe Terminale A'!D43="","",'Classe Terminale A'!D43))</f>
        <v/>
      </c>
      <c r="H1243" s="78" t="str">
        <f>IF('Classe Terminale A'!$B43="","",IF('Classe Terminale A'!E43="","",'Classe Terminale A'!E43))</f>
        <v/>
      </c>
      <c r="I1243" s="16" t="str">
        <f>IF('Classe Terminale A'!$B43="","",IF('Classe Terminale A'!F43="","",'Classe Terminale A'!F43))</f>
        <v/>
      </c>
      <c r="J1243" s="16" t="str">
        <f>IF('Classe Terminale A'!$B43="","",IF('Classe Terminale A'!G43="","",'Classe Terminale A'!G43))</f>
        <v/>
      </c>
      <c r="K1243" s="18" t="str">
        <f>IF('Classe Terminale A'!$B43="","",N('Classe Terminale A'!H43))</f>
        <v/>
      </c>
      <c r="L1243" s="18" t="str">
        <f>IF('Classe Terminale A'!$B43="","",N('Classe Terminale A'!I43))</f>
        <v/>
      </c>
      <c r="M1243" s="18" t="str">
        <f>IF('Classe Terminale A'!$B43="","",N('Classe Terminale A'!J43))</f>
        <v/>
      </c>
      <c r="N1243" s="18" t="str">
        <f>IF('Classe Terminale A'!$B43="","",N('Classe Terminale A'!K43))</f>
        <v/>
      </c>
      <c r="O1243" s="18" t="str">
        <f>IF('Classe Terminale A'!$B43="","",N('Classe Terminale A'!L43))</f>
        <v/>
      </c>
      <c r="P1243" s="18" t="str">
        <f>IF('Classe Terminale A'!$B43="","",N('Classe Terminale A'!M43))</f>
        <v/>
      </c>
      <c r="Q1243" s="17" t="str">
        <f>IF('Classe Terminale A'!$B43="","",IF('Classe Terminale A'!Q43="","",'Classe Terminale A'!Q43))</f>
        <v/>
      </c>
      <c r="R1243" s="18" t="str">
        <f>IF('Classe Terminale A'!$B43="","",N('Classe Terminale A'!N43))</f>
        <v/>
      </c>
      <c r="S1243" s="18" t="str">
        <f>IF('Classe Terminale A'!$B43="","",N('Classe Terminale A'!O43))</f>
        <v/>
      </c>
      <c r="T1243" s="18" t="str">
        <f>IF('Classe Terminale A'!$B43="","",N('Classe Terminale A'!P43))</f>
        <v/>
      </c>
    </row>
    <row r="1244">
      <c r="A1244" s="20" t="str">
        <f>IF('Classe Terminale A'!$B44="","",IF('Classe Terminale A'!A44="","",'Classe Terminale A'!A44))</f>
        <v/>
      </c>
      <c r="B1244" s="20" t="str">
        <f>IF('Classe Terminale A'!$B44="","",IF('Classe Terminale A'!B44="","",'Classe Terminale A'!B44))</f>
        <v/>
      </c>
      <c r="C1244" s="20" t="str">
        <f>IF('Classe Terminale A'!$B44="","",IF('Classe Terminale A'!C44="","",'Classe Terminale A'!C44))</f>
        <v/>
      </c>
      <c r="D1244" s="20" t="str">
        <f>IF($B1244="","",C1244&amp;" "&amp;B1244&amp;" - "&amp;E1244)</f>
        <v/>
      </c>
      <c r="E1244" s="21" t="str">
        <f>IF($B1244="","",Paramètres!$A$30)</f>
        <v/>
      </c>
      <c r="F1244" s="21" t="str">
        <f>IF($B1244="","",Paramètres!$B$30)</f>
        <v/>
      </c>
      <c r="G1244" s="21" t="str">
        <f>IF('Classe Terminale A'!$B44="","",IF('Classe Terminale A'!D44="","",'Classe Terminale A'!D44))</f>
        <v/>
      </c>
      <c r="H1244" s="77" t="str">
        <f>IF('Classe Terminale A'!$B44="","",IF('Classe Terminale A'!E44="","",'Classe Terminale A'!E44))</f>
        <v/>
      </c>
      <c r="I1244" s="20" t="str">
        <f>IF('Classe Terminale A'!$B44="","",IF('Classe Terminale A'!F44="","",'Classe Terminale A'!F44))</f>
        <v/>
      </c>
      <c r="J1244" s="20" t="str">
        <f>IF('Classe Terminale A'!$B44="","",IF('Classe Terminale A'!G44="","",'Classe Terminale A'!G44))</f>
        <v/>
      </c>
      <c r="K1244" s="51" t="str">
        <f>IF('Classe Terminale A'!$B44="","",N('Classe Terminale A'!H44))</f>
        <v/>
      </c>
      <c r="L1244" s="51" t="str">
        <f>IF('Classe Terminale A'!$B44="","",N('Classe Terminale A'!I44))</f>
        <v/>
      </c>
      <c r="M1244" s="51" t="str">
        <f>IF('Classe Terminale A'!$B44="","",N('Classe Terminale A'!J44))</f>
        <v/>
      </c>
      <c r="N1244" s="51" t="str">
        <f>IF('Classe Terminale A'!$B44="","",N('Classe Terminale A'!K44))</f>
        <v/>
      </c>
      <c r="O1244" s="51" t="str">
        <f>IF('Classe Terminale A'!$B44="","",N('Classe Terminale A'!L44))</f>
        <v/>
      </c>
      <c r="P1244" s="51" t="str">
        <f>IF('Classe Terminale A'!$B44="","",N('Classe Terminale A'!M44))</f>
        <v/>
      </c>
      <c r="Q1244" s="21" t="str">
        <f>IF('Classe Terminale A'!$B44="","",IF('Classe Terminale A'!Q44="","",'Classe Terminale A'!Q44))</f>
        <v/>
      </c>
      <c r="R1244" s="51" t="str">
        <f>IF('Classe Terminale A'!$B44="","",N('Classe Terminale A'!N44))</f>
        <v/>
      </c>
      <c r="S1244" s="51" t="str">
        <f>IF('Classe Terminale A'!$B44="","",N('Classe Terminale A'!O44))</f>
        <v/>
      </c>
      <c r="T1244" s="51" t="str">
        <f>IF('Classe Terminale A'!$B44="","",N('Classe Terminale A'!P44))</f>
        <v/>
      </c>
    </row>
    <row r="1245">
      <c r="A1245" s="16" t="str">
        <f>IF('Classe Terminale A'!$B45="","",IF('Classe Terminale A'!A45="","",'Classe Terminale A'!A45))</f>
        <v/>
      </c>
      <c r="B1245" s="16" t="str">
        <f>IF('Classe Terminale A'!$B45="","",IF('Classe Terminale A'!B45="","",'Classe Terminale A'!B45))</f>
        <v/>
      </c>
      <c r="C1245" s="16" t="str">
        <f>IF('Classe Terminale A'!$B45="","",IF('Classe Terminale A'!C45="","",'Classe Terminale A'!C45))</f>
        <v/>
      </c>
      <c r="D1245" s="16" t="str">
        <f>IF($B1245="","",C1245&amp;" "&amp;B1245&amp;" - "&amp;E1245)</f>
        <v/>
      </c>
      <c r="E1245" s="17" t="str">
        <f>IF($B1245="","",Paramètres!$A$30)</f>
        <v/>
      </c>
      <c r="F1245" s="17" t="str">
        <f>IF($B1245="","",Paramètres!$B$30)</f>
        <v/>
      </c>
      <c r="G1245" s="17" t="str">
        <f>IF('Classe Terminale A'!$B45="","",IF('Classe Terminale A'!D45="","",'Classe Terminale A'!D45))</f>
        <v/>
      </c>
      <c r="H1245" s="78" t="str">
        <f>IF('Classe Terminale A'!$B45="","",IF('Classe Terminale A'!E45="","",'Classe Terminale A'!E45))</f>
        <v/>
      </c>
      <c r="I1245" s="16" t="str">
        <f>IF('Classe Terminale A'!$B45="","",IF('Classe Terminale A'!F45="","",'Classe Terminale A'!F45))</f>
        <v/>
      </c>
      <c r="J1245" s="16" t="str">
        <f>IF('Classe Terminale A'!$B45="","",IF('Classe Terminale A'!G45="","",'Classe Terminale A'!G45))</f>
        <v/>
      </c>
      <c r="K1245" s="18" t="str">
        <f>IF('Classe Terminale A'!$B45="","",N('Classe Terminale A'!H45))</f>
        <v/>
      </c>
      <c r="L1245" s="18" t="str">
        <f>IF('Classe Terminale A'!$B45="","",N('Classe Terminale A'!I45))</f>
        <v/>
      </c>
      <c r="M1245" s="18" t="str">
        <f>IF('Classe Terminale A'!$B45="","",N('Classe Terminale A'!J45))</f>
        <v/>
      </c>
      <c r="N1245" s="18" t="str">
        <f>IF('Classe Terminale A'!$B45="","",N('Classe Terminale A'!K45))</f>
        <v/>
      </c>
      <c r="O1245" s="18" t="str">
        <f>IF('Classe Terminale A'!$B45="","",N('Classe Terminale A'!L45))</f>
        <v/>
      </c>
      <c r="P1245" s="18" t="str">
        <f>IF('Classe Terminale A'!$B45="","",N('Classe Terminale A'!M45))</f>
        <v/>
      </c>
      <c r="Q1245" s="17" t="str">
        <f>IF('Classe Terminale A'!$B45="","",IF('Classe Terminale A'!Q45="","",'Classe Terminale A'!Q45))</f>
        <v/>
      </c>
      <c r="R1245" s="18" t="str">
        <f>IF('Classe Terminale A'!$B45="","",N('Classe Terminale A'!N45))</f>
        <v/>
      </c>
      <c r="S1245" s="18" t="str">
        <f>IF('Classe Terminale A'!$B45="","",N('Classe Terminale A'!O45))</f>
        <v/>
      </c>
      <c r="T1245" s="18" t="str">
        <f>IF('Classe Terminale A'!$B45="","",N('Classe Terminale A'!P45))</f>
        <v/>
      </c>
    </row>
    <row r="1246">
      <c r="A1246" s="20" t="str">
        <f>IF('Classe Terminale A'!$B46="","",IF('Classe Terminale A'!A46="","",'Classe Terminale A'!A46))</f>
        <v/>
      </c>
      <c r="B1246" s="20" t="str">
        <f>IF('Classe Terminale A'!$B46="","",IF('Classe Terminale A'!B46="","",'Classe Terminale A'!B46))</f>
        <v/>
      </c>
      <c r="C1246" s="20" t="str">
        <f>IF('Classe Terminale A'!$B46="","",IF('Classe Terminale A'!C46="","",'Classe Terminale A'!C46))</f>
        <v/>
      </c>
      <c r="D1246" s="20" t="str">
        <f>IF($B1246="","",C1246&amp;" "&amp;B1246&amp;" - "&amp;E1246)</f>
        <v/>
      </c>
      <c r="E1246" s="21" t="str">
        <f>IF($B1246="","",Paramètres!$A$30)</f>
        <v/>
      </c>
      <c r="F1246" s="21" t="str">
        <f>IF($B1246="","",Paramètres!$B$30)</f>
        <v/>
      </c>
      <c r="G1246" s="21" t="str">
        <f>IF('Classe Terminale A'!$B46="","",IF('Classe Terminale A'!D46="","",'Classe Terminale A'!D46))</f>
        <v/>
      </c>
      <c r="H1246" s="77" t="str">
        <f>IF('Classe Terminale A'!$B46="","",IF('Classe Terminale A'!E46="","",'Classe Terminale A'!E46))</f>
        <v/>
      </c>
      <c r="I1246" s="20" t="str">
        <f>IF('Classe Terminale A'!$B46="","",IF('Classe Terminale A'!F46="","",'Classe Terminale A'!F46))</f>
        <v/>
      </c>
      <c r="J1246" s="20" t="str">
        <f>IF('Classe Terminale A'!$B46="","",IF('Classe Terminale A'!G46="","",'Classe Terminale A'!G46))</f>
        <v/>
      </c>
      <c r="K1246" s="51" t="str">
        <f>IF('Classe Terminale A'!$B46="","",N('Classe Terminale A'!H46))</f>
        <v/>
      </c>
      <c r="L1246" s="51" t="str">
        <f>IF('Classe Terminale A'!$B46="","",N('Classe Terminale A'!I46))</f>
        <v/>
      </c>
      <c r="M1246" s="51" t="str">
        <f>IF('Classe Terminale A'!$B46="","",N('Classe Terminale A'!J46))</f>
        <v/>
      </c>
      <c r="N1246" s="51" t="str">
        <f>IF('Classe Terminale A'!$B46="","",N('Classe Terminale A'!K46))</f>
        <v/>
      </c>
      <c r="O1246" s="51" t="str">
        <f>IF('Classe Terminale A'!$B46="","",N('Classe Terminale A'!L46))</f>
        <v/>
      </c>
      <c r="P1246" s="51" t="str">
        <f>IF('Classe Terminale A'!$B46="","",N('Classe Terminale A'!M46))</f>
        <v/>
      </c>
      <c r="Q1246" s="21" t="str">
        <f>IF('Classe Terminale A'!$B46="","",IF('Classe Terminale A'!Q46="","",'Classe Terminale A'!Q46))</f>
        <v/>
      </c>
      <c r="R1246" s="51" t="str">
        <f>IF('Classe Terminale A'!$B46="","",N('Classe Terminale A'!N46))</f>
        <v/>
      </c>
      <c r="S1246" s="51" t="str">
        <f>IF('Classe Terminale A'!$B46="","",N('Classe Terminale A'!O46))</f>
        <v/>
      </c>
      <c r="T1246" s="51" t="str">
        <f>IF('Classe Terminale A'!$B46="","",N('Classe Terminale A'!P46))</f>
        <v/>
      </c>
    </row>
    <row r="1247">
      <c r="A1247" s="16" t="str">
        <f>IF('Classe Terminale A'!$B47="","",IF('Classe Terminale A'!A47="","",'Classe Terminale A'!A47))</f>
        <v/>
      </c>
      <c r="B1247" s="16" t="str">
        <f>IF('Classe Terminale A'!$B47="","",IF('Classe Terminale A'!B47="","",'Classe Terminale A'!B47))</f>
        <v/>
      </c>
      <c r="C1247" s="16" t="str">
        <f>IF('Classe Terminale A'!$B47="","",IF('Classe Terminale A'!C47="","",'Classe Terminale A'!C47))</f>
        <v/>
      </c>
      <c r="D1247" s="16" t="str">
        <f>IF($B1247="","",C1247&amp;" "&amp;B1247&amp;" - "&amp;E1247)</f>
        <v/>
      </c>
      <c r="E1247" s="17" t="str">
        <f>IF($B1247="","",Paramètres!$A$30)</f>
        <v/>
      </c>
      <c r="F1247" s="17" t="str">
        <f>IF($B1247="","",Paramètres!$B$30)</f>
        <v/>
      </c>
      <c r="G1247" s="17" t="str">
        <f>IF('Classe Terminale A'!$B47="","",IF('Classe Terminale A'!D47="","",'Classe Terminale A'!D47))</f>
        <v/>
      </c>
      <c r="H1247" s="78" t="str">
        <f>IF('Classe Terminale A'!$B47="","",IF('Classe Terminale A'!E47="","",'Classe Terminale A'!E47))</f>
        <v/>
      </c>
      <c r="I1247" s="16" t="str">
        <f>IF('Classe Terminale A'!$B47="","",IF('Classe Terminale A'!F47="","",'Classe Terminale A'!F47))</f>
        <v/>
      </c>
      <c r="J1247" s="16" t="str">
        <f>IF('Classe Terminale A'!$B47="","",IF('Classe Terminale A'!G47="","",'Classe Terminale A'!G47))</f>
        <v/>
      </c>
      <c r="K1247" s="18" t="str">
        <f>IF('Classe Terminale A'!$B47="","",N('Classe Terminale A'!H47))</f>
        <v/>
      </c>
      <c r="L1247" s="18" t="str">
        <f>IF('Classe Terminale A'!$B47="","",N('Classe Terminale A'!I47))</f>
        <v/>
      </c>
      <c r="M1247" s="18" t="str">
        <f>IF('Classe Terminale A'!$B47="","",N('Classe Terminale A'!J47))</f>
        <v/>
      </c>
      <c r="N1247" s="18" t="str">
        <f>IF('Classe Terminale A'!$B47="","",N('Classe Terminale A'!K47))</f>
        <v/>
      </c>
      <c r="O1247" s="18" t="str">
        <f>IF('Classe Terminale A'!$B47="","",N('Classe Terminale A'!L47))</f>
        <v/>
      </c>
      <c r="P1247" s="18" t="str">
        <f>IF('Classe Terminale A'!$B47="","",N('Classe Terminale A'!M47))</f>
        <v/>
      </c>
      <c r="Q1247" s="17" t="str">
        <f>IF('Classe Terminale A'!$B47="","",IF('Classe Terminale A'!Q47="","",'Classe Terminale A'!Q47))</f>
        <v/>
      </c>
      <c r="R1247" s="18" t="str">
        <f>IF('Classe Terminale A'!$B47="","",N('Classe Terminale A'!N47))</f>
        <v/>
      </c>
      <c r="S1247" s="18" t="str">
        <f>IF('Classe Terminale A'!$B47="","",N('Classe Terminale A'!O47))</f>
        <v/>
      </c>
      <c r="T1247" s="18" t="str">
        <f>IF('Classe Terminale A'!$B47="","",N('Classe Terminale A'!P47))</f>
        <v/>
      </c>
    </row>
    <row r="1248">
      <c r="A1248" s="20" t="str">
        <f>IF('Classe Terminale A'!$B48="","",IF('Classe Terminale A'!A48="","",'Classe Terminale A'!A48))</f>
        <v/>
      </c>
      <c r="B1248" s="20" t="str">
        <f>IF('Classe Terminale A'!$B48="","",IF('Classe Terminale A'!B48="","",'Classe Terminale A'!B48))</f>
        <v/>
      </c>
      <c r="C1248" s="20" t="str">
        <f>IF('Classe Terminale A'!$B48="","",IF('Classe Terminale A'!C48="","",'Classe Terminale A'!C48))</f>
        <v/>
      </c>
      <c r="D1248" s="20" t="str">
        <f>IF($B1248="","",C1248&amp;" "&amp;B1248&amp;" - "&amp;E1248)</f>
        <v/>
      </c>
      <c r="E1248" s="21" t="str">
        <f>IF($B1248="","",Paramètres!$A$30)</f>
        <v/>
      </c>
      <c r="F1248" s="21" t="str">
        <f>IF($B1248="","",Paramètres!$B$30)</f>
        <v/>
      </c>
      <c r="G1248" s="21" t="str">
        <f>IF('Classe Terminale A'!$B48="","",IF('Classe Terminale A'!D48="","",'Classe Terminale A'!D48))</f>
        <v/>
      </c>
      <c r="H1248" s="77" t="str">
        <f>IF('Classe Terminale A'!$B48="","",IF('Classe Terminale A'!E48="","",'Classe Terminale A'!E48))</f>
        <v/>
      </c>
      <c r="I1248" s="20" t="str">
        <f>IF('Classe Terminale A'!$B48="","",IF('Classe Terminale A'!F48="","",'Classe Terminale A'!F48))</f>
        <v/>
      </c>
      <c r="J1248" s="20" t="str">
        <f>IF('Classe Terminale A'!$B48="","",IF('Classe Terminale A'!G48="","",'Classe Terminale A'!G48))</f>
        <v/>
      </c>
      <c r="K1248" s="51" t="str">
        <f>IF('Classe Terminale A'!$B48="","",N('Classe Terminale A'!H48))</f>
        <v/>
      </c>
      <c r="L1248" s="51" t="str">
        <f>IF('Classe Terminale A'!$B48="","",N('Classe Terminale A'!I48))</f>
        <v/>
      </c>
      <c r="M1248" s="51" t="str">
        <f>IF('Classe Terminale A'!$B48="","",N('Classe Terminale A'!J48))</f>
        <v/>
      </c>
      <c r="N1248" s="51" t="str">
        <f>IF('Classe Terminale A'!$B48="","",N('Classe Terminale A'!K48))</f>
        <v/>
      </c>
      <c r="O1248" s="51" t="str">
        <f>IF('Classe Terminale A'!$B48="","",N('Classe Terminale A'!L48))</f>
        <v/>
      </c>
      <c r="P1248" s="51" t="str">
        <f>IF('Classe Terminale A'!$B48="","",N('Classe Terminale A'!M48))</f>
        <v/>
      </c>
      <c r="Q1248" s="21" t="str">
        <f>IF('Classe Terminale A'!$B48="","",IF('Classe Terminale A'!Q48="","",'Classe Terminale A'!Q48))</f>
        <v/>
      </c>
      <c r="R1248" s="51" t="str">
        <f>IF('Classe Terminale A'!$B48="","",N('Classe Terminale A'!N48))</f>
        <v/>
      </c>
      <c r="S1248" s="51" t="str">
        <f>IF('Classe Terminale A'!$B48="","",N('Classe Terminale A'!O48))</f>
        <v/>
      </c>
      <c r="T1248" s="51" t="str">
        <f>IF('Classe Terminale A'!$B48="","",N('Classe Terminale A'!P48))</f>
        <v/>
      </c>
    </row>
    <row r="1249">
      <c r="A1249" s="16" t="str">
        <f>IF('Classe Terminale A'!$B49="","",IF('Classe Terminale A'!A49="","",'Classe Terminale A'!A49))</f>
        <v/>
      </c>
      <c r="B1249" s="16" t="str">
        <f>IF('Classe Terminale A'!$B49="","",IF('Classe Terminale A'!B49="","",'Classe Terminale A'!B49))</f>
        <v/>
      </c>
      <c r="C1249" s="16" t="str">
        <f>IF('Classe Terminale A'!$B49="","",IF('Classe Terminale A'!C49="","",'Classe Terminale A'!C49))</f>
        <v/>
      </c>
      <c r="D1249" s="16" t="str">
        <f>IF($B1249="","",C1249&amp;" "&amp;B1249&amp;" - "&amp;E1249)</f>
        <v/>
      </c>
      <c r="E1249" s="17" t="str">
        <f>IF($B1249="","",Paramètres!$A$30)</f>
        <v/>
      </c>
      <c r="F1249" s="17" t="str">
        <f>IF($B1249="","",Paramètres!$B$30)</f>
        <v/>
      </c>
      <c r="G1249" s="17" t="str">
        <f>IF('Classe Terminale A'!$B49="","",IF('Classe Terminale A'!D49="","",'Classe Terminale A'!D49))</f>
        <v/>
      </c>
      <c r="H1249" s="78" t="str">
        <f>IF('Classe Terminale A'!$B49="","",IF('Classe Terminale A'!E49="","",'Classe Terminale A'!E49))</f>
        <v/>
      </c>
      <c r="I1249" s="16" t="str">
        <f>IF('Classe Terminale A'!$B49="","",IF('Classe Terminale A'!F49="","",'Classe Terminale A'!F49))</f>
        <v/>
      </c>
      <c r="J1249" s="16" t="str">
        <f>IF('Classe Terminale A'!$B49="","",IF('Classe Terminale A'!G49="","",'Classe Terminale A'!G49))</f>
        <v/>
      </c>
      <c r="K1249" s="18" t="str">
        <f>IF('Classe Terminale A'!$B49="","",N('Classe Terminale A'!H49))</f>
        <v/>
      </c>
      <c r="L1249" s="18" t="str">
        <f>IF('Classe Terminale A'!$B49="","",N('Classe Terminale A'!I49))</f>
        <v/>
      </c>
      <c r="M1249" s="18" t="str">
        <f>IF('Classe Terminale A'!$B49="","",N('Classe Terminale A'!J49))</f>
        <v/>
      </c>
      <c r="N1249" s="18" t="str">
        <f>IF('Classe Terminale A'!$B49="","",N('Classe Terminale A'!K49))</f>
        <v/>
      </c>
      <c r="O1249" s="18" t="str">
        <f>IF('Classe Terminale A'!$B49="","",N('Classe Terminale A'!L49))</f>
        <v/>
      </c>
      <c r="P1249" s="18" t="str">
        <f>IF('Classe Terminale A'!$B49="","",N('Classe Terminale A'!M49))</f>
        <v/>
      </c>
      <c r="Q1249" s="17" t="str">
        <f>IF('Classe Terminale A'!$B49="","",IF('Classe Terminale A'!Q49="","",'Classe Terminale A'!Q49))</f>
        <v/>
      </c>
      <c r="R1249" s="18" t="str">
        <f>IF('Classe Terminale A'!$B49="","",N('Classe Terminale A'!N49))</f>
        <v/>
      </c>
      <c r="S1249" s="18" t="str">
        <f>IF('Classe Terminale A'!$B49="","",N('Classe Terminale A'!O49))</f>
        <v/>
      </c>
      <c r="T1249" s="18" t="str">
        <f>IF('Classe Terminale A'!$B49="","",N('Classe Terminale A'!P49))</f>
        <v/>
      </c>
    </row>
    <row r="1250">
      <c r="A1250" s="20" t="str">
        <f>IF('Classe Terminale A'!$B50="","",IF('Classe Terminale A'!A50="","",'Classe Terminale A'!A50))</f>
        <v/>
      </c>
      <c r="B1250" s="20" t="str">
        <f>IF('Classe Terminale A'!$B50="","",IF('Classe Terminale A'!B50="","",'Classe Terminale A'!B50))</f>
        <v/>
      </c>
      <c r="C1250" s="20" t="str">
        <f>IF('Classe Terminale A'!$B50="","",IF('Classe Terminale A'!C50="","",'Classe Terminale A'!C50))</f>
        <v/>
      </c>
      <c r="D1250" s="20" t="str">
        <f>IF($B1250="","",C1250&amp;" "&amp;B1250&amp;" - "&amp;E1250)</f>
        <v/>
      </c>
      <c r="E1250" s="21" t="str">
        <f>IF($B1250="","",Paramètres!$A$30)</f>
        <v/>
      </c>
      <c r="F1250" s="21" t="str">
        <f>IF($B1250="","",Paramètres!$B$30)</f>
        <v/>
      </c>
      <c r="G1250" s="21" t="str">
        <f>IF('Classe Terminale A'!$B50="","",IF('Classe Terminale A'!D50="","",'Classe Terminale A'!D50))</f>
        <v/>
      </c>
      <c r="H1250" s="77" t="str">
        <f>IF('Classe Terminale A'!$B50="","",IF('Classe Terminale A'!E50="","",'Classe Terminale A'!E50))</f>
        <v/>
      </c>
      <c r="I1250" s="20" t="str">
        <f>IF('Classe Terminale A'!$B50="","",IF('Classe Terminale A'!F50="","",'Classe Terminale A'!F50))</f>
        <v/>
      </c>
      <c r="J1250" s="20" t="str">
        <f>IF('Classe Terminale A'!$B50="","",IF('Classe Terminale A'!G50="","",'Classe Terminale A'!G50))</f>
        <v/>
      </c>
      <c r="K1250" s="51" t="str">
        <f>IF('Classe Terminale A'!$B50="","",N('Classe Terminale A'!H50))</f>
        <v/>
      </c>
      <c r="L1250" s="51" t="str">
        <f>IF('Classe Terminale A'!$B50="","",N('Classe Terminale A'!I50))</f>
        <v/>
      </c>
      <c r="M1250" s="51" t="str">
        <f>IF('Classe Terminale A'!$B50="","",N('Classe Terminale A'!J50))</f>
        <v/>
      </c>
      <c r="N1250" s="51" t="str">
        <f>IF('Classe Terminale A'!$B50="","",N('Classe Terminale A'!K50))</f>
        <v/>
      </c>
      <c r="O1250" s="51" t="str">
        <f>IF('Classe Terminale A'!$B50="","",N('Classe Terminale A'!L50))</f>
        <v/>
      </c>
      <c r="P1250" s="51" t="str">
        <f>IF('Classe Terminale A'!$B50="","",N('Classe Terminale A'!M50))</f>
        <v/>
      </c>
      <c r="Q1250" s="21" t="str">
        <f>IF('Classe Terminale A'!$B50="","",IF('Classe Terminale A'!Q50="","",'Classe Terminale A'!Q50))</f>
        <v/>
      </c>
      <c r="R1250" s="51" t="str">
        <f>IF('Classe Terminale A'!$B50="","",N('Classe Terminale A'!N50))</f>
        <v/>
      </c>
      <c r="S1250" s="51" t="str">
        <f>IF('Classe Terminale A'!$B50="","",N('Classe Terminale A'!O50))</f>
        <v/>
      </c>
      <c r="T1250" s="51" t="str">
        <f>IF('Classe Terminale A'!$B50="","",N('Classe Terminale A'!P50))</f>
        <v/>
      </c>
    </row>
    <row r="1251">
      <c r="A1251" s="16" t="str">
        <f>IF('Classe Terminale A'!$B51="","",IF('Classe Terminale A'!A51="","",'Classe Terminale A'!A51))</f>
        <v/>
      </c>
      <c r="B1251" s="16" t="str">
        <f>IF('Classe Terminale A'!$B51="","",IF('Classe Terminale A'!B51="","",'Classe Terminale A'!B51))</f>
        <v/>
      </c>
      <c r="C1251" s="16" t="str">
        <f>IF('Classe Terminale A'!$B51="","",IF('Classe Terminale A'!C51="","",'Classe Terminale A'!C51))</f>
        <v/>
      </c>
      <c r="D1251" s="16" t="str">
        <f>IF($B1251="","",C1251&amp;" "&amp;B1251&amp;" - "&amp;E1251)</f>
        <v/>
      </c>
      <c r="E1251" s="17" t="str">
        <f>IF($B1251="","",Paramètres!$A$30)</f>
        <v/>
      </c>
      <c r="F1251" s="17" t="str">
        <f>IF($B1251="","",Paramètres!$B$30)</f>
        <v/>
      </c>
      <c r="G1251" s="17" t="str">
        <f>IF('Classe Terminale A'!$B51="","",IF('Classe Terminale A'!D51="","",'Classe Terminale A'!D51))</f>
        <v/>
      </c>
      <c r="H1251" s="78" t="str">
        <f>IF('Classe Terminale A'!$B51="","",IF('Classe Terminale A'!E51="","",'Classe Terminale A'!E51))</f>
        <v/>
      </c>
      <c r="I1251" s="16" t="str">
        <f>IF('Classe Terminale A'!$B51="","",IF('Classe Terminale A'!F51="","",'Classe Terminale A'!F51))</f>
        <v/>
      </c>
      <c r="J1251" s="16" t="str">
        <f>IF('Classe Terminale A'!$B51="","",IF('Classe Terminale A'!G51="","",'Classe Terminale A'!G51))</f>
        <v/>
      </c>
      <c r="K1251" s="18" t="str">
        <f>IF('Classe Terminale A'!$B51="","",N('Classe Terminale A'!H51))</f>
        <v/>
      </c>
      <c r="L1251" s="18" t="str">
        <f>IF('Classe Terminale A'!$B51="","",N('Classe Terminale A'!I51))</f>
        <v/>
      </c>
      <c r="M1251" s="18" t="str">
        <f>IF('Classe Terminale A'!$B51="","",N('Classe Terminale A'!J51))</f>
        <v/>
      </c>
      <c r="N1251" s="18" t="str">
        <f>IF('Classe Terminale A'!$B51="","",N('Classe Terminale A'!K51))</f>
        <v/>
      </c>
      <c r="O1251" s="18" t="str">
        <f>IF('Classe Terminale A'!$B51="","",N('Classe Terminale A'!L51))</f>
        <v/>
      </c>
      <c r="P1251" s="18" t="str">
        <f>IF('Classe Terminale A'!$B51="","",N('Classe Terminale A'!M51))</f>
        <v/>
      </c>
      <c r="Q1251" s="17" t="str">
        <f>IF('Classe Terminale A'!$B51="","",IF('Classe Terminale A'!Q51="","",'Classe Terminale A'!Q51))</f>
        <v/>
      </c>
      <c r="R1251" s="18" t="str">
        <f>IF('Classe Terminale A'!$B51="","",N('Classe Terminale A'!N51))</f>
        <v/>
      </c>
      <c r="S1251" s="18" t="str">
        <f>IF('Classe Terminale A'!$B51="","",N('Classe Terminale A'!O51))</f>
        <v/>
      </c>
      <c r="T1251" s="18" t="str">
        <f>IF('Classe Terminale A'!$B51="","",N('Classe Terminale A'!P51))</f>
        <v/>
      </c>
    </row>
    <row r="1252">
      <c r="A1252" s="20" t="str">
        <f>IF('Classe Terminale A'!$B52="","",IF('Classe Terminale A'!A52="","",'Classe Terminale A'!A52))</f>
        <v/>
      </c>
      <c r="B1252" s="20" t="str">
        <f>IF('Classe Terminale A'!$B52="","",IF('Classe Terminale A'!B52="","",'Classe Terminale A'!B52))</f>
        <v/>
      </c>
      <c r="C1252" s="20" t="str">
        <f>IF('Classe Terminale A'!$B52="","",IF('Classe Terminale A'!C52="","",'Classe Terminale A'!C52))</f>
        <v/>
      </c>
      <c r="D1252" s="20" t="str">
        <f>IF($B1252="","",C1252&amp;" "&amp;B1252&amp;" - "&amp;E1252)</f>
        <v/>
      </c>
      <c r="E1252" s="21" t="str">
        <f>IF($B1252="","",Paramètres!$A$30)</f>
        <v/>
      </c>
      <c r="F1252" s="21" t="str">
        <f>IF($B1252="","",Paramètres!$B$30)</f>
        <v/>
      </c>
      <c r="G1252" s="21" t="str">
        <f>IF('Classe Terminale A'!$B52="","",IF('Classe Terminale A'!D52="","",'Classe Terminale A'!D52))</f>
        <v/>
      </c>
      <c r="H1252" s="77" t="str">
        <f>IF('Classe Terminale A'!$B52="","",IF('Classe Terminale A'!E52="","",'Classe Terminale A'!E52))</f>
        <v/>
      </c>
      <c r="I1252" s="20" t="str">
        <f>IF('Classe Terminale A'!$B52="","",IF('Classe Terminale A'!F52="","",'Classe Terminale A'!F52))</f>
        <v/>
      </c>
      <c r="J1252" s="20" t="str">
        <f>IF('Classe Terminale A'!$B52="","",IF('Classe Terminale A'!G52="","",'Classe Terminale A'!G52))</f>
        <v/>
      </c>
      <c r="K1252" s="51" t="str">
        <f>IF('Classe Terminale A'!$B52="","",N('Classe Terminale A'!H52))</f>
        <v/>
      </c>
      <c r="L1252" s="51" t="str">
        <f>IF('Classe Terminale A'!$B52="","",N('Classe Terminale A'!I52))</f>
        <v/>
      </c>
      <c r="M1252" s="51" t="str">
        <f>IF('Classe Terminale A'!$B52="","",N('Classe Terminale A'!J52))</f>
        <v/>
      </c>
      <c r="N1252" s="51" t="str">
        <f>IF('Classe Terminale A'!$B52="","",N('Classe Terminale A'!K52))</f>
        <v/>
      </c>
      <c r="O1252" s="51" t="str">
        <f>IF('Classe Terminale A'!$B52="","",N('Classe Terminale A'!L52))</f>
        <v/>
      </c>
      <c r="P1252" s="51" t="str">
        <f>IF('Classe Terminale A'!$B52="","",N('Classe Terminale A'!M52))</f>
        <v/>
      </c>
      <c r="Q1252" s="21" t="str">
        <f>IF('Classe Terminale A'!$B52="","",IF('Classe Terminale A'!Q52="","",'Classe Terminale A'!Q52))</f>
        <v/>
      </c>
      <c r="R1252" s="51" t="str">
        <f>IF('Classe Terminale A'!$B52="","",N('Classe Terminale A'!N52))</f>
        <v/>
      </c>
      <c r="S1252" s="51" t="str">
        <f>IF('Classe Terminale A'!$B52="","",N('Classe Terminale A'!O52))</f>
        <v/>
      </c>
      <c r="T1252" s="51" t="str">
        <f>IF('Classe Terminale A'!$B52="","",N('Classe Terminale A'!P52))</f>
        <v/>
      </c>
    </row>
    <row r="1253">
      <c r="A1253" s="16" t="str">
        <f>IF('Classe Terminale A'!$B53="","",IF('Classe Terminale A'!A53="","",'Classe Terminale A'!A53))</f>
        <v/>
      </c>
      <c r="B1253" s="16" t="str">
        <f>IF('Classe Terminale A'!$B53="","",IF('Classe Terminale A'!B53="","",'Classe Terminale A'!B53))</f>
        <v/>
      </c>
      <c r="C1253" s="16" t="str">
        <f>IF('Classe Terminale A'!$B53="","",IF('Classe Terminale A'!C53="","",'Classe Terminale A'!C53))</f>
        <v/>
      </c>
      <c r="D1253" s="16" t="str">
        <f>IF($B1253="","",C1253&amp;" "&amp;B1253&amp;" - "&amp;E1253)</f>
        <v/>
      </c>
      <c r="E1253" s="17" t="str">
        <f>IF($B1253="","",Paramètres!$A$30)</f>
        <v/>
      </c>
      <c r="F1253" s="17" t="str">
        <f>IF($B1253="","",Paramètres!$B$30)</f>
        <v/>
      </c>
      <c r="G1253" s="17" t="str">
        <f>IF('Classe Terminale A'!$B53="","",IF('Classe Terminale A'!D53="","",'Classe Terminale A'!D53))</f>
        <v/>
      </c>
      <c r="H1253" s="78" t="str">
        <f>IF('Classe Terminale A'!$B53="","",IF('Classe Terminale A'!E53="","",'Classe Terminale A'!E53))</f>
        <v/>
      </c>
      <c r="I1253" s="16" t="str">
        <f>IF('Classe Terminale A'!$B53="","",IF('Classe Terminale A'!F53="","",'Classe Terminale A'!F53))</f>
        <v/>
      </c>
      <c r="J1253" s="16" t="str">
        <f>IF('Classe Terminale A'!$B53="","",IF('Classe Terminale A'!G53="","",'Classe Terminale A'!G53))</f>
        <v/>
      </c>
      <c r="K1253" s="18" t="str">
        <f>IF('Classe Terminale A'!$B53="","",N('Classe Terminale A'!H53))</f>
        <v/>
      </c>
      <c r="L1253" s="18" t="str">
        <f>IF('Classe Terminale A'!$B53="","",N('Classe Terminale A'!I53))</f>
        <v/>
      </c>
      <c r="M1253" s="18" t="str">
        <f>IF('Classe Terminale A'!$B53="","",N('Classe Terminale A'!J53))</f>
        <v/>
      </c>
      <c r="N1253" s="18" t="str">
        <f>IF('Classe Terminale A'!$B53="","",N('Classe Terminale A'!K53))</f>
        <v/>
      </c>
      <c r="O1253" s="18" t="str">
        <f>IF('Classe Terminale A'!$B53="","",N('Classe Terminale A'!L53))</f>
        <v/>
      </c>
      <c r="P1253" s="18" t="str">
        <f>IF('Classe Terminale A'!$B53="","",N('Classe Terminale A'!M53))</f>
        <v/>
      </c>
      <c r="Q1253" s="17" t="str">
        <f>IF('Classe Terminale A'!$B53="","",IF('Classe Terminale A'!Q53="","",'Classe Terminale A'!Q53))</f>
        <v/>
      </c>
      <c r="R1253" s="18" t="str">
        <f>IF('Classe Terminale A'!$B53="","",N('Classe Terminale A'!N53))</f>
        <v/>
      </c>
      <c r="S1253" s="18" t="str">
        <f>IF('Classe Terminale A'!$B53="","",N('Classe Terminale A'!O53))</f>
        <v/>
      </c>
      <c r="T1253" s="18" t="str">
        <f>IF('Classe Terminale A'!$B53="","",N('Classe Terminale A'!P53))</f>
        <v/>
      </c>
    </row>
    <row r="1254">
      <c r="A1254" s="20" t="str">
        <f>IF('Classe Terminale A'!$B54="","",IF('Classe Terminale A'!A54="","",'Classe Terminale A'!A54))</f>
        <v/>
      </c>
      <c r="B1254" s="20" t="str">
        <f>IF('Classe Terminale A'!$B54="","",IF('Classe Terminale A'!B54="","",'Classe Terminale A'!B54))</f>
        <v/>
      </c>
      <c r="C1254" s="20" t="str">
        <f>IF('Classe Terminale A'!$B54="","",IF('Classe Terminale A'!C54="","",'Classe Terminale A'!C54))</f>
        <v/>
      </c>
      <c r="D1254" s="20" t="str">
        <f>IF($B1254="","",C1254&amp;" "&amp;B1254&amp;" - "&amp;E1254)</f>
        <v/>
      </c>
      <c r="E1254" s="21" t="str">
        <f>IF($B1254="","",Paramètres!$A$30)</f>
        <v/>
      </c>
      <c r="F1254" s="21" t="str">
        <f>IF($B1254="","",Paramètres!$B$30)</f>
        <v/>
      </c>
      <c r="G1254" s="21" t="str">
        <f>IF('Classe Terminale A'!$B54="","",IF('Classe Terminale A'!D54="","",'Classe Terminale A'!D54))</f>
        <v/>
      </c>
      <c r="H1254" s="77" t="str">
        <f>IF('Classe Terminale A'!$B54="","",IF('Classe Terminale A'!E54="","",'Classe Terminale A'!E54))</f>
        <v/>
      </c>
      <c r="I1254" s="20" t="str">
        <f>IF('Classe Terminale A'!$B54="","",IF('Classe Terminale A'!F54="","",'Classe Terminale A'!F54))</f>
        <v/>
      </c>
      <c r="J1254" s="20" t="str">
        <f>IF('Classe Terminale A'!$B54="","",IF('Classe Terminale A'!G54="","",'Classe Terminale A'!G54))</f>
        <v/>
      </c>
      <c r="K1254" s="51" t="str">
        <f>IF('Classe Terminale A'!$B54="","",N('Classe Terminale A'!H54))</f>
        <v/>
      </c>
      <c r="L1254" s="51" t="str">
        <f>IF('Classe Terminale A'!$B54="","",N('Classe Terminale A'!I54))</f>
        <v/>
      </c>
      <c r="M1254" s="51" t="str">
        <f>IF('Classe Terminale A'!$B54="","",N('Classe Terminale A'!J54))</f>
        <v/>
      </c>
      <c r="N1254" s="51" t="str">
        <f>IF('Classe Terminale A'!$B54="","",N('Classe Terminale A'!K54))</f>
        <v/>
      </c>
      <c r="O1254" s="51" t="str">
        <f>IF('Classe Terminale A'!$B54="","",N('Classe Terminale A'!L54))</f>
        <v/>
      </c>
      <c r="P1254" s="51" t="str">
        <f>IF('Classe Terminale A'!$B54="","",N('Classe Terminale A'!M54))</f>
        <v/>
      </c>
      <c r="Q1254" s="21" t="str">
        <f>IF('Classe Terminale A'!$B54="","",IF('Classe Terminale A'!Q54="","",'Classe Terminale A'!Q54))</f>
        <v/>
      </c>
      <c r="R1254" s="51" t="str">
        <f>IF('Classe Terminale A'!$B54="","",N('Classe Terminale A'!N54))</f>
        <v/>
      </c>
      <c r="S1254" s="51" t="str">
        <f>IF('Classe Terminale A'!$B54="","",N('Classe Terminale A'!O54))</f>
        <v/>
      </c>
      <c r="T1254" s="51" t="str">
        <f>IF('Classe Terminale A'!$B54="","",N('Classe Terminale A'!P54))</f>
        <v/>
      </c>
    </row>
    <row r="1255">
      <c r="A1255" s="16" t="str">
        <f>IF('Classe Terminale A'!$B55="","",IF('Classe Terminale A'!A55="","",'Classe Terminale A'!A55))</f>
        <v/>
      </c>
      <c r="B1255" s="16" t="str">
        <f>IF('Classe Terminale A'!$B55="","",IF('Classe Terminale A'!B55="","",'Classe Terminale A'!B55))</f>
        <v/>
      </c>
      <c r="C1255" s="16" t="str">
        <f>IF('Classe Terminale A'!$B55="","",IF('Classe Terminale A'!C55="","",'Classe Terminale A'!C55))</f>
        <v/>
      </c>
      <c r="D1255" s="16" t="str">
        <f>IF($B1255="","",C1255&amp;" "&amp;B1255&amp;" - "&amp;E1255)</f>
        <v/>
      </c>
      <c r="E1255" s="17" t="str">
        <f>IF($B1255="","",Paramètres!$A$30)</f>
        <v/>
      </c>
      <c r="F1255" s="17" t="str">
        <f>IF($B1255="","",Paramètres!$B$30)</f>
        <v/>
      </c>
      <c r="G1255" s="17" t="str">
        <f>IF('Classe Terminale A'!$B55="","",IF('Classe Terminale A'!D55="","",'Classe Terminale A'!D55))</f>
        <v/>
      </c>
      <c r="H1255" s="78" t="str">
        <f>IF('Classe Terminale A'!$B55="","",IF('Classe Terminale A'!E55="","",'Classe Terminale A'!E55))</f>
        <v/>
      </c>
      <c r="I1255" s="16" t="str">
        <f>IF('Classe Terminale A'!$B55="","",IF('Classe Terminale A'!F55="","",'Classe Terminale A'!F55))</f>
        <v/>
      </c>
      <c r="J1255" s="16" t="str">
        <f>IF('Classe Terminale A'!$B55="","",IF('Classe Terminale A'!G55="","",'Classe Terminale A'!G55))</f>
        <v/>
      </c>
      <c r="K1255" s="18" t="str">
        <f>IF('Classe Terminale A'!$B55="","",N('Classe Terminale A'!H55))</f>
        <v/>
      </c>
      <c r="L1255" s="18" t="str">
        <f>IF('Classe Terminale A'!$B55="","",N('Classe Terminale A'!I55))</f>
        <v/>
      </c>
      <c r="M1255" s="18" t="str">
        <f>IF('Classe Terminale A'!$B55="","",N('Classe Terminale A'!J55))</f>
        <v/>
      </c>
      <c r="N1255" s="18" t="str">
        <f>IF('Classe Terminale A'!$B55="","",N('Classe Terminale A'!K55))</f>
        <v/>
      </c>
      <c r="O1255" s="18" t="str">
        <f>IF('Classe Terminale A'!$B55="","",N('Classe Terminale A'!L55))</f>
        <v/>
      </c>
      <c r="P1255" s="18" t="str">
        <f>IF('Classe Terminale A'!$B55="","",N('Classe Terminale A'!M55))</f>
        <v/>
      </c>
      <c r="Q1255" s="17" t="str">
        <f>IF('Classe Terminale A'!$B55="","",IF('Classe Terminale A'!Q55="","",'Classe Terminale A'!Q55))</f>
        <v/>
      </c>
      <c r="R1255" s="18" t="str">
        <f>IF('Classe Terminale A'!$B55="","",N('Classe Terminale A'!N55))</f>
        <v/>
      </c>
      <c r="S1255" s="18" t="str">
        <f>IF('Classe Terminale A'!$B55="","",N('Classe Terminale A'!O55))</f>
        <v/>
      </c>
      <c r="T1255" s="18" t="str">
        <f>IF('Classe Terminale A'!$B55="","",N('Classe Terminale A'!P55))</f>
        <v/>
      </c>
    </row>
    <row r="1256">
      <c r="A1256" s="20" t="str">
        <f>IF('Classe Terminale A'!$B56="","",IF('Classe Terminale A'!A56="","",'Classe Terminale A'!A56))</f>
        <v/>
      </c>
      <c r="B1256" s="20" t="str">
        <f>IF('Classe Terminale A'!$B56="","",IF('Classe Terminale A'!B56="","",'Classe Terminale A'!B56))</f>
        <v/>
      </c>
      <c r="C1256" s="20" t="str">
        <f>IF('Classe Terminale A'!$B56="","",IF('Classe Terminale A'!C56="","",'Classe Terminale A'!C56))</f>
        <v/>
      </c>
      <c r="D1256" s="20" t="str">
        <f>IF($B1256="","",C1256&amp;" "&amp;B1256&amp;" - "&amp;E1256)</f>
        <v/>
      </c>
      <c r="E1256" s="21" t="str">
        <f>IF($B1256="","",Paramètres!$A$30)</f>
        <v/>
      </c>
      <c r="F1256" s="21" t="str">
        <f>IF($B1256="","",Paramètres!$B$30)</f>
        <v/>
      </c>
      <c r="G1256" s="21" t="str">
        <f>IF('Classe Terminale A'!$B56="","",IF('Classe Terminale A'!D56="","",'Classe Terminale A'!D56))</f>
        <v/>
      </c>
      <c r="H1256" s="77" t="str">
        <f>IF('Classe Terminale A'!$B56="","",IF('Classe Terminale A'!E56="","",'Classe Terminale A'!E56))</f>
        <v/>
      </c>
      <c r="I1256" s="20" t="str">
        <f>IF('Classe Terminale A'!$B56="","",IF('Classe Terminale A'!F56="","",'Classe Terminale A'!F56))</f>
        <v/>
      </c>
      <c r="J1256" s="20" t="str">
        <f>IF('Classe Terminale A'!$B56="","",IF('Classe Terminale A'!G56="","",'Classe Terminale A'!G56))</f>
        <v/>
      </c>
      <c r="K1256" s="51" t="str">
        <f>IF('Classe Terminale A'!$B56="","",N('Classe Terminale A'!H56))</f>
        <v/>
      </c>
      <c r="L1256" s="51" t="str">
        <f>IF('Classe Terminale A'!$B56="","",N('Classe Terminale A'!I56))</f>
        <v/>
      </c>
      <c r="M1256" s="51" t="str">
        <f>IF('Classe Terminale A'!$B56="","",N('Classe Terminale A'!J56))</f>
        <v/>
      </c>
      <c r="N1256" s="51" t="str">
        <f>IF('Classe Terminale A'!$B56="","",N('Classe Terminale A'!K56))</f>
        <v/>
      </c>
      <c r="O1256" s="51" t="str">
        <f>IF('Classe Terminale A'!$B56="","",N('Classe Terminale A'!L56))</f>
        <v/>
      </c>
      <c r="P1256" s="51" t="str">
        <f>IF('Classe Terminale A'!$B56="","",N('Classe Terminale A'!M56))</f>
        <v/>
      </c>
      <c r="Q1256" s="21" t="str">
        <f>IF('Classe Terminale A'!$B56="","",IF('Classe Terminale A'!Q56="","",'Classe Terminale A'!Q56))</f>
        <v/>
      </c>
      <c r="R1256" s="51" t="str">
        <f>IF('Classe Terminale A'!$B56="","",N('Classe Terminale A'!N56))</f>
        <v/>
      </c>
      <c r="S1256" s="51" t="str">
        <f>IF('Classe Terminale A'!$B56="","",N('Classe Terminale A'!O56))</f>
        <v/>
      </c>
      <c r="T1256" s="51" t="str">
        <f>IF('Classe Terminale A'!$B56="","",N('Classe Terminale A'!P56))</f>
        <v/>
      </c>
    </row>
    <row r="1257">
      <c r="A1257" s="16" t="str">
        <f>IF('Classe Terminale A'!$B57="","",IF('Classe Terminale A'!A57="","",'Classe Terminale A'!A57))</f>
        <v/>
      </c>
      <c r="B1257" s="16" t="str">
        <f>IF('Classe Terminale A'!$B57="","",IF('Classe Terminale A'!B57="","",'Classe Terminale A'!B57))</f>
        <v/>
      </c>
      <c r="C1257" s="16" t="str">
        <f>IF('Classe Terminale A'!$B57="","",IF('Classe Terminale A'!C57="","",'Classe Terminale A'!C57))</f>
        <v/>
      </c>
      <c r="D1257" s="16" t="str">
        <f>IF($B1257="","",C1257&amp;" "&amp;B1257&amp;" - "&amp;E1257)</f>
        <v/>
      </c>
      <c r="E1257" s="17" t="str">
        <f>IF($B1257="","",Paramètres!$A$30)</f>
        <v/>
      </c>
      <c r="F1257" s="17" t="str">
        <f>IF($B1257="","",Paramètres!$B$30)</f>
        <v/>
      </c>
      <c r="G1257" s="17" t="str">
        <f>IF('Classe Terminale A'!$B57="","",IF('Classe Terminale A'!D57="","",'Classe Terminale A'!D57))</f>
        <v/>
      </c>
      <c r="H1257" s="78" t="str">
        <f>IF('Classe Terminale A'!$B57="","",IF('Classe Terminale A'!E57="","",'Classe Terminale A'!E57))</f>
        <v/>
      </c>
      <c r="I1257" s="16" t="str">
        <f>IF('Classe Terminale A'!$B57="","",IF('Classe Terminale A'!F57="","",'Classe Terminale A'!F57))</f>
        <v/>
      </c>
      <c r="J1257" s="16" t="str">
        <f>IF('Classe Terminale A'!$B57="","",IF('Classe Terminale A'!G57="","",'Classe Terminale A'!G57))</f>
        <v/>
      </c>
      <c r="K1257" s="18" t="str">
        <f>IF('Classe Terminale A'!$B57="","",N('Classe Terminale A'!H57))</f>
        <v/>
      </c>
      <c r="L1257" s="18" t="str">
        <f>IF('Classe Terminale A'!$B57="","",N('Classe Terminale A'!I57))</f>
        <v/>
      </c>
      <c r="M1257" s="18" t="str">
        <f>IF('Classe Terminale A'!$B57="","",N('Classe Terminale A'!J57))</f>
        <v/>
      </c>
      <c r="N1257" s="18" t="str">
        <f>IF('Classe Terminale A'!$B57="","",N('Classe Terminale A'!K57))</f>
        <v/>
      </c>
      <c r="O1257" s="18" t="str">
        <f>IF('Classe Terminale A'!$B57="","",N('Classe Terminale A'!L57))</f>
        <v/>
      </c>
      <c r="P1257" s="18" t="str">
        <f>IF('Classe Terminale A'!$B57="","",N('Classe Terminale A'!M57))</f>
        <v/>
      </c>
      <c r="Q1257" s="17" t="str">
        <f>IF('Classe Terminale A'!$B57="","",IF('Classe Terminale A'!Q57="","",'Classe Terminale A'!Q57))</f>
        <v/>
      </c>
      <c r="R1257" s="18" t="str">
        <f>IF('Classe Terminale A'!$B57="","",N('Classe Terminale A'!N57))</f>
        <v/>
      </c>
      <c r="S1257" s="18" t="str">
        <f>IF('Classe Terminale A'!$B57="","",N('Classe Terminale A'!O57))</f>
        <v/>
      </c>
      <c r="T1257" s="18" t="str">
        <f>IF('Classe Terminale A'!$B57="","",N('Classe Terminale A'!P57))</f>
        <v/>
      </c>
    </row>
    <row r="1258">
      <c r="A1258" s="20" t="str">
        <f>IF('Classe Terminale A'!$B58="","",IF('Classe Terminale A'!A58="","",'Classe Terminale A'!A58))</f>
        <v/>
      </c>
      <c r="B1258" s="20" t="str">
        <f>IF('Classe Terminale A'!$B58="","",IF('Classe Terminale A'!B58="","",'Classe Terminale A'!B58))</f>
        <v/>
      </c>
      <c r="C1258" s="20" t="str">
        <f>IF('Classe Terminale A'!$B58="","",IF('Classe Terminale A'!C58="","",'Classe Terminale A'!C58))</f>
        <v/>
      </c>
      <c r="D1258" s="20" t="str">
        <f>IF($B1258="","",C1258&amp;" "&amp;B1258&amp;" - "&amp;E1258)</f>
        <v/>
      </c>
      <c r="E1258" s="21" t="str">
        <f>IF($B1258="","",Paramètres!$A$30)</f>
        <v/>
      </c>
      <c r="F1258" s="21" t="str">
        <f>IF($B1258="","",Paramètres!$B$30)</f>
        <v/>
      </c>
      <c r="G1258" s="21" t="str">
        <f>IF('Classe Terminale A'!$B58="","",IF('Classe Terminale A'!D58="","",'Classe Terminale A'!D58))</f>
        <v/>
      </c>
      <c r="H1258" s="77" t="str">
        <f>IF('Classe Terminale A'!$B58="","",IF('Classe Terminale A'!E58="","",'Classe Terminale A'!E58))</f>
        <v/>
      </c>
      <c r="I1258" s="20" t="str">
        <f>IF('Classe Terminale A'!$B58="","",IF('Classe Terminale A'!F58="","",'Classe Terminale A'!F58))</f>
        <v/>
      </c>
      <c r="J1258" s="20" t="str">
        <f>IF('Classe Terminale A'!$B58="","",IF('Classe Terminale A'!G58="","",'Classe Terminale A'!G58))</f>
        <v/>
      </c>
      <c r="K1258" s="51" t="str">
        <f>IF('Classe Terminale A'!$B58="","",N('Classe Terminale A'!H58))</f>
        <v/>
      </c>
      <c r="L1258" s="51" t="str">
        <f>IF('Classe Terminale A'!$B58="","",N('Classe Terminale A'!I58))</f>
        <v/>
      </c>
      <c r="M1258" s="51" t="str">
        <f>IF('Classe Terminale A'!$B58="","",N('Classe Terminale A'!J58))</f>
        <v/>
      </c>
      <c r="N1258" s="51" t="str">
        <f>IF('Classe Terminale A'!$B58="","",N('Classe Terminale A'!K58))</f>
        <v/>
      </c>
      <c r="O1258" s="51" t="str">
        <f>IF('Classe Terminale A'!$B58="","",N('Classe Terminale A'!L58))</f>
        <v/>
      </c>
      <c r="P1258" s="51" t="str">
        <f>IF('Classe Terminale A'!$B58="","",N('Classe Terminale A'!M58))</f>
        <v/>
      </c>
      <c r="Q1258" s="21" t="str">
        <f>IF('Classe Terminale A'!$B58="","",IF('Classe Terminale A'!Q58="","",'Classe Terminale A'!Q58))</f>
        <v/>
      </c>
      <c r="R1258" s="51" t="str">
        <f>IF('Classe Terminale A'!$B58="","",N('Classe Terminale A'!N58))</f>
        <v/>
      </c>
      <c r="S1258" s="51" t="str">
        <f>IF('Classe Terminale A'!$B58="","",N('Classe Terminale A'!O58))</f>
        <v/>
      </c>
      <c r="T1258" s="51" t="str">
        <f>IF('Classe Terminale A'!$B58="","",N('Classe Terminale A'!P58))</f>
        <v/>
      </c>
    </row>
    <row r="1259">
      <c r="A1259" s="16" t="str">
        <f>IF('Classe Terminale A'!$B59="","",IF('Classe Terminale A'!A59="","",'Classe Terminale A'!A59))</f>
        <v/>
      </c>
      <c r="B1259" s="16" t="str">
        <f>IF('Classe Terminale A'!$B59="","",IF('Classe Terminale A'!B59="","",'Classe Terminale A'!B59))</f>
        <v/>
      </c>
      <c r="C1259" s="16" t="str">
        <f>IF('Classe Terminale A'!$B59="","",IF('Classe Terminale A'!C59="","",'Classe Terminale A'!C59))</f>
        <v/>
      </c>
      <c r="D1259" s="16" t="str">
        <f>IF($B1259="","",C1259&amp;" "&amp;B1259&amp;" - "&amp;E1259)</f>
        <v/>
      </c>
      <c r="E1259" s="17" t="str">
        <f>IF($B1259="","",Paramètres!$A$30)</f>
        <v/>
      </c>
      <c r="F1259" s="17" t="str">
        <f>IF($B1259="","",Paramètres!$B$30)</f>
        <v/>
      </c>
      <c r="G1259" s="17" t="str">
        <f>IF('Classe Terminale A'!$B59="","",IF('Classe Terminale A'!D59="","",'Classe Terminale A'!D59))</f>
        <v/>
      </c>
      <c r="H1259" s="78" t="str">
        <f>IF('Classe Terminale A'!$B59="","",IF('Classe Terminale A'!E59="","",'Classe Terminale A'!E59))</f>
        <v/>
      </c>
      <c r="I1259" s="16" t="str">
        <f>IF('Classe Terminale A'!$B59="","",IF('Classe Terminale A'!F59="","",'Classe Terminale A'!F59))</f>
        <v/>
      </c>
      <c r="J1259" s="16" t="str">
        <f>IF('Classe Terminale A'!$B59="","",IF('Classe Terminale A'!G59="","",'Classe Terminale A'!G59))</f>
        <v/>
      </c>
      <c r="K1259" s="18" t="str">
        <f>IF('Classe Terminale A'!$B59="","",N('Classe Terminale A'!H59))</f>
        <v/>
      </c>
      <c r="L1259" s="18" t="str">
        <f>IF('Classe Terminale A'!$B59="","",N('Classe Terminale A'!I59))</f>
        <v/>
      </c>
      <c r="M1259" s="18" t="str">
        <f>IF('Classe Terminale A'!$B59="","",N('Classe Terminale A'!J59))</f>
        <v/>
      </c>
      <c r="N1259" s="18" t="str">
        <f>IF('Classe Terminale A'!$B59="","",N('Classe Terminale A'!K59))</f>
        <v/>
      </c>
      <c r="O1259" s="18" t="str">
        <f>IF('Classe Terminale A'!$B59="","",N('Classe Terminale A'!L59))</f>
        <v/>
      </c>
      <c r="P1259" s="18" t="str">
        <f>IF('Classe Terminale A'!$B59="","",N('Classe Terminale A'!M59))</f>
        <v/>
      </c>
      <c r="Q1259" s="17" t="str">
        <f>IF('Classe Terminale A'!$B59="","",IF('Classe Terminale A'!Q59="","",'Classe Terminale A'!Q59))</f>
        <v/>
      </c>
      <c r="R1259" s="18" t="str">
        <f>IF('Classe Terminale A'!$B59="","",N('Classe Terminale A'!N59))</f>
        <v/>
      </c>
      <c r="S1259" s="18" t="str">
        <f>IF('Classe Terminale A'!$B59="","",N('Classe Terminale A'!O59))</f>
        <v/>
      </c>
      <c r="T1259" s="18" t="str">
        <f>IF('Classe Terminale A'!$B59="","",N('Classe Terminale A'!P59))</f>
        <v/>
      </c>
    </row>
    <row r="1260">
      <c r="A1260" s="20" t="str">
        <f>IF('Classe Terminale A'!$B60="","",IF('Classe Terminale A'!A60="","",'Classe Terminale A'!A60))</f>
        <v/>
      </c>
      <c r="B1260" s="20" t="str">
        <f>IF('Classe Terminale A'!$B60="","",IF('Classe Terminale A'!B60="","",'Classe Terminale A'!B60))</f>
        <v/>
      </c>
      <c r="C1260" s="20" t="str">
        <f>IF('Classe Terminale A'!$B60="","",IF('Classe Terminale A'!C60="","",'Classe Terminale A'!C60))</f>
        <v/>
      </c>
      <c r="D1260" s="20" t="str">
        <f>IF($B1260="","",C1260&amp;" "&amp;B1260&amp;" - "&amp;E1260)</f>
        <v/>
      </c>
      <c r="E1260" s="21" t="str">
        <f>IF($B1260="","",Paramètres!$A$30)</f>
        <v/>
      </c>
      <c r="F1260" s="21" t="str">
        <f>IF($B1260="","",Paramètres!$B$30)</f>
        <v/>
      </c>
      <c r="G1260" s="21" t="str">
        <f>IF('Classe Terminale A'!$B60="","",IF('Classe Terminale A'!D60="","",'Classe Terminale A'!D60))</f>
        <v/>
      </c>
      <c r="H1260" s="77" t="str">
        <f>IF('Classe Terminale A'!$B60="","",IF('Classe Terminale A'!E60="","",'Classe Terminale A'!E60))</f>
        <v/>
      </c>
      <c r="I1260" s="20" t="str">
        <f>IF('Classe Terminale A'!$B60="","",IF('Classe Terminale A'!F60="","",'Classe Terminale A'!F60))</f>
        <v/>
      </c>
      <c r="J1260" s="20" t="str">
        <f>IF('Classe Terminale A'!$B60="","",IF('Classe Terminale A'!G60="","",'Classe Terminale A'!G60))</f>
        <v/>
      </c>
      <c r="K1260" s="51" t="str">
        <f>IF('Classe Terminale A'!$B60="","",N('Classe Terminale A'!H60))</f>
        <v/>
      </c>
      <c r="L1260" s="51" t="str">
        <f>IF('Classe Terminale A'!$B60="","",N('Classe Terminale A'!I60))</f>
        <v/>
      </c>
      <c r="M1260" s="51" t="str">
        <f>IF('Classe Terminale A'!$B60="","",N('Classe Terminale A'!J60))</f>
        <v/>
      </c>
      <c r="N1260" s="51" t="str">
        <f>IF('Classe Terminale A'!$B60="","",N('Classe Terminale A'!K60))</f>
        <v/>
      </c>
      <c r="O1260" s="51" t="str">
        <f>IF('Classe Terminale A'!$B60="","",N('Classe Terminale A'!L60))</f>
        <v/>
      </c>
      <c r="P1260" s="51" t="str">
        <f>IF('Classe Terminale A'!$B60="","",N('Classe Terminale A'!M60))</f>
        <v/>
      </c>
      <c r="Q1260" s="21" t="str">
        <f>IF('Classe Terminale A'!$B60="","",IF('Classe Terminale A'!Q60="","",'Classe Terminale A'!Q60))</f>
        <v/>
      </c>
      <c r="R1260" s="51" t="str">
        <f>IF('Classe Terminale A'!$B60="","",N('Classe Terminale A'!N60))</f>
        <v/>
      </c>
      <c r="S1260" s="51" t="str">
        <f>IF('Classe Terminale A'!$B60="","",N('Classe Terminale A'!O60))</f>
        <v/>
      </c>
      <c r="T1260" s="51" t="str">
        <f>IF('Classe Terminale A'!$B60="","",N('Classe Terminale A'!P60))</f>
        <v/>
      </c>
    </row>
    <row r="1261">
      <c r="A1261" s="16" t="str">
        <f>IF('Classe Terminale A'!$B61="","",IF('Classe Terminale A'!A61="","",'Classe Terminale A'!A61))</f>
        <v/>
      </c>
      <c r="B1261" s="16" t="str">
        <f>IF('Classe Terminale A'!$B61="","",IF('Classe Terminale A'!B61="","",'Classe Terminale A'!B61))</f>
        <v/>
      </c>
      <c r="C1261" s="16" t="str">
        <f>IF('Classe Terminale A'!$B61="","",IF('Classe Terminale A'!C61="","",'Classe Terminale A'!C61))</f>
        <v/>
      </c>
      <c r="D1261" s="16" t="str">
        <f>IF($B1261="","",C1261&amp;" "&amp;B1261&amp;" - "&amp;E1261)</f>
        <v/>
      </c>
      <c r="E1261" s="17" t="str">
        <f>IF($B1261="","",Paramètres!$A$30)</f>
        <v/>
      </c>
      <c r="F1261" s="17" t="str">
        <f>IF($B1261="","",Paramètres!$B$30)</f>
        <v/>
      </c>
      <c r="G1261" s="17" t="str">
        <f>IF('Classe Terminale A'!$B61="","",IF('Classe Terminale A'!D61="","",'Classe Terminale A'!D61))</f>
        <v/>
      </c>
      <c r="H1261" s="78" t="str">
        <f>IF('Classe Terminale A'!$B61="","",IF('Classe Terminale A'!E61="","",'Classe Terminale A'!E61))</f>
        <v/>
      </c>
      <c r="I1261" s="16" t="str">
        <f>IF('Classe Terminale A'!$B61="","",IF('Classe Terminale A'!F61="","",'Classe Terminale A'!F61))</f>
        <v/>
      </c>
      <c r="J1261" s="16" t="str">
        <f>IF('Classe Terminale A'!$B61="","",IF('Classe Terminale A'!G61="","",'Classe Terminale A'!G61))</f>
        <v/>
      </c>
      <c r="K1261" s="18" t="str">
        <f>IF('Classe Terminale A'!$B61="","",N('Classe Terminale A'!H61))</f>
        <v/>
      </c>
      <c r="L1261" s="18" t="str">
        <f>IF('Classe Terminale A'!$B61="","",N('Classe Terminale A'!I61))</f>
        <v/>
      </c>
      <c r="M1261" s="18" t="str">
        <f>IF('Classe Terminale A'!$B61="","",N('Classe Terminale A'!J61))</f>
        <v/>
      </c>
      <c r="N1261" s="18" t="str">
        <f>IF('Classe Terminale A'!$B61="","",N('Classe Terminale A'!K61))</f>
        <v/>
      </c>
      <c r="O1261" s="18" t="str">
        <f>IF('Classe Terminale A'!$B61="","",N('Classe Terminale A'!L61))</f>
        <v/>
      </c>
      <c r="P1261" s="18" t="str">
        <f>IF('Classe Terminale A'!$B61="","",N('Classe Terminale A'!M61))</f>
        <v/>
      </c>
      <c r="Q1261" s="17" t="str">
        <f>IF('Classe Terminale A'!$B61="","",IF('Classe Terminale A'!Q61="","",'Classe Terminale A'!Q61))</f>
        <v/>
      </c>
      <c r="R1261" s="18" t="str">
        <f>IF('Classe Terminale A'!$B61="","",N('Classe Terminale A'!N61))</f>
        <v/>
      </c>
      <c r="S1261" s="18" t="str">
        <f>IF('Classe Terminale A'!$B61="","",N('Classe Terminale A'!O61))</f>
        <v/>
      </c>
      <c r="T1261" s="18" t="str">
        <f>IF('Classe Terminale A'!$B61="","",N('Classe Terminale A'!P61))</f>
        <v/>
      </c>
    </row>
    <row r="1262">
      <c r="A1262" s="20" t="str">
        <f>IF('Classe Terminale A'!$B62="","",IF('Classe Terminale A'!A62="","",'Classe Terminale A'!A62))</f>
        <v/>
      </c>
      <c r="B1262" s="20" t="str">
        <f>IF('Classe Terminale A'!$B62="","",IF('Classe Terminale A'!B62="","",'Classe Terminale A'!B62))</f>
        <v/>
      </c>
      <c r="C1262" s="20" t="str">
        <f>IF('Classe Terminale A'!$B62="","",IF('Classe Terminale A'!C62="","",'Classe Terminale A'!C62))</f>
        <v/>
      </c>
      <c r="D1262" s="20" t="str">
        <f>IF($B1262="","",C1262&amp;" "&amp;B1262&amp;" - "&amp;E1262)</f>
        <v/>
      </c>
      <c r="E1262" s="21" t="str">
        <f>IF($B1262="","",Paramètres!$A$30)</f>
        <v/>
      </c>
      <c r="F1262" s="21" t="str">
        <f>IF($B1262="","",Paramètres!$B$30)</f>
        <v/>
      </c>
      <c r="G1262" s="21" t="str">
        <f>IF('Classe Terminale A'!$B62="","",IF('Classe Terminale A'!D62="","",'Classe Terminale A'!D62))</f>
        <v/>
      </c>
      <c r="H1262" s="77" t="str">
        <f>IF('Classe Terminale A'!$B62="","",IF('Classe Terminale A'!E62="","",'Classe Terminale A'!E62))</f>
        <v/>
      </c>
      <c r="I1262" s="20" t="str">
        <f>IF('Classe Terminale A'!$B62="","",IF('Classe Terminale A'!F62="","",'Classe Terminale A'!F62))</f>
        <v/>
      </c>
      <c r="J1262" s="20" t="str">
        <f>IF('Classe Terminale A'!$B62="","",IF('Classe Terminale A'!G62="","",'Classe Terminale A'!G62))</f>
        <v/>
      </c>
      <c r="K1262" s="51" t="str">
        <f>IF('Classe Terminale A'!$B62="","",N('Classe Terminale A'!H62))</f>
        <v/>
      </c>
      <c r="L1262" s="51" t="str">
        <f>IF('Classe Terminale A'!$B62="","",N('Classe Terminale A'!I62))</f>
        <v/>
      </c>
      <c r="M1262" s="51" t="str">
        <f>IF('Classe Terminale A'!$B62="","",N('Classe Terminale A'!J62))</f>
        <v/>
      </c>
      <c r="N1262" s="51" t="str">
        <f>IF('Classe Terminale A'!$B62="","",N('Classe Terminale A'!K62))</f>
        <v/>
      </c>
      <c r="O1262" s="51" t="str">
        <f>IF('Classe Terminale A'!$B62="","",N('Classe Terminale A'!L62))</f>
        <v/>
      </c>
      <c r="P1262" s="51" t="str">
        <f>IF('Classe Terminale A'!$B62="","",N('Classe Terminale A'!M62))</f>
        <v/>
      </c>
      <c r="Q1262" s="21" t="str">
        <f>IF('Classe Terminale A'!$B62="","",IF('Classe Terminale A'!Q62="","",'Classe Terminale A'!Q62))</f>
        <v/>
      </c>
      <c r="R1262" s="51" t="str">
        <f>IF('Classe Terminale A'!$B62="","",N('Classe Terminale A'!N62))</f>
        <v/>
      </c>
      <c r="S1262" s="51" t="str">
        <f>IF('Classe Terminale A'!$B62="","",N('Classe Terminale A'!O62))</f>
        <v/>
      </c>
      <c r="T1262" s="51" t="str">
        <f>IF('Classe Terminale A'!$B62="","",N('Classe Terminale A'!P62))</f>
        <v/>
      </c>
    </row>
    <row r="1263">
      <c r="A1263" s="16" t="str">
        <f>IF('Classe Terminale A'!$B63="","",IF('Classe Terminale A'!A63="","",'Classe Terminale A'!A63))</f>
        <v/>
      </c>
      <c r="B1263" s="16" t="str">
        <f>IF('Classe Terminale A'!$B63="","",IF('Classe Terminale A'!B63="","",'Classe Terminale A'!B63))</f>
        <v/>
      </c>
      <c r="C1263" s="16" t="str">
        <f>IF('Classe Terminale A'!$B63="","",IF('Classe Terminale A'!C63="","",'Classe Terminale A'!C63))</f>
        <v/>
      </c>
      <c r="D1263" s="16" t="str">
        <f>IF($B1263="","",C1263&amp;" "&amp;B1263&amp;" - "&amp;E1263)</f>
        <v/>
      </c>
      <c r="E1263" s="17" t="str">
        <f>IF($B1263="","",Paramètres!$A$30)</f>
        <v/>
      </c>
      <c r="F1263" s="17" t="str">
        <f>IF($B1263="","",Paramètres!$B$30)</f>
        <v/>
      </c>
      <c r="G1263" s="17" t="str">
        <f>IF('Classe Terminale A'!$B63="","",IF('Classe Terminale A'!D63="","",'Classe Terminale A'!D63))</f>
        <v/>
      </c>
      <c r="H1263" s="78" t="str">
        <f>IF('Classe Terminale A'!$B63="","",IF('Classe Terminale A'!E63="","",'Classe Terminale A'!E63))</f>
        <v/>
      </c>
      <c r="I1263" s="16" t="str">
        <f>IF('Classe Terminale A'!$B63="","",IF('Classe Terminale A'!F63="","",'Classe Terminale A'!F63))</f>
        <v/>
      </c>
      <c r="J1263" s="16" t="str">
        <f>IF('Classe Terminale A'!$B63="","",IF('Classe Terminale A'!G63="","",'Classe Terminale A'!G63))</f>
        <v/>
      </c>
      <c r="K1263" s="18" t="str">
        <f>IF('Classe Terminale A'!$B63="","",N('Classe Terminale A'!H63))</f>
        <v/>
      </c>
      <c r="L1263" s="18" t="str">
        <f>IF('Classe Terminale A'!$B63="","",N('Classe Terminale A'!I63))</f>
        <v/>
      </c>
      <c r="M1263" s="18" t="str">
        <f>IF('Classe Terminale A'!$B63="","",N('Classe Terminale A'!J63))</f>
        <v/>
      </c>
      <c r="N1263" s="18" t="str">
        <f>IF('Classe Terminale A'!$B63="","",N('Classe Terminale A'!K63))</f>
        <v/>
      </c>
      <c r="O1263" s="18" t="str">
        <f>IF('Classe Terminale A'!$B63="","",N('Classe Terminale A'!L63))</f>
        <v/>
      </c>
      <c r="P1263" s="18" t="str">
        <f>IF('Classe Terminale A'!$B63="","",N('Classe Terminale A'!M63))</f>
        <v/>
      </c>
      <c r="Q1263" s="17" t="str">
        <f>IF('Classe Terminale A'!$B63="","",IF('Classe Terminale A'!Q63="","",'Classe Terminale A'!Q63))</f>
        <v/>
      </c>
      <c r="R1263" s="18" t="str">
        <f>IF('Classe Terminale A'!$B63="","",N('Classe Terminale A'!N63))</f>
        <v/>
      </c>
      <c r="S1263" s="18" t="str">
        <f>IF('Classe Terminale A'!$B63="","",N('Classe Terminale A'!O63))</f>
        <v/>
      </c>
      <c r="T1263" s="18" t="str">
        <f>IF('Classe Terminale A'!$B63="","",N('Classe Terminale A'!P63))</f>
        <v/>
      </c>
    </row>
    <row r="1264">
      <c r="A1264" s="20" t="str">
        <f>IF('Classe Terminale A'!$B64="","",IF('Classe Terminale A'!A64="","",'Classe Terminale A'!A64))</f>
        <v/>
      </c>
      <c r="B1264" s="20" t="str">
        <f>IF('Classe Terminale A'!$B64="","",IF('Classe Terminale A'!B64="","",'Classe Terminale A'!B64))</f>
        <v/>
      </c>
      <c r="C1264" s="20" t="str">
        <f>IF('Classe Terminale A'!$B64="","",IF('Classe Terminale A'!C64="","",'Classe Terminale A'!C64))</f>
        <v/>
      </c>
      <c r="D1264" s="20" t="str">
        <f>IF($B1264="","",C1264&amp;" "&amp;B1264&amp;" - "&amp;E1264)</f>
        <v/>
      </c>
      <c r="E1264" s="21" t="str">
        <f>IF($B1264="","",Paramètres!$A$30)</f>
        <v/>
      </c>
      <c r="F1264" s="21" t="str">
        <f>IF($B1264="","",Paramètres!$B$30)</f>
        <v/>
      </c>
      <c r="G1264" s="21" t="str">
        <f>IF('Classe Terminale A'!$B64="","",IF('Classe Terminale A'!D64="","",'Classe Terminale A'!D64))</f>
        <v/>
      </c>
      <c r="H1264" s="77" t="str">
        <f>IF('Classe Terminale A'!$B64="","",IF('Classe Terminale A'!E64="","",'Classe Terminale A'!E64))</f>
        <v/>
      </c>
      <c r="I1264" s="20" t="str">
        <f>IF('Classe Terminale A'!$B64="","",IF('Classe Terminale A'!F64="","",'Classe Terminale A'!F64))</f>
        <v/>
      </c>
      <c r="J1264" s="20" t="str">
        <f>IF('Classe Terminale A'!$B64="","",IF('Classe Terminale A'!G64="","",'Classe Terminale A'!G64))</f>
        <v/>
      </c>
      <c r="K1264" s="51" t="str">
        <f>IF('Classe Terminale A'!$B64="","",N('Classe Terminale A'!H64))</f>
        <v/>
      </c>
      <c r="L1264" s="51" t="str">
        <f>IF('Classe Terminale A'!$B64="","",N('Classe Terminale A'!I64))</f>
        <v/>
      </c>
      <c r="M1264" s="51" t="str">
        <f>IF('Classe Terminale A'!$B64="","",N('Classe Terminale A'!J64))</f>
        <v/>
      </c>
      <c r="N1264" s="51" t="str">
        <f>IF('Classe Terminale A'!$B64="","",N('Classe Terminale A'!K64))</f>
        <v/>
      </c>
      <c r="O1264" s="51" t="str">
        <f>IF('Classe Terminale A'!$B64="","",N('Classe Terminale A'!L64))</f>
        <v/>
      </c>
      <c r="P1264" s="51" t="str">
        <f>IF('Classe Terminale A'!$B64="","",N('Classe Terminale A'!M64))</f>
        <v/>
      </c>
      <c r="Q1264" s="21" t="str">
        <f>IF('Classe Terminale A'!$B64="","",IF('Classe Terminale A'!Q64="","",'Classe Terminale A'!Q64))</f>
        <v/>
      </c>
      <c r="R1264" s="51" t="str">
        <f>IF('Classe Terminale A'!$B64="","",N('Classe Terminale A'!N64))</f>
        <v/>
      </c>
      <c r="S1264" s="51" t="str">
        <f>IF('Classe Terminale A'!$B64="","",N('Classe Terminale A'!O64))</f>
        <v/>
      </c>
      <c r="T1264" s="51" t="str">
        <f>IF('Classe Terminale A'!$B64="","",N('Classe Terminale A'!P64))</f>
        <v/>
      </c>
    </row>
    <row r="1265">
      <c r="A1265" s="16" t="str">
        <f>IF('Classe Terminale A'!$B65="","",IF('Classe Terminale A'!A65="","",'Classe Terminale A'!A65))</f>
        <v/>
      </c>
      <c r="B1265" s="16" t="str">
        <f>IF('Classe Terminale A'!$B65="","",IF('Classe Terminale A'!B65="","",'Classe Terminale A'!B65))</f>
        <v/>
      </c>
      <c r="C1265" s="16" t="str">
        <f>IF('Classe Terminale A'!$B65="","",IF('Classe Terminale A'!C65="","",'Classe Terminale A'!C65))</f>
        <v/>
      </c>
      <c r="D1265" s="16" t="str">
        <f>IF($B1265="","",C1265&amp;" "&amp;B1265&amp;" - "&amp;E1265)</f>
        <v/>
      </c>
      <c r="E1265" s="17" t="str">
        <f>IF($B1265="","",Paramètres!$A$30)</f>
        <v/>
      </c>
      <c r="F1265" s="17" t="str">
        <f>IF($B1265="","",Paramètres!$B$30)</f>
        <v/>
      </c>
      <c r="G1265" s="17" t="str">
        <f>IF('Classe Terminale A'!$B65="","",IF('Classe Terminale A'!D65="","",'Classe Terminale A'!D65))</f>
        <v/>
      </c>
      <c r="H1265" s="78" t="str">
        <f>IF('Classe Terminale A'!$B65="","",IF('Classe Terminale A'!E65="","",'Classe Terminale A'!E65))</f>
        <v/>
      </c>
      <c r="I1265" s="16" t="str">
        <f>IF('Classe Terminale A'!$B65="","",IF('Classe Terminale A'!F65="","",'Classe Terminale A'!F65))</f>
        <v/>
      </c>
      <c r="J1265" s="16" t="str">
        <f>IF('Classe Terminale A'!$B65="","",IF('Classe Terminale A'!G65="","",'Classe Terminale A'!G65))</f>
        <v/>
      </c>
      <c r="K1265" s="18" t="str">
        <f>IF('Classe Terminale A'!$B65="","",N('Classe Terminale A'!H65))</f>
        <v/>
      </c>
      <c r="L1265" s="18" t="str">
        <f>IF('Classe Terminale A'!$B65="","",N('Classe Terminale A'!I65))</f>
        <v/>
      </c>
      <c r="M1265" s="18" t="str">
        <f>IF('Classe Terminale A'!$B65="","",N('Classe Terminale A'!J65))</f>
        <v/>
      </c>
      <c r="N1265" s="18" t="str">
        <f>IF('Classe Terminale A'!$B65="","",N('Classe Terminale A'!K65))</f>
        <v/>
      </c>
      <c r="O1265" s="18" t="str">
        <f>IF('Classe Terminale A'!$B65="","",N('Classe Terminale A'!L65))</f>
        <v/>
      </c>
      <c r="P1265" s="18" t="str">
        <f>IF('Classe Terminale A'!$B65="","",N('Classe Terminale A'!M65))</f>
        <v/>
      </c>
      <c r="Q1265" s="17" t="str">
        <f>IF('Classe Terminale A'!$B65="","",IF('Classe Terminale A'!Q65="","",'Classe Terminale A'!Q65))</f>
        <v/>
      </c>
      <c r="R1265" s="18" t="str">
        <f>IF('Classe Terminale A'!$B65="","",N('Classe Terminale A'!N65))</f>
        <v/>
      </c>
      <c r="S1265" s="18" t="str">
        <f>IF('Classe Terminale A'!$B65="","",N('Classe Terminale A'!O65))</f>
        <v/>
      </c>
      <c r="T1265" s="18" t="str">
        <f>IF('Classe Terminale A'!$B65="","",N('Classe Terminale A'!P65))</f>
        <v/>
      </c>
    </row>
    <row r="1266">
      <c r="A1266" s="20" t="str">
        <f>IF('Classe Terminale A'!$B66="","",IF('Classe Terminale A'!A66="","",'Classe Terminale A'!A66))</f>
        <v/>
      </c>
      <c r="B1266" s="20" t="str">
        <f>IF('Classe Terminale A'!$B66="","",IF('Classe Terminale A'!B66="","",'Classe Terminale A'!B66))</f>
        <v/>
      </c>
      <c r="C1266" s="20" t="str">
        <f>IF('Classe Terminale A'!$B66="","",IF('Classe Terminale A'!C66="","",'Classe Terminale A'!C66))</f>
        <v/>
      </c>
      <c r="D1266" s="20" t="str">
        <f>IF($B1266="","",C1266&amp;" "&amp;B1266&amp;" - "&amp;E1266)</f>
        <v/>
      </c>
      <c r="E1266" s="21" t="str">
        <f>IF($B1266="","",Paramètres!$A$30)</f>
        <v/>
      </c>
      <c r="F1266" s="21" t="str">
        <f>IF($B1266="","",Paramètres!$B$30)</f>
        <v/>
      </c>
      <c r="G1266" s="21" t="str">
        <f>IF('Classe Terminale A'!$B66="","",IF('Classe Terminale A'!D66="","",'Classe Terminale A'!D66))</f>
        <v/>
      </c>
      <c r="H1266" s="77" t="str">
        <f>IF('Classe Terminale A'!$B66="","",IF('Classe Terminale A'!E66="","",'Classe Terminale A'!E66))</f>
        <v/>
      </c>
      <c r="I1266" s="20" t="str">
        <f>IF('Classe Terminale A'!$B66="","",IF('Classe Terminale A'!F66="","",'Classe Terminale A'!F66))</f>
        <v/>
      </c>
      <c r="J1266" s="20" t="str">
        <f>IF('Classe Terminale A'!$B66="","",IF('Classe Terminale A'!G66="","",'Classe Terminale A'!G66))</f>
        <v/>
      </c>
      <c r="K1266" s="51" t="str">
        <f>IF('Classe Terminale A'!$B66="","",N('Classe Terminale A'!H66))</f>
        <v/>
      </c>
      <c r="L1266" s="51" t="str">
        <f>IF('Classe Terminale A'!$B66="","",N('Classe Terminale A'!I66))</f>
        <v/>
      </c>
      <c r="M1266" s="51" t="str">
        <f>IF('Classe Terminale A'!$B66="","",N('Classe Terminale A'!J66))</f>
        <v/>
      </c>
      <c r="N1266" s="51" t="str">
        <f>IF('Classe Terminale A'!$B66="","",N('Classe Terminale A'!K66))</f>
        <v/>
      </c>
      <c r="O1266" s="51" t="str">
        <f>IF('Classe Terminale A'!$B66="","",N('Classe Terminale A'!L66))</f>
        <v/>
      </c>
      <c r="P1266" s="51" t="str">
        <f>IF('Classe Terminale A'!$B66="","",N('Classe Terminale A'!M66))</f>
        <v/>
      </c>
      <c r="Q1266" s="21" t="str">
        <f>IF('Classe Terminale A'!$B66="","",IF('Classe Terminale A'!Q66="","",'Classe Terminale A'!Q66))</f>
        <v/>
      </c>
      <c r="R1266" s="51" t="str">
        <f>IF('Classe Terminale A'!$B66="","",N('Classe Terminale A'!N66))</f>
        <v/>
      </c>
      <c r="S1266" s="51" t="str">
        <f>IF('Classe Terminale A'!$B66="","",N('Classe Terminale A'!O66))</f>
        <v/>
      </c>
      <c r="T1266" s="51" t="str">
        <f>IF('Classe Terminale A'!$B66="","",N('Classe Terminale A'!P66))</f>
        <v/>
      </c>
    </row>
    <row r="1267">
      <c r="A1267" s="16" t="str">
        <f>IF('Classe Terminale A'!$B67="","",IF('Classe Terminale A'!A67="","",'Classe Terminale A'!A67))</f>
        <v/>
      </c>
      <c r="B1267" s="16" t="str">
        <f>IF('Classe Terminale A'!$B67="","",IF('Classe Terminale A'!B67="","",'Classe Terminale A'!B67))</f>
        <v/>
      </c>
      <c r="C1267" s="16" t="str">
        <f>IF('Classe Terminale A'!$B67="","",IF('Classe Terminale A'!C67="","",'Classe Terminale A'!C67))</f>
        <v/>
      </c>
      <c r="D1267" s="16" t="str">
        <f>IF($B1267="","",C1267&amp;" "&amp;B1267&amp;" - "&amp;E1267)</f>
        <v/>
      </c>
      <c r="E1267" s="17" t="str">
        <f>IF($B1267="","",Paramètres!$A$30)</f>
        <v/>
      </c>
      <c r="F1267" s="17" t="str">
        <f>IF($B1267="","",Paramètres!$B$30)</f>
        <v/>
      </c>
      <c r="G1267" s="17" t="str">
        <f>IF('Classe Terminale A'!$B67="","",IF('Classe Terminale A'!D67="","",'Classe Terminale A'!D67))</f>
        <v/>
      </c>
      <c r="H1267" s="78" t="str">
        <f>IF('Classe Terminale A'!$B67="","",IF('Classe Terminale A'!E67="","",'Classe Terminale A'!E67))</f>
        <v/>
      </c>
      <c r="I1267" s="16" t="str">
        <f>IF('Classe Terminale A'!$B67="","",IF('Classe Terminale A'!F67="","",'Classe Terminale A'!F67))</f>
        <v/>
      </c>
      <c r="J1267" s="16" t="str">
        <f>IF('Classe Terminale A'!$B67="","",IF('Classe Terminale A'!G67="","",'Classe Terminale A'!G67))</f>
        <v/>
      </c>
      <c r="K1267" s="18" t="str">
        <f>IF('Classe Terminale A'!$B67="","",N('Classe Terminale A'!H67))</f>
        <v/>
      </c>
      <c r="L1267" s="18" t="str">
        <f>IF('Classe Terminale A'!$B67="","",N('Classe Terminale A'!I67))</f>
        <v/>
      </c>
      <c r="M1267" s="18" t="str">
        <f>IF('Classe Terminale A'!$B67="","",N('Classe Terminale A'!J67))</f>
        <v/>
      </c>
      <c r="N1267" s="18" t="str">
        <f>IF('Classe Terminale A'!$B67="","",N('Classe Terminale A'!K67))</f>
        <v/>
      </c>
      <c r="O1267" s="18" t="str">
        <f>IF('Classe Terminale A'!$B67="","",N('Classe Terminale A'!L67))</f>
        <v/>
      </c>
      <c r="P1267" s="18" t="str">
        <f>IF('Classe Terminale A'!$B67="","",N('Classe Terminale A'!M67))</f>
        <v/>
      </c>
      <c r="Q1267" s="17" t="str">
        <f>IF('Classe Terminale A'!$B67="","",IF('Classe Terminale A'!Q67="","",'Classe Terminale A'!Q67))</f>
        <v/>
      </c>
      <c r="R1267" s="18" t="str">
        <f>IF('Classe Terminale A'!$B67="","",N('Classe Terminale A'!N67))</f>
        <v/>
      </c>
      <c r="S1267" s="18" t="str">
        <f>IF('Classe Terminale A'!$B67="","",N('Classe Terminale A'!O67))</f>
        <v/>
      </c>
      <c r="T1267" s="18" t="str">
        <f>IF('Classe Terminale A'!$B67="","",N('Classe Terminale A'!P67))</f>
        <v/>
      </c>
    </row>
    <row r="1268">
      <c r="A1268" s="20" t="str">
        <f>IF('Classe Terminale A'!$B68="","",IF('Classe Terminale A'!A68="","",'Classe Terminale A'!A68))</f>
        <v/>
      </c>
      <c r="B1268" s="20" t="str">
        <f>IF('Classe Terminale A'!$B68="","",IF('Classe Terminale A'!B68="","",'Classe Terminale A'!B68))</f>
        <v/>
      </c>
      <c r="C1268" s="20" t="str">
        <f>IF('Classe Terminale A'!$B68="","",IF('Classe Terminale A'!C68="","",'Classe Terminale A'!C68))</f>
        <v/>
      </c>
      <c r="D1268" s="20" t="str">
        <f>IF($B1268="","",C1268&amp;" "&amp;B1268&amp;" - "&amp;E1268)</f>
        <v/>
      </c>
      <c r="E1268" s="21" t="str">
        <f>IF($B1268="","",Paramètres!$A$30)</f>
        <v/>
      </c>
      <c r="F1268" s="21" t="str">
        <f>IF($B1268="","",Paramètres!$B$30)</f>
        <v/>
      </c>
      <c r="G1268" s="21" t="str">
        <f>IF('Classe Terminale A'!$B68="","",IF('Classe Terminale A'!D68="","",'Classe Terminale A'!D68))</f>
        <v/>
      </c>
      <c r="H1268" s="77" t="str">
        <f>IF('Classe Terminale A'!$B68="","",IF('Classe Terminale A'!E68="","",'Classe Terminale A'!E68))</f>
        <v/>
      </c>
      <c r="I1268" s="20" t="str">
        <f>IF('Classe Terminale A'!$B68="","",IF('Classe Terminale A'!F68="","",'Classe Terminale A'!F68))</f>
        <v/>
      </c>
      <c r="J1268" s="20" t="str">
        <f>IF('Classe Terminale A'!$B68="","",IF('Classe Terminale A'!G68="","",'Classe Terminale A'!G68))</f>
        <v/>
      </c>
      <c r="K1268" s="51" t="str">
        <f>IF('Classe Terminale A'!$B68="","",N('Classe Terminale A'!H68))</f>
        <v/>
      </c>
      <c r="L1268" s="51" t="str">
        <f>IF('Classe Terminale A'!$B68="","",N('Classe Terminale A'!I68))</f>
        <v/>
      </c>
      <c r="M1268" s="51" t="str">
        <f>IF('Classe Terminale A'!$B68="","",N('Classe Terminale A'!J68))</f>
        <v/>
      </c>
      <c r="N1268" s="51" t="str">
        <f>IF('Classe Terminale A'!$B68="","",N('Classe Terminale A'!K68))</f>
        <v/>
      </c>
      <c r="O1268" s="51" t="str">
        <f>IF('Classe Terminale A'!$B68="","",N('Classe Terminale A'!L68))</f>
        <v/>
      </c>
      <c r="P1268" s="51" t="str">
        <f>IF('Classe Terminale A'!$B68="","",N('Classe Terminale A'!M68))</f>
        <v/>
      </c>
      <c r="Q1268" s="21" t="str">
        <f>IF('Classe Terminale A'!$B68="","",IF('Classe Terminale A'!Q68="","",'Classe Terminale A'!Q68))</f>
        <v/>
      </c>
      <c r="R1268" s="51" t="str">
        <f>IF('Classe Terminale A'!$B68="","",N('Classe Terminale A'!N68))</f>
        <v/>
      </c>
      <c r="S1268" s="51" t="str">
        <f>IF('Classe Terminale A'!$B68="","",N('Classe Terminale A'!O68))</f>
        <v/>
      </c>
      <c r="T1268" s="51" t="str">
        <f>IF('Classe Terminale A'!$B68="","",N('Classe Terminale A'!P68))</f>
        <v/>
      </c>
    </row>
    <row r="1269">
      <c r="A1269" s="16" t="str">
        <f>IF('Classe Terminale A'!$B69="","",IF('Classe Terminale A'!A69="","",'Classe Terminale A'!A69))</f>
        <v/>
      </c>
      <c r="B1269" s="16" t="str">
        <f>IF('Classe Terminale A'!$B69="","",IF('Classe Terminale A'!B69="","",'Classe Terminale A'!B69))</f>
        <v/>
      </c>
      <c r="C1269" s="16" t="str">
        <f>IF('Classe Terminale A'!$B69="","",IF('Classe Terminale A'!C69="","",'Classe Terminale A'!C69))</f>
        <v/>
      </c>
      <c r="D1269" s="16" t="str">
        <f>IF($B1269="","",C1269&amp;" "&amp;B1269&amp;" - "&amp;E1269)</f>
        <v/>
      </c>
      <c r="E1269" s="17" t="str">
        <f>IF($B1269="","",Paramètres!$A$30)</f>
        <v/>
      </c>
      <c r="F1269" s="17" t="str">
        <f>IF($B1269="","",Paramètres!$B$30)</f>
        <v/>
      </c>
      <c r="G1269" s="17" t="str">
        <f>IF('Classe Terminale A'!$B69="","",IF('Classe Terminale A'!D69="","",'Classe Terminale A'!D69))</f>
        <v/>
      </c>
      <c r="H1269" s="78" t="str">
        <f>IF('Classe Terminale A'!$B69="","",IF('Classe Terminale A'!E69="","",'Classe Terminale A'!E69))</f>
        <v/>
      </c>
      <c r="I1269" s="16" t="str">
        <f>IF('Classe Terminale A'!$B69="","",IF('Classe Terminale A'!F69="","",'Classe Terminale A'!F69))</f>
        <v/>
      </c>
      <c r="J1269" s="16" t="str">
        <f>IF('Classe Terminale A'!$B69="","",IF('Classe Terminale A'!G69="","",'Classe Terminale A'!G69))</f>
        <v/>
      </c>
      <c r="K1269" s="18" t="str">
        <f>IF('Classe Terminale A'!$B69="","",N('Classe Terminale A'!H69))</f>
        <v/>
      </c>
      <c r="L1269" s="18" t="str">
        <f>IF('Classe Terminale A'!$B69="","",N('Classe Terminale A'!I69))</f>
        <v/>
      </c>
      <c r="M1269" s="18" t="str">
        <f>IF('Classe Terminale A'!$B69="","",N('Classe Terminale A'!J69))</f>
        <v/>
      </c>
      <c r="N1269" s="18" t="str">
        <f>IF('Classe Terminale A'!$B69="","",N('Classe Terminale A'!K69))</f>
        <v/>
      </c>
      <c r="O1269" s="18" t="str">
        <f>IF('Classe Terminale A'!$B69="","",N('Classe Terminale A'!L69))</f>
        <v/>
      </c>
      <c r="P1269" s="18" t="str">
        <f>IF('Classe Terminale A'!$B69="","",N('Classe Terminale A'!M69))</f>
        <v/>
      </c>
      <c r="Q1269" s="17" t="str">
        <f>IF('Classe Terminale A'!$B69="","",IF('Classe Terminale A'!Q69="","",'Classe Terminale A'!Q69))</f>
        <v/>
      </c>
      <c r="R1269" s="18" t="str">
        <f>IF('Classe Terminale A'!$B69="","",N('Classe Terminale A'!N69))</f>
        <v/>
      </c>
      <c r="S1269" s="18" t="str">
        <f>IF('Classe Terminale A'!$B69="","",N('Classe Terminale A'!O69))</f>
        <v/>
      </c>
      <c r="T1269" s="18" t="str">
        <f>IF('Classe Terminale A'!$B69="","",N('Classe Terminale A'!P69))</f>
        <v/>
      </c>
    </row>
    <row r="1270">
      <c r="A1270" s="20" t="str">
        <f>IF('Classe Terminale A'!$B70="","",IF('Classe Terminale A'!A70="","",'Classe Terminale A'!A70))</f>
        <v/>
      </c>
      <c r="B1270" s="20" t="str">
        <f>IF('Classe Terminale A'!$B70="","",IF('Classe Terminale A'!B70="","",'Classe Terminale A'!B70))</f>
        <v/>
      </c>
      <c r="C1270" s="20" t="str">
        <f>IF('Classe Terminale A'!$B70="","",IF('Classe Terminale A'!C70="","",'Classe Terminale A'!C70))</f>
        <v/>
      </c>
      <c r="D1270" s="20" t="str">
        <f>IF($B1270="","",C1270&amp;" "&amp;B1270&amp;" - "&amp;E1270)</f>
        <v/>
      </c>
      <c r="E1270" s="21" t="str">
        <f>IF($B1270="","",Paramètres!$A$30)</f>
        <v/>
      </c>
      <c r="F1270" s="21" t="str">
        <f>IF($B1270="","",Paramètres!$B$30)</f>
        <v/>
      </c>
      <c r="G1270" s="21" t="str">
        <f>IF('Classe Terminale A'!$B70="","",IF('Classe Terminale A'!D70="","",'Classe Terminale A'!D70))</f>
        <v/>
      </c>
      <c r="H1270" s="77" t="str">
        <f>IF('Classe Terminale A'!$B70="","",IF('Classe Terminale A'!E70="","",'Classe Terminale A'!E70))</f>
        <v/>
      </c>
      <c r="I1270" s="20" t="str">
        <f>IF('Classe Terminale A'!$B70="","",IF('Classe Terminale A'!F70="","",'Classe Terminale A'!F70))</f>
        <v/>
      </c>
      <c r="J1270" s="20" t="str">
        <f>IF('Classe Terminale A'!$B70="","",IF('Classe Terminale A'!G70="","",'Classe Terminale A'!G70))</f>
        <v/>
      </c>
      <c r="K1270" s="51" t="str">
        <f>IF('Classe Terminale A'!$B70="","",N('Classe Terminale A'!H70))</f>
        <v/>
      </c>
      <c r="L1270" s="51" t="str">
        <f>IF('Classe Terminale A'!$B70="","",N('Classe Terminale A'!I70))</f>
        <v/>
      </c>
      <c r="M1270" s="51" t="str">
        <f>IF('Classe Terminale A'!$B70="","",N('Classe Terminale A'!J70))</f>
        <v/>
      </c>
      <c r="N1270" s="51" t="str">
        <f>IF('Classe Terminale A'!$B70="","",N('Classe Terminale A'!K70))</f>
        <v/>
      </c>
      <c r="O1270" s="51" t="str">
        <f>IF('Classe Terminale A'!$B70="","",N('Classe Terminale A'!L70))</f>
        <v/>
      </c>
      <c r="P1270" s="51" t="str">
        <f>IF('Classe Terminale A'!$B70="","",N('Classe Terminale A'!M70))</f>
        <v/>
      </c>
      <c r="Q1270" s="21" t="str">
        <f>IF('Classe Terminale A'!$B70="","",IF('Classe Terminale A'!Q70="","",'Classe Terminale A'!Q70))</f>
        <v/>
      </c>
      <c r="R1270" s="51" t="str">
        <f>IF('Classe Terminale A'!$B70="","",N('Classe Terminale A'!N70))</f>
        <v/>
      </c>
      <c r="S1270" s="51" t="str">
        <f>IF('Classe Terminale A'!$B70="","",N('Classe Terminale A'!O70))</f>
        <v/>
      </c>
      <c r="T1270" s="51" t="str">
        <f>IF('Classe Terminale A'!$B70="","",N('Classe Terminale A'!P70))</f>
        <v/>
      </c>
    </row>
    <row r="1271">
      <c r="A1271" s="16" t="str">
        <f>IF('Classe Terminale A'!$B71="","",IF('Classe Terminale A'!A71="","",'Classe Terminale A'!A71))</f>
        <v/>
      </c>
      <c r="B1271" s="16" t="str">
        <f>IF('Classe Terminale A'!$B71="","",IF('Classe Terminale A'!B71="","",'Classe Terminale A'!B71))</f>
        <v/>
      </c>
      <c r="C1271" s="16" t="str">
        <f>IF('Classe Terminale A'!$B71="","",IF('Classe Terminale A'!C71="","",'Classe Terminale A'!C71))</f>
        <v/>
      </c>
      <c r="D1271" s="16" t="str">
        <f>IF($B1271="","",C1271&amp;" "&amp;B1271&amp;" - "&amp;E1271)</f>
        <v/>
      </c>
      <c r="E1271" s="17" t="str">
        <f>IF($B1271="","",Paramètres!$A$30)</f>
        <v/>
      </c>
      <c r="F1271" s="17" t="str">
        <f>IF($B1271="","",Paramètres!$B$30)</f>
        <v/>
      </c>
      <c r="G1271" s="17" t="str">
        <f>IF('Classe Terminale A'!$B71="","",IF('Classe Terminale A'!D71="","",'Classe Terminale A'!D71))</f>
        <v/>
      </c>
      <c r="H1271" s="78" t="str">
        <f>IF('Classe Terminale A'!$B71="","",IF('Classe Terminale A'!E71="","",'Classe Terminale A'!E71))</f>
        <v/>
      </c>
      <c r="I1271" s="16" t="str">
        <f>IF('Classe Terminale A'!$B71="","",IF('Classe Terminale A'!F71="","",'Classe Terminale A'!F71))</f>
        <v/>
      </c>
      <c r="J1271" s="16" t="str">
        <f>IF('Classe Terminale A'!$B71="","",IF('Classe Terminale A'!G71="","",'Classe Terminale A'!G71))</f>
        <v/>
      </c>
      <c r="K1271" s="18" t="str">
        <f>IF('Classe Terminale A'!$B71="","",N('Classe Terminale A'!H71))</f>
        <v/>
      </c>
      <c r="L1271" s="18" t="str">
        <f>IF('Classe Terminale A'!$B71="","",N('Classe Terminale A'!I71))</f>
        <v/>
      </c>
      <c r="M1271" s="18" t="str">
        <f>IF('Classe Terminale A'!$B71="","",N('Classe Terminale A'!J71))</f>
        <v/>
      </c>
      <c r="N1271" s="18" t="str">
        <f>IF('Classe Terminale A'!$B71="","",N('Classe Terminale A'!K71))</f>
        <v/>
      </c>
      <c r="O1271" s="18" t="str">
        <f>IF('Classe Terminale A'!$B71="","",N('Classe Terminale A'!L71))</f>
        <v/>
      </c>
      <c r="P1271" s="18" t="str">
        <f>IF('Classe Terminale A'!$B71="","",N('Classe Terminale A'!M71))</f>
        <v/>
      </c>
      <c r="Q1271" s="17" t="str">
        <f>IF('Classe Terminale A'!$B71="","",IF('Classe Terminale A'!Q71="","",'Classe Terminale A'!Q71))</f>
        <v/>
      </c>
      <c r="R1271" s="18" t="str">
        <f>IF('Classe Terminale A'!$B71="","",N('Classe Terminale A'!N71))</f>
        <v/>
      </c>
      <c r="S1271" s="18" t="str">
        <f>IF('Classe Terminale A'!$B71="","",N('Classe Terminale A'!O71))</f>
        <v/>
      </c>
      <c r="T1271" s="18" t="str">
        <f>IF('Classe Terminale A'!$B71="","",N('Classe Terminale A'!P71))</f>
        <v/>
      </c>
    </row>
    <row r="1272">
      <c r="A1272" s="20" t="str">
        <f>IF('Classe Terminale A'!$B72="","",IF('Classe Terminale A'!A72="","",'Classe Terminale A'!A72))</f>
        <v/>
      </c>
      <c r="B1272" s="20" t="str">
        <f>IF('Classe Terminale A'!$B72="","",IF('Classe Terminale A'!B72="","",'Classe Terminale A'!B72))</f>
        <v/>
      </c>
      <c r="C1272" s="20" t="str">
        <f>IF('Classe Terminale A'!$B72="","",IF('Classe Terminale A'!C72="","",'Classe Terminale A'!C72))</f>
        <v/>
      </c>
      <c r="D1272" s="20" t="str">
        <f>IF($B1272="","",C1272&amp;" "&amp;B1272&amp;" - "&amp;E1272)</f>
        <v/>
      </c>
      <c r="E1272" s="21" t="str">
        <f>IF($B1272="","",Paramètres!$A$30)</f>
        <v/>
      </c>
      <c r="F1272" s="21" t="str">
        <f>IF($B1272="","",Paramètres!$B$30)</f>
        <v/>
      </c>
      <c r="G1272" s="21" t="str">
        <f>IF('Classe Terminale A'!$B72="","",IF('Classe Terminale A'!D72="","",'Classe Terminale A'!D72))</f>
        <v/>
      </c>
      <c r="H1272" s="77" t="str">
        <f>IF('Classe Terminale A'!$B72="","",IF('Classe Terminale A'!E72="","",'Classe Terminale A'!E72))</f>
        <v/>
      </c>
      <c r="I1272" s="20" t="str">
        <f>IF('Classe Terminale A'!$B72="","",IF('Classe Terminale A'!F72="","",'Classe Terminale A'!F72))</f>
        <v/>
      </c>
      <c r="J1272" s="20" t="str">
        <f>IF('Classe Terminale A'!$B72="","",IF('Classe Terminale A'!G72="","",'Classe Terminale A'!G72))</f>
        <v/>
      </c>
      <c r="K1272" s="51" t="str">
        <f>IF('Classe Terminale A'!$B72="","",N('Classe Terminale A'!H72))</f>
        <v/>
      </c>
      <c r="L1272" s="51" t="str">
        <f>IF('Classe Terminale A'!$B72="","",N('Classe Terminale A'!I72))</f>
        <v/>
      </c>
      <c r="M1272" s="51" t="str">
        <f>IF('Classe Terminale A'!$B72="","",N('Classe Terminale A'!J72))</f>
        <v/>
      </c>
      <c r="N1272" s="51" t="str">
        <f>IF('Classe Terminale A'!$B72="","",N('Classe Terminale A'!K72))</f>
        <v/>
      </c>
      <c r="O1272" s="51" t="str">
        <f>IF('Classe Terminale A'!$B72="","",N('Classe Terminale A'!L72))</f>
        <v/>
      </c>
      <c r="P1272" s="51" t="str">
        <f>IF('Classe Terminale A'!$B72="","",N('Classe Terminale A'!M72))</f>
        <v/>
      </c>
      <c r="Q1272" s="21" t="str">
        <f>IF('Classe Terminale A'!$B72="","",IF('Classe Terminale A'!Q72="","",'Classe Terminale A'!Q72))</f>
        <v/>
      </c>
      <c r="R1272" s="51" t="str">
        <f>IF('Classe Terminale A'!$B72="","",N('Classe Terminale A'!N72))</f>
        <v/>
      </c>
      <c r="S1272" s="51" t="str">
        <f>IF('Classe Terminale A'!$B72="","",N('Classe Terminale A'!O72))</f>
        <v/>
      </c>
      <c r="T1272" s="51" t="str">
        <f>IF('Classe Terminale A'!$B72="","",N('Classe Terminale A'!P72))</f>
        <v/>
      </c>
    </row>
    <row r="1273">
      <c r="A1273" s="16" t="str">
        <f>IF('Classe Terminale A'!$B73="","",IF('Classe Terminale A'!A73="","",'Classe Terminale A'!A73))</f>
        <v/>
      </c>
      <c r="B1273" s="16" t="str">
        <f>IF('Classe Terminale A'!$B73="","",IF('Classe Terminale A'!B73="","",'Classe Terminale A'!B73))</f>
        <v/>
      </c>
      <c r="C1273" s="16" t="str">
        <f>IF('Classe Terminale A'!$B73="","",IF('Classe Terminale A'!C73="","",'Classe Terminale A'!C73))</f>
        <v/>
      </c>
      <c r="D1273" s="16" t="str">
        <f>IF($B1273="","",C1273&amp;" "&amp;B1273&amp;" - "&amp;E1273)</f>
        <v/>
      </c>
      <c r="E1273" s="17" t="str">
        <f>IF($B1273="","",Paramètres!$A$30)</f>
        <v/>
      </c>
      <c r="F1273" s="17" t="str">
        <f>IF($B1273="","",Paramètres!$B$30)</f>
        <v/>
      </c>
      <c r="G1273" s="17" t="str">
        <f>IF('Classe Terminale A'!$B73="","",IF('Classe Terminale A'!D73="","",'Classe Terminale A'!D73))</f>
        <v/>
      </c>
      <c r="H1273" s="78" t="str">
        <f>IF('Classe Terminale A'!$B73="","",IF('Classe Terminale A'!E73="","",'Classe Terminale A'!E73))</f>
        <v/>
      </c>
      <c r="I1273" s="16" t="str">
        <f>IF('Classe Terminale A'!$B73="","",IF('Classe Terminale A'!F73="","",'Classe Terminale A'!F73))</f>
        <v/>
      </c>
      <c r="J1273" s="16" t="str">
        <f>IF('Classe Terminale A'!$B73="","",IF('Classe Terminale A'!G73="","",'Classe Terminale A'!G73))</f>
        <v/>
      </c>
      <c r="K1273" s="18" t="str">
        <f>IF('Classe Terminale A'!$B73="","",N('Classe Terminale A'!H73))</f>
        <v/>
      </c>
      <c r="L1273" s="18" t="str">
        <f>IF('Classe Terminale A'!$B73="","",N('Classe Terminale A'!I73))</f>
        <v/>
      </c>
      <c r="M1273" s="18" t="str">
        <f>IF('Classe Terminale A'!$B73="","",N('Classe Terminale A'!J73))</f>
        <v/>
      </c>
      <c r="N1273" s="18" t="str">
        <f>IF('Classe Terminale A'!$B73="","",N('Classe Terminale A'!K73))</f>
        <v/>
      </c>
      <c r="O1273" s="18" t="str">
        <f>IF('Classe Terminale A'!$B73="","",N('Classe Terminale A'!L73))</f>
        <v/>
      </c>
      <c r="P1273" s="18" t="str">
        <f>IF('Classe Terminale A'!$B73="","",N('Classe Terminale A'!M73))</f>
        <v/>
      </c>
      <c r="Q1273" s="17" t="str">
        <f>IF('Classe Terminale A'!$B73="","",IF('Classe Terminale A'!Q73="","",'Classe Terminale A'!Q73))</f>
        <v/>
      </c>
      <c r="R1273" s="18" t="str">
        <f>IF('Classe Terminale A'!$B73="","",N('Classe Terminale A'!N73))</f>
        <v/>
      </c>
      <c r="S1273" s="18" t="str">
        <f>IF('Classe Terminale A'!$B73="","",N('Classe Terminale A'!O73))</f>
        <v/>
      </c>
      <c r="T1273" s="18" t="str">
        <f>IF('Classe Terminale A'!$B73="","",N('Classe Terminale A'!P73))</f>
        <v/>
      </c>
    </row>
    <row r="1274">
      <c r="A1274" s="20" t="str">
        <f>IF('Classe Terminale A'!$B74="","",IF('Classe Terminale A'!A74="","",'Classe Terminale A'!A74))</f>
        <v/>
      </c>
      <c r="B1274" s="20" t="str">
        <f>IF('Classe Terminale A'!$B74="","",IF('Classe Terminale A'!B74="","",'Classe Terminale A'!B74))</f>
        <v/>
      </c>
      <c r="C1274" s="20" t="str">
        <f>IF('Classe Terminale A'!$B74="","",IF('Classe Terminale A'!C74="","",'Classe Terminale A'!C74))</f>
        <v/>
      </c>
      <c r="D1274" s="20" t="str">
        <f>IF($B1274="","",C1274&amp;" "&amp;B1274&amp;" - "&amp;E1274)</f>
        <v/>
      </c>
      <c r="E1274" s="21" t="str">
        <f>IF($B1274="","",Paramètres!$A$30)</f>
        <v/>
      </c>
      <c r="F1274" s="21" t="str">
        <f>IF($B1274="","",Paramètres!$B$30)</f>
        <v/>
      </c>
      <c r="G1274" s="21" t="str">
        <f>IF('Classe Terminale A'!$B74="","",IF('Classe Terminale A'!D74="","",'Classe Terminale A'!D74))</f>
        <v/>
      </c>
      <c r="H1274" s="77" t="str">
        <f>IF('Classe Terminale A'!$B74="","",IF('Classe Terminale A'!E74="","",'Classe Terminale A'!E74))</f>
        <v/>
      </c>
      <c r="I1274" s="20" t="str">
        <f>IF('Classe Terminale A'!$B74="","",IF('Classe Terminale A'!F74="","",'Classe Terminale A'!F74))</f>
        <v/>
      </c>
      <c r="J1274" s="20" t="str">
        <f>IF('Classe Terminale A'!$B74="","",IF('Classe Terminale A'!G74="","",'Classe Terminale A'!G74))</f>
        <v/>
      </c>
      <c r="K1274" s="51" t="str">
        <f>IF('Classe Terminale A'!$B74="","",N('Classe Terminale A'!H74))</f>
        <v/>
      </c>
      <c r="L1274" s="51" t="str">
        <f>IF('Classe Terminale A'!$B74="","",N('Classe Terminale A'!I74))</f>
        <v/>
      </c>
      <c r="M1274" s="51" t="str">
        <f>IF('Classe Terminale A'!$B74="","",N('Classe Terminale A'!J74))</f>
        <v/>
      </c>
      <c r="N1274" s="51" t="str">
        <f>IF('Classe Terminale A'!$B74="","",N('Classe Terminale A'!K74))</f>
        <v/>
      </c>
      <c r="O1274" s="51" t="str">
        <f>IF('Classe Terminale A'!$B74="","",N('Classe Terminale A'!L74))</f>
        <v/>
      </c>
      <c r="P1274" s="51" t="str">
        <f>IF('Classe Terminale A'!$B74="","",N('Classe Terminale A'!M74))</f>
        <v/>
      </c>
      <c r="Q1274" s="21" t="str">
        <f>IF('Classe Terminale A'!$B74="","",IF('Classe Terminale A'!Q74="","",'Classe Terminale A'!Q74))</f>
        <v/>
      </c>
      <c r="R1274" s="51" t="str">
        <f>IF('Classe Terminale A'!$B74="","",N('Classe Terminale A'!N74))</f>
        <v/>
      </c>
      <c r="S1274" s="51" t="str">
        <f>IF('Classe Terminale A'!$B74="","",N('Classe Terminale A'!O74))</f>
        <v/>
      </c>
      <c r="T1274" s="51" t="str">
        <f>IF('Classe Terminale A'!$B74="","",N('Classe Terminale A'!P74))</f>
        <v/>
      </c>
    </row>
    <row r="1275">
      <c r="A1275" s="16" t="str">
        <f>IF('Classe Terminale A'!$B75="","",IF('Classe Terminale A'!A75="","",'Classe Terminale A'!A75))</f>
        <v/>
      </c>
      <c r="B1275" s="16" t="str">
        <f>IF('Classe Terminale A'!$B75="","",IF('Classe Terminale A'!B75="","",'Classe Terminale A'!B75))</f>
        <v/>
      </c>
      <c r="C1275" s="16" t="str">
        <f>IF('Classe Terminale A'!$B75="","",IF('Classe Terminale A'!C75="","",'Classe Terminale A'!C75))</f>
        <v/>
      </c>
      <c r="D1275" s="16" t="str">
        <f>IF($B1275="","",C1275&amp;" "&amp;B1275&amp;" - "&amp;E1275)</f>
        <v/>
      </c>
      <c r="E1275" s="17" t="str">
        <f>IF($B1275="","",Paramètres!$A$30)</f>
        <v/>
      </c>
      <c r="F1275" s="17" t="str">
        <f>IF($B1275="","",Paramètres!$B$30)</f>
        <v/>
      </c>
      <c r="G1275" s="17" t="str">
        <f>IF('Classe Terminale A'!$B75="","",IF('Classe Terminale A'!D75="","",'Classe Terminale A'!D75))</f>
        <v/>
      </c>
      <c r="H1275" s="78" t="str">
        <f>IF('Classe Terminale A'!$B75="","",IF('Classe Terminale A'!E75="","",'Classe Terminale A'!E75))</f>
        <v/>
      </c>
      <c r="I1275" s="16" t="str">
        <f>IF('Classe Terminale A'!$B75="","",IF('Classe Terminale A'!F75="","",'Classe Terminale A'!F75))</f>
        <v/>
      </c>
      <c r="J1275" s="16" t="str">
        <f>IF('Classe Terminale A'!$B75="","",IF('Classe Terminale A'!G75="","",'Classe Terminale A'!G75))</f>
        <v/>
      </c>
      <c r="K1275" s="18" t="str">
        <f>IF('Classe Terminale A'!$B75="","",N('Classe Terminale A'!H75))</f>
        <v/>
      </c>
      <c r="L1275" s="18" t="str">
        <f>IF('Classe Terminale A'!$B75="","",N('Classe Terminale A'!I75))</f>
        <v/>
      </c>
      <c r="M1275" s="18" t="str">
        <f>IF('Classe Terminale A'!$B75="","",N('Classe Terminale A'!J75))</f>
        <v/>
      </c>
      <c r="N1275" s="18" t="str">
        <f>IF('Classe Terminale A'!$B75="","",N('Classe Terminale A'!K75))</f>
        <v/>
      </c>
      <c r="O1275" s="18" t="str">
        <f>IF('Classe Terminale A'!$B75="","",N('Classe Terminale A'!L75))</f>
        <v/>
      </c>
      <c r="P1275" s="18" t="str">
        <f>IF('Classe Terminale A'!$B75="","",N('Classe Terminale A'!M75))</f>
        <v/>
      </c>
      <c r="Q1275" s="17" t="str">
        <f>IF('Classe Terminale A'!$B75="","",IF('Classe Terminale A'!Q75="","",'Classe Terminale A'!Q75))</f>
        <v/>
      </c>
      <c r="R1275" s="18" t="str">
        <f>IF('Classe Terminale A'!$B75="","",N('Classe Terminale A'!N75))</f>
        <v/>
      </c>
      <c r="S1275" s="18" t="str">
        <f>IF('Classe Terminale A'!$B75="","",N('Classe Terminale A'!O75))</f>
        <v/>
      </c>
      <c r="T1275" s="18" t="str">
        <f>IF('Classe Terminale A'!$B75="","",N('Classe Terminale A'!P75))</f>
        <v/>
      </c>
    </row>
    <row r="1276">
      <c r="A1276" s="20" t="str">
        <f>IF('Classe Terminale A'!$B76="","",IF('Classe Terminale A'!A76="","",'Classe Terminale A'!A76))</f>
        <v/>
      </c>
      <c r="B1276" s="20" t="str">
        <f>IF('Classe Terminale A'!$B76="","",IF('Classe Terminale A'!B76="","",'Classe Terminale A'!B76))</f>
        <v/>
      </c>
      <c r="C1276" s="20" t="str">
        <f>IF('Classe Terminale A'!$B76="","",IF('Classe Terminale A'!C76="","",'Classe Terminale A'!C76))</f>
        <v/>
      </c>
      <c r="D1276" s="20" t="str">
        <f>IF($B1276="","",C1276&amp;" "&amp;B1276&amp;" - "&amp;E1276)</f>
        <v/>
      </c>
      <c r="E1276" s="21" t="str">
        <f>IF($B1276="","",Paramètres!$A$30)</f>
        <v/>
      </c>
      <c r="F1276" s="21" t="str">
        <f>IF($B1276="","",Paramètres!$B$30)</f>
        <v/>
      </c>
      <c r="G1276" s="21" t="str">
        <f>IF('Classe Terminale A'!$B76="","",IF('Classe Terminale A'!D76="","",'Classe Terminale A'!D76))</f>
        <v/>
      </c>
      <c r="H1276" s="77" t="str">
        <f>IF('Classe Terminale A'!$B76="","",IF('Classe Terminale A'!E76="","",'Classe Terminale A'!E76))</f>
        <v/>
      </c>
      <c r="I1276" s="20" t="str">
        <f>IF('Classe Terminale A'!$B76="","",IF('Classe Terminale A'!F76="","",'Classe Terminale A'!F76))</f>
        <v/>
      </c>
      <c r="J1276" s="20" t="str">
        <f>IF('Classe Terminale A'!$B76="","",IF('Classe Terminale A'!G76="","",'Classe Terminale A'!G76))</f>
        <v/>
      </c>
      <c r="K1276" s="51" t="str">
        <f>IF('Classe Terminale A'!$B76="","",N('Classe Terminale A'!H76))</f>
        <v/>
      </c>
      <c r="L1276" s="51" t="str">
        <f>IF('Classe Terminale A'!$B76="","",N('Classe Terminale A'!I76))</f>
        <v/>
      </c>
      <c r="M1276" s="51" t="str">
        <f>IF('Classe Terminale A'!$B76="","",N('Classe Terminale A'!J76))</f>
        <v/>
      </c>
      <c r="N1276" s="51" t="str">
        <f>IF('Classe Terminale A'!$B76="","",N('Classe Terminale A'!K76))</f>
        <v/>
      </c>
      <c r="O1276" s="51" t="str">
        <f>IF('Classe Terminale A'!$B76="","",N('Classe Terminale A'!L76))</f>
        <v/>
      </c>
      <c r="P1276" s="51" t="str">
        <f>IF('Classe Terminale A'!$B76="","",N('Classe Terminale A'!M76))</f>
        <v/>
      </c>
      <c r="Q1276" s="21" t="str">
        <f>IF('Classe Terminale A'!$B76="","",IF('Classe Terminale A'!Q76="","",'Classe Terminale A'!Q76))</f>
        <v/>
      </c>
      <c r="R1276" s="51" t="str">
        <f>IF('Classe Terminale A'!$B76="","",N('Classe Terminale A'!N76))</f>
        <v/>
      </c>
      <c r="S1276" s="51" t="str">
        <f>IF('Classe Terminale A'!$B76="","",N('Classe Terminale A'!O76))</f>
        <v/>
      </c>
      <c r="T1276" s="51" t="str">
        <f>IF('Classe Terminale A'!$B76="","",N('Classe Terminale A'!P76))</f>
        <v/>
      </c>
    </row>
    <row r="1277">
      <c r="A1277" s="16" t="str">
        <f>IF('Classe Terminale A'!$B77="","",IF('Classe Terminale A'!A77="","",'Classe Terminale A'!A77))</f>
        <v/>
      </c>
      <c r="B1277" s="16" t="str">
        <f>IF('Classe Terminale A'!$B77="","",IF('Classe Terminale A'!B77="","",'Classe Terminale A'!B77))</f>
        <v/>
      </c>
      <c r="C1277" s="16" t="str">
        <f>IF('Classe Terminale A'!$B77="","",IF('Classe Terminale A'!C77="","",'Classe Terminale A'!C77))</f>
        <v/>
      </c>
      <c r="D1277" s="16" t="str">
        <f>IF($B1277="","",C1277&amp;" "&amp;B1277&amp;" - "&amp;E1277)</f>
        <v/>
      </c>
      <c r="E1277" s="17" t="str">
        <f>IF($B1277="","",Paramètres!$A$30)</f>
        <v/>
      </c>
      <c r="F1277" s="17" t="str">
        <f>IF($B1277="","",Paramètres!$B$30)</f>
        <v/>
      </c>
      <c r="G1277" s="17" t="str">
        <f>IF('Classe Terminale A'!$B77="","",IF('Classe Terminale A'!D77="","",'Classe Terminale A'!D77))</f>
        <v/>
      </c>
      <c r="H1277" s="78" t="str">
        <f>IF('Classe Terminale A'!$B77="","",IF('Classe Terminale A'!E77="","",'Classe Terminale A'!E77))</f>
        <v/>
      </c>
      <c r="I1277" s="16" t="str">
        <f>IF('Classe Terminale A'!$B77="","",IF('Classe Terminale A'!F77="","",'Classe Terminale A'!F77))</f>
        <v/>
      </c>
      <c r="J1277" s="16" t="str">
        <f>IF('Classe Terminale A'!$B77="","",IF('Classe Terminale A'!G77="","",'Classe Terminale A'!G77))</f>
        <v/>
      </c>
      <c r="K1277" s="18" t="str">
        <f>IF('Classe Terminale A'!$B77="","",N('Classe Terminale A'!H77))</f>
        <v/>
      </c>
      <c r="L1277" s="18" t="str">
        <f>IF('Classe Terminale A'!$B77="","",N('Classe Terminale A'!I77))</f>
        <v/>
      </c>
      <c r="M1277" s="18" t="str">
        <f>IF('Classe Terminale A'!$B77="","",N('Classe Terminale A'!J77))</f>
        <v/>
      </c>
      <c r="N1277" s="18" t="str">
        <f>IF('Classe Terminale A'!$B77="","",N('Classe Terminale A'!K77))</f>
        <v/>
      </c>
      <c r="O1277" s="18" t="str">
        <f>IF('Classe Terminale A'!$B77="","",N('Classe Terminale A'!L77))</f>
        <v/>
      </c>
      <c r="P1277" s="18" t="str">
        <f>IF('Classe Terminale A'!$B77="","",N('Classe Terminale A'!M77))</f>
        <v/>
      </c>
      <c r="Q1277" s="17" t="str">
        <f>IF('Classe Terminale A'!$B77="","",IF('Classe Terminale A'!Q77="","",'Classe Terminale A'!Q77))</f>
        <v/>
      </c>
      <c r="R1277" s="18" t="str">
        <f>IF('Classe Terminale A'!$B77="","",N('Classe Terminale A'!N77))</f>
        <v/>
      </c>
      <c r="S1277" s="18" t="str">
        <f>IF('Classe Terminale A'!$B77="","",N('Classe Terminale A'!O77))</f>
        <v/>
      </c>
      <c r="T1277" s="18" t="str">
        <f>IF('Classe Terminale A'!$B77="","",N('Classe Terminale A'!P77))</f>
        <v/>
      </c>
    </row>
    <row r="1278">
      <c r="A1278" s="20" t="str">
        <f>IF('Classe Terminale A'!$B78="","",IF('Classe Terminale A'!A78="","",'Classe Terminale A'!A78))</f>
        <v/>
      </c>
      <c r="B1278" s="20" t="str">
        <f>IF('Classe Terminale A'!$B78="","",IF('Classe Terminale A'!B78="","",'Classe Terminale A'!B78))</f>
        <v/>
      </c>
      <c r="C1278" s="20" t="str">
        <f>IF('Classe Terminale A'!$B78="","",IF('Classe Terminale A'!C78="","",'Classe Terminale A'!C78))</f>
        <v/>
      </c>
      <c r="D1278" s="20" t="str">
        <f>IF($B1278="","",C1278&amp;" "&amp;B1278&amp;" - "&amp;E1278)</f>
        <v/>
      </c>
      <c r="E1278" s="21" t="str">
        <f>IF($B1278="","",Paramètres!$A$30)</f>
        <v/>
      </c>
      <c r="F1278" s="21" t="str">
        <f>IF($B1278="","",Paramètres!$B$30)</f>
        <v/>
      </c>
      <c r="G1278" s="21" t="str">
        <f>IF('Classe Terminale A'!$B78="","",IF('Classe Terminale A'!D78="","",'Classe Terminale A'!D78))</f>
        <v/>
      </c>
      <c r="H1278" s="77" t="str">
        <f>IF('Classe Terminale A'!$B78="","",IF('Classe Terminale A'!E78="","",'Classe Terminale A'!E78))</f>
        <v/>
      </c>
      <c r="I1278" s="20" t="str">
        <f>IF('Classe Terminale A'!$B78="","",IF('Classe Terminale A'!F78="","",'Classe Terminale A'!F78))</f>
        <v/>
      </c>
      <c r="J1278" s="20" t="str">
        <f>IF('Classe Terminale A'!$B78="","",IF('Classe Terminale A'!G78="","",'Classe Terminale A'!G78))</f>
        <v/>
      </c>
      <c r="K1278" s="51" t="str">
        <f>IF('Classe Terminale A'!$B78="","",N('Classe Terminale A'!H78))</f>
        <v/>
      </c>
      <c r="L1278" s="51" t="str">
        <f>IF('Classe Terminale A'!$B78="","",N('Classe Terminale A'!I78))</f>
        <v/>
      </c>
      <c r="M1278" s="51" t="str">
        <f>IF('Classe Terminale A'!$B78="","",N('Classe Terminale A'!J78))</f>
        <v/>
      </c>
      <c r="N1278" s="51" t="str">
        <f>IF('Classe Terminale A'!$B78="","",N('Classe Terminale A'!K78))</f>
        <v/>
      </c>
      <c r="O1278" s="51" t="str">
        <f>IF('Classe Terminale A'!$B78="","",N('Classe Terminale A'!L78))</f>
        <v/>
      </c>
      <c r="P1278" s="51" t="str">
        <f>IF('Classe Terminale A'!$B78="","",N('Classe Terminale A'!M78))</f>
        <v/>
      </c>
      <c r="Q1278" s="21" t="str">
        <f>IF('Classe Terminale A'!$B78="","",IF('Classe Terminale A'!Q78="","",'Classe Terminale A'!Q78))</f>
        <v/>
      </c>
      <c r="R1278" s="51" t="str">
        <f>IF('Classe Terminale A'!$B78="","",N('Classe Terminale A'!N78))</f>
        <v/>
      </c>
      <c r="S1278" s="51" t="str">
        <f>IF('Classe Terminale A'!$B78="","",N('Classe Terminale A'!O78))</f>
        <v/>
      </c>
      <c r="T1278" s="51" t="str">
        <f>IF('Classe Terminale A'!$B78="","",N('Classe Terminale A'!P78))</f>
        <v/>
      </c>
    </row>
    <row r="1279">
      <c r="A1279" s="16" t="str">
        <f>IF('Classe Terminale A'!$B79="","",IF('Classe Terminale A'!A79="","",'Classe Terminale A'!A79))</f>
        <v/>
      </c>
      <c r="B1279" s="16" t="str">
        <f>IF('Classe Terminale A'!$B79="","",IF('Classe Terminale A'!B79="","",'Classe Terminale A'!B79))</f>
        <v/>
      </c>
      <c r="C1279" s="16" t="str">
        <f>IF('Classe Terminale A'!$B79="","",IF('Classe Terminale A'!C79="","",'Classe Terminale A'!C79))</f>
        <v/>
      </c>
      <c r="D1279" s="16" t="str">
        <f>IF($B1279="","",C1279&amp;" "&amp;B1279&amp;" - "&amp;E1279)</f>
        <v/>
      </c>
      <c r="E1279" s="17" t="str">
        <f>IF($B1279="","",Paramètres!$A$30)</f>
        <v/>
      </c>
      <c r="F1279" s="17" t="str">
        <f>IF($B1279="","",Paramètres!$B$30)</f>
        <v/>
      </c>
      <c r="G1279" s="17" t="str">
        <f>IF('Classe Terminale A'!$B79="","",IF('Classe Terminale A'!D79="","",'Classe Terminale A'!D79))</f>
        <v/>
      </c>
      <c r="H1279" s="78" t="str">
        <f>IF('Classe Terminale A'!$B79="","",IF('Classe Terminale A'!E79="","",'Classe Terminale A'!E79))</f>
        <v/>
      </c>
      <c r="I1279" s="16" t="str">
        <f>IF('Classe Terminale A'!$B79="","",IF('Classe Terminale A'!F79="","",'Classe Terminale A'!F79))</f>
        <v/>
      </c>
      <c r="J1279" s="16" t="str">
        <f>IF('Classe Terminale A'!$B79="","",IF('Classe Terminale A'!G79="","",'Classe Terminale A'!G79))</f>
        <v/>
      </c>
      <c r="K1279" s="18" t="str">
        <f>IF('Classe Terminale A'!$B79="","",N('Classe Terminale A'!H79))</f>
        <v/>
      </c>
      <c r="L1279" s="18" t="str">
        <f>IF('Classe Terminale A'!$B79="","",N('Classe Terminale A'!I79))</f>
        <v/>
      </c>
      <c r="M1279" s="18" t="str">
        <f>IF('Classe Terminale A'!$B79="","",N('Classe Terminale A'!J79))</f>
        <v/>
      </c>
      <c r="N1279" s="18" t="str">
        <f>IF('Classe Terminale A'!$B79="","",N('Classe Terminale A'!K79))</f>
        <v/>
      </c>
      <c r="O1279" s="18" t="str">
        <f>IF('Classe Terminale A'!$B79="","",N('Classe Terminale A'!L79))</f>
        <v/>
      </c>
      <c r="P1279" s="18" t="str">
        <f>IF('Classe Terminale A'!$B79="","",N('Classe Terminale A'!M79))</f>
        <v/>
      </c>
      <c r="Q1279" s="17" t="str">
        <f>IF('Classe Terminale A'!$B79="","",IF('Classe Terminale A'!Q79="","",'Classe Terminale A'!Q79))</f>
        <v/>
      </c>
      <c r="R1279" s="18" t="str">
        <f>IF('Classe Terminale A'!$B79="","",N('Classe Terminale A'!N79))</f>
        <v/>
      </c>
      <c r="S1279" s="18" t="str">
        <f>IF('Classe Terminale A'!$B79="","",N('Classe Terminale A'!O79))</f>
        <v/>
      </c>
      <c r="T1279" s="18" t="str">
        <f>IF('Classe Terminale A'!$B79="","",N('Classe Terminale A'!P79))</f>
        <v/>
      </c>
    </row>
    <row r="1280">
      <c r="A1280" s="20" t="str">
        <f>IF('Classe Terminale A'!$B80="","",IF('Classe Terminale A'!A80="","",'Classe Terminale A'!A80))</f>
        <v/>
      </c>
      <c r="B1280" s="20" t="str">
        <f>IF('Classe Terminale A'!$B80="","",IF('Classe Terminale A'!B80="","",'Classe Terminale A'!B80))</f>
        <v/>
      </c>
      <c r="C1280" s="20" t="str">
        <f>IF('Classe Terminale A'!$B80="","",IF('Classe Terminale A'!C80="","",'Classe Terminale A'!C80))</f>
        <v/>
      </c>
      <c r="D1280" s="20" t="str">
        <f>IF($B1280="","",C1280&amp;" "&amp;B1280&amp;" - "&amp;E1280)</f>
        <v/>
      </c>
      <c r="E1280" s="21" t="str">
        <f>IF($B1280="","",Paramètres!$A$30)</f>
        <v/>
      </c>
      <c r="F1280" s="21" t="str">
        <f>IF($B1280="","",Paramètres!$B$30)</f>
        <v/>
      </c>
      <c r="G1280" s="21" t="str">
        <f>IF('Classe Terminale A'!$B80="","",IF('Classe Terminale A'!D80="","",'Classe Terminale A'!D80))</f>
        <v/>
      </c>
      <c r="H1280" s="77" t="str">
        <f>IF('Classe Terminale A'!$B80="","",IF('Classe Terminale A'!E80="","",'Classe Terminale A'!E80))</f>
        <v/>
      </c>
      <c r="I1280" s="20" t="str">
        <f>IF('Classe Terminale A'!$B80="","",IF('Classe Terminale A'!F80="","",'Classe Terminale A'!F80))</f>
        <v/>
      </c>
      <c r="J1280" s="20" t="str">
        <f>IF('Classe Terminale A'!$B80="","",IF('Classe Terminale A'!G80="","",'Classe Terminale A'!G80))</f>
        <v/>
      </c>
      <c r="K1280" s="51" t="str">
        <f>IF('Classe Terminale A'!$B80="","",N('Classe Terminale A'!H80))</f>
        <v/>
      </c>
      <c r="L1280" s="51" t="str">
        <f>IF('Classe Terminale A'!$B80="","",N('Classe Terminale A'!I80))</f>
        <v/>
      </c>
      <c r="M1280" s="51" t="str">
        <f>IF('Classe Terminale A'!$B80="","",N('Classe Terminale A'!J80))</f>
        <v/>
      </c>
      <c r="N1280" s="51" t="str">
        <f>IF('Classe Terminale A'!$B80="","",N('Classe Terminale A'!K80))</f>
        <v/>
      </c>
      <c r="O1280" s="51" t="str">
        <f>IF('Classe Terminale A'!$B80="","",N('Classe Terminale A'!L80))</f>
        <v/>
      </c>
      <c r="P1280" s="51" t="str">
        <f>IF('Classe Terminale A'!$B80="","",N('Classe Terminale A'!M80))</f>
        <v/>
      </c>
      <c r="Q1280" s="21" t="str">
        <f>IF('Classe Terminale A'!$B80="","",IF('Classe Terminale A'!Q80="","",'Classe Terminale A'!Q80))</f>
        <v/>
      </c>
      <c r="R1280" s="51" t="str">
        <f>IF('Classe Terminale A'!$B80="","",N('Classe Terminale A'!N80))</f>
        <v/>
      </c>
      <c r="S1280" s="51" t="str">
        <f>IF('Classe Terminale A'!$B80="","",N('Classe Terminale A'!O80))</f>
        <v/>
      </c>
      <c r="T1280" s="51" t="str">
        <f>IF('Classe Terminale A'!$B80="","",N('Classe Terminale A'!P80))</f>
        <v/>
      </c>
    </row>
    <row r="1281">
      <c r="A1281" s="16" t="str">
        <f>IF('Classe Terminale A'!$B81="","",IF('Classe Terminale A'!A81="","",'Classe Terminale A'!A81))</f>
        <v/>
      </c>
      <c r="B1281" s="16" t="str">
        <f>IF('Classe Terminale A'!$B81="","",IF('Classe Terminale A'!B81="","",'Classe Terminale A'!B81))</f>
        <v/>
      </c>
      <c r="C1281" s="16" t="str">
        <f>IF('Classe Terminale A'!$B81="","",IF('Classe Terminale A'!C81="","",'Classe Terminale A'!C81))</f>
        <v/>
      </c>
      <c r="D1281" s="16" t="str">
        <f>IF($B1281="","",C1281&amp;" "&amp;B1281&amp;" - "&amp;E1281)</f>
        <v/>
      </c>
      <c r="E1281" s="17" t="str">
        <f>IF($B1281="","",Paramètres!$A$30)</f>
        <v/>
      </c>
      <c r="F1281" s="17" t="str">
        <f>IF($B1281="","",Paramètres!$B$30)</f>
        <v/>
      </c>
      <c r="G1281" s="17" t="str">
        <f>IF('Classe Terminale A'!$B81="","",IF('Classe Terminale A'!D81="","",'Classe Terminale A'!D81))</f>
        <v/>
      </c>
      <c r="H1281" s="78" t="str">
        <f>IF('Classe Terminale A'!$B81="","",IF('Classe Terminale A'!E81="","",'Classe Terminale A'!E81))</f>
        <v/>
      </c>
      <c r="I1281" s="16" t="str">
        <f>IF('Classe Terminale A'!$B81="","",IF('Classe Terminale A'!F81="","",'Classe Terminale A'!F81))</f>
        <v/>
      </c>
      <c r="J1281" s="16" t="str">
        <f>IF('Classe Terminale A'!$B81="","",IF('Classe Terminale A'!G81="","",'Classe Terminale A'!G81))</f>
        <v/>
      </c>
      <c r="K1281" s="18" t="str">
        <f>IF('Classe Terminale A'!$B81="","",N('Classe Terminale A'!H81))</f>
        <v/>
      </c>
      <c r="L1281" s="18" t="str">
        <f>IF('Classe Terminale A'!$B81="","",N('Classe Terminale A'!I81))</f>
        <v/>
      </c>
      <c r="M1281" s="18" t="str">
        <f>IF('Classe Terminale A'!$B81="","",N('Classe Terminale A'!J81))</f>
        <v/>
      </c>
      <c r="N1281" s="18" t="str">
        <f>IF('Classe Terminale A'!$B81="","",N('Classe Terminale A'!K81))</f>
        <v/>
      </c>
      <c r="O1281" s="18" t="str">
        <f>IF('Classe Terminale A'!$B81="","",N('Classe Terminale A'!L81))</f>
        <v/>
      </c>
      <c r="P1281" s="18" t="str">
        <f>IF('Classe Terminale A'!$B81="","",N('Classe Terminale A'!M81))</f>
        <v/>
      </c>
      <c r="Q1281" s="17" t="str">
        <f>IF('Classe Terminale A'!$B81="","",IF('Classe Terminale A'!Q81="","",'Classe Terminale A'!Q81))</f>
        <v/>
      </c>
      <c r="R1281" s="18" t="str">
        <f>IF('Classe Terminale A'!$B81="","",N('Classe Terminale A'!N81))</f>
        <v/>
      </c>
      <c r="S1281" s="18" t="str">
        <f>IF('Classe Terminale A'!$B81="","",N('Classe Terminale A'!O81))</f>
        <v/>
      </c>
      <c r="T1281" s="18" t="str">
        <f>IF('Classe Terminale A'!$B81="","",N('Classe Terminale A'!P81))</f>
        <v/>
      </c>
    </row>
    <row r="1282">
      <c r="A1282" s="20" t="str">
        <f>IF('Classe Terminale A'!$B82="","",IF('Classe Terminale A'!A82="","",'Classe Terminale A'!A82))</f>
        <v/>
      </c>
      <c r="B1282" s="20" t="str">
        <f>IF('Classe Terminale A'!$B82="","",IF('Classe Terminale A'!B82="","",'Classe Terminale A'!B82))</f>
        <v/>
      </c>
      <c r="C1282" s="20" t="str">
        <f>IF('Classe Terminale A'!$B82="","",IF('Classe Terminale A'!C82="","",'Classe Terminale A'!C82))</f>
        <v/>
      </c>
      <c r="D1282" s="20" t="str">
        <f>IF($B1282="","",C1282&amp;" "&amp;B1282&amp;" - "&amp;E1282)</f>
        <v/>
      </c>
      <c r="E1282" s="21" t="str">
        <f>IF($B1282="","",Paramètres!$A$30)</f>
        <v/>
      </c>
      <c r="F1282" s="21" t="str">
        <f>IF($B1282="","",Paramètres!$B$30)</f>
        <v/>
      </c>
      <c r="G1282" s="21" t="str">
        <f>IF('Classe Terminale A'!$B82="","",IF('Classe Terminale A'!D82="","",'Classe Terminale A'!D82))</f>
        <v/>
      </c>
      <c r="H1282" s="77" t="str">
        <f>IF('Classe Terminale A'!$B82="","",IF('Classe Terminale A'!E82="","",'Classe Terminale A'!E82))</f>
        <v/>
      </c>
      <c r="I1282" s="20" t="str">
        <f>IF('Classe Terminale A'!$B82="","",IF('Classe Terminale A'!F82="","",'Classe Terminale A'!F82))</f>
        <v/>
      </c>
      <c r="J1282" s="20" t="str">
        <f>IF('Classe Terminale A'!$B82="","",IF('Classe Terminale A'!G82="","",'Classe Terminale A'!G82))</f>
        <v/>
      </c>
      <c r="K1282" s="51" t="str">
        <f>IF('Classe Terminale A'!$B82="","",N('Classe Terminale A'!H82))</f>
        <v/>
      </c>
      <c r="L1282" s="51" t="str">
        <f>IF('Classe Terminale A'!$B82="","",N('Classe Terminale A'!I82))</f>
        <v/>
      </c>
      <c r="M1282" s="51" t="str">
        <f>IF('Classe Terminale A'!$B82="","",N('Classe Terminale A'!J82))</f>
        <v/>
      </c>
      <c r="N1282" s="51" t="str">
        <f>IF('Classe Terminale A'!$B82="","",N('Classe Terminale A'!K82))</f>
        <v/>
      </c>
      <c r="O1282" s="51" t="str">
        <f>IF('Classe Terminale A'!$B82="","",N('Classe Terminale A'!L82))</f>
        <v/>
      </c>
      <c r="P1282" s="51" t="str">
        <f>IF('Classe Terminale A'!$B82="","",N('Classe Terminale A'!M82))</f>
        <v/>
      </c>
      <c r="Q1282" s="21" t="str">
        <f>IF('Classe Terminale A'!$B82="","",IF('Classe Terminale A'!Q82="","",'Classe Terminale A'!Q82))</f>
        <v/>
      </c>
      <c r="R1282" s="51" t="str">
        <f>IF('Classe Terminale A'!$B82="","",N('Classe Terminale A'!N82))</f>
        <v/>
      </c>
      <c r="S1282" s="51" t="str">
        <f>IF('Classe Terminale A'!$B82="","",N('Classe Terminale A'!O82))</f>
        <v/>
      </c>
      <c r="T1282" s="51" t="str">
        <f>IF('Classe Terminale A'!$B82="","",N('Classe Terminale A'!P82))</f>
        <v/>
      </c>
    </row>
    <row r="1283">
      <c r="A1283" s="16" t="str">
        <f>IF('Classe Terminale A'!$B83="","",IF('Classe Terminale A'!A83="","",'Classe Terminale A'!A83))</f>
        <v/>
      </c>
      <c r="B1283" s="16" t="str">
        <f>IF('Classe Terminale A'!$B83="","",IF('Classe Terminale A'!B83="","",'Classe Terminale A'!B83))</f>
        <v/>
      </c>
      <c r="C1283" s="16" t="str">
        <f>IF('Classe Terminale A'!$B83="","",IF('Classe Terminale A'!C83="","",'Classe Terminale A'!C83))</f>
        <v/>
      </c>
      <c r="D1283" s="16" t="str">
        <f>IF($B1283="","",C1283&amp;" "&amp;B1283&amp;" - "&amp;E1283)</f>
        <v/>
      </c>
      <c r="E1283" s="17" t="str">
        <f>IF($B1283="","",Paramètres!$A$30)</f>
        <v/>
      </c>
      <c r="F1283" s="17" t="str">
        <f>IF($B1283="","",Paramètres!$B$30)</f>
        <v/>
      </c>
      <c r="G1283" s="17" t="str">
        <f>IF('Classe Terminale A'!$B83="","",IF('Classe Terminale A'!D83="","",'Classe Terminale A'!D83))</f>
        <v/>
      </c>
      <c r="H1283" s="78" t="str">
        <f>IF('Classe Terminale A'!$B83="","",IF('Classe Terminale A'!E83="","",'Classe Terminale A'!E83))</f>
        <v/>
      </c>
      <c r="I1283" s="16" t="str">
        <f>IF('Classe Terminale A'!$B83="","",IF('Classe Terminale A'!F83="","",'Classe Terminale A'!F83))</f>
        <v/>
      </c>
      <c r="J1283" s="16" t="str">
        <f>IF('Classe Terminale A'!$B83="","",IF('Classe Terminale A'!G83="","",'Classe Terminale A'!G83))</f>
        <v/>
      </c>
      <c r="K1283" s="18" t="str">
        <f>IF('Classe Terminale A'!$B83="","",N('Classe Terminale A'!H83))</f>
        <v/>
      </c>
      <c r="L1283" s="18" t="str">
        <f>IF('Classe Terminale A'!$B83="","",N('Classe Terminale A'!I83))</f>
        <v/>
      </c>
      <c r="M1283" s="18" t="str">
        <f>IF('Classe Terminale A'!$B83="","",N('Classe Terminale A'!J83))</f>
        <v/>
      </c>
      <c r="N1283" s="18" t="str">
        <f>IF('Classe Terminale A'!$B83="","",N('Classe Terminale A'!K83))</f>
        <v/>
      </c>
      <c r="O1283" s="18" t="str">
        <f>IF('Classe Terminale A'!$B83="","",N('Classe Terminale A'!L83))</f>
        <v/>
      </c>
      <c r="P1283" s="18" t="str">
        <f>IF('Classe Terminale A'!$B83="","",N('Classe Terminale A'!M83))</f>
        <v/>
      </c>
      <c r="Q1283" s="17" t="str">
        <f>IF('Classe Terminale A'!$B83="","",IF('Classe Terminale A'!Q83="","",'Classe Terminale A'!Q83))</f>
        <v/>
      </c>
      <c r="R1283" s="18" t="str">
        <f>IF('Classe Terminale A'!$B83="","",N('Classe Terminale A'!N83))</f>
        <v/>
      </c>
      <c r="S1283" s="18" t="str">
        <f>IF('Classe Terminale A'!$B83="","",N('Classe Terminale A'!O83))</f>
        <v/>
      </c>
      <c r="T1283" s="18" t="str">
        <f>IF('Classe Terminale A'!$B83="","",N('Classe Terminale A'!P83))</f>
        <v/>
      </c>
    </row>
    <row r="1284">
      <c r="A1284" s="20" t="str">
        <f>IF('Classe Terminale D'!$B4="","",IF('Classe Terminale D'!A4="","",'Classe Terminale D'!A4))</f>
        <v/>
      </c>
      <c r="B1284" s="20" t="str">
        <f>IF('Classe Terminale D'!$B4="","",IF('Classe Terminale D'!B4="","",'Classe Terminale D'!B4))</f>
        <v/>
      </c>
      <c r="C1284" s="20" t="str">
        <f>IF('Classe Terminale D'!$B4="","",IF('Classe Terminale D'!C4="","",'Classe Terminale D'!C4))</f>
        <v/>
      </c>
      <c r="D1284" s="20" t="str">
        <f>IF($B1284="","",C1284&amp;" "&amp;B1284&amp;" - "&amp;E1284)</f>
        <v/>
      </c>
      <c r="E1284" s="21" t="str">
        <f>IF($B1284="","",Paramètres!$A$31)</f>
        <v/>
      </c>
      <c r="F1284" s="21" t="str">
        <f>IF($B1284="","",Paramètres!$B$31)</f>
        <v/>
      </c>
      <c r="G1284" s="21" t="str">
        <f>IF('Classe Terminale D'!$B4="","",IF('Classe Terminale D'!D4="","",'Classe Terminale D'!D4))</f>
        <v/>
      </c>
      <c r="H1284" s="77" t="str">
        <f>IF('Classe Terminale D'!$B4="","",IF('Classe Terminale D'!E4="","",'Classe Terminale D'!E4))</f>
        <v/>
      </c>
      <c r="I1284" s="20" t="str">
        <f>IF('Classe Terminale D'!$B4="","",IF('Classe Terminale D'!F4="","",'Classe Terminale D'!F4))</f>
        <v/>
      </c>
      <c r="J1284" s="20" t="str">
        <f>IF('Classe Terminale D'!$B4="","",IF('Classe Terminale D'!G4="","",'Classe Terminale D'!G4))</f>
        <v/>
      </c>
      <c r="K1284" s="51" t="str">
        <f>IF('Classe Terminale D'!$B4="","",N('Classe Terminale D'!H4))</f>
        <v/>
      </c>
      <c r="L1284" s="51" t="str">
        <f>IF('Classe Terminale D'!$B4="","",N('Classe Terminale D'!I4))</f>
        <v/>
      </c>
      <c r="M1284" s="51" t="str">
        <f>IF('Classe Terminale D'!$B4="","",N('Classe Terminale D'!J4))</f>
        <v/>
      </c>
      <c r="N1284" s="51" t="str">
        <f>IF('Classe Terminale D'!$B4="","",N('Classe Terminale D'!K4))</f>
        <v/>
      </c>
      <c r="O1284" s="51" t="str">
        <f>IF('Classe Terminale D'!$B4="","",N('Classe Terminale D'!L4))</f>
        <v/>
      </c>
      <c r="P1284" s="51" t="str">
        <f>IF('Classe Terminale D'!$B4="","",N('Classe Terminale D'!M4))</f>
        <v/>
      </c>
      <c r="Q1284" s="21" t="str">
        <f>IF('Classe Terminale D'!$B4="","",IF('Classe Terminale D'!Q4="","",'Classe Terminale D'!Q4))</f>
        <v/>
      </c>
      <c r="R1284" s="51" t="str">
        <f>IF('Classe Terminale D'!$B4="","",N('Classe Terminale D'!N4))</f>
        <v/>
      </c>
      <c r="S1284" s="51" t="str">
        <f>IF('Classe Terminale D'!$B4="","",N('Classe Terminale D'!O4))</f>
        <v/>
      </c>
      <c r="T1284" s="51" t="str">
        <f>IF('Classe Terminale D'!$B4="","",N('Classe Terminale D'!P4))</f>
        <v/>
      </c>
    </row>
    <row r="1285">
      <c r="A1285" s="16" t="str">
        <f>IF('Classe Terminale D'!$B5="","",IF('Classe Terminale D'!A5="","",'Classe Terminale D'!A5))</f>
        <v/>
      </c>
      <c r="B1285" s="16" t="str">
        <f>IF('Classe Terminale D'!$B5="","",IF('Classe Terminale D'!B5="","",'Classe Terminale D'!B5))</f>
        <v/>
      </c>
      <c r="C1285" s="16" t="str">
        <f>IF('Classe Terminale D'!$B5="","",IF('Classe Terminale D'!C5="","",'Classe Terminale D'!C5))</f>
        <v/>
      </c>
      <c r="D1285" s="16" t="str">
        <f>IF($B1285="","",C1285&amp;" "&amp;B1285&amp;" - "&amp;E1285)</f>
        <v/>
      </c>
      <c r="E1285" s="17" t="str">
        <f>IF($B1285="","",Paramètres!$A$31)</f>
        <v/>
      </c>
      <c r="F1285" s="17" t="str">
        <f>IF($B1285="","",Paramètres!$B$31)</f>
        <v/>
      </c>
      <c r="G1285" s="17" t="str">
        <f>IF('Classe Terminale D'!$B5="","",IF('Classe Terminale D'!D5="","",'Classe Terminale D'!D5))</f>
        <v/>
      </c>
      <c r="H1285" s="78" t="str">
        <f>IF('Classe Terminale D'!$B5="","",IF('Classe Terminale D'!E5="","",'Classe Terminale D'!E5))</f>
        <v/>
      </c>
      <c r="I1285" s="16" t="str">
        <f>IF('Classe Terminale D'!$B5="","",IF('Classe Terminale D'!F5="","",'Classe Terminale D'!F5))</f>
        <v/>
      </c>
      <c r="J1285" s="16" t="str">
        <f>IF('Classe Terminale D'!$B5="","",IF('Classe Terminale D'!G5="","",'Classe Terminale D'!G5))</f>
        <v/>
      </c>
      <c r="K1285" s="18" t="str">
        <f>IF('Classe Terminale D'!$B5="","",N('Classe Terminale D'!H5))</f>
        <v/>
      </c>
      <c r="L1285" s="18" t="str">
        <f>IF('Classe Terminale D'!$B5="","",N('Classe Terminale D'!I5))</f>
        <v/>
      </c>
      <c r="M1285" s="18" t="str">
        <f>IF('Classe Terminale D'!$B5="","",N('Classe Terminale D'!J5))</f>
        <v/>
      </c>
      <c r="N1285" s="18" t="str">
        <f>IF('Classe Terminale D'!$B5="","",N('Classe Terminale D'!K5))</f>
        <v/>
      </c>
      <c r="O1285" s="18" t="str">
        <f>IF('Classe Terminale D'!$B5="","",N('Classe Terminale D'!L5))</f>
        <v/>
      </c>
      <c r="P1285" s="18" t="str">
        <f>IF('Classe Terminale D'!$B5="","",N('Classe Terminale D'!M5))</f>
        <v/>
      </c>
      <c r="Q1285" s="17" t="str">
        <f>IF('Classe Terminale D'!$B5="","",IF('Classe Terminale D'!Q5="","",'Classe Terminale D'!Q5))</f>
        <v/>
      </c>
      <c r="R1285" s="18" t="str">
        <f>IF('Classe Terminale D'!$B5="","",N('Classe Terminale D'!N5))</f>
        <v/>
      </c>
      <c r="S1285" s="18" t="str">
        <f>IF('Classe Terminale D'!$B5="","",N('Classe Terminale D'!O5))</f>
        <v/>
      </c>
      <c r="T1285" s="18" t="str">
        <f>IF('Classe Terminale D'!$B5="","",N('Classe Terminale D'!P5))</f>
        <v/>
      </c>
    </row>
    <row r="1286">
      <c r="A1286" s="20" t="str">
        <f>IF('Classe Terminale D'!$B6="","",IF('Classe Terminale D'!A6="","",'Classe Terminale D'!A6))</f>
        <v/>
      </c>
      <c r="B1286" s="20" t="str">
        <f>IF('Classe Terminale D'!$B6="","",IF('Classe Terminale D'!B6="","",'Classe Terminale D'!B6))</f>
        <v/>
      </c>
      <c r="C1286" s="20" t="str">
        <f>IF('Classe Terminale D'!$B6="","",IF('Classe Terminale D'!C6="","",'Classe Terminale D'!C6))</f>
        <v/>
      </c>
      <c r="D1286" s="20" t="str">
        <f>IF($B1286="","",C1286&amp;" "&amp;B1286&amp;" - "&amp;E1286)</f>
        <v/>
      </c>
      <c r="E1286" s="21" t="str">
        <f>IF($B1286="","",Paramètres!$A$31)</f>
        <v/>
      </c>
      <c r="F1286" s="21" t="str">
        <f>IF($B1286="","",Paramètres!$B$31)</f>
        <v/>
      </c>
      <c r="G1286" s="21" t="str">
        <f>IF('Classe Terminale D'!$B6="","",IF('Classe Terminale D'!D6="","",'Classe Terminale D'!D6))</f>
        <v/>
      </c>
      <c r="H1286" s="77" t="str">
        <f>IF('Classe Terminale D'!$B6="","",IF('Classe Terminale D'!E6="","",'Classe Terminale D'!E6))</f>
        <v/>
      </c>
      <c r="I1286" s="20" t="str">
        <f>IF('Classe Terminale D'!$B6="","",IF('Classe Terminale D'!F6="","",'Classe Terminale D'!F6))</f>
        <v/>
      </c>
      <c r="J1286" s="20" t="str">
        <f>IF('Classe Terminale D'!$B6="","",IF('Classe Terminale D'!G6="","",'Classe Terminale D'!G6))</f>
        <v/>
      </c>
      <c r="K1286" s="51" t="str">
        <f>IF('Classe Terminale D'!$B6="","",N('Classe Terminale D'!H6))</f>
        <v/>
      </c>
      <c r="L1286" s="51" t="str">
        <f>IF('Classe Terminale D'!$B6="","",N('Classe Terminale D'!I6))</f>
        <v/>
      </c>
      <c r="M1286" s="51" t="str">
        <f>IF('Classe Terminale D'!$B6="","",N('Classe Terminale D'!J6))</f>
        <v/>
      </c>
      <c r="N1286" s="51" t="str">
        <f>IF('Classe Terminale D'!$B6="","",N('Classe Terminale D'!K6))</f>
        <v/>
      </c>
      <c r="O1286" s="51" t="str">
        <f>IF('Classe Terminale D'!$B6="","",N('Classe Terminale D'!L6))</f>
        <v/>
      </c>
      <c r="P1286" s="51" t="str">
        <f>IF('Classe Terminale D'!$B6="","",N('Classe Terminale D'!M6))</f>
        <v/>
      </c>
      <c r="Q1286" s="21" t="str">
        <f>IF('Classe Terminale D'!$B6="","",IF('Classe Terminale D'!Q6="","",'Classe Terminale D'!Q6))</f>
        <v/>
      </c>
      <c r="R1286" s="51" t="str">
        <f>IF('Classe Terminale D'!$B6="","",N('Classe Terminale D'!N6))</f>
        <v/>
      </c>
      <c r="S1286" s="51" t="str">
        <f>IF('Classe Terminale D'!$B6="","",N('Classe Terminale D'!O6))</f>
        <v/>
      </c>
      <c r="T1286" s="51" t="str">
        <f>IF('Classe Terminale D'!$B6="","",N('Classe Terminale D'!P6))</f>
        <v/>
      </c>
    </row>
    <row r="1287">
      <c r="A1287" s="16" t="str">
        <f>IF('Classe Terminale D'!$B7="","",IF('Classe Terminale D'!A7="","",'Classe Terminale D'!A7))</f>
        <v/>
      </c>
      <c r="B1287" s="16" t="str">
        <f>IF('Classe Terminale D'!$B7="","",IF('Classe Terminale D'!B7="","",'Classe Terminale D'!B7))</f>
        <v/>
      </c>
      <c r="C1287" s="16" t="str">
        <f>IF('Classe Terminale D'!$B7="","",IF('Classe Terminale D'!C7="","",'Classe Terminale D'!C7))</f>
        <v/>
      </c>
      <c r="D1287" s="16" t="str">
        <f>IF($B1287="","",C1287&amp;" "&amp;B1287&amp;" - "&amp;E1287)</f>
        <v/>
      </c>
      <c r="E1287" s="17" t="str">
        <f>IF($B1287="","",Paramètres!$A$31)</f>
        <v/>
      </c>
      <c r="F1287" s="17" t="str">
        <f>IF($B1287="","",Paramètres!$B$31)</f>
        <v/>
      </c>
      <c r="G1287" s="17" t="str">
        <f>IF('Classe Terminale D'!$B7="","",IF('Classe Terminale D'!D7="","",'Classe Terminale D'!D7))</f>
        <v/>
      </c>
      <c r="H1287" s="78" t="str">
        <f>IF('Classe Terminale D'!$B7="","",IF('Classe Terminale D'!E7="","",'Classe Terminale D'!E7))</f>
        <v/>
      </c>
      <c r="I1287" s="16" t="str">
        <f>IF('Classe Terminale D'!$B7="","",IF('Classe Terminale D'!F7="","",'Classe Terminale D'!F7))</f>
        <v/>
      </c>
      <c r="J1287" s="16" t="str">
        <f>IF('Classe Terminale D'!$B7="","",IF('Classe Terminale D'!G7="","",'Classe Terminale D'!G7))</f>
        <v/>
      </c>
      <c r="K1287" s="18" t="str">
        <f>IF('Classe Terminale D'!$B7="","",N('Classe Terminale D'!H7))</f>
        <v/>
      </c>
      <c r="L1287" s="18" t="str">
        <f>IF('Classe Terminale D'!$B7="","",N('Classe Terminale D'!I7))</f>
        <v/>
      </c>
      <c r="M1287" s="18" t="str">
        <f>IF('Classe Terminale D'!$B7="","",N('Classe Terminale D'!J7))</f>
        <v/>
      </c>
      <c r="N1287" s="18" t="str">
        <f>IF('Classe Terminale D'!$B7="","",N('Classe Terminale D'!K7))</f>
        <v/>
      </c>
      <c r="O1287" s="18" t="str">
        <f>IF('Classe Terminale D'!$B7="","",N('Classe Terminale D'!L7))</f>
        <v/>
      </c>
      <c r="P1287" s="18" t="str">
        <f>IF('Classe Terminale D'!$B7="","",N('Classe Terminale D'!M7))</f>
        <v/>
      </c>
      <c r="Q1287" s="17" t="str">
        <f>IF('Classe Terminale D'!$B7="","",IF('Classe Terminale D'!Q7="","",'Classe Terminale D'!Q7))</f>
        <v/>
      </c>
      <c r="R1287" s="18" t="str">
        <f>IF('Classe Terminale D'!$B7="","",N('Classe Terminale D'!N7))</f>
        <v/>
      </c>
      <c r="S1287" s="18" t="str">
        <f>IF('Classe Terminale D'!$B7="","",N('Classe Terminale D'!O7))</f>
        <v/>
      </c>
      <c r="T1287" s="18" t="str">
        <f>IF('Classe Terminale D'!$B7="","",N('Classe Terminale D'!P7))</f>
        <v/>
      </c>
    </row>
    <row r="1288">
      <c r="A1288" s="20" t="str">
        <f>IF('Classe Terminale D'!$B8="","",IF('Classe Terminale D'!A8="","",'Classe Terminale D'!A8))</f>
        <v/>
      </c>
      <c r="B1288" s="20" t="str">
        <f>IF('Classe Terminale D'!$B8="","",IF('Classe Terminale D'!B8="","",'Classe Terminale D'!B8))</f>
        <v/>
      </c>
      <c r="C1288" s="20" t="str">
        <f>IF('Classe Terminale D'!$B8="","",IF('Classe Terminale D'!C8="","",'Classe Terminale D'!C8))</f>
        <v/>
      </c>
      <c r="D1288" s="20" t="str">
        <f>IF($B1288="","",C1288&amp;" "&amp;B1288&amp;" - "&amp;E1288)</f>
        <v/>
      </c>
      <c r="E1288" s="21" t="str">
        <f>IF($B1288="","",Paramètres!$A$31)</f>
        <v/>
      </c>
      <c r="F1288" s="21" t="str">
        <f>IF($B1288="","",Paramètres!$B$31)</f>
        <v/>
      </c>
      <c r="G1288" s="21" t="str">
        <f>IF('Classe Terminale D'!$B8="","",IF('Classe Terminale D'!D8="","",'Classe Terminale D'!D8))</f>
        <v/>
      </c>
      <c r="H1288" s="77" t="str">
        <f>IF('Classe Terminale D'!$B8="","",IF('Classe Terminale D'!E8="","",'Classe Terminale D'!E8))</f>
        <v/>
      </c>
      <c r="I1288" s="20" t="str">
        <f>IF('Classe Terminale D'!$B8="","",IF('Classe Terminale D'!F8="","",'Classe Terminale D'!F8))</f>
        <v/>
      </c>
      <c r="J1288" s="20" t="str">
        <f>IF('Classe Terminale D'!$B8="","",IF('Classe Terminale D'!G8="","",'Classe Terminale D'!G8))</f>
        <v/>
      </c>
      <c r="K1288" s="51" t="str">
        <f>IF('Classe Terminale D'!$B8="","",N('Classe Terminale D'!H8))</f>
        <v/>
      </c>
      <c r="L1288" s="51" t="str">
        <f>IF('Classe Terminale D'!$B8="","",N('Classe Terminale D'!I8))</f>
        <v/>
      </c>
      <c r="M1288" s="51" t="str">
        <f>IF('Classe Terminale D'!$B8="","",N('Classe Terminale D'!J8))</f>
        <v/>
      </c>
      <c r="N1288" s="51" t="str">
        <f>IF('Classe Terminale D'!$B8="","",N('Classe Terminale D'!K8))</f>
        <v/>
      </c>
      <c r="O1288" s="51" t="str">
        <f>IF('Classe Terminale D'!$B8="","",N('Classe Terminale D'!L8))</f>
        <v/>
      </c>
      <c r="P1288" s="51" t="str">
        <f>IF('Classe Terminale D'!$B8="","",N('Classe Terminale D'!M8))</f>
        <v/>
      </c>
      <c r="Q1288" s="21" t="str">
        <f>IF('Classe Terminale D'!$B8="","",IF('Classe Terminale D'!Q8="","",'Classe Terminale D'!Q8))</f>
        <v/>
      </c>
      <c r="R1288" s="51" t="str">
        <f>IF('Classe Terminale D'!$B8="","",N('Classe Terminale D'!N8))</f>
        <v/>
      </c>
      <c r="S1288" s="51" t="str">
        <f>IF('Classe Terminale D'!$B8="","",N('Classe Terminale D'!O8))</f>
        <v/>
      </c>
      <c r="T1288" s="51" t="str">
        <f>IF('Classe Terminale D'!$B8="","",N('Classe Terminale D'!P8))</f>
        <v/>
      </c>
    </row>
    <row r="1289">
      <c r="A1289" s="16" t="str">
        <f>IF('Classe Terminale D'!$B9="","",IF('Classe Terminale D'!A9="","",'Classe Terminale D'!A9))</f>
        <v/>
      </c>
      <c r="B1289" s="16" t="str">
        <f>IF('Classe Terminale D'!$B9="","",IF('Classe Terminale D'!B9="","",'Classe Terminale D'!B9))</f>
        <v/>
      </c>
      <c r="C1289" s="16" t="str">
        <f>IF('Classe Terminale D'!$B9="","",IF('Classe Terminale D'!C9="","",'Classe Terminale D'!C9))</f>
        <v/>
      </c>
      <c r="D1289" s="16" t="str">
        <f>IF($B1289="","",C1289&amp;" "&amp;B1289&amp;" - "&amp;E1289)</f>
        <v/>
      </c>
      <c r="E1289" s="17" t="str">
        <f>IF($B1289="","",Paramètres!$A$31)</f>
        <v/>
      </c>
      <c r="F1289" s="17" t="str">
        <f>IF($B1289="","",Paramètres!$B$31)</f>
        <v/>
      </c>
      <c r="G1289" s="17" t="str">
        <f>IF('Classe Terminale D'!$B9="","",IF('Classe Terminale D'!D9="","",'Classe Terminale D'!D9))</f>
        <v/>
      </c>
      <c r="H1289" s="78" t="str">
        <f>IF('Classe Terminale D'!$B9="","",IF('Classe Terminale D'!E9="","",'Classe Terminale D'!E9))</f>
        <v/>
      </c>
      <c r="I1289" s="16" t="str">
        <f>IF('Classe Terminale D'!$B9="","",IF('Classe Terminale D'!F9="","",'Classe Terminale D'!F9))</f>
        <v/>
      </c>
      <c r="J1289" s="16" t="str">
        <f>IF('Classe Terminale D'!$B9="","",IF('Classe Terminale D'!G9="","",'Classe Terminale D'!G9))</f>
        <v/>
      </c>
      <c r="K1289" s="18" t="str">
        <f>IF('Classe Terminale D'!$B9="","",N('Classe Terminale D'!H9))</f>
        <v/>
      </c>
      <c r="L1289" s="18" t="str">
        <f>IF('Classe Terminale D'!$B9="","",N('Classe Terminale D'!I9))</f>
        <v/>
      </c>
      <c r="M1289" s="18" t="str">
        <f>IF('Classe Terminale D'!$B9="","",N('Classe Terminale D'!J9))</f>
        <v/>
      </c>
      <c r="N1289" s="18" t="str">
        <f>IF('Classe Terminale D'!$B9="","",N('Classe Terminale D'!K9))</f>
        <v/>
      </c>
      <c r="O1289" s="18" t="str">
        <f>IF('Classe Terminale D'!$B9="","",N('Classe Terminale D'!L9))</f>
        <v/>
      </c>
      <c r="P1289" s="18" t="str">
        <f>IF('Classe Terminale D'!$B9="","",N('Classe Terminale D'!M9))</f>
        <v/>
      </c>
      <c r="Q1289" s="17" t="str">
        <f>IF('Classe Terminale D'!$B9="","",IF('Classe Terminale D'!Q9="","",'Classe Terminale D'!Q9))</f>
        <v/>
      </c>
      <c r="R1289" s="18" t="str">
        <f>IF('Classe Terminale D'!$B9="","",N('Classe Terminale D'!N9))</f>
        <v/>
      </c>
      <c r="S1289" s="18" t="str">
        <f>IF('Classe Terminale D'!$B9="","",N('Classe Terminale D'!O9))</f>
        <v/>
      </c>
      <c r="T1289" s="18" t="str">
        <f>IF('Classe Terminale D'!$B9="","",N('Classe Terminale D'!P9))</f>
        <v/>
      </c>
    </row>
    <row r="1290">
      <c r="A1290" s="20" t="str">
        <f>IF('Classe Terminale D'!$B10="","",IF('Classe Terminale D'!A10="","",'Classe Terminale D'!A10))</f>
        <v/>
      </c>
      <c r="B1290" s="20" t="str">
        <f>IF('Classe Terminale D'!$B10="","",IF('Classe Terminale D'!B10="","",'Classe Terminale D'!B10))</f>
        <v/>
      </c>
      <c r="C1290" s="20" t="str">
        <f>IF('Classe Terminale D'!$B10="","",IF('Classe Terminale D'!C10="","",'Classe Terminale D'!C10))</f>
        <v/>
      </c>
      <c r="D1290" s="20" t="str">
        <f>IF($B1290="","",C1290&amp;" "&amp;B1290&amp;" - "&amp;E1290)</f>
        <v/>
      </c>
      <c r="E1290" s="21" t="str">
        <f>IF($B1290="","",Paramètres!$A$31)</f>
        <v/>
      </c>
      <c r="F1290" s="21" t="str">
        <f>IF($B1290="","",Paramètres!$B$31)</f>
        <v/>
      </c>
      <c r="G1290" s="21" t="str">
        <f>IF('Classe Terminale D'!$B10="","",IF('Classe Terminale D'!D10="","",'Classe Terminale D'!D10))</f>
        <v/>
      </c>
      <c r="H1290" s="77" t="str">
        <f>IF('Classe Terminale D'!$B10="","",IF('Classe Terminale D'!E10="","",'Classe Terminale D'!E10))</f>
        <v/>
      </c>
      <c r="I1290" s="20" t="str">
        <f>IF('Classe Terminale D'!$B10="","",IF('Classe Terminale D'!F10="","",'Classe Terminale D'!F10))</f>
        <v/>
      </c>
      <c r="J1290" s="20" t="str">
        <f>IF('Classe Terminale D'!$B10="","",IF('Classe Terminale D'!G10="","",'Classe Terminale D'!G10))</f>
        <v/>
      </c>
      <c r="K1290" s="51" t="str">
        <f>IF('Classe Terminale D'!$B10="","",N('Classe Terminale D'!H10))</f>
        <v/>
      </c>
      <c r="L1290" s="51" t="str">
        <f>IF('Classe Terminale D'!$B10="","",N('Classe Terminale D'!I10))</f>
        <v/>
      </c>
      <c r="M1290" s="51" t="str">
        <f>IF('Classe Terminale D'!$B10="","",N('Classe Terminale D'!J10))</f>
        <v/>
      </c>
      <c r="N1290" s="51" t="str">
        <f>IF('Classe Terminale D'!$B10="","",N('Classe Terminale D'!K10))</f>
        <v/>
      </c>
      <c r="O1290" s="51" t="str">
        <f>IF('Classe Terminale D'!$B10="","",N('Classe Terminale D'!L10))</f>
        <v/>
      </c>
      <c r="P1290" s="51" t="str">
        <f>IF('Classe Terminale D'!$B10="","",N('Classe Terminale D'!M10))</f>
        <v/>
      </c>
      <c r="Q1290" s="21" t="str">
        <f>IF('Classe Terminale D'!$B10="","",IF('Classe Terminale D'!Q10="","",'Classe Terminale D'!Q10))</f>
        <v/>
      </c>
      <c r="R1290" s="51" t="str">
        <f>IF('Classe Terminale D'!$B10="","",N('Classe Terminale D'!N10))</f>
        <v/>
      </c>
      <c r="S1290" s="51" t="str">
        <f>IF('Classe Terminale D'!$B10="","",N('Classe Terminale D'!O10))</f>
        <v/>
      </c>
      <c r="T1290" s="51" t="str">
        <f>IF('Classe Terminale D'!$B10="","",N('Classe Terminale D'!P10))</f>
        <v/>
      </c>
    </row>
    <row r="1291">
      <c r="A1291" s="16" t="str">
        <f>IF('Classe Terminale D'!$B11="","",IF('Classe Terminale D'!A11="","",'Classe Terminale D'!A11))</f>
        <v/>
      </c>
      <c r="B1291" s="16" t="str">
        <f>IF('Classe Terminale D'!$B11="","",IF('Classe Terminale D'!B11="","",'Classe Terminale D'!B11))</f>
        <v/>
      </c>
      <c r="C1291" s="16" t="str">
        <f>IF('Classe Terminale D'!$B11="","",IF('Classe Terminale D'!C11="","",'Classe Terminale D'!C11))</f>
        <v/>
      </c>
      <c r="D1291" s="16" t="str">
        <f>IF($B1291="","",C1291&amp;" "&amp;B1291&amp;" - "&amp;E1291)</f>
        <v/>
      </c>
      <c r="E1291" s="17" t="str">
        <f>IF($B1291="","",Paramètres!$A$31)</f>
        <v/>
      </c>
      <c r="F1291" s="17" t="str">
        <f>IF($B1291="","",Paramètres!$B$31)</f>
        <v/>
      </c>
      <c r="G1291" s="17" t="str">
        <f>IF('Classe Terminale D'!$B11="","",IF('Classe Terminale D'!D11="","",'Classe Terminale D'!D11))</f>
        <v/>
      </c>
      <c r="H1291" s="78" t="str">
        <f>IF('Classe Terminale D'!$B11="","",IF('Classe Terminale D'!E11="","",'Classe Terminale D'!E11))</f>
        <v/>
      </c>
      <c r="I1291" s="16" t="str">
        <f>IF('Classe Terminale D'!$B11="","",IF('Classe Terminale D'!F11="","",'Classe Terminale D'!F11))</f>
        <v/>
      </c>
      <c r="J1291" s="16" t="str">
        <f>IF('Classe Terminale D'!$B11="","",IF('Classe Terminale D'!G11="","",'Classe Terminale D'!G11))</f>
        <v/>
      </c>
      <c r="K1291" s="18" t="str">
        <f>IF('Classe Terminale D'!$B11="","",N('Classe Terminale D'!H11))</f>
        <v/>
      </c>
      <c r="L1291" s="18" t="str">
        <f>IF('Classe Terminale D'!$B11="","",N('Classe Terminale D'!I11))</f>
        <v/>
      </c>
      <c r="M1291" s="18" t="str">
        <f>IF('Classe Terminale D'!$B11="","",N('Classe Terminale D'!J11))</f>
        <v/>
      </c>
      <c r="N1291" s="18" t="str">
        <f>IF('Classe Terminale D'!$B11="","",N('Classe Terminale D'!K11))</f>
        <v/>
      </c>
      <c r="O1291" s="18" t="str">
        <f>IF('Classe Terminale D'!$B11="","",N('Classe Terminale D'!L11))</f>
        <v/>
      </c>
      <c r="P1291" s="18" t="str">
        <f>IF('Classe Terminale D'!$B11="","",N('Classe Terminale D'!M11))</f>
        <v/>
      </c>
      <c r="Q1291" s="17" t="str">
        <f>IF('Classe Terminale D'!$B11="","",IF('Classe Terminale D'!Q11="","",'Classe Terminale D'!Q11))</f>
        <v/>
      </c>
      <c r="R1291" s="18" t="str">
        <f>IF('Classe Terminale D'!$B11="","",N('Classe Terminale D'!N11))</f>
        <v/>
      </c>
      <c r="S1291" s="18" t="str">
        <f>IF('Classe Terminale D'!$B11="","",N('Classe Terminale D'!O11))</f>
        <v/>
      </c>
      <c r="T1291" s="18" t="str">
        <f>IF('Classe Terminale D'!$B11="","",N('Classe Terminale D'!P11))</f>
        <v/>
      </c>
    </row>
    <row r="1292">
      <c r="A1292" s="20" t="str">
        <f>IF('Classe Terminale D'!$B12="","",IF('Classe Terminale D'!A12="","",'Classe Terminale D'!A12))</f>
        <v/>
      </c>
      <c r="B1292" s="20" t="str">
        <f>IF('Classe Terminale D'!$B12="","",IF('Classe Terminale D'!B12="","",'Classe Terminale D'!B12))</f>
        <v/>
      </c>
      <c r="C1292" s="20" t="str">
        <f>IF('Classe Terminale D'!$B12="","",IF('Classe Terminale D'!C12="","",'Classe Terminale D'!C12))</f>
        <v/>
      </c>
      <c r="D1292" s="20" t="str">
        <f>IF($B1292="","",C1292&amp;" "&amp;B1292&amp;" - "&amp;E1292)</f>
        <v/>
      </c>
      <c r="E1292" s="21" t="str">
        <f>IF($B1292="","",Paramètres!$A$31)</f>
        <v/>
      </c>
      <c r="F1292" s="21" t="str">
        <f>IF($B1292="","",Paramètres!$B$31)</f>
        <v/>
      </c>
      <c r="G1292" s="21" t="str">
        <f>IF('Classe Terminale D'!$B12="","",IF('Classe Terminale D'!D12="","",'Classe Terminale D'!D12))</f>
        <v/>
      </c>
      <c r="H1292" s="77" t="str">
        <f>IF('Classe Terminale D'!$B12="","",IF('Classe Terminale D'!E12="","",'Classe Terminale D'!E12))</f>
        <v/>
      </c>
      <c r="I1292" s="20" t="str">
        <f>IF('Classe Terminale D'!$B12="","",IF('Classe Terminale D'!F12="","",'Classe Terminale D'!F12))</f>
        <v/>
      </c>
      <c r="J1292" s="20" t="str">
        <f>IF('Classe Terminale D'!$B12="","",IF('Classe Terminale D'!G12="","",'Classe Terminale D'!G12))</f>
        <v/>
      </c>
      <c r="K1292" s="51" t="str">
        <f>IF('Classe Terminale D'!$B12="","",N('Classe Terminale D'!H12))</f>
        <v/>
      </c>
      <c r="L1292" s="51" t="str">
        <f>IF('Classe Terminale D'!$B12="","",N('Classe Terminale D'!I12))</f>
        <v/>
      </c>
      <c r="M1292" s="51" t="str">
        <f>IF('Classe Terminale D'!$B12="","",N('Classe Terminale D'!J12))</f>
        <v/>
      </c>
      <c r="N1292" s="51" t="str">
        <f>IF('Classe Terminale D'!$B12="","",N('Classe Terminale D'!K12))</f>
        <v/>
      </c>
      <c r="O1292" s="51" t="str">
        <f>IF('Classe Terminale D'!$B12="","",N('Classe Terminale D'!L12))</f>
        <v/>
      </c>
      <c r="P1292" s="51" t="str">
        <f>IF('Classe Terminale D'!$B12="","",N('Classe Terminale D'!M12))</f>
        <v/>
      </c>
      <c r="Q1292" s="21" t="str">
        <f>IF('Classe Terminale D'!$B12="","",IF('Classe Terminale D'!Q12="","",'Classe Terminale D'!Q12))</f>
        <v/>
      </c>
      <c r="R1292" s="51" t="str">
        <f>IF('Classe Terminale D'!$B12="","",N('Classe Terminale D'!N12))</f>
        <v/>
      </c>
      <c r="S1292" s="51" t="str">
        <f>IF('Classe Terminale D'!$B12="","",N('Classe Terminale D'!O12))</f>
        <v/>
      </c>
      <c r="T1292" s="51" t="str">
        <f>IF('Classe Terminale D'!$B12="","",N('Classe Terminale D'!P12))</f>
        <v/>
      </c>
    </row>
    <row r="1293">
      <c r="A1293" s="16" t="str">
        <f>IF('Classe Terminale D'!$B13="","",IF('Classe Terminale D'!A13="","",'Classe Terminale D'!A13))</f>
        <v/>
      </c>
      <c r="B1293" s="16" t="str">
        <f>IF('Classe Terminale D'!$B13="","",IF('Classe Terminale D'!B13="","",'Classe Terminale D'!B13))</f>
        <v/>
      </c>
      <c r="C1293" s="16" t="str">
        <f>IF('Classe Terminale D'!$B13="","",IF('Classe Terminale D'!C13="","",'Classe Terminale D'!C13))</f>
        <v/>
      </c>
      <c r="D1293" s="16" t="str">
        <f>IF($B1293="","",C1293&amp;" "&amp;B1293&amp;" - "&amp;E1293)</f>
        <v/>
      </c>
      <c r="E1293" s="17" t="str">
        <f>IF($B1293="","",Paramètres!$A$31)</f>
        <v/>
      </c>
      <c r="F1293" s="17" t="str">
        <f>IF($B1293="","",Paramètres!$B$31)</f>
        <v/>
      </c>
      <c r="G1293" s="17" t="str">
        <f>IF('Classe Terminale D'!$B13="","",IF('Classe Terminale D'!D13="","",'Classe Terminale D'!D13))</f>
        <v/>
      </c>
      <c r="H1293" s="78" t="str">
        <f>IF('Classe Terminale D'!$B13="","",IF('Classe Terminale D'!E13="","",'Classe Terminale D'!E13))</f>
        <v/>
      </c>
      <c r="I1293" s="16" t="str">
        <f>IF('Classe Terminale D'!$B13="","",IF('Classe Terminale D'!F13="","",'Classe Terminale D'!F13))</f>
        <v/>
      </c>
      <c r="J1293" s="16" t="str">
        <f>IF('Classe Terminale D'!$B13="","",IF('Classe Terminale D'!G13="","",'Classe Terminale D'!G13))</f>
        <v/>
      </c>
      <c r="K1293" s="18" t="str">
        <f>IF('Classe Terminale D'!$B13="","",N('Classe Terminale D'!H13))</f>
        <v/>
      </c>
      <c r="L1293" s="18" t="str">
        <f>IF('Classe Terminale D'!$B13="","",N('Classe Terminale D'!I13))</f>
        <v/>
      </c>
      <c r="M1293" s="18" t="str">
        <f>IF('Classe Terminale D'!$B13="","",N('Classe Terminale D'!J13))</f>
        <v/>
      </c>
      <c r="N1293" s="18" t="str">
        <f>IF('Classe Terminale D'!$B13="","",N('Classe Terminale D'!K13))</f>
        <v/>
      </c>
      <c r="O1293" s="18" t="str">
        <f>IF('Classe Terminale D'!$B13="","",N('Classe Terminale D'!L13))</f>
        <v/>
      </c>
      <c r="P1293" s="18" t="str">
        <f>IF('Classe Terminale D'!$B13="","",N('Classe Terminale D'!M13))</f>
        <v/>
      </c>
      <c r="Q1293" s="17" t="str">
        <f>IF('Classe Terminale D'!$B13="","",IF('Classe Terminale D'!Q13="","",'Classe Terminale D'!Q13))</f>
        <v/>
      </c>
      <c r="R1293" s="18" t="str">
        <f>IF('Classe Terminale D'!$B13="","",N('Classe Terminale D'!N13))</f>
        <v/>
      </c>
      <c r="S1293" s="18" t="str">
        <f>IF('Classe Terminale D'!$B13="","",N('Classe Terminale D'!O13))</f>
        <v/>
      </c>
      <c r="T1293" s="18" t="str">
        <f>IF('Classe Terminale D'!$B13="","",N('Classe Terminale D'!P13))</f>
        <v/>
      </c>
    </row>
    <row r="1294">
      <c r="A1294" s="20" t="str">
        <f>IF('Classe Terminale D'!$B14="","",IF('Classe Terminale D'!A14="","",'Classe Terminale D'!A14))</f>
        <v/>
      </c>
      <c r="B1294" s="20" t="str">
        <f>IF('Classe Terminale D'!$B14="","",IF('Classe Terminale D'!B14="","",'Classe Terminale D'!B14))</f>
        <v/>
      </c>
      <c r="C1294" s="20" t="str">
        <f>IF('Classe Terminale D'!$B14="","",IF('Classe Terminale D'!C14="","",'Classe Terminale D'!C14))</f>
        <v/>
      </c>
      <c r="D1294" s="20" t="str">
        <f>IF($B1294="","",C1294&amp;" "&amp;B1294&amp;" - "&amp;E1294)</f>
        <v/>
      </c>
      <c r="E1294" s="21" t="str">
        <f>IF($B1294="","",Paramètres!$A$31)</f>
        <v/>
      </c>
      <c r="F1294" s="21" t="str">
        <f>IF($B1294="","",Paramètres!$B$31)</f>
        <v/>
      </c>
      <c r="G1294" s="21" t="str">
        <f>IF('Classe Terminale D'!$B14="","",IF('Classe Terminale D'!D14="","",'Classe Terminale D'!D14))</f>
        <v/>
      </c>
      <c r="H1294" s="77" t="str">
        <f>IF('Classe Terminale D'!$B14="","",IF('Classe Terminale D'!E14="","",'Classe Terminale D'!E14))</f>
        <v/>
      </c>
      <c r="I1294" s="20" t="str">
        <f>IF('Classe Terminale D'!$B14="","",IF('Classe Terminale D'!F14="","",'Classe Terminale D'!F14))</f>
        <v/>
      </c>
      <c r="J1294" s="20" t="str">
        <f>IF('Classe Terminale D'!$B14="","",IF('Classe Terminale D'!G14="","",'Classe Terminale D'!G14))</f>
        <v/>
      </c>
      <c r="K1294" s="51" t="str">
        <f>IF('Classe Terminale D'!$B14="","",N('Classe Terminale D'!H14))</f>
        <v/>
      </c>
      <c r="L1294" s="51" t="str">
        <f>IF('Classe Terminale D'!$B14="","",N('Classe Terminale D'!I14))</f>
        <v/>
      </c>
      <c r="M1294" s="51" t="str">
        <f>IF('Classe Terminale D'!$B14="","",N('Classe Terminale D'!J14))</f>
        <v/>
      </c>
      <c r="N1294" s="51" t="str">
        <f>IF('Classe Terminale D'!$B14="","",N('Classe Terminale D'!K14))</f>
        <v/>
      </c>
      <c r="O1294" s="51" t="str">
        <f>IF('Classe Terminale D'!$B14="","",N('Classe Terminale D'!L14))</f>
        <v/>
      </c>
      <c r="P1294" s="51" t="str">
        <f>IF('Classe Terminale D'!$B14="","",N('Classe Terminale D'!M14))</f>
        <v/>
      </c>
      <c r="Q1294" s="21" t="str">
        <f>IF('Classe Terminale D'!$B14="","",IF('Classe Terminale D'!Q14="","",'Classe Terminale D'!Q14))</f>
        <v/>
      </c>
      <c r="R1294" s="51" t="str">
        <f>IF('Classe Terminale D'!$B14="","",N('Classe Terminale D'!N14))</f>
        <v/>
      </c>
      <c r="S1294" s="51" t="str">
        <f>IF('Classe Terminale D'!$B14="","",N('Classe Terminale D'!O14))</f>
        <v/>
      </c>
      <c r="T1294" s="51" t="str">
        <f>IF('Classe Terminale D'!$B14="","",N('Classe Terminale D'!P14))</f>
        <v/>
      </c>
    </row>
    <row r="1295">
      <c r="A1295" s="16" t="str">
        <f>IF('Classe Terminale D'!$B15="","",IF('Classe Terminale D'!A15="","",'Classe Terminale D'!A15))</f>
        <v/>
      </c>
      <c r="B1295" s="16" t="str">
        <f>IF('Classe Terminale D'!$B15="","",IF('Classe Terminale D'!B15="","",'Classe Terminale D'!B15))</f>
        <v/>
      </c>
      <c r="C1295" s="16" t="str">
        <f>IF('Classe Terminale D'!$B15="","",IF('Classe Terminale D'!C15="","",'Classe Terminale D'!C15))</f>
        <v/>
      </c>
      <c r="D1295" s="16" t="str">
        <f>IF($B1295="","",C1295&amp;" "&amp;B1295&amp;" - "&amp;E1295)</f>
        <v/>
      </c>
      <c r="E1295" s="17" t="str">
        <f>IF($B1295="","",Paramètres!$A$31)</f>
        <v/>
      </c>
      <c r="F1295" s="17" t="str">
        <f>IF($B1295="","",Paramètres!$B$31)</f>
        <v/>
      </c>
      <c r="G1295" s="17" t="str">
        <f>IF('Classe Terminale D'!$B15="","",IF('Classe Terminale D'!D15="","",'Classe Terminale D'!D15))</f>
        <v/>
      </c>
      <c r="H1295" s="78" t="str">
        <f>IF('Classe Terminale D'!$B15="","",IF('Classe Terminale D'!E15="","",'Classe Terminale D'!E15))</f>
        <v/>
      </c>
      <c r="I1295" s="16" t="str">
        <f>IF('Classe Terminale D'!$B15="","",IF('Classe Terminale D'!F15="","",'Classe Terminale D'!F15))</f>
        <v/>
      </c>
      <c r="J1295" s="16" t="str">
        <f>IF('Classe Terminale D'!$B15="","",IF('Classe Terminale D'!G15="","",'Classe Terminale D'!G15))</f>
        <v/>
      </c>
      <c r="K1295" s="18" t="str">
        <f>IF('Classe Terminale D'!$B15="","",N('Classe Terminale D'!H15))</f>
        <v/>
      </c>
      <c r="L1295" s="18" t="str">
        <f>IF('Classe Terminale D'!$B15="","",N('Classe Terminale D'!I15))</f>
        <v/>
      </c>
      <c r="M1295" s="18" t="str">
        <f>IF('Classe Terminale D'!$B15="","",N('Classe Terminale D'!J15))</f>
        <v/>
      </c>
      <c r="N1295" s="18" t="str">
        <f>IF('Classe Terminale D'!$B15="","",N('Classe Terminale D'!K15))</f>
        <v/>
      </c>
      <c r="O1295" s="18" t="str">
        <f>IF('Classe Terminale D'!$B15="","",N('Classe Terminale D'!L15))</f>
        <v/>
      </c>
      <c r="P1295" s="18" t="str">
        <f>IF('Classe Terminale D'!$B15="","",N('Classe Terminale D'!M15))</f>
        <v/>
      </c>
      <c r="Q1295" s="17" t="str">
        <f>IF('Classe Terminale D'!$B15="","",IF('Classe Terminale D'!Q15="","",'Classe Terminale D'!Q15))</f>
        <v/>
      </c>
      <c r="R1295" s="18" t="str">
        <f>IF('Classe Terminale D'!$B15="","",N('Classe Terminale D'!N15))</f>
        <v/>
      </c>
      <c r="S1295" s="18" t="str">
        <f>IF('Classe Terminale D'!$B15="","",N('Classe Terminale D'!O15))</f>
        <v/>
      </c>
      <c r="T1295" s="18" t="str">
        <f>IF('Classe Terminale D'!$B15="","",N('Classe Terminale D'!P15))</f>
        <v/>
      </c>
    </row>
    <row r="1296">
      <c r="A1296" s="20" t="str">
        <f>IF('Classe Terminale D'!$B16="","",IF('Classe Terminale D'!A16="","",'Classe Terminale D'!A16))</f>
        <v/>
      </c>
      <c r="B1296" s="20" t="str">
        <f>IF('Classe Terminale D'!$B16="","",IF('Classe Terminale D'!B16="","",'Classe Terminale D'!B16))</f>
        <v/>
      </c>
      <c r="C1296" s="20" t="str">
        <f>IF('Classe Terminale D'!$B16="","",IF('Classe Terminale D'!C16="","",'Classe Terminale D'!C16))</f>
        <v/>
      </c>
      <c r="D1296" s="20" t="str">
        <f>IF($B1296="","",C1296&amp;" "&amp;B1296&amp;" - "&amp;E1296)</f>
        <v/>
      </c>
      <c r="E1296" s="21" t="str">
        <f>IF($B1296="","",Paramètres!$A$31)</f>
        <v/>
      </c>
      <c r="F1296" s="21" t="str">
        <f>IF($B1296="","",Paramètres!$B$31)</f>
        <v/>
      </c>
      <c r="G1296" s="21" t="str">
        <f>IF('Classe Terminale D'!$B16="","",IF('Classe Terminale D'!D16="","",'Classe Terminale D'!D16))</f>
        <v/>
      </c>
      <c r="H1296" s="77" t="str">
        <f>IF('Classe Terminale D'!$B16="","",IF('Classe Terminale D'!E16="","",'Classe Terminale D'!E16))</f>
        <v/>
      </c>
      <c r="I1296" s="20" t="str">
        <f>IF('Classe Terminale D'!$B16="","",IF('Classe Terminale D'!F16="","",'Classe Terminale D'!F16))</f>
        <v/>
      </c>
      <c r="J1296" s="20" t="str">
        <f>IF('Classe Terminale D'!$B16="","",IF('Classe Terminale D'!G16="","",'Classe Terminale D'!G16))</f>
        <v/>
      </c>
      <c r="K1296" s="51" t="str">
        <f>IF('Classe Terminale D'!$B16="","",N('Classe Terminale D'!H16))</f>
        <v/>
      </c>
      <c r="L1296" s="51" t="str">
        <f>IF('Classe Terminale D'!$B16="","",N('Classe Terminale D'!I16))</f>
        <v/>
      </c>
      <c r="M1296" s="51" t="str">
        <f>IF('Classe Terminale D'!$B16="","",N('Classe Terminale D'!J16))</f>
        <v/>
      </c>
      <c r="N1296" s="51" t="str">
        <f>IF('Classe Terminale D'!$B16="","",N('Classe Terminale D'!K16))</f>
        <v/>
      </c>
      <c r="O1296" s="51" t="str">
        <f>IF('Classe Terminale D'!$B16="","",N('Classe Terminale D'!L16))</f>
        <v/>
      </c>
      <c r="P1296" s="51" t="str">
        <f>IF('Classe Terminale D'!$B16="","",N('Classe Terminale D'!M16))</f>
        <v/>
      </c>
      <c r="Q1296" s="21" t="str">
        <f>IF('Classe Terminale D'!$B16="","",IF('Classe Terminale D'!Q16="","",'Classe Terminale D'!Q16))</f>
        <v/>
      </c>
      <c r="R1296" s="51" t="str">
        <f>IF('Classe Terminale D'!$B16="","",N('Classe Terminale D'!N16))</f>
        <v/>
      </c>
      <c r="S1296" s="51" t="str">
        <f>IF('Classe Terminale D'!$B16="","",N('Classe Terminale D'!O16))</f>
        <v/>
      </c>
      <c r="T1296" s="51" t="str">
        <f>IF('Classe Terminale D'!$B16="","",N('Classe Terminale D'!P16))</f>
        <v/>
      </c>
    </row>
    <row r="1297">
      <c r="A1297" s="16" t="str">
        <f>IF('Classe Terminale D'!$B17="","",IF('Classe Terminale D'!A17="","",'Classe Terminale D'!A17))</f>
        <v/>
      </c>
      <c r="B1297" s="16" t="str">
        <f>IF('Classe Terminale D'!$B17="","",IF('Classe Terminale D'!B17="","",'Classe Terminale D'!B17))</f>
        <v/>
      </c>
      <c r="C1297" s="16" t="str">
        <f>IF('Classe Terminale D'!$B17="","",IF('Classe Terminale D'!C17="","",'Classe Terminale D'!C17))</f>
        <v/>
      </c>
      <c r="D1297" s="16" t="str">
        <f>IF($B1297="","",C1297&amp;" "&amp;B1297&amp;" - "&amp;E1297)</f>
        <v/>
      </c>
      <c r="E1297" s="17" t="str">
        <f>IF($B1297="","",Paramètres!$A$31)</f>
        <v/>
      </c>
      <c r="F1297" s="17" t="str">
        <f>IF($B1297="","",Paramètres!$B$31)</f>
        <v/>
      </c>
      <c r="G1297" s="17" t="str">
        <f>IF('Classe Terminale D'!$B17="","",IF('Classe Terminale D'!D17="","",'Classe Terminale D'!D17))</f>
        <v/>
      </c>
      <c r="H1297" s="78" t="str">
        <f>IF('Classe Terminale D'!$B17="","",IF('Classe Terminale D'!E17="","",'Classe Terminale D'!E17))</f>
        <v/>
      </c>
      <c r="I1297" s="16" t="str">
        <f>IF('Classe Terminale D'!$B17="","",IF('Classe Terminale D'!F17="","",'Classe Terminale D'!F17))</f>
        <v/>
      </c>
      <c r="J1297" s="16" t="str">
        <f>IF('Classe Terminale D'!$B17="","",IF('Classe Terminale D'!G17="","",'Classe Terminale D'!G17))</f>
        <v/>
      </c>
      <c r="K1297" s="18" t="str">
        <f>IF('Classe Terminale D'!$B17="","",N('Classe Terminale D'!H17))</f>
        <v/>
      </c>
      <c r="L1297" s="18" t="str">
        <f>IF('Classe Terminale D'!$B17="","",N('Classe Terminale D'!I17))</f>
        <v/>
      </c>
      <c r="M1297" s="18" t="str">
        <f>IF('Classe Terminale D'!$B17="","",N('Classe Terminale D'!J17))</f>
        <v/>
      </c>
      <c r="N1297" s="18" t="str">
        <f>IF('Classe Terminale D'!$B17="","",N('Classe Terminale D'!K17))</f>
        <v/>
      </c>
      <c r="O1297" s="18" t="str">
        <f>IF('Classe Terminale D'!$B17="","",N('Classe Terminale D'!L17))</f>
        <v/>
      </c>
      <c r="P1297" s="18" t="str">
        <f>IF('Classe Terminale D'!$B17="","",N('Classe Terminale D'!M17))</f>
        <v/>
      </c>
      <c r="Q1297" s="17" t="str">
        <f>IF('Classe Terminale D'!$B17="","",IF('Classe Terminale D'!Q17="","",'Classe Terminale D'!Q17))</f>
        <v/>
      </c>
      <c r="R1297" s="18" t="str">
        <f>IF('Classe Terminale D'!$B17="","",N('Classe Terminale D'!N17))</f>
        <v/>
      </c>
      <c r="S1297" s="18" t="str">
        <f>IF('Classe Terminale D'!$B17="","",N('Classe Terminale D'!O17))</f>
        <v/>
      </c>
      <c r="T1297" s="18" t="str">
        <f>IF('Classe Terminale D'!$B17="","",N('Classe Terminale D'!P17))</f>
        <v/>
      </c>
    </row>
    <row r="1298">
      <c r="A1298" s="20" t="str">
        <f>IF('Classe Terminale D'!$B18="","",IF('Classe Terminale D'!A18="","",'Classe Terminale D'!A18))</f>
        <v/>
      </c>
      <c r="B1298" s="20" t="str">
        <f>IF('Classe Terminale D'!$B18="","",IF('Classe Terminale D'!B18="","",'Classe Terminale D'!B18))</f>
        <v/>
      </c>
      <c r="C1298" s="20" t="str">
        <f>IF('Classe Terminale D'!$B18="","",IF('Classe Terminale D'!C18="","",'Classe Terminale D'!C18))</f>
        <v/>
      </c>
      <c r="D1298" s="20" t="str">
        <f>IF($B1298="","",C1298&amp;" "&amp;B1298&amp;" - "&amp;E1298)</f>
        <v/>
      </c>
      <c r="E1298" s="21" t="str">
        <f>IF($B1298="","",Paramètres!$A$31)</f>
        <v/>
      </c>
      <c r="F1298" s="21" t="str">
        <f>IF($B1298="","",Paramètres!$B$31)</f>
        <v/>
      </c>
      <c r="G1298" s="21" t="str">
        <f>IF('Classe Terminale D'!$B18="","",IF('Classe Terminale D'!D18="","",'Classe Terminale D'!D18))</f>
        <v/>
      </c>
      <c r="H1298" s="77" t="str">
        <f>IF('Classe Terminale D'!$B18="","",IF('Classe Terminale D'!E18="","",'Classe Terminale D'!E18))</f>
        <v/>
      </c>
      <c r="I1298" s="20" t="str">
        <f>IF('Classe Terminale D'!$B18="","",IF('Classe Terminale D'!F18="","",'Classe Terminale D'!F18))</f>
        <v/>
      </c>
      <c r="J1298" s="20" t="str">
        <f>IF('Classe Terminale D'!$B18="","",IF('Classe Terminale D'!G18="","",'Classe Terminale D'!G18))</f>
        <v/>
      </c>
      <c r="K1298" s="51" t="str">
        <f>IF('Classe Terminale D'!$B18="","",N('Classe Terminale D'!H18))</f>
        <v/>
      </c>
      <c r="L1298" s="51" t="str">
        <f>IF('Classe Terminale D'!$B18="","",N('Classe Terminale D'!I18))</f>
        <v/>
      </c>
      <c r="M1298" s="51" t="str">
        <f>IF('Classe Terminale D'!$B18="","",N('Classe Terminale D'!J18))</f>
        <v/>
      </c>
      <c r="N1298" s="51" t="str">
        <f>IF('Classe Terminale D'!$B18="","",N('Classe Terminale D'!K18))</f>
        <v/>
      </c>
      <c r="O1298" s="51" t="str">
        <f>IF('Classe Terminale D'!$B18="","",N('Classe Terminale D'!L18))</f>
        <v/>
      </c>
      <c r="P1298" s="51" t="str">
        <f>IF('Classe Terminale D'!$B18="","",N('Classe Terminale D'!M18))</f>
        <v/>
      </c>
      <c r="Q1298" s="21" t="str">
        <f>IF('Classe Terminale D'!$B18="","",IF('Classe Terminale D'!Q18="","",'Classe Terminale D'!Q18))</f>
        <v/>
      </c>
      <c r="R1298" s="51" t="str">
        <f>IF('Classe Terminale D'!$B18="","",N('Classe Terminale D'!N18))</f>
        <v/>
      </c>
      <c r="S1298" s="51" t="str">
        <f>IF('Classe Terminale D'!$B18="","",N('Classe Terminale D'!O18))</f>
        <v/>
      </c>
      <c r="T1298" s="51" t="str">
        <f>IF('Classe Terminale D'!$B18="","",N('Classe Terminale D'!P18))</f>
        <v/>
      </c>
    </row>
    <row r="1299">
      <c r="A1299" s="16" t="str">
        <f>IF('Classe Terminale D'!$B19="","",IF('Classe Terminale D'!A19="","",'Classe Terminale D'!A19))</f>
        <v/>
      </c>
      <c r="B1299" s="16" t="str">
        <f>IF('Classe Terminale D'!$B19="","",IF('Classe Terminale D'!B19="","",'Classe Terminale D'!B19))</f>
        <v/>
      </c>
      <c r="C1299" s="16" t="str">
        <f>IF('Classe Terminale D'!$B19="","",IF('Classe Terminale D'!C19="","",'Classe Terminale D'!C19))</f>
        <v/>
      </c>
      <c r="D1299" s="16" t="str">
        <f>IF($B1299="","",C1299&amp;" "&amp;B1299&amp;" - "&amp;E1299)</f>
        <v/>
      </c>
      <c r="E1299" s="17" t="str">
        <f>IF($B1299="","",Paramètres!$A$31)</f>
        <v/>
      </c>
      <c r="F1299" s="17" t="str">
        <f>IF($B1299="","",Paramètres!$B$31)</f>
        <v/>
      </c>
      <c r="G1299" s="17" t="str">
        <f>IF('Classe Terminale D'!$B19="","",IF('Classe Terminale D'!D19="","",'Classe Terminale D'!D19))</f>
        <v/>
      </c>
      <c r="H1299" s="78" t="str">
        <f>IF('Classe Terminale D'!$B19="","",IF('Classe Terminale D'!E19="","",'Classe Terminale D'!E19))</f>
        <v/>
      </c>
      <c r="I1299" s="16" t="str">
        <f>IF('Classe Terminale D'!$B19="","",IF('Classe Terminale D'!F19="","",'Classe Terminale D'!F19))</f>
        <v/>
      </c>
      <c r="J1299" s="16" t="str">
        <f>IF('Classe Terminale D'!$B19="","",IF('Classe Terminale D'!G19="","",'Classe Terminale D'!G19))</f>
        <v/>
      </c>
      <c r="K1299" s="18" t="str">
        <f>IF('Classe Terminale D'!$B19="","",N('Classe Terminale D'!H19))</f>
        <v/>
      </c>
      <c r="L1299" s="18" t="str">
        <f>IF('Classe Terminale D'!$B19="","",N('Classe Terminale D'!I19))</f>
        <v/>
      </c>
      <c r="M1299" s="18" t="str">
        <f>IF('Classe Terminale D'!$B19="","",N('Classe Terminale D'!J19))</f>
        <v/>
      </c>
      <c r="N1299" s="18" t="str">
        <f>IF('Classe Terminale D'!$B19="","",N('Classe Terminale D'!K19))</f>
        <v/>
      </c>
      <c r="O1299" s="18" t="str">
        <f>IF('Classe Terminale D'!$B19="","",N('Classe Terminale D'!L19))</f>
        <v/>
      </c>
      <c r="P1299" s="18" t="str">
        <f>IF('Classe Terminale D'!$B19="","",N('Classe Terminale D'!M19))</f>
        <v/>
      </c>
      <c r="Q1299" s="17" t="str">
        <f>IF('Classe Terminale D'!$B19="","",IF('Classe Terminale D'!Q19="","",'Classe Terminale D'!Q19))</f>
        <v/>
      </c>
      <c r="R1299" s="18" t="str">
        <f>IF('Classe Terminale D'!$B19="","",N('Classe Terminale D'!N19))</f>
        <v/>
      </c>
      <c r="S1299" s="18" t="str">
        <f>IF('Classe Terminale D'!$B19="","",N('Classe Terminale D'!O19))</f>
        <v/>
      </c>
      <c r="T1299" s="18" t="str">
        <f>IF('Classe Terminale D'!$B19="","",N('Classe Terminale D'!P19))</f>
        <v/>
      </c>
    </row>
    <row r="1300">
      <c r="A1300" s="20" t="str">
        <f>IF('Classe Terminale D'!$B20="","",IF('Classe Terminale D'!A20="","",'Classe Terminale D'!A20))</f>
        <v/>
      </c>
      <c r="B1300" s="20" t="str">
        <f>IF('Classe Terminale D'!$B20="","",IF('Classe Terminale D'!B20="","",'Classe Terminale D'!B20))</f>
        <v/>
      </c>
      <c r="C1300" s="20" t="str">
        <f>IF('Classe Terminale D'!$B20="","",IF('Classe Terminale D'!C20="","",'Classe Terminale D'!C20))</f>
        <v/>
      </c>
      <c r="D1300" s="20" t="str">
        <f>IF($B1300="","",C1300&amp;" "&amp;B1300&amp;" - "&amp;E1300)</f>
        <v/>
      </c>
      <c r="E1300" s="21" t="str">
        <f>IF($B1300="","",Paramètres!$A$31)</f>
        <v/>
      </c>
      <c r="F1300" s="21" t="str">
        <f>IF($B1300="","",Paramètres!$B$31)</f>
        <v/>
      </c>
      <c r="G1300" s="21" t="str">
        <f>IF('Classe Terminale D'!$B20="","",IF('Classe Terminale D'!D20="","",'Classe Terminale D'!D20))</f>
        <v/>
      </c>
      <c r="H1300" s="77" t="str">
        <f>IF('Classe Terminale D'!$B20="","",IF('Classe Terminale D'!E20="","",'Classe Terminale D'!E20))</f>
        <v/>
      </c>
      <c r="I1300" s="20" t="str">
        <f>IF('Classe Terminale D'!$B20="","",IF('Classe Terminale D'!F20="","",'Classe Terminale D'!F20))</f>
        <v/>
      </c>
      <c r="J1300" s="20" t="str">
        <f>IF('Classe Terminale D'!$B20="","",IF('Classe Terminale D'!G20="","",'Classe Terminale D'!G20))</f>
        <v/>
      </c>
      <c r="K1300" s="51" t="str">
        <f>IF('Classe Terminale D'!$B20="","",N('Classe Terminale D'!H20))</f>
        <v/>
      </c>
      <c r="L1300" s="51" t="str">
        <f>IF('Classe Terminale D'!$B20="","",N('Classe Terminale D'!I20))</f>
        <v/>
      </c>
      <c r="M1300" s="51" t="str">
        <f>IF('Classe Terminale D'!$B20="","",N('Classe Terminale D'!J20))</f>
        <v/>
      </c>
      <c r="N1300" s="51" t="str">
        <f>IF('Classe Terminale D'!$B20="","",N('Classe Terminale D'!K20))</f>
        <v/>
      </c>
      <c r="O1300" s="51" t="str">
        <f>IF('Classe Terminale D'!$B20="","",N('Classe Terminale D'!L20))</f>
        <v/>
      </c>
      <c r="P1300" s="51" t="str">
        <f>IF('Classe Terminale D'!$B20="","",N('Classe Terminale D'!M20))</f>
        <v/>
      </c>
      <c r="Q1300" s="21" t="str">
        <f>IF('Classe Terminale D'!$B20="","",IF('Classe Terminale D'!Q20="","",'Classe Terminale D'!Q20))</f>
        <v/>
      </c>
      <c r="R1300" s="51" t="str">
        <f>IF('Classe Terminale D'!$B20="","",N('Classe Terminale D'!N20))</f>
        <v/>
      </c>
      <c r="S1300" s="51" t="str">
        <f>IF('Classe Terminale D'!$B20="","",N('Classe Terminale D'!O20))</f>
        <v/>
      </c>
      <c r="T1300" s="51" t="str">
        <f>IF('Classe Terminale D'!$B20="","",N('Classe Terminale D'!P20))</f>
        <v/>
      </c>
    </row>
    <row r="1301">
      <c r="A1301" s="16" t="str">
        <f>IF('Classe Terminale D'!$B21="","",IF('Classe Terminale D'!A21="","",'Classe Terminale D'!A21))</f>
        <v/>
      </c>
      <c r="B1301" s="16" t="str">
        <f>IF('Classe Terminale D'!$B21="","",IF('Classe Terminale D'!B21="","",'Classe Terminale D'!B21))</f>
        <v/>
      </c>
      <c r="C1301" s="16" t="str">
        <f>IF('Classe Terminale D'!$B21="","",IF('Classe Terminale D'!C21="","",'Classe Terminale D'!C21))</f>
        <v/>
      </c>
      <c r="D1301" s="16" t="str">
        <f>IF($B1301="","",C1301&amp;" "&amp;B1301&amp;" - "&amp;E1301)</f>
        <v/>
      </c>
      <c r="E1301" s="17" t="str">
        <f>IF($B1301="","",Paramètres!$A$31)</f>
        <v/>
      </c>
      <c r="F1301" s="17" t="str">
        <f>IF($B1301="","",Paramètres!$B$31)</f>
        <v/>
      </c>
      <c r="G1301" s="17" t="str">
        <f>IF('Classe Terminale D'!$B21="","",IF('Classe Terminale D'!D21="","",'Classe Terminale D'!D21))</f>
        <v/>
      </c>
      <c r="H1301" s="78" t="str">
        <f>IF('Classe Terminale D'!$B21="","",IF('Classe Terminale D'!E21="","",'Classe Terminale D'!E21))</f>
        <v/>
      </c>
      <c r="I1301" s="16" t="str">
        <f>IF('Classe Terminale D'!$B21="","",IF('Classe Terminale D'!F21="","",'Classe Terminale D'!F21))</f>
        <v/>
      </c>
      <c r="J1301" s="16" t="str">
        <f>IF('Classe Terminale D'!$B21="","",IF('Classe Terminale D'!G21="","",'Classe Terminale D'!G21))</f>
        <v/>
      </c>
      <c r="K1301" s="18" t="str">
        <f>IF('Classe Terminale D'!$B21="","",N('Classe Terminale D'!H21))</f>
        <v/>
      </c>
      <c r="L1301" s="18" t="str">
        <f>IF('Classe Terminale D'!$B21="","",N('Classe Terminale D'!I21))</f>
        <v/>
      </c>
      <c r="M1301" s="18" t="str">
        <f>IF('Classe Terminale D'!$B21="","",N('Classe Terminale D'!J21))</f>
        <v/>
      </c>
      <c r="N1301" s="18" t="str">
        <f>IF('Classe Terminale D'!$B21="","",N('Classe Terminale D'!K21))</f>
        <v/>
      </c>
      <c r="O1301" s="18" t="str">
        <f>IF('Classe Terminale D'!$B21="","",N('Classe Terminale D'!L21))</f>
        <v/>
      </c>
      <c r="P1301" s="18" t="str">
        <f>IF('Classe Terminale D'!$B21="","",N('Classe Terminale D'!M21))</f>
        <v/>
      </c>
      <c r="Q1301" s="17" t="str">
        <f>IF('Classe Terminale D'!$B21="","",IF('Classe Terminale D'!Q21="","",'Classe Terminale D'!Q21))</f>
        <v/>
      </c>
      <c r="R1301" s="18" t="str">
        <f>IF('Classe Terminale D'!$B21="","",N('Classe Terminale D'!N21))</f>
        <v/>
      </c>
      <c r="S1301" s="18" t="str">
        <f>IF('Classe Terminale D'!$B21="","",N('Classe Terminale D'!O21))</f>
        <v/>
      </c>
      <c r="T1301" s="18" t="str">
        <f>IF('Classe Terminale D'!$B21="","",N('Classe Terminale D'!P21))</f>
        <v/>
      </c>
    </row>
    <row r="1302">
      <c r="A1302" s="20" t="str">
        <f>IF('Classe Terminale D'!$B22="","",IF('Classe Terminale D'!A22="","",'Classe Terminale D'!A22))</f>
        <v/>
      </c>
      <c r="B1302" s="20" t="str">
        <f>IF('Classe Terminale D'!$B22="","",IF('Classe Terminale D'!B22="","",'Classe Terminale D'!B22))</f>
        <v/>
      </c>
      <c r="C1302" s="20" t="str">
        <f>IF('Classe Terminale D'!$B22="","",IF('Classe Terminale D'!C22="","",'Classe Terminale D'!C22))</f>
        <v/>
      </c>
      <c r="D1302" s="20" t="str">
        <f>IF($B1302="","",C1302&amp;" "&amp;B1302&amp;" - "&amp;E1302)</f>
        <v/>
      </c>
      <c r="E1302" s="21" t="str">
        <f>IF($B1302="","",Paramètres!$A$31)</f>
        <v/>
      </c>
      <c r="F1302" s="21" t="str">
        <f>IF($B1302="","",Paramètres!$B$31)</f>
        <v/>
      </c>
      <c r="G1302" s="21" t="str">
        <f>IF('Classe Terminale D'!$B22="","",IF('Classe Terminale D'!D22="","",'Classe Terminale D'!D22))</f>
        <v/>
      </c>
      <c r="H1302" s="77" t="str">
        <f>IF('Classe Terminale D'!$B22="","",IF('Classe Terminale D'!E22="","",'Classe Terminale D'!E22))</f>
        <v/>
      </c>
      <c r="I1302" s="20" t="str">
        <f>IF('Classe Terminale D'!$B22="","",IF('Classe Terminale D'!F22="","",'Classe Terminale D'!F22))</f>
        <v/>
      </c>
      <c r="J1302" s="20" t="str">
        <f>IF('Classe Terminale D'!$B22="","",IF('Classe Terminale D'!G22="","",'Classe Terminale D'!G22))</f>
        <v/>
      </c>
      <c r="K1302" s="51" t="str">
        <f>IF('Classe Terminale D'!$B22="","",N('Classe Terminale D'!H22))</f>
        <v/>
      </c>
      <c r="L1302" s="51" t="str">
        <f>IF('Classe Terminale D'!$B22="","",N('Classe Terminale D'!I22))</f>
        <v/>
      </c>
      <c r="M1302" s="51" t="str">
        <f>IF('Classe Terminale D'!$B22="","",N('Classe Terminale D'!J22))</f>
        <v/>
      </c>
      <c r="N1302" s="51" t="str">
        <f>IF('Classe Terminale D'!$B22="","",N('Classe Terminale D'!K22))</f>
        <v/>
      </c>
      <c r="O1302" s="51" t="str">
        <f>IF('Classe Terminale D'!$B22="","",N('Classe Terminale D'!L22))</f>
        <v/>
      </c>
      <c r="P1302" s="51" t="str">
        <f>IF('Classe Terminale D'!$B22="","",N('Classe Terminale D'!M22))</f>
        <v/>
      </c>
      <c r="Q1302" s="21" t="str">
        <f>IF('Classe Terminale D'!$B22="","",IF('Classe Terminale D'!Q22="","",'Classe Terminale D'!Q22))</f>
        <v/>
      </c>
      <c r="R1302" s="51" t="str">
        <f>IF('Classe Terminale D'!$B22="","",N('Classe Terminale D'!N22))</f>
        <v/>
      </c>
      <c r="S1302" s="51" t="str">
        <f>IF('Classe Terminale D'!$B22="","",N('Classe Terminale D'!O22))</f>
        <v/>
      </c>
      <c r="T1302" s="51" t="str">
        <f>IF('Classe Terminale D'!$B22="","",N('Classe Terminale D'!P22))</f>
        <v/>
      </c>
    </row>
    <row r="1303">
      <c r="A1303" s="16" t="str">
        <f>IF('Classe Terminale D'!$B23="","",IF('Classe Terminale D'!A23="","",'Classe Terminale D'!A23))</f>
        <v/>
      </c>
      <c r="B1303" s="16" t="str">
        <f>IF('Classe Terminale D'!$B23="","",IF('Classe Terminale D'!B23="","",'Classe Terminale D'!B23))</f>
        <v/>
      </c>
      <c r="C1303" s="16" t="str">
        <f>IF('Classe Terminale D'!$B23="","",IF('Classe Terminale D'!C23="","",'Classe Terminale D'!C23))</f>
        <v/>
      </c>
      <c r="D1303" s="16" t="str">
        <f>IF($B1303="","",C1303&amp;" "&amp;B1303&amp;" - "&amp;E1303)</f>
        <v/>
      </c>
      <c r="E1303" s="17" t="str">
        <f>IF($B1303="","",Paramètres!$A$31)</f>
        <v/>
      </c>
      <c r="F1303" s="17" t="str">
        <f>IF($B1303="","",Paramètres!$B$31)</f>
        <v/>
      </c>
      <c r="G1303" s="17" t="str">
        <f>IF('Classe Terminale D'!$B23="","",IF('Classe Terminale D'!D23="","",'Classe Terminale D'!D23))</f>
        <v/>
      </c>
      <c r="H1303" s="78" t="str">
        <f>IF('Classe Terminale D'!$B23="","",IF('Classe Terminale D'!E23="","",'Classe Terminale D'!E23))</f>
        <v/>
      </c>
      <c r="I1303" s="16" t="str">
        <f>IF('Classe Terminale D'!$B23="","",IF('Classe Terminale D'!F23="","",'Classe Terminale D'!F23))</f>
        <v/>
      </c>
      <c r="J1303" s="16" t="str">
        <f>IF('Classe Terminale D'!$B23="","",IF('Classe Terminale D'!G23="","",'Classe Terminale D'!G23))</f>
        <v/>
      </c>
      <c r="K1303" s="18" t="str">
        <f>IF('Classe Terminale D'!$B23="","",N('Classe Terminale D'!H23))</f>
        <v/>
      </c>
      <c r="L1303" s="18" t="str">
        <f>IF('Classe Terminale D'!$B23="","",N('Classe Terminale D'!I23))</f>
        <v/>
      </c>
      <c r="M1303" s="18" t="str">
        <f>IF('Classe Terminale D'!$B23="","",N('Classe Terminale D'!J23))</f>
        <v/>
      </c>
      <c r="N1303" s="18" t="str">
        <f>IF('Classe Terminale D'!$B23="","",N('Classe Terminale D'!K23))</f>
        <v/>
      </c>
      <c r="O1303" s="18" t="str">
        <f>IF('Classe Terminale D'!$B23="","",N('Classe Terminale D'!L23))</f>
        <v/>
      </c>
      <c r="P1303" s="18" t="str">
        <f>IF('Classe Terminale D'!$B23="","",N('Classe Terminale D'!M23))</f>
        <v/>
      </c>
      <c r="Q1303" s="17" t="str">
        <f>IF('Classe Terminale D'!$B23="","",IF('Classe Terminale D'!Q23="","",'Classe Terminale D'!Q23))</f>
        <v/>
      </c>
      <c r="R1303" s="18" t="str">
        <f>IF('Classe Terminale D'!$B23="","",N('Classe Terminale D'!N23))</f>
        <v/>
      </c>
      <c r="S1303" s="18" t="str">
        <f>IF('Classe Terminale D'!$B23="","",N('Classe Terminale D'!O23))</f>
        <v/>
      </c>
      <c r="T1303" s="18" t="str">
        <f>IF('Classe Terminale D'!$B23="","",N('Classe Terminale D'!P23))</f>
        <v/>
      </c>
    </row>
    <row r="1304">
      <c r="A1304" s="20" t="str">
        <f>IF('Classe Terminale D'!$B24="","",IF('Classe Terminale D'!A24="","",'Classe Terminale D'!A24))</f>
        <v/>
      </c>
      <c r="B1304" s="20" t="str">
        <f>IF('Classe Terminale D'!$B24="","",IF('Classe Terminale D'!B24="","",'Classe Terminale D'!B24))</f>
        <v/>
      </c>
      <c r="C1304" s="20" t="str">
        <f>IF('Classe Terminale D'!$B24="","",IF('Classe Terminale D'!C24="","",'Classe Terminale D'!C24))</f>
        <v/>
      </c>
      <c r="D1304" s="20" t="str">
        <f>IF($B1304="","",C1304&amp;" "&amp;B1304&amp;" - "&amp;E1304)</f>
        <v/>
      </c>
      <c r="E1304" s="21" t="str">
        <f>IF($B1304="","",Paramètres!$A$31)</f>
        <v/>
      </c>
      <c r="F1304" s="21" t="str">
        <f>IF($B1304="","",Paramètres!$B$31)</f>
        <v/>
      </c>
      <c r="G1304" s="21" t="str">
        <f>IF('Classe Terminale D'!$B24="","",IF('Classe Terminale D'!D24="","",'Classe Terminale D'!D24))</f>
        <v/>
      </c>
      <c r="H1304" s="77" t="str">
        <f>IF('Classe Terminale D'!$B24="","",IF('Classe Terminale D'!E24="","",'Classe Terminale D'!E24))</f>
        <v/>
      </c>
      <c r="I1304" s="20" t="str">
        <f>IF('Classe Terminale D'!$B24="","",IF('Classe Terminale D'!F24="","",'Classe Terminale D'!F24))</f>
        <v/>
      </c>
      <c r="J1304" s="20" t="str">
        <f>IF('Classe Terminale D'!$B24="","",IF('Classe Terminale D'!G24="","",'Classe Terminale D'!G24))</f>
        <v/>
      </c>
      <c r="K1304" s="51" t="str">
        <f>IF('Classe Terminale D'!$B24="","",N('Classe Terminale D'!H24))</f>
        <v/>
      </c>
      <c r="L1304" s="51" t="str">
        <f>IF('Classe Terminale D'!$B24="","",N('Classe Terminale D'!I24))</f>
        <v/>
      </c>
      <c r="M1304" s="51" t="str">
        <f>IF('Classe Terminale D'!$B24="","",N('Classe Terminale D'!J24))</f>
        <v/>
      </c>
      <c r="N1304" s="51" t="str">
        <f>IF('Classe Terminale D'!$B24="","",N('Classe Terminale D'!K24))</f>
        <v/>
      </c>
      <c r="O1304" s="51" t="str">
        <f>IF('Classe Terminale D'!$B24="","",N('Classe Terminale D'!L24))</f>
        <v/>
      </c>
      <c r="P1304" s="51" t="str">
        <f>IF('Classe Terminale D'!$B24="","",N('Classe Terminale D'!M24))</f>
        <v/>
      </c>
      <c r="Q1304" s="21" t="str">
        <f>IF('Classe Terminale D'!$B24="","",IF('Classe Terminale D'!Q24="","",'Classe Terminale D'!Q24))</f>
        <v/>
      </c>
      <c r="R1304" s="51" t="str">
        <f>IF('Classe Terminale D'!$B24="","",N('Classe Terminale D'!N24))</f>
        <v/>
      </c>
      <c r="S1304" s="51" t="str">
        <f>IF('Classe Terminale D'!$B24="","",N('Classe Terminale D'!O24))</f>
        <v/>
      </c>
      <c r="T1304" s="51" t="str">
        <f>IF('Classe Terminale D'!$B24="","",N('Classe Terminale D'!P24))</f>
        <v/>
      </c>
    </row>
    <row r="1305">
      <c r="A1305" s="16" t="str">
        <f>IF('Classe Terminale D'!$B25="","",IF('Classe Terminale D'!A25="","",'Classe Terminale D'!A25))</f>
        <v/>
      </c>
      <c r="B1305" s="16" t="str">
        <f>IF('Classe Terminale D'!$B25="","",IF('Classe Terminale D'!B25="","",'Classe Terminale D'!B25))</f>
        <v/>
      </c>
      <c r="C1305" s="16" t="str">
        <f>IF('Classe Terminale D'!$B25="","",IF('Classe Terminale D'!C25="","",'Classe Terminale D'!C25))</f>
        <v/>
      </c>
      <c r="D1305" s="16" t="str">
        <f>IF($B1305="","",C1305&amp;" "&amp;B1305&amp;" - "&amp;E1305)</f>
        <v/>
      </c>
      <c r="E1305" s="17" t="str">
        <f>IF($B1305="","",Paramètres!$A$31)</f>
        <v/>
      </c>
      <c r="F1305" s="17" t="str">
        <f>IF($B1305="","",Paramètres!$B$31)</f>
        <v/>
      </c>
      <c r="G1305" s="17" t="str">
        <f>IF('Classe Terminale D'!$B25="","",IF('Classe Terminale D'!D25="","",'Classe Terminale D'!D25))</f>
        <v/>
      </c>
      <c r="H1305" s="78" t="str">
        <f>IF('Classe Terminale D'!$B25="","",IF('Classe Terminale D'!E25="","",'Classe Terminale D'!E25))</f>
        <v/>
      </c>
      <c r="I1305" s="16" t="str">
        <f>IF('Classe Terminale D'!$B25="","",IF('Classe Terminale D'!F25="","",'Classe Terminale D'!F25))</f>
        <v/>
      </c>
      <c r="J1305" s="16" t="str">
        <f>IF('Classe Terminale D'!$B25="","",IF('Classe Terminale D'!G25="","",'Classe Terminale D'!G25))</f>
        <v/>
      </c>
      <c r="K1305" s="18" t="str">
        <f>IF('Classe Terminale D'!$B25="","",N('Classe Terminale D'!H25))</f>
        <v/>
      </c>
      <c r="L1305" s="18" t="str">
        <f>IF('Classe Terminale D'!$B25="","",N('Classe Terminale D'!I25))</f>
        <v/>
      </c>
      <c r="M1305" s="18" t="str">
        <f>IF('Classe Terminale D'!$B25="","",N('Classe Terminale D'!J25))</f>
        <v/>
      </c>
      <c r="N1305" s="18" t="str">
        <f>IF('Classe Terminale D'!$B25="","",N('Classe Terminale D'!K25))</f>
        <v/>
      </c>
      <c r="O1305" s="18" t="str">
        <f>IF('Classe Terminale D'!$B25="","",N('Classe Terminale D'!L25))</f>
        <v/>
      </c>
      <c r="P1305" s="18" t="str">
        <f>IF('Classe Terminale D'!$B25="","",N('Classe Terminale D'!M25))</f>
        <v/>
      </c>
      <c r="Q1305" s="17" t="str">
        <f>IF('Classe Terminale D'!$B25="","",IF('Classe Terminale D'!Q25="","",'Classe Terminale D'!Q25))</f>
        <v/>
      </c>
      <c r="R1305" s="18" t="str">
        <f>IF('Classe Terminale D'!$B25="","",N('Classe Terminale D'!N25))</f>
        <v/>
      </c>
      <c r="S1305" s="18" t="str">
        <f>IF('Classe Terminale D'!$B25="","",N('Classe Terminale D'!O25))</f>
        <v/>
      </c>
      <c r="T1305" s="18" t="str">
        <f>IF('Classe Terminale D'!$B25="","",N('Classe Terminale D'!P25))</f>
        <v/>
      </c>
    </row>
    <row r="1306">
      <c r="A1306" s="20" t="str">
        <f>IF('Classe Terminale D'!$B26="","",IF('Classe Terminale D'!A26="","",'Classe Terminale D'!A26))</f>
        <v/>
      </c>
      <c r="B1306" s="20" t="str">
        <f>IF('Classe Terminale D'!$B26="","",IF('Classe Terminale D'!B26="","",'Classe Terminale D'!B26))</f>
        <v/>
      </c>
      <c r="C1306" s="20" t="str">
        <f>IF('Classe Terminale D'!$B26="","",IF('Classe Terminale D'!C26="","",'Classe Terminale D'!C26))</f>
        <v/>
      </c>
      <c r="D1306" s="20" t="str">
        <f>IF($B1306="","",C1306&amp;" "&amp;B1306&amp;" - "&amp;E1306)</f>
        <v/>
      </c>
      <c r="E1306" s="21" t="str">
        <f>IF($B1306="","",Paramètres!$A$31)</f>
        <v/>
      </c>
      <c r="F1306" s="21" t="str">
        <f>IF($B1306="","",Paramètres!$B$31)</f>
        <v/>
      </c>
      <c r="G1306" s="21" t="str">
        <f>IF('Classe Terminale D'!$B26="","",IF('Classe Terminale D'!D26="","",'Classe Terminale D'!D26))</f>
        <v/>
      </c>
      <c r="H1306" s="77" t="str">
        <f>IF('Classe Terminale D'!$B26="","",IF('Classe Terminale D'!E26="","",'Classe Terminale D'!E26))</f>
        <v/>
      </c>
      <c r="I1306" s="20" t="str">
        <f>IF('Classe Terminale D'!$B26="","",IF('Classe Terminale D'!F26="","",'Classe Terminale D'!F26))</f>
        <v/>
      </c>
      <c r="J1306" s="20" t="str">
        <f>IF('Classe Terminale D'!$B26="","",IF('Classe Terminale D'!G26="","",'Classe Terminale D'!G26))</f>
        <v/>
      </c>
      <c r="K1306" s="51" t="str">
        <f>IF('Classe Terminale D'!$B26="","",N('Classe Terminale D'!H26))</f>
        <v/>
      </c>
      <c r="L1306" s="51" t="str">
        <f>IF('Classe Terminale D'!$B26="","",N('Classe Terminale D'!I26))</f>
        <v/>
      </c>
      <c r="M1306" s="51" t="str">
        <f>IF('Classe Terminale D'!$B26="","",N('Classe Terminale D'!J26))</f>
        <v/>
      </c>
      <c r="N1306" s="51" t="str">
        <f>IF('Classe Terminale D'!$B26="","",N('Classe Terminale D'!K26))</f>
        <v/>
      </c>
      <c r="O1306" s="51" t="str">
        <f>IF('Classe Terminale D'!$B26="","",N('Classe Terminale D'!L26))</f>
        <v/>
      </c>
      <c r="P1306" s="51" t="str">
        <f>IF('Classe Terminale D'!$B26="","",N('Classe Terminale D'!M26))</f>
        <v/>
      </c>
      <c r="Q1306" s="21" t="str">
        <f>IF('Classe Terminale D'!$B26="","",IF('Classe Terminale D'!Q26="","",'Classe Terminale D'!Q26))</f>
        <v/>
      </c>
      <c r="R1306" s="51" t="str">
        <f>IF('Classe Terminale D'!$B26="","",N('Classe Terminale D'!N26))</f>
        <v/>
      </c>
      <c r="S1306" s="51" t="str">
        <f>IF('Classe Terminale D'!$B26="","",N('Classe Terminale D'!O26))</f>
        <v/>
      </c>
      <c r="T1306" s="51" t="str">
        <f>IF('Classe Terminale D'!$B26="","",N('Classe Terminale D'!P26))</f>
        <v/>
      </c>
    </row>
    <row r="1307">
      <c r="A1307" s="16" t="str">
        <f>IF('Classe Terminale D'!$B27="","",IF('Classe Terminale D'!A27="","",'Classe Terminale D'!A27))</f>
        <v/>
      </c>
      <c r="B1307" s="16" t="str">
        <f>IF('Classe Terminale D'!$B27="","",IF('Classe Terminale D'!B27="","",'Classe Terminale D'!B27))</f>
        <v/>
      </c>
      <c r="C1307" s="16" t="str">
        <f>IF('Classe Terminale D'!$B27="","",IF('Classe Terminale D'!C27="","",'Classe Terminale D'!C27))</f>
        <v/>
      </c>
      <c r="D1307" s="16" t="str">
        <f>IF($B1307="","",C1307&amp;" "&amp;B1307&amp;" - "&amp;E1307)</f>
        <v/>
      </c>
      <c r="E1307" s="17" t="str">
        <f>IF($B1307="","",Paramètres!$A$31)</f>
        <v/>
      </c>
      <c r="F1307" s="17" t="str">
        <f>IF($B1307="","",Paramètres!$B$31)</f>
        <v/>
      </c>
      <c r="G1307" s="17" t="str">
        <f>IF('Classe Terminale D'!$B27="","",IF('Classe Terminale D'!D27="","",'Classe Terminale D'!D27))</f>
        <v/>
      </c>
      <c r="H1307" s="78" t="str">
        <f>IF('Classe Terminale D'!$B27="","",IF('Classe Terminale D'!E27="","",'Classe Terminale D'!E27))</f>
        <v/>
      </c>
      <c r="I1307" s="16" t="str">
        <f>IF('Classe Terminale D'!$B27="","",IF('Classe Terminale D'!F27="","",'Classe Terminale D'!F27))</f>
        <v/>
      </c>
      <c r="J1307" s="16" t="str">
        <f>IF('Classe Terminale D'!$B27="","",IF('Classe Terminale D'!G27="","",'Classe Terminale D'!G27))</f>
        <v/>
      </c>
      <c r="K1307" s="18" t="str">
        <f>IF('Classe Terminale D'!$B27="","",N('Classe Terminale D'!H27))</f>
        <v/>
      </c>
      <c r="L1307" s="18" t="str">
        <f>IF('Classe Terminale D'!$B27="","",N('Classe Terminale D'!I27))</f>
        <v/>
      </c>
      <c r="M1307" s="18" t="str">
        <f>IF('Classe Terminale D'!$B27="","",N('Classe Terminale D'!J27))</f>
        <v/>
      </c>
      <c r="N1307" s="18" t="str">
        <f>IF('Classe Terminale D'!$B27="","",N('Classe Terminale D'!K27))</f>
        <v/>
      </c>
      <c r="O1307" s="18" t="str">
        <f>IF('Classe Terminale D'!$B27="","",N('Classe Terminale D'!L27))</f>
        <v/>
      </c>
      <c r="P1307" s="18" t="str">
        <f>IF('Classe Terminale D'!$B27="","",N('Classe Terminale D'!M27))</f>
        <v/>
      </c>
      <c r="Q1307" s="17" t="str">
        <f>IF('Classe Terminale D'!$B27="","",IF('Classe Terminale D'!Q27="","",'Classe Terminale D'!Q27))</f>
        <v/>
      </c>
      <c r="R1307" s="18" t="str">
        <f>IF('Classe Terminale D'!$B27="","",N('Classe Terminale D'!N27))</f>
        <v/>
      </c>
      <c r="S1307" s="18" t="str">
        <f>IF('Classe Terminale D'!$B27="","",N('Classe Terminale D'!O27))</f>
        <v/>
      </c>
      <c r="T1307" s="18" t="str">
        <f>IF('Classe Terminale D'!$B27="","",N('Classe Terminale D'!P27))</f>
        <v/>
      </c>
    </row>
    <row r="1308">
      <c r="A1308" s="20" t="str">
        <f>IF('Classe Terminale D'!$B28="","",IF('Classe Terminale D'!A28="","",'Classe Terminale D'!A28))</f>
        <v/>
      </c>
      <c r="B1308" s="20" t="str">
        <f>IF('Classe Terminale D'!$B28="","",IF('Classe Terminale D'!B28="","",'Classe Terminale D'!B28))</f>
        <v/>
      </c>
      <c r="C1308" s="20" t="str">
        <f>IF('Classe Terminale D'!$B28="","",IF('Classe Terminale D'!C28="","",'Classe Terminale D'!C28))</f>
        <v/>
      </c>
      <c r="D1308" s="20" t="str">
        <f>IF($B1308="","",C1308&amp;" "&amp;B1308&amp;" - "&amp;E1308)</f>
        <v/>
      </c>
      <c r="E1308" s="21" t="str">
        <f>IF($B1308="","",Paramètres!$A$31)</f>
        <v/>
      </c>
      <c r="F1308" s="21" t="str">
        <f>IF($B1308="","",Paramètres!$B$31)</f>
        <v/>
      </c>
      <c r="G1308" s="21" t="str">
        <f>IF('Classe Terminale D'!$B28="","",IF('Classe Terminale D'!D28="","",'Classe Terminale D'!D28))</f>
        <v/>
      </c>
      <c r="H1308" s="77" t="str">
        <f>IF('Classe Terminale D'!$B28="","",IF('Classe Terminale D'!E28="","",'Classe Terminale D'!E28))</f>
        <v/>
      </c>
      <c r="I1308" s="20" t="str">
        <f>IF('Classe Terminale D'!$B28="","",IF('Classe Terminale D'!F28="","",'Classe Terminale D'!F28))</f>
        <v/>
      </c>
      <c r="J1308" s="20" t="str">
        <f>IF('Classe Terminale D'!$B28="","",IF('Classe Terminale D'!G28="","",'Classe Terminale D'!G28))</f>
        <v/>
      </c>
      <c r="K1308" s="51" t="str">
        <f>IF('Classe Terminale D'!$B28="","",N('Classe Terminale D'!H28))</f>
        <v/>
      </c>
      <c r="L1308" s="51" t="str">
        <f>IF('Classe Terminale D'!$B28="","",N('Classe Terminale D'!I28))</f>
        <v/>
      </c>
      <c r="M1308" s="51" t="str">
        <f>IF('Classe Terminale D'!$B28="","",N('Classe Terminale D'!J28))</f>
        <v/>
      </c>
      <c r="N1308" s="51" t="str">
        <f>IF('Classe Terminale D'!$B28="","",N('Classe Terminale D'!K28))</f>
        <v/>
      </c>
      <c r="O1308" s="51" t="str">
        <f>IF('Classe Terminale D'!$B28="","",N('Classe Terminale D'!L28))</f>
        <v/>
      </c>
      <c r="P1308" s="51" t="str">
        <f>IF('Classe Terminale D'!$B28="","",N('Classe Terminale D'!M28))</f>
        <v/>
      </c>
      <c r="Q1308" s="21" t="str">
        <f>IF('Classe Terminale D'!$B28="","",IF('Classe Terminale D'!Q28="","",'Classe Terminale D'!Q28))</f>
        <v/>
      </c>
      <c r="R1308" s="51" t="str">
        <f>IF('Classe Terminale D'!$B28="","",N('Classe Terminale D'!N28))</f>
        <v/>
      </c>
      <c r="S1308" s="51" t="str">
        <f>IF('Classe Terminale D'!$B28="","",N('Classe Terminale D'!O28))</f>
        <v/>
      </c>
      <c r="T1308" s="51" t="str">
        <f>IF('Classe Terminale D'!$B28="","",N('Classe Terminale D'!P28))</f>
        <v/>
      </c>
    </row>
    <row r="1309">
      <c r="A1309" s="16" t="str">
        <f>IF('Classe Terminale D'!$B29="","",IF('Classe Terminale D'!A29="","",'Classe Terminale D'!A29))</f>
        <v/>
      </c>
      <c r="B1309" s="16" t="str">
        <f>IF('Classe Terminale D'!$B29="","",IF('Classe Terminale D'!B29="","",'Classe Terminale D'!B29))</f>
        <v/>
      </c>
      <c r="C1309" s="16" t="str">
        <f>IF('Classe Terminale D'!$B29="","",IF('Classe Terminale D'!C29="","",'Classe Terminale D'!C29))</f>
        <v/>
      </c>
      <c r="D1309" s="16" t="str">
        <f>IF($B1309="","",C1309&amp;" "&amp;B1309&amp;" - "&amp;E1309)</f>
        <v/>
      </c>
      <c r="E1309" s="17" t="str">
        <f>IF($B1309="","",Paramètres!$A$31)</f>
        <v/>
      </c>
      <c r="F1309" s="17" t="str">
        <f>IF($B1309="","",Paramètres!$B$31)</f>
        <v/>
      </c>
      <c r="G1309" s="17" t="str">
        <f>IF('Classe Terminale D'!$B29="","",IF('Classe Terminale D'!D29="","",'Classe Terminale D'!D29))</f>
        <v/>
      </c>
      <c r="H1309" s="78" t="str">
        <f>IF('Classe Terminale D'!$B29="","",IF('Classe Terminale D'!E29="","",'Classe Terminale D'!E29))</f>
        <v/>
      </c>
      <c r="I1309" s="16" t="str">
        <f>IF('Classe Terminale D'!$B29="","",IF('Classe Terminale D'!F29="","",'Classe Terminale D'!F29))</f>
        <v/>
      </c>
      <c r="J1309" s="16" t="str">
        <f>IF('Classe Terminale D'!$B29="","",IF('Classe Terminale D'!G29="","",'Classe Terminale D'!G29))</f>
        <v/>
      </c>
      <c r="K1309" s="18" t="str">
        <f>IF('Classe Terminale D'!$B29="","",N('Classe Terminale D'!H29))</f>
        <v/>
      </c>
      <c r="L1309" s="18" t="str">
        <f>IF('Classe Terminale D'!$B29="","",N('Classe Terminale D'!I29))</f>
        <v/>
      </c>
      <c r="M1309" s="18" t="str">
        <f>IF('Classe Terminale D'!$B29="","",N('Classe Terminale D'!J29))</f>
        <v/>
      </c>
      <c r="N1309" s="18" t="str">
        <f>IF('Classe Terminale D'!$B29="","",N('Classe Terminale D'!K29))</f>
        <v/>
      </c>
      <c r="O1309" s="18" t="str">
        <f>IF('Classe Terminale D'!$B29="","",N('Classe Terminale D'!L29))</f>
        <v/>
      </c>
      <c r="P1309" s="18" t="str">
        <f>IF('Classe Terminale D'!$B29="","",N('Classe Terminale D'!M29))</f>
        <v/>
      </c>
      <c r="Q1309" s="17" t="str">
        <f>IF('Classe Terminale D'!$B29="","",IF('Classe Terminale D'!Q29="","",'Classe Terminale D'!Q29))</f>
        <v/>
      </c>
      <c r="R1309" s="18" t="str">
        <f>IF('Classe Terminale D'!$B29="","",N('Classe Terminale D'!N29))</f>
        <v/>
      </c>
      <c r="S1309" s="18" t="str">
        <f>IF('Classe Terminale D'!$B29="","",N('Classe Terminale D'!O29))</f>
        <v/>
      </c>
      <c r="T1309" s="18" t="str">
        <f>IF('Classe Terminale D'!$B29="","",N('Classe Terminale D'!P29))</f>
        <v/>
      </c>
    </row>
    <row r="1310">
      <c r="A1310" s="20" t="str">
        <f>IF('Classe Terminale D'!$B30="","",IF('Classe Terminale D'!A30="","",'Classe Terminale D'!A30))</f>
        <v/>
      </c>
      <c r="B1310" s="20" t="str">
        <f>IF('Classe Terminale D'!$B30="","",IF('Classe Terminale D'!B30="","",'Classe Terminale D'!B30))</f>
        <v/>
      </c>
      <c r="C1310" s="20" t="str">
        <f>IF('Classe Terminale D'!$B30="","",IF('Classe Terminale D'!C30="","",'Classe Terminale D'!C30))</f>
        <v/>
      </c>
      <c r="D1310" s="20" t="str">
        <f>IF($B1310="","",C1310&amp;" "&amp;B1310&amp;" - "&amp;E1310)</f>
        <v/>
      </c>
      <c r="E1310" s="21" t="str">
        <f>IF($B1310="","",Paramètres!$A$31)</f>
        <v/>
      </c>
      <c r="F1310" s="21" t="str">
        <f>IF($B1310="","",Paramètres!$B$31)</f>
        <v/>
      </c>
      <c r="G1310" s="21" t="str">
        <f>IF('Classe Terminale D'!$B30="","",IF('Classe Terminale D'!D30="","",'Classe Terminale D'!D30))</f>
        <v/>
      </c>
      <c r="H1310" s="77" t="str">
        <f>IF('Classe Terminale D'!$B30="","",IF('Classe Terminale D'!E30="","",'Classe Terminale D'!E30))</f>
        <v/>
      </c>
      <c r="I1310" s="20" t="str">
        <f>IF('Classe Terminale D'!$B30="","",IF('Classe Terminale D'!F30="","",'Classe Terminale D'!F30))</f>
        <v/>
      </c>
      <c r="J1310" s="20" t="str">
        <f>IF('Classe Terminale D'!$B30="","",IF('Classe Terminale D'!G30="","",'Classe Terminale D'!G30))</f>
        <v/>
      </c>
      <c r="K1310" s="51" t="str">
        <f>IF('Classe Terminale D'!$B30="","",N('Classe Terminale D'!H30))</f>
        <v/>
      </c>
      <c r="L1310" s="51" t="str">
        <f>IF('Classe Terminale D'!$B30="","",N('Classe Terminale D'!I30))</f>
        <v/>
      </c>
      <c r="M1310" s="51" t="str">
        <f>IF('Classe Terminale D'!$B30="","",N('Classe Terminale D'!J30))</f>
        <v/>
      </c>
      <c r="N1310" s="51" t="str">
        <f>IF('Classe Terminale D'!$B30="","",N('Classe Terminale D'!K30))</f>
        <v/>
      </c>
      <c r="O1310" s="51" t="str">
        <f>IF('Classe Terminale D'!$B30="","",N('Classe Terminale D'!L30))</f>
        <v/>
      </c>
      <c r="P1310" s="51" t="str">
        <f>IF('Classe Terminale D'!$B30="","",N('Classe Terminale D'!M30))</f>
        <v/>
      </c>
      <c r="Q1310" s="21" t="str">
        <f>IF('Classe Terminale D'!$B30="","",IF('Classe Terminale D'!Q30="","",'Classe Terminale D'!Q30))</f>
        <v/>
      </c>
      <c r="R1310" s="51" t="str">
        <f>IF('Classe Terminale D'!$B30="","",N('Classe Terminale D'!N30))</f>
        <v/>
      </c>
      <c r="S1310" s="51" t="str">
        <f>IF('Classe Terminale D'!$B30="","",N('Classe Terminale D'!O30))</f>
        <v/>
      </c>
      <c r="T1310" s="51" t="str">
        <f>IF('Classe Terminale D'!$B30="","",N('Classe Terminale D'!P30))</f>
        <v/>
      </c>
    </row>
    <row r="1311">
      <c r="A1311" s="16" t="str">
        <f>IF('Classe Terminale D'!$B31="","",IF('Classe Terminale D'!A31="","",'Classe Terminale D'!A31))</f>
        <v/>
      </c>
      <c r="B1311" s="16" t="str">
        <f>IF('Classe Terminale D'!$B31="","",IF('Classe Terminale D'!B31="","",'Classe Terminale D'!B31))</f>
        <v/>
      </c>
      <c r="C1311" s="16" t="str">
        <f>IF('Classe Terminale D'!$B31="","",IF('Classe Terminale D'!C31="","",'Classe Terminale D'!C31))</f>
        <v/>
      </c>
      <c r="D1311" s="16" t="str">
        <f>IF($B1311="","",C1311&amp;" "&amp;B1311&amp;" - "&amp;E1311)</f>
        <v/>
      </c>
      <c r="E1311" s="17" t="str">
        <f>IF($B1311="","",Paramètres!$A$31)</f>
        <v/>
      </c>
      <c r="F1311" s="17" t="str">
        <f>IF($B1311="","",Paramètres!$B$31)</f>
        <v/>
      </c>
      <c r="G1311" s="17" t="str">
        <f>IF('Classe Terminale D'!$B31="","",IF('Classe Terminale D'!D31="","",'Classe Terminale D'!D31))</f>
        <v/>
      </c>
      <c r="H1311" s="78" t="str">
        <f>IF('Classe Terminale D'!$B31="","",IF('Classe Terminale D'!E31="","",'Classe Terminale D'!E31))</f>
        <v/>
      </c>
      <c r="I1311" s="16" t="str">
        <f>IF('Classe Terminale D'!$B31="","",IF('Classe Terminale D'!F31="","",'Classe Terminale D'!F31))</f>
        <v/>
      </c>
      <c r="J1311" s="16" t="str">
        <f>IF('Classe Terminale D'!$B31="","",IF('Classe Terminale D'!G31="","",'Classe Terminale D'!G31))</f>
        <v/>
      </c>
      <c r="K1311" s="18" t="str">
        <f>IF('Classe Terminale D'!$B31="","",N('Classe Terminale D'!H31))</f>
        <v/>
      </c>
      <c r="L1311" s="18" t="str">
        <f>IF('Classe Terminale D'!$B31="","",N('Classe Terminale D'!I31))</f>
        <v/>
      </c>
      <c r="M1311" s="18" t="str">
        <f>IF('Classe Terminale D'!$B31="","",N('Classe Terminale D'!J31))</f>
        <v/>
      </c>
      <c r="N1311" s="18" t="str">
        <f>IF('Classe Terminale D'!$B31="","",N('Classe Terminale D'!K31))</f>
        <v/>
      </c>
      <c r="O1311" s="18" t="str">
        <f>IF('Classe Terminale D'!$B31="","",N('Classe Terminale D'!L31))</f>
        <v/>
      </c>
      <c r="P1311" s="18" t="str">
        <f>IF('Classe Terminale D'!$B31="","",N('Classe Terminale D'!M31))</f>
        <v/>
      </c>
      <c r="Q1311" s="17" t="str">
        <f>IF('Classe Terminale D'!$B31="","",IF('Classe Terminale D'!Q31="","",'Classe Terminale D'!Q31))</f>
        <v/>
      </c>
      <c r="R1311" s="18" t="str">
        <f>IF('Classe Terminale D'!$B31="","",N('Classe Terminale D'!N31))</f>
        <v/>
      </c>
      <c r="S1311" s="18" t="str">
        <f>IF('Classe Terminale D'!$B31="","",N('Classe Terminale D'!O31))</f>
        <v/>
      </c>
      <c r="T1311" s="18" t="str">
        <f>IF('Classe Terminale D'!$B31="","",N('Classe Terminale D'!P31))</f>
        <v/>
      </c>
    </row>
    <row r="1312">
      <c r="A1312" s="20" t="str">
        <f>IF('Classe Terminale D'!$B32="","",IF('Classe Terminale D'!A32="","",'Classe Terminale D'!A32))</f>
        <v/>
      </c>
      <c r="B1312" s="20" t="str">
        <f>IF('Classe Terminale D'!$B32="","",IF('Classe Terminale D'!B32="","",'Classe Terminale D'!B32))</f>
        <v/>
      </c>
      <c r="C1312" s="20" t="str">
        <f>IF('Classe Terminale D'!$B32="","",IF('Classe Terminale D'!C32="","",'Classe Terminale D'!C32))</f>
        <v/>
      </c>
      <c r="D1312" s="20" t="str">
        <f>IF($B1312="","",C1312&amp;" "&amp;B1312&amp;" - "&amp;E1312)</f>
        <v/>
      </c>
      <c r="E1312" s="21" t="str">
        <f>IF($B1312="","",Paramètres!$A$31)</f>
        <v/>
      </c>
      <c r="F1312" s="21" t="str">
        <f>IF($B1312="","",Paramètres!$B$31)</f>
        <v/>
      </c>
      <c r="G1312" s="21" t="str">
        <f>IF('Classe Terminale D'!$B32="","",IF('Classe Terminale D'!D32="","",'Classe Terminale D'!D32))</f>
        <v/>
      </c>
      <c r="H1312" s="77" t="str">
        <f>IF('Classe Terminale D'!$B32="","",IF('Classe Terminale D'!E32="","",'Classe Terminale D'!E32))</f>
        <v/>
      </c>
      <c r="I1312" s="20" t="str">
        <f>IF('Classe Terminale D'!$B32="","",IF('Classe Terminale D'!F32="","",'Classe Terminale D'!F32))</f>
        <v/>
      </c>
      <c r="J1312" s="20" t="str">
        <f>IF('Classe Terminale D'!$B32="","",IF('Classe Terminale D'!G32="","",'Classe Terminale D'!G32))</f>
        <v/>
      </c>
      <c r="K1312" s="51" t="str">
        <f>IF('Classe Terminale D'!$B32="","",N('Classe Terminale D'!H32))</f>
        <v/>
      </c>
      <c r="L1312" s="51" t="str">
        <f>IF('Classe Terminale D'!$B32="","",N('Classe Terminale D'!I32))</f>
        <v/>
      </c>
      <c r="M1312" s="51" t="str">
        <f>IF('Classe Terminale D'!$B32="","",N('Classe Terminale D'!J32))</f>
        <v/>
      </c>
      <c r="N1312" s="51" t="str">
        <f>IF('Classe Terminale D'!$B32="","",N('Classe Terminale D'!K32))</f>
        <v/>
      </c>
      <c r="O1312" s="51" t="str">
        <f>IF('Classe Terminale D'!$B32="","",N('Classe Terminale D'!L32))</f>
        <v/>
      </c>
      <c r="P1312" s="51" t="str">
        <f>IF('Classe Terminale D'!$B32="","",N('Classe Terminale D'!M32))</f>
        <v/>
      </c>
      <c r="Q1312" s="21" t="str">
        <f>IF('Classe Terminale D'!$B32="","",IF('Classe Terminale D'!Q32="","",'Classe Terminale D'!Q32))</f>
        <v/>
      </c>
      <c r="R1312" s="51" t="str">
        <f>IF('Classe Terminale D'!$B32="","",N('Classe Terminale D'!N32))</f>
        <v/>
      </c>
      <c r="S1312" s="51" t="str">
        <f>IF('Classe Terminale D'!$B32="","",N('Classe Terminale D'!O32))</f>
        <v/>
      </c>
      <c r="T1312" s="51" t="str">
        <f>IF('Classe Terminale D'!$B32="","",N('Classe Terminale D'!P32))</f>
        <v/>
      </c>
    </row>
    <row r="1313">
      <c r="A1313" s="16" t="str">
        <f>IF('Classe Terminale D'!$B33="","",IF('Classe Terminale D'!A33="","",'Classe Terminale D'!A33))</f>
        <v/>
      </c>
      <c r="B1313" s="16" t="str">
        <f>IF('Classe Terminale D'!$B33="","",IF('Classe Terminale D'!B33="","",'Classe Terminale D'!B33))</f>
        <v/>
      </c>
      <c r="C1313" s="16" t="str">
        <f>IF('Classe Terminale D'!$B33="","",IF('Classe Terminale D'!C33="","",'Classe Terminale D'!C33))</f>
        <v/>
      </c>
      <c r="D1313" s="16" t="str">
        <f>IF($B1313="","",C1313&amp;" "&amp;B1313&amp;" - "&amp;E1313)</f>
        <v/>
      </c>
      <c r="E1313" s="17" t="str">
        <f>IF($B1313="","",Paramètres!$A$31)</f>
        <v/>
      </c>
      <c r="F1313" s="17" t="str">
        <f>IF($B1313="","",Paramètres!$B$31)</f>
        <v/>
      </c>
      <c r="G1313" s="17" t="str">
        <f>IF('Classe Terminale D'!$B33="","",IF('Classe Terminale D'!D33="","",'Classe Terminale D'!D33))</f>
        <v/>
      </c>
      <c r="H1313" s="78" t="str">
        <f>IF('Classe Terminale D'!$B33="","",IF('Classe Terminale D'!E33="","",'Classe Terminale D'!E33))</f>
        <v/>
      </c>
      <c r="I1313" s="16" t="str">
        <f>IF('Classe Terminale D'!$B33="","",IF('Classe Terminale D'!F33="","",'Classe Terminale D'!F33))</f>
        <v/>
      </c>
      <c r="J1313" s="16" t="str">
        <f>IF('Classe Terminale D'!$B33="","",IF('Classe Terminale D'!G33="","",'Classe Terminale D'!G33))</f>
        <v/>
      </c>
      <c r="K1313" s="18" t="str">
        <f>IF('Classe Terminale D'!$B33="","",N('Classe Terminale D'!H33))</f>
        <v/>
      </c>
      <c r="L1313" s="18" t="str">
        <f>IF('Classe Terminale D'!$B33="","",N('Classe Terminale D'!I33))</f>
        <v/>
      </c>
      <c r="M1313" s="18" t="str">
        <f>IF('Classe Terminale D'!$B33="","",N('Classe Terminale D'!J33))</f>
        <v/>
      </c>
      <c r="N1313" s="18" t="str">
        <f>IF('Classe Terminale D'!$B33="","",N('Classe Terminale D'!K33))</f>
        <v/>
      </c>
      <c r="O1313" s="18" t="str">
        <f>IF('Classe Terminale D'!$B33="","",N('Classe Terminale D'!L33))</f>
        <v/>
      </c>
      <c r="P1313" s="18" t="str">
        <f>IF('Classe Terminale D'!$B33="","",N('Classe Terminale D'!M33))</f>
        <v/>
      </c>
      <c r="Q1313" s="17" t="str">
        <f>IF('Classe Terminale D'!$B33="","",IF('Classe Terminale D'!Q33="","",'Classe Terminale D'!Q33))</f>
        <v/>
      </c>
      <c r="R1313" s="18" t="str">
        <f>IF('Classe Terminale D'!$B33="","",N('Classe Terminale D'!N33))</f>
        <v/>
      </c>
      <c r="S1313" s="18" t="str">
        <f>IF('Classe Terminale D'!$B33="","",N('Classe Terminale D'!O33))</f>
        <v/>
      </c>
      <c r="T1313" s="18" t="str">
        <f>IF('Classe Terminale D'!$B33="","",N('Classe Terminale D'!P33))</f>
        <v/>
      </c>
    </row>
    <row r="1314">
      <c r="A1314" s="20" t="str">
        <f>IF('Classe Terminale D'!$B34="","",IF('Classe Terminale D'!A34="","",'Classe Terminale D'!A34))</f>
        <v/>
      </c>
      <c r="B1314" s="20" t="str">
        <f>IF('Classe Terminale D'!$B34="","",IF('Classe Terminale D'!B34="","",'Classe Terminale D'!B34))</f>
        <v/>
      </c>
      <c r="C1314" s="20" t="str">
        <f>IF('Classe Terminale D'!$B34="","",IF('Classe Terminale D'!C34="","",'Classe Terminale D'!C34))</f>
        <v/>
      </c>
      <c r="D1314" s="20" t="str">
        <f>IF($B1314="","",C1314&amp;" "&amp;B1314&amp;" - "&amp;E1314)</f>
        <v/>
      </c>
      <c r="E1314" s="21" t="str">
        <f>IF($B1314="","",Paramètres!$A$31)</f>
        <v/>
      </c>
      <c r="F1314" s="21" t="str">
        <f>IF($B1314="","",Paramètres!$B$31)</f>
        <v/>
      </c>
      <c r="G1314" s="21" t="str">
        <f>IF('Classe Terminale D'!$B34="","",IF('Classe Terminale D'!D34="","",'Classe Terminale D'!D34))</f>
        <v/>
      </c>
      <c r="H1314" s="77" t="str">
        <f>IF('Classe Terminale D'!$B34="","",IF('Classe Terminale D'!E34="","",'Classe Terminale D'!E34))</f>
        <v/>
      </c>
      <c r="I1314" s="20" t="str">
        <f>IF('Classe Terminale D'!$B34="","",IF('Classe Terminale D'!F34="","",'Classe Terminale D'!F34))</f>
        <v/>
      </c>
      <c r="J1314" s="20" t="str">
        <f>IF('Classe Terminale D'!$B34="","",IF('Classe Terminale D'!G34="","",'Classe Terminale D'!G34))</f>
        <v/>
      </c>
      <c r="K1314" s="51" t="str">
        <f>IF('Classe Terminale D'!$B34="","",N('Classe Terminale D'!H34))</f>
        <v/>
      </c>
      <c r="L1314" s="51" t="str">
        <f>IF('Classe Terminale D'!$B34="","",N('Classe Terminale D'!I34))</f>
        <v/>
      </c>
      <c r="M1314" s="51" t="str">
        <f>IF('Classe Terminale D'!$B34="","",N('Classe Terminale D'!J34))</f>
        <v/>
      </c>
      <c r="N1314" s="51" t="str">
        <f>IF('Classe Terminale D'!$B34="","",N('Classe Terminale D'!K34))</f>
        <v/>
      </c>
      <c r="O1314" s="51" t="str">
        <f>IF('Classe Terminale D'!$B34="","",N('Classe Terminale D'!L34))</f>
        <v/>
      </c>
      <c r="P1314" s="51" t="str">
        <f>IF('Classe Terminale D'!$B34="","",N('Classe Terminale D'!M34))</f>
        <v/>
      </c>
      <c r="Q1314" s="21" t="str">
        <f>IF('Classe Terminale D'!$B34="","",IF('Classe Terminale D'!Q34="","",'Classe Terminale D'!Q34))</f>
        <v/>
      </c>
      <c r="R1314" s="51" t="str">
        <f>IF('Classe Terminale D'!$B34="","",N('Classe Terminale D'!N34))</f>
        <v/>
      </c>
      <c r="S1314" s="51" t="str">
        <f>IF('Classe Terminale D'!$B34="","",N('Classe Terminale D'!O34))</f>
        <v/>
      </c>
      <c r="T1314" s="51" t="str">
        <f>IF('Classe Terminale D'!$B34="","",N('Classe Terminale D'!P34))</f>
        <v/>
      </c>
    </row>
    <row r="1315">
      <c r="A1315" s="16" t="str">
        <f>IF('Classe Terminale D'!$B35="","",IF('Classe Terminale D'!A35="","",'Classe Terminale D'!A35))</f>
        <v/>
      </c>
      <c r="B1315" s="16" t="str">
        <f>IF('Classe Terminale D'!$B35="","",IF('Classe Terminale D'!B35="","",'Classe Terminale D'!B35))</f>
        <v/>
      </c>
      <c r="C1315" s="16" t="str">
        <f>IF('Classe Terminale D'!$B35="","",IF('Classe Terminale D'!C35="","",'Classe Terminale D'!C35))</f>
        <v/>
      </c>
      <c r="D1315" s="16" t="str">
        <f>IF($B1315="","",C1315&amp;" "&amp;B1315&amp;" - "&amp;E1315)</f>
        <v/>
      </c>
      <c r="E1315" s="17" t="str">
        <f>IF($B1315="","",Paramètres!$A$31)</f>
        <v/>
      </c>
      <c r="F1315" s="17" t="str">
        <f>IF($B1315="","",Paramètres!$B$31)</f>
        <v/>
      </c>
      <c r="G1315" s="17" t="str">
        <f>IF('Classe Terminale D'!$B35="","",IF('Classe Terminale D'!D35="","",'Classe Terminale D'!D35))</f>
        <v/>
      </c>
      <c r="H1315" s="78" t="str">
        <f>IF('Classe Terminale D'!$B35="","",IF('Classe Terminale D'!E35="","",'Classe Terminale D'!E35))</f>
        <v/>
      </c>
      <c r="I1315" s="16" t="str">
        <f>IF('Classe Terminale D'!$B35="","",IF('Classe Terminale D'!F35="","",'Classe Terminale D'!F35))</f>
        <v/>
      </c>
      <c r="J1315" s="16" t="str">
        <f>IF('Classe Terminale D'!$B35="","",IF('Classe Terminale D'!G35="","",'Classe Terminale D'!G35))</f>
        <v/>
      </c>
      <c r="K1315" s="18" t="str">
        <f>IF('Classe Terminale D'!$B35="","",N('Classe Terminale D'!H35))</f>
        <v/>
      </c>
      <c r="L1315" s="18" t="str">
        <f>IF('Classe Terminale D'!$B35="","",N('Classe Terminale D'!I35))</f>
        <v/>
      </c>
      <c r="M1315" s="18" t="str">
        <f>IF('Classe Terminale D'!$B35="","",N('Classe Terminale D'!J35))</f>
        <v/>
      </c>
      <c r="N1315" s="18" t="str">
        <f>IF('Classe Terminale D'!$B35="","",N('Classe Terminale D'!K35))</f>
        <v/>
      </c>
      <c r="O1315" s="18" t="str">
        <f>IF('Classe Terminale D'!$B35="","",N('Classe Terminale D'!L35))</f>
        <v/>
      </c>
      <c r="P1315" s="18" t="str">
        <f>IF('Classe Terminale D'!$B35="","",N('Classe Terminale D'!M35))</f>
        <v/>
      </c>
      <c r="Q1315" s="17" t="str">
        <f>IF('Classe Terminale D'!$B35="","",IF('Classe Terminale D'!Q35="","",'Classe Terminale D'!Q35))</f>
        <v/>
      </c>
      <c r="R1315" s="18" t="str">
        <f>IF('Classe Terminale D'!$B35="","",N('Classe Terminale D'!N35))</f>
        <v/>
      </c>
      <c r="S1315" s="18" t="str">
        <f>IF('Classe Terminale D'!$B35="","",N('Classe Terminale D'!O35))</f>
        <v/>
      </c>
      <c r="T1315" s="18" t="str">
        <f>IF('Classe Terminale D'!$B35="","",N('Classe Terminale D'!P35))</f>
        <v/>
      </c>
    </row>
    <row r="1316">
      <c r="A1316" s="20" t="str">
        <f>IF('Classe Terminale D'!$B36="","",IF('Classe Terminale D'!A36="","",'Classe Terminale D'!A36))</f>
        <v/>
      </c>
      <c r="B1316" s="20" t="str">
        <f>IF('Classe Terminale D'!$B36="","",IF('Classe Terminale D'!B36="","",'Classe Terminale D'!B36))</f>
        <v/>
      </c>
      <c r="C1316" s="20" t="str">
        <f>IF('Classe Terminale D'!$B36="","",IF('Classe Terminale D'!C36="","",'Classe Terminale D'!C36))</f>
        <v/>
      </c>
      <c r="D1316" s="20" t="str">
        <f>IF($B1316="","",C1316&amp;" "&amp;B1316&amp;" - "&amp;E1316)</f>
        <v/>
      </c>
      <c r="E1316" s="21" t="str">
        <f>IF($B1316="","",Paramètres!$A$31)</f>
        <v/>
      </c>
      <c r="F1316" s="21" t="str">
        <f>IF($B1316="","",Paramètres!$B$31)</f>
        <v/>
      </c>
      <c r="G1316" s="21" t="str">
        <f>IF('Classe Terminale D'!$B36="","",IF('Classe Terminale D'!D36="","",'Classe Terminale D'!D36))</f>
        <v/>
      </c>
      <c r="H1316" s="77" t="str">
        <f>IF('Classe Terminale D'!$B36="","",IF('Classe Terminale D'!E36="","",'Classe Terminale D'!E36))</f>
        <v/>
      </c>
      <c r="I1316" s="20" t="str">
        <f>IF('Classe Terminale D'!$B36="","",IF('Classe Terminale D'!F36="","",'Classe Terminale D'!F36))</f>
        <v/>
      </c>
      <c r="J1316" s="20" t="str">
        <f>IF('Classe Terminale D'!$B36="","",IF('Classe Terminale D'!G36="","",'Classe Terminale D'!G36))</f>
        <v/>
      </c>
      <c r="K1316" s="51" t="str">
        <f>IF('Classe Terminale D'!$B36="","",N('Classe Terminale D'!H36))</f>
        <v/>
      </c>
      <c r="L1316" s="51" t="str">
        <f>IF('Classe Terminale D'!$B36="","",N('Classe Terminale D'!I36))</f>
        <v/>
      </c>
      <c r="M1316" s="51" t="str">
        <f>IF('Classe Terminale D'!$B36="","",N('Classe Terminale D'!J36))</f>
        <v/>
      </c>
      <c r="N1316" s="51" t="str">
        <f>IF('Classe Terminale D'!$B36="","",N('Classe Terminale D'!K36))</f>
        <v/>
      </c>
      <c r="O1316" s="51" t="str">
        <f>IF('Classe Terminale D'!$B36="","",N('Classe Terminale D'!L36))</f>
        <v/>
      </c>
      <c r="P1316" s="51" t="str">
        <f>IF('Classe Terminale D'!$B36="","",N('Classe Terminale D'!M36))</f>
        <v/>
      </c>
      <c r="Q1316" s="21" t="str">
        <f>IF('Classe Terminale D'!$B36="","",IF('Classe Terminale D'!Q36="","",'Classe Terminale D'!Q36))</f>
        <v/>
      </c>
      <c r="R1316" s="51" t="str">
        <f>IF('Classe Terminale D'!$B36="","",N('Classe Terminale D'!N36))</f>
        <v/>
      </c>
      <c r="S1316" s="51" t="str">
        <f>IF('Classe Terminale D'!$B36="","",N('Classe Terminale D'!O36))</f>
        <v/>
      </c>
      <c r="T1316" s="51" t="str">
        <f>IF('Classe Terminale D'!$B36="","",N('Classe Terminale D'!P36))</f>
        <v/>
      </c>
    </row>
    <row r="1317">
      <c r="A1317" s="16" t="str">
        <f>IF('Classe Terminale D'!$B37="","",IF('Classe Terminale D'!A37="","",'Classe Terminale D'!A37))</f>
        <v/>
      </c>
      <c r="B1317" s="16" t="str">
        <f>IF('Classe Terminale D'!$B37="","",IF('Classe Terminale D'!B37="","",'Classe Terminale D'!B37))</f>
        <v/>
      </c>
      <c r="C1317" s="16" t="str">
        <f>IF('Classe Terminale D'!$B37="","",IF('Classe Terminale D'!C37="","",'Classe Terminale D'!C37))</f>
        <v/>
      </c>
      <c r="D1317" s="16" t="str">
        <f>IF($B1317="","",C1317&amp;" "&amp;B1317&amp;" - "&amp;E1317)</f>
        <v/>
      </c>
      <c r="E1317" s="17" t="str">
        <f>IF($B1317="","",Paramètres!$A$31)</f>
        <v/>
      </c>
      <c r="F1317" s="17" t="str">
        <f>IF($B1317="","",Paramètres!$B$31)</f>
        <v/>
      </c>
      <c r="G1317" s="17" t="str">
        <f>IF('Classe Terminale D'!$B37="","",IF('Classe Terminale D'!D37="","",'Classe Terminale D'!D37))</f>
        <v/>
      </c>
      <c r="H1317" s="78" t="str">
        <f>IF('Classe Terminale D'!$B37="","",IF('Classe Terminale D'!E37="","",'Classe Terminale D'!E37))</f>
        <v/>
      </c>
      <c r="I1317" s="16" t="str">
        <f>IF('Classe Terminale D'!$B37="","",IF('Classe Terminale D'!F37="","",'Classe Terminale D'!F37))</f>
        <v/>
      </c>
      <c r="J1317" s="16" t="str">
        <f>IF('Classe Terminale D'!$B37="","",IF('Classe Terminale D'!G37="","",'Classe Terminale D'!G37))</f>
        <v/>
      </c>
      <c r="K1317" s="18" t="str">
        <f>IF('Classe Terminale D'!$B37="","",N('Classe Terminale D'!H37))</f>
        <v/>
      </c>
      <c r="L1317" s="18" t="str">
        <f>IF('Classe Terminale D'!$B37="","",N('Classe Terminale D'!I37))</f>
        <v/>
      </c>
      <c r="M1317" s="18" t="str">
        <f>IF('Classe Terminale D'!$B37="","",N('Classe Terminale D'!J37))</f>
        <v/>
      </c>
      <c r="N1317" s="18" t="str">
        <f>IF('Classe Terminale D'!$B37="","",N('Classe Terminale D'!K37))</f>
        <v/>
      </c>
      <c r="O1317" s="18" t="str">
        <f>IF('Classe Terminale D'!$B37="","",N('Classe Terminale D'!L37))</f>
        <v/>
      </c>
      <c r="P1317" s="18" t="str">
        <f>IF('Classe Terminale D'!$B37="","",N('Classe Terminale D'!M37))</f>
        <v/>
      </c>
      <c r="Q1317" s="17" t="str">
        <f>IF('Classe Terminale D'!$B37="","",IF('Classe Terminale D'!Q37="","",'Classe Terminale D'!Q37))</f>
        <v/>
      </c>
      <c r="R1317" s="18" t="str">
        <f>IF('Classe Terminale D'!$B37="","",N('Classe Terminale D'!N37))</f>
        <v/>
      </c>
      <c r="S1317" s="18" t="str">
        <f>IF('Classe Terminale D'!$B37="","",N('Classe Terminale D'!O37))</f>
        <v/>
      </c>
      <c r="T1317" s="18" t="str">
        <f>IF('Classe Terminale D'!$B37="","",N('Classe Terminale D'!P37))</f>
        <v/>
      </c>
    </row>
    <row r="1318">
      <c r="A1318" s="20" t="str">
        <f>IF('Classe Terminale D'!$B38="","",IF('Classe Terminale D'!A38="","",'Classe Terminale D'!A38))</f>
        <v/>
      </c>
      <c r="B1318" s="20" t="str">
        <f>IF('Classe Terminale D'!$B38="","",IF('Classe Terminale D'!B38="","",'Classe Terminale D'!B38))</f>
        <v/>
      </c>
      <c r="C1318" s="20" t="str">
        <f>IF('Classe Terminale D'!$B38="","",IF('Classe Terminale D'!C38="","",'Classe Terminale D'!C38))</f>
        <v/>
      </c>
      <c r="D1318" s="20" t="str">
        <f>IF($B1318="","",C1318&amp;" "&amp;B1318&amp;" - "&amp;E1318)</f>
        <v/>
      </c>
      <c r="E1318" s="21" t="str">
        <f>IF($B1318="","",Paramètres!$A$31)</f>
        <v/>
      </c>
      <c r="F1318" s="21" t="str">
        <f>IF($B1318="","",Paramètres!$B$31)</f>
        <v/>
      </c>
      <c r="G1318" s="21" t="str">
        <f>IF('Classe Terminale D'!$B38="","",IF('Classe Terminale D'!D38="","",'Classe Terminale D'!D38))</f>
        <v/>
      </c>
      <c r="H1318" s="77" t="str">
        <f>IF('Classe Terminale D'!$B38="","",IF('Classe Terminale D'!E38="","",'Classe Terminale D'!E38))</f>
        <v/>
      </c>
      <c r="I1318" s="20" t="str">
        <f>IF('Classe Terminale D'!$B38="","",IF('Classe Terminale D'!F38="","",'Classe Terminale D'!F38))</f>
        <v/>
      </c>
      <c r="J1318" s="20" t="str">
        <f>IF('Classe Terminale D'!$B38="","",IF('Classe Terminale D'!G38="","",'Classe Terminale D'!G38))</f>
        <v/>
      </c>
      <c r="K1318" s="51" t="str">
        <f>IF('Classe Terminale D'!$B38="","",N('Classe Terminale D'!H38))</f>
        <v/>
      </c>
      <c r="L1318" s="51" t="str">
        <f>IF('Classe Terminale D'!$B38="","",N('Classe Terminale D'!I38))</f>
        <v/>
      </c>
      <c r="M1318" s="51" t="str">
        <f>IF('Classe Terminale D'!$B38="","",N('Classe Terminale D'!J38))</f>
        <v/>
      </c>
      <c r="N1318" s="51" t="str">
        <f>IF('Classe Terminale D'!$B38="","",N('Classe Terminale D'!K38))</f>
        <v/>
      </c>
      <c r="O1318" s="51" t="str">
        <f>IF('Classe Terminale D'!$B38="","",N('Classe Terminale D'!L38))</f>
        <v/>
      </c>
      <c r="P1318" s="51" t="str">
        <f>IF('Classe Terminale D'!$B38="","",N('Classe Terminale D'!M38))</f>
        <v/>
      </c>
      <c r="Q1318" s="21" t="str">
        <f>IF('Classe Terminale D'!$B38="","",IF('Classe Terminale D'!Q38="","",'Classe Terminale D'!Q38))</f>
        <v/>
      </c>
      <c r="R1318" s="51" t="str">
        <f>IF('Classe Terminale D'!$B38="","",N('Classe Terminale D'!N38))</f>
        <v/>
      </c>
      <c r="S1318" s="51" t="str">
        <f>IF('Classe Terminale D'!$B38="","",N('Classe Terminale D'!O38))</f>
        <v/>
      </c>
      <c r="T1318" s="51" t="str">
        <f>IF('Classe Terminale D'!$B38="","",N('Classe Terminale D'!P38))</f>
        <v/>
      </c>
    </row>
    <row r="1319">
      <c r="A1319" s="16" t="str">
        <f>IF('Classe Terminale D'!$B39="","",IF('Classe Terminale D'!A39="","",'Classe Terminale D'!A39))</f>
        <v/>
      </c>
      <c r="B1319" s="16" t="str">
        <f>IF('Classe Terminale D'!$B39="","",IF('Classe Terminale D'!B39="","",'Classe Terminale D'!B39))</f>
        <v/>
      </c>
      <c r="C1319" s="16" t="str">
        <f>IF('Classe Terminale D'!$B39="","",IF('Classe Terminale D'!C39="","",'Classe Terminale D'!C39))</f>
        <v/>
      </c>
      <c r="D1319" s="16" t="str">
        <f>IF($B1319="","",C1319&amp;" "&amp;B1319&amp;" - "&amp;E1319)</f>
        <v/>
      </c>
      <c r="E1319" s="17" t="str">
        <f>IF($B1319="","",Paramètres!$A$31)</f>
        <v/>
      </c>
      <c r="F1319" s="17" t="str">
        <f>IF($B1319="","",Paramètres!$B$31)</f>
        <v/>
      </c>
      <c r="G1319" s="17" t="str">
        <f>IF('Classe Terminale D'!$B39="","",IF('Classe Terminale D'!D39="","",'Classe Terminale D'!D39))</f>
        <v/>
      </c>
      <c r="H1319" s="78" t="str">
        <f>IF('Classe Terminale D'!$B39="","",IF('Classe Terminale D'!E39="","",'Classe Terminale D'!E39))</f>
        <v/>
      </c>
      <c r="I1319" s="16" t="str">
        <f>IF('Classe Terminale D'!$B39="","",IF('Classe Terminale D'!F39="","",'Classe Terminale D'!F39))</f>
        <v/>
      </c>
      <c r="J1319" s="16" t="str">
        <f>IF('Classe Terminale D'!$B39="","",IF('Classe Terminale D'!G39="","",'Classe Terminale D'!G39))</f>
        <v/>
      </c>
      <c r="K1319" s="18" t="str">
        <f>IF('Classe Terminale D'!$B39="","",N('Classe Terminale D'!H39))</f>
        <v/>
      </c>
      <c r="L1319" s="18" t="str">
        <f>IF('Classe Terminale D'!$B39="","",N('Classe Terminale D'!I39))</f>
        <v/>
      </c>
      <c r="M1319" s="18" t="str">
        <f>IF('Classe Terminale D'!$B39="","",N('Classe Terminale D'!J39))</f>
        <v/>
      </c>
      <c r="N1319" s="18" t="str">
        <f>IF('Classe Terminale D'!$B39="","",N('Classe Terminale D'!K39))</f>
        <v/>
      </c>
      <c r="O1319" s="18" t="str">
        <f>IF('Classe Terminale D'!$B39="","",N('Classe Terminale D'!L39))</f>
        <v/>
      </c>
      <c r="P1319" s="18" t="str">
        <f>IF('Classe Terminale D'!$B39="","",N('Classe Terminale D'!M39))</f>
        <v/>
      </c>
      <c r="Q1319" s="17" t="str">
        <f>IF('Classe Terminale D'!$B39="","",IF('Classe Terminale D'!Q39="","",'Classe Terminale D'!Q39))</f>
        <v/>
      </c>
      <c r="R1319" s="18" t="str">
        <f>IF('Classe Terminale D'!$B39="","",N('Classe Terminale D'!N39))</f>
        <v/>
      </c>
      <c r="S1319" s="18" t="str">
        <f>IF('Classe Terminale D'!$B39="","",N('Classe Terminale D'!O39))</f>
        <v/>
      </c>
      <c r="T1319" s="18" t="str">
        <f>IF('Classe Terminale D'!$B39="","",N('Classe Terminale D'!P39))</f>
        <v/>
      </c>
    </row>
    <row r="1320">
      <c r="A1320" s="20" t="str">
        <f>IF('Classe Terminale D'!$B40="","",IF('Classe Terminale D'!A40="","",'Classe Terminale D'!A40))</f>
        <v/>
      </c>
      <c r="B1320" s="20" t="str">
        <f>IF('Classe Terminale D'!$B40="","",IF('Classe Terminale D'!B40="","",'Classe Terminale D'!B40))</f>
        <v/>
      </c>
      <c r="C1320" s="20" t="str">
        <f>IF('Classe Terminale D'!$B40="","",IF('Classe Terminale D'!C40="","",'Classe Terminale D'!C40))</f>
        <v/>
      </c>
      <c r="D1320" s="20" t="str">
        <f>IF($B1320="","",C1320&amp;" "&amp;B1320&amp;" - "&amp;E1320)</f>
        <v/>
      </c>
      <c r="E1320" s="21" t="str">
        <f>IF($B1320="","",Paramètres!$A$31)</f>
        <v/>
      </c>
      <c r="F1320" s="21" t="str">
        <f>IF($B1320="","",Paramètres!$B$31)</f>
        <v/>
      </c>
      <c r="G1320" s="21" t="str">
        <f>IF('Classe Terminale D'!$B40="","",IF('Classe Terminale D'!D40="","",'Classe Terminale D'!D40))</f>
        <v/>
      </c>
      <c r="H1320" s="77" t="str">
        <f>IF('Classe Terminale D'!$B40="","",IF('Classe Terminale D'!E40="","",'Classe Terminale D'!E40))</f>
        <v/>
      </c>
      <c r="I1320" s="20" t="str">
        <f>IF('Classe Terminale D'!$B40="","",IF('Classe Terminale D'!F40="","",'Classe Terminale D'!F40))</f>
        <v/>
      </c>
      <c r="J1320" s="20" t="str">
        <f>IF('Classe Terminale D'!$B40="","",IF('Classe Terminale D'!G40="","",'Classe Terminale D'!G40))</f>
        <v/>
      </c>
      <c r="K1320" s="51" t="str">
        <f>IF('Classe Terminale D'!$B40="","",N('Classe Terminale D'!H40))</f>
        <v/>
      </c>
      <c r="L1320" s="51" t="str">
        <f>IF('Classe Terminale D'!$B40="","",N('Classe Terminale D'!I40))</f>
        <v/>
      </c>
      <c r="M1320" s="51" t="str">
        <f>IF('Classe Terminale D'!$B40="","",N('Classe Terminale D'!J40))</f>
        <v/>
      </c>
      <c r="N1320" s="51" t="str">
        <f>IF('Classe Terminale D'!$B40="","",N('Classe Terminale D'!K40))</f>
        <v/>
      </c>
      <c r="O1320" s="51" t="str">
        <f>IF('Classe Terminale D'!$B40="","",N('Classe Terminale D'!L40))</f>
        <v/>
      </c>
      <c r="P1320" s="51" t="str">
        <f>IF('Classe Terminale D'!$B40="","",N('Classe Terminale D'!M40))</f>
        <v/>
      </c>
      <c r="Q1320" s="21" t="str">
        <f>IF('Classe Terminale D'!$B40="","",IF('Classe Terminale D'!Q40="","",'Classe Terminale D'!Q40))</f>
        <v/>
      </c>
      <c r="R1320" s="51" t="str">
        <f>IF('Classe Terminale D'!$B40="","",N('Classe Terminale D'!N40))</f>
        <v/>
      </c>
      <c r="S1320" s="51" t="str">
        <f>IF('Classe Terminale D'!$B40="","",N('Classe Terminale D'!O40))</f>
        <v/>
      </c>
      <c r="T1320" s="51" t="str">
        <f>IF('Classe Terminale D'!$B40="","",N('Classe Terminale D'!P40))</f>
        <v/>
      </c>
    </row>
    <row r="1321">
      <c r="A1321" s="16" t="str">
        <f>IF('Classe Terminale D'!$B41="","",IF('Classe Terminale D'!A41="","",'Classe Terminale D'!A41))</f>
        <v/>
      </c>
      <c r="B1321" s="16" t="str">
        <f>IF('Classe Terminale D'!$B41="","",IF('Classe Terminale D'!B41="","",'Classe Terminale D'!B41))</f>
        <v/>
      </c>
      <c r="C1321" s="16" t="str">
        <f>IF('Classe Terminale D'!$B41="","",IF('Classe Terminale D'!C41="","",'Classe Terminale D'!C41))</f>
        <v/>
      </c>
      <c r="D1321" s="16" t="str">
        <f>IF($B1321="","",C1321&amp;" "&amp;B1321&amp;" - "&amp;E1321)</f>
        <v/>
      </c>
      <c r="E1321" s="17" t="str">
        <f>IF($B1321="","",Paramètres!$A$31)</f>
        <v/>
      </c>
      <c r="F1321" s="17" t="str">
        <f>IF($B1321="","",Paramètres!$B$31)</f>
        <v/>
      </c>
      <c r="G1321" s="17" t="str">
        <f>IF('Classe Terminale D'!$B41="","",IF('Classe Terminale D'!D41="","",'Classe Terminale D'!D41))</f>
        <v/>
      </c>
      <c r="H1321" s="78" t="str">
        <f>IF('Classe Terminale D'!$B41="","",IF('Classe Terminale D'!E41="","",'Classe Terminale D'!E41))</f>
        <v/>
      </c>
      <c r="I1321" s="16" t="str">
        <f>IF('Classe Terminale D'!$B41="","",IF('Classe Terminale D'!F41="","",'Classe Terminale D'!F41))</f>
        <v/>
      </c>
      <c r="J1321" s="16" t="str">
        <f>IF('Classe Terminale D'!$B41="","",IF('Classe Terminale D'!G41="","",'Classe Terminale D'!G41))</f>
        <v/>
      </c>
      <c r="K1321" s="18" t="str">
        <f>IF('Classe Terminale D'!$B41="","",N('Classe Terminale D'!H41))</f>
        <v/>
      </c>
      <c r="L1321" s="18" t="str">
        <f>IF('Classe Terminale D'!$B41="","",N('Classe Terminale D'!I41))</f>
        <v/>
      </c>
      <c r="M1321" s="18" t="str">
        <f>IF('Classe Terminale D'!$B41="","",N('Classe Terminale D'!J41))</f>
        <v/>
      </c>
      <c r="N1321" s="18" t="str">
        <f>IF('Classe Terminale D'!$B41="","",N('Classe Terminale D'!K41))</f>
        <v/>
      </c>
      <c r="O1321" s="18" t="str">
        <f>IF('Classe Terminale D'!$B41="","",N('Classe Terminale D'!L41))</f>
        <v/>
      </c>
      <c r="P1321" s="18" t="str">
        <f>IF('Classe Terminale D'!$B41="","",N('Classe Terminale D'!M41))</f>
        <v/>
      </c>
      <c r="Q1321" s="17" t="str">
        <f>IF('Classe Terminale D'!$B41="","",IF('Classe Terminale D'!Q41="","",'Classe Terminale D'!Q41))</f>
        <v/>
      </c>
      <c r="R1321" s="18" t="str">
        <f>IF('Classe Terminale D'!$B41="","",N('Classe Terminale D'!N41))</f>
        <v/>
      </c>
      <c r="S1321" s="18" t="str">
        <f>IF('Classe Terminale D'!$B41="","",N('Classe Terminale D'!O41))</f>
        <v/>
      </c>
      <c r="T1321" s="18" t="str">
        <f>IF('Classe Terminale D'!$B41="","",N('Classe Terminale D'!P41))</f>
        <v/>
      </c>
    </row>
    <row r="1322">
      <c r="A1322" s="20" t="str">
        <f>IF('Classe Terminale D'!$B42="","",IF('Classe Terminale D'!A42="","",'Classe Terminale D'!A42))</f>
        <v/>
      </c>
      <c r="B1322" s="20" t="str">
        <f>IF('Classe Terminale D'!$B42="","",IF('Classe Terminale D'!B42="","",'Classe Terminale D'!B42))</f>
        <v/>
      </c>
      <c r="C1322" s="20" t="str">
        <f>IF('Classe Terminale D'!$B42="","",IF('Classe Terminale D'!C42="","",'Classe Terminale D'!C42))</f>
        <v/>
      </c>
      <c r="D1322" s="20" t="str">
        <f>IF($B1322="","",C1322&amp;" "&amp;B1322&amp;" - "&amp;E1322)</f>
        <v/>
      </c>
      <c r="E1322" s="21" t="str">
        <f>IF($B1322="","",Paramètres!$A$31)</f>
        <v/>
      </c>
      <c r="F1322" s="21" t="str">
        <f>IF($B1322="","",Paramètres!$B$31)</f>
        <v/>
      </c>
      <c r="G1322" s="21" t="str">
        <f>IF('Classe Terminale D'!$B42="","",IF('Classe Terminale D'!D42="","",'Classe Terminale D'!D42))</f>
        <v/>
      </c>
      <c r="H1322" s="77" t="str">
        <f>IF('Classe Terminale D'!$B42="","",IF('Classe Terminale D'!E42="","",'Classe Terminale D'!E42))</f>
        <v/>
      </c>
      <c r="I1322" s="20" t="str">
        <f>IF('Classe Terminale D'!$B42="","",IF('Classe Terminale D'!F42="","",'Classe Terminale D'!F42))</f>
        <v/>
      </c>
      <c r="J1322" s="20" t="str">
        <f>IF('Classe Terminale D'!$B42="","",IF('Classe Terminale D'!G42="","",'Classe Terminale D'!G42))</f>
        <v/>
      </c>
      <c r="K1322" s="51" t="str">
        <f>IF('Classe Terminale D'!$B42="","",N('Classe Terminale D'!H42))</f>
        <v/>
      </c>
      <c r="L1322" s="51" t="str">
        <f>IF('Classe Terminale D'!$B42="","",N('Classe Terminale D'!I42))</f>
        <v/>
      </c>
      <c r="M1322" s="51" t="str">
        <f>IF('Classe Terminale D'!$B42="","",N('Classe Terminale D'!J42))</f>
        <v/>
      </c>
      <c r="N1322" s="51" t="str">
        <f>IF('Classe Terminale D'!$B42="","",N('Classe Terminale D'!K42))</f>
        <v/>
      </c>
      <c r="O1322" s="51" t="str">
        <f>IF('Classe Terminale D'!$B42="","",N('Classe Terminale D'!L42))</f>
        <v/>
      </c>
      <c r="P1322" s="51" t="str">
        <f>IF('Classe Terminale D'!$B42="","",N('Classe Terminale D'!M42))</f>
        <v/>
      </c>
      <c r="Q1322" s="21" t="str">
        <f>IF('Classe Terminale D'!$B42="","",IF('Classe Terminale D'!Q42="","",'Classe Terminale D'!Q42))</f>
        <v/>
      </c>
      <c r="R1322" s="51" t="str">
        <f>IF('Classe Terminale D'!$B42="","",N('Classe Terminale D'!N42))</f>
        <v/>
      </c>
      <c r="S1322" s="51" t="str">
        <f>IF('Classe Terminale D'!$B42="","",N('Classe Terminale D'!O42))</f>
        <v/>
      </c>
      <c r="T1322" s="51" t="str">
        <f>IF('Classe Terminale D'!$B42="","",N('Classe Terminale D'!P42))</f>
        <v/>
      </c>
    </row>
    <row r="1323">
      <c r="A1323" s="16" t="str">
        <f>IF('Classe Terminale D'!$B43="","",IF('Classe Terminale D'!A43="","",'Classe Terminale D'!A43))</f>
        <v/>
      </c>
      <c r="B1323" s="16" t="str">
        <f>IF('Classe Terminale D'!$B43="","",IF('Classe Terminale D'!B43="","",'Classe Terminale D'!B43))</f>
        <v/>
      </c>
      <c r="C1323" s="16" t="str">
        <f>IF('Classe Terminale D'!$B43="","",IF('Classe Terminale D'!C43="","",'Classe Terminale D'!C43))</f>
        <v/>
      </c>
      <c r="D1323" s="16" t="str">
        <f>IF($B1323="","",C1323&amp;" "&amp;B1323&amp;" - "&amp;E1323)</f>
        <v/>
      </c>
      <c r="E1323" s="17" t="str">
        <f>IF($B1323="","",Paramètres!$A$31)</f>
        <v/>
      </c>
      <c r="F1323" s="17" t="str">
        <f>IF($B1323="","",Paramètres!$B$31)</f>
        <v/>
      </c>
      <c r="G1323" s="17" t="str">
        <f>IF('Classe Terminale D'!$B43="","",IF('Classe Terminale D'!D43="","",'Classe Terminale D'!D43))</f>
        <v/>
      </c>
      <c r="H1323" s="78" t="str">
        <f>IF('Classe Terminale D'!$B43="","",IF('Classe Terminale D'!E43="","",'Classe Terminale D'!E43))</f>
        <v/>
      </c>
      <c r="I1323" s="16" t="str">
        <f>IF('Classe Terminale D'!$B43="","",IF('Classe Terminale D'!F43="","",'Classe Terminale D'!F43))</f>
        <v/>
      </c>
      <c r="J1323" s="16" t="str">
        <f>IF('Classe Terminale D'!$B43="","",IF('Classe Terminale D'!G43="","",'Classe Terminale D'!G43))</f>
        <v/>
      </c>
      <c r="K1323" s="18" t="str">
        <f>IF('Classe Terminale D'!$B43="","",N('Classe Terminale D'!H43))</f>
        <v/>
      </c>
      <c r="L1323" s="18" t="str">
        <f>IF('Classe Terminale D'!$B43="","",N('Classe Terminale D'!I43))</f>
        <v/>
      </c>
      <c r="M1323" s="18" t="str">
        <f>IF('Classe Terminale D'!$B43="","",N('Classe Terminale D'!J43))</f>
        <v/>
      </c>
      <c r="N1323" s="18" t="str">
        <f>IF('Classe Terminale D'!$B43="","",N('Classe Terminale D'!K43))</f>
        <v/>
      </c>
      <c r="O1323" s="18" t="str">
        <f>IF('Classe Terminale D'!$B43="","",N('Classe Terminale D'!L43))</f>
        <v/>
      </c>
      <c r="P1323" s="18" t="str">
        <f>IF('Classe Terminale D'!$B43="","",N('Classe Terminale D'!M43))</f>
        <v/>
      </c>
      <c r="Q1323" s="17" t="str">
        <f>IF('Classe Terminale D'!$B43="","",IF('Classe Terminale D'!Q43="","",'Classe Terminale D'!Q43))</f>
        <v/>
      </c>
      <c r="R1323" s="18" t="str">
        <f>IF('Classe Terminale D'!$B43="","",N('Classe Terminale D'!N43))</f>
        <v/>
      </c>
      <c r="S1323" s="18" t="str">
        <f>IF('Classe Terminale D'!$B43="","",N('Classe Terminale D'!O43))</f>
        <v/>
      </c>
      <c r="T1323" s="18" t="str">
        <f>IF('Classe Terminale D'!$B43="","",N('Classe Terminale D'!P43))</f>
        <v/>
      </c>
    </row>
    <row r="1324">
      <c r="A1324" s="20" t="str">
        <f>IF('Classe Terminale D'!$B44="","",IF('Classe Terminale D'!A44="","",'Classe Terminale D'!A44))</f>
        <v/>
      </c>
      <c r="B1324" s="20" t="str">
        <f>IF('Classe Terminale D'!$B44="","",IF('Classe Terminale D'!B44="","",'Classe Terminale D'!B44))</f>
        <v/>
      </c>
      <c r="C1324" s="20" t="str">
        <f>IF('Classe Terminale D'!$B44="","",IF('Classe Terminale D'!C44="","",'Classe Terminale D'!C44))</f>
        <v/>
      </c>
      <c r="D1324" s="20" t="str">
        <f>IF($B1324="","",C1324&amp;" "&amp;B1324&amp;" - "&amp;E1324)</f>
        <v/>
      </c>
      <c r="E1324" s="21" t="str">
        <f>IF($B1324="","",Paramètres!$A$31)</f>
        <v/>
      </c>
      <c r="F1324" s="21" t="str">
        <f>IF($B1324="","",Paramètres!$B$31)</f>
        <v/>
      </c>
      <c r="G1324" s="21" t="str">
        <f>IF('Classe Terminale D'!$B44="","",IF('Classe Terminale D'!D44="","",'Classe Terminale D'!D44))</f>
        <v/>
      </c>
      <c r="H1324" s="77" t="str">
        <f>IF('Classe Terminale D'!$B44="","",IF('Classe Terminale D'!E44="","",'Classe Terminale D'!E44))</f>
        <v/>
      </c>
      <c r="I1324" s="20" t="str">
        <f>IF('Classe Terminale D'!$B44="","",IF('Classe Terminale D'!F44="","",'Classe Terminale D'!F44))</f>
        <v/>
      </c>
      <c r="J1324" s="20" t="str">
        <f>IF('Classe Terminale D'!$B44="","",IF('Classe Terminale D'!G44="","",'Classe Terminale D'!G44))</f>
        <v/>
      </c>
      <c r="K1324" s="51" t="str">
        <f>IF('Classe Terminale D'!$B44="","",N('Classe Terminale D'!H44))</f>
        <v/>
      </c>
      <c r="L1324" s="51" t="str">
        <f>IF('Classe Terminale D'!$B44="","",N('Classe Terminale D'!I44))</f>
        <v/>
      </c>
      <c r="M1324" s="51" t="str">
        <f>IF('Classe Terminale D'!$B44="","",N('Classe Terminale D'!J44))</f>
        <v/>
      </c>
      <c r="N1324" s="51" t="str">
        <f>IF('Classe Terminale D'!$B44="","",N('Classe Terminale D'!K44))</f>
        <v/>
      </c>
      <c r="O1324" s="51" t="str">
        <f>IF('Classe Terminale D'!$B44="","",N('Classe Terminale D'!L44))</f>
        <v/>
      </c>
      <c r="P1324" s="51" t="str">
        <f>IF('Classe Terminale D'!$B44="","",N('Classe Terminale D'!M44))</f>
        <v/>
      </c>
      <c r="Q1324" s="21" t="str">
        <f>IF('Classe Terminale D'!$B44="","",IF('Classe Terminale D'!Q44="","",'Classe Terminale D'!Q44))</f>
        <v/>
      </c>
      <c r="R1324" s="51" t="str">
        <f>IF('Classe Terminale D'!$B44="","",N('Classe Terminale D'!N44))</f>
        <v/>
      </c>
      <c r="S1324" s="51" t="str">
        <f>IF('Classe Terminale D'!$B44="","",N('Classe Terminale D'!O44))</f>
        <v/>
      </c>
      <c r="T1324" s="51" t="str">
        <f>IF('Classe Terminale D'!$B44="","",N('Classe Terminale D'!P44))</f>
        <v/>
      </c>
    </row>
    <row r="1325">
      <c r="A1325" s="16" t="str">
        <f>IF('Classe Terminale D'!$B45="","",IF('Classe Terminale D'!A45="","",'Classe Terminale D'!A45))</f>
        <v/>
      </c>
      <c r="B1325" s="16" t="str">
        <f>IF('Classe Terminale D'!$B45="","",IF('Classe Terminale D'!B45="","",'Classe Terminale D'!B45))</f>
        <v/>
      </c>
      <c r="C1325" s="16" t="str">
        <f>IF('Classe Terminale D'!$B45="","",IF('Classe Terminale D'!C45="","",'Classe Terminale D'!C45))</f>
        <v/>
      </c>
      <c r="D1325" s="16" t="str">
        <f>IF($B1325="","",C1325&amp;" "&amp;B1325&amp;" - "&amp;E1325)</f>
        <v/>
      </c>
      <c r="E1325" s="17" t="str">
        <f>IF($B1325="","",Paramètres!$A$31)</f>
        <v/>
      </c>
      <c r="F1325" s="17" t="str">
        <f>IF($B1325="","",Paramètres!$B$31)</f>
        <v/>
      </c>
      <c r="G1325" s="17" t="str">
        <f>IF('Classe Terminale D'!$B45="","",IF('Classe Terminale D'!D45="","",'Classe Terminale D'!D45))</f>
        <v/>
      </c>
      <c r="H1325" s="78" t="str">
        <f>IF('Classe Terminale D'!$B45="","",IF('Classe Terminale D'!E45="","",'Classe Terminale D'!E45))</f>
        <v/>
      </c>
      <c r="I1325" s="16" t="str">
        <f>IF('Classe Terminale D'!$B45="","",IF('Classe Terminale D'!F45="","",'Classe Terminale D'!F45))</f>
        <v/>
      </c>
      <c r="J1325" s="16" t="str">
        <f>IF('Classe Terminale D'!$B45="","",IF('Classe Terminale D'!G45="","",'Classe Terminale D'!G45))</f>
        <v/>
      </c>
      <c r="K1325" s="18" t="str">
        <f>IF('Classe Terminale D'!$B45="","",N('Classe Terminale D'!H45))</f>
        <v/>
      </c>
      <c r="L1325" s="18" t="str">
        <f>IF('Classe Terminale D'!$B45="","",N('Classe Terminale D'!I45))</f>
        <v/>
      </c>
      <c r="M1325" s="18" t="str">
        <f>IF('Classe Terminale D'!$B45="","",N('Classe Terminale D'!J45))</f>
        <v/>
      </c>
      <c r="N1325" s="18" t="str">
        <f>IF('Classe Terminale D'!$B45="","",N('Classe Terminale D'!K45))</f>
        <v/>
      </c>
      <c r="O1325" s="18" t="str">
        <f>IF('Classe Terminale D'!$B45="","",N('Classe Terminale D'!L45))</f>
        <v/>
      </c>
      <c r="P1325" s="18" t="str">
        <f>IF('Classe Terminale D'!$B45="","",N('Classe Terminale D'!M45))</f>
        <v/>
      </c>
      <c r="Q1325" s="17" t="str">
        <f>IF('Classe Terminale D'!$B45="","",IF('Classe Terminale D'!Q45="","",'Classe Terminale D'!Q45))</f>
        <v/>
      </c>
      <c r="R1325" s="18" t="str">
        <f>IF('Classe Terminale D'!$B45="","",N('Classe Terminale D'!N45))</f>
        <v/>
      </c>
      <c r="S1325" s="18" t="str">
        <f>IF('Classe Terminale D'!$B45="","",N('Classe Terminale D'!O45))</f>
        <v/>
      </c>
      <c r="T1325" s="18" t="str">
        <f>IF('Classe Terminale D'!$B45="","",N('Classe Terminale D'!P45))</f>
        <v/>
      </c>
    </row>
    <row r="1326">
      <c r="A1326" s="20" t="str">
        <f>IF('Classe Terminale D'!$B46="","",IF('Classe Terminale D'!A46="","",'Classe Terminale D'!A46))</f>
        <v/>
      </c>
      <c r="B1326" s="20" t="str">
        <f>IF('Classe Terminale D'!$B46="","",IF('Classe Terminale D'!B46="","",'Classe Terminale D'!B46))</f>
        <v/>
      </c>
      <c r="C1326" s="20" t="str">
        <f>IF('Classe Terminale D'!$B46="","",IF('Classe Terminale D'!C46="","",'Classe Terminale D'!C46))</f>
        <v/>
      </c>
      <c r="D1326" s="20" t="str">
        <f>IF($B1326="","",C1326&amp;" "&amp;B1326&amp;" - "&amp;E1326)</f>
        <v/>
      </c>
      <c r="E1326" s="21" t="str">
        <f>IF($B1326="","",Paramètres!$A$31)</f>
        <v/>
      </c>
      <c r="F1326" s="21" t="str">
        <f>IF($B1326="","",Paramètres!$B$31)</f>
        <v/>
      </c>
      <c r="G1326" s="21" t="str">
        <f>IF('Classe Terminale D'!$B46="","",IF('Classe Terminale D'!D46="","",'Classe Terminale D'!D46))</f>
        <v/>
      </c>
      <c r="H1326" s="77" t="str">
        <f>IF('Classe Terminale D'!$B46="","",IF('Classe Terminale D'!E46="","",'Classe Terminale D'!E46))</f>
        <v/>
      </c>
      <c r="I1326" s="20" t="str">
        <f>IF('Classe Terminale D'!$B46="","",IF('Classe Terminale D'!F46="","",'Classe Terminale D'!F46))</f>
        <v/>
      </c>
      <c r="J1326" s="20" t="str">
        <f>IF('Classe Terminale D'!$B46="","",IF('Classe Terminale D'!G46="","",'Classe Terminale D'!G46))</f>
        <v/>
      </c>
      <c r="K1326" s="51" t="str">
        <f>IF('Classe Terminale D'!$B46="","",N('Classe Terminale D'!H46))</f>
        <v/>
      </c>
      <c r="L1326" s="51" t="str">
        <f>IF('Classe Terminale D'!$B46="","",N('Classe Terminale D'!I46))</f>
        <v/>
      </c>
      <c r="M1326" s="51" t="str">
        <f>IF('Classe Terminale D'!$B46="","",N('Classe Terminale D'!J46))</f>
        <v/>
      </c>
      <c r="N1326" s="51" t="str">
        <f>IF('Classe Terminale D'!$B46="","",N('Classe Terminale D'!K46))</f>
        <v/>
      </c>
      <c r="O1326" s="51" t="str">
        <f>IF('Classe Terminale D'!$B46="","",N('Classe Terminale D'!L46))</f>
        <v/>
      </c>
      <c r="P1326" s="51" t="str">
        <f>IF('Classe Terminale D'!$B46="","",N('Classe Terminale D'!M46))</f>
        <v/>
      </c>
      <c r="Q1326" s="21" t="str">
        <f>IF('Classe Terminale D'!$B46="","",IF('Classe Terminale D'!Q46="","",'Classe Terminale D'!Q46))</f>
        <v/>
      </c>
      <c r="R1326" s="51" t="str">
        <f>IF('Classe Terminale D'!$B46="","",N('Classe Terminale D'!N46))</f>
        <v/>
      </c>
      <c r="S1326" s="51" t="str">
        <f>IF('Classe Terminale D'!$B46="","",N('Classe Terminale D'!O46))</f>
        <v/>
      </c>
      <c r="T1326" s="51" t="str">
        <f>IF('Classe Terminale D'!$B46="","",N('Classe Terminale D'!P46))</f>
        <v/>
      </c>
    </row>
    <row r="1327">
      <c r="A1327" s="16" t="str">
        <f>IF('Classe Terminale D'!$B47="","",IF('Classe Terminale D'!A47="","",'Classe Terminale D'!A47))</f>
        <v/>
      </c>
      <c r="B1327" s="16" t="str">
        <f>IF('Classe Terminale D'!$B47="","",IF('Classe Terminale D'!B47="","",'Classe Terminale D'!B47))</f>
        <v/>
      </c>
      <c r="C1327" s="16" t="str">
        <f>IF('Classe Terminale D'!$B47="","",IF('Classe Terminale D'!C47="","",'Classe Terminale D'!C47))</f>
        <v/>
      </c>
      <c r="D1327" s="16" t="str">
        <f>IF($B1327="","",C1327&amp;" "&amp;B1327&amp;" - "&amp;E1327)</f>
        <v/>
      </c>
      <c r="E1327" s="17" t="str">
        <f>IF($B1327="","",Paramètres!$A$31)</f>
        <v/>
      </c>
      <c r="F1327" s="17" t="str">
        <f>IF($B1327="","",Paramètres!$B$31)</f>
        <v/>
      </c>
      <c r="G1327" s="17" t="str">
        <f>IF('Classe Terminale D'!$B47="","",IF('Classe Terminale D'!D47="","",'Classe Terminale D'!D47))</f>
        <v/>
      </c>
      <c r="H1327" s="78" t="str">
        <f>IF('Classe Terminale D'!$B47="","",IF('Classe Terminale D'!E47="","",'Classe Terminale D'!E47))</f>
        <v/>
      </c>
      <c r="I1327" s="16" t="str">
        <f>IF('Classe Terminale D'!$B47="","",IF('Classe Terminale D'!F47="","",'Classe Terminale D'!F47))</f>
        <v/>
      </c>
      <c r="J1327" s="16" t="str">
        <f>IF('Classe Terminale D'!$B47="","",IF('Classe Terminale D'!G47="","",'Classe Terminale D'!G47))</f>
        <v/>
      </c>
      <c r="K1327" s="18" t="str">
        <f>IF('Classe Terminale D'!$B47="","",N('Classe Terminale D'!H47))</f>
        <v/>
      </c>
      <c r="L1327" s="18" t="str">
        <f>IF('Classe Terminale D'!$B47="","",N('Classe Terminale D'!I47))</f>
        <v/>
      </c>
      <c r="M1327" s="18" t="str">
        <f>IF('Classe Terminale D'!$B47="","",N('Classe Terminale D'!J47))</f>
        <v/>
      </c>
      <c r="N1327" s="18" t="str">
        <f>IF('Classe Terminale D'!$B47="","",N('Classe Terminale D'!K47))</f>
        <v/>
      </c>
      <c r="O1327" s="18" t="str">
        <f>IF('Classe Terminale D'!$B47="","",N('Classe Terminale D'!L47))</f>
        <v/>
      </c>
      <c r="P1327" s="18" t="str">
        <f>IF('Classe Terminale D'!$B47="","",N('Classe Terminale D'!M47))</f>
        <v/>
      </c>
      <c r="Q1327" s="17" t="str">
        <f>IF('Classe Terminale D'!$B47="","",IF('Classe Terminale D'!Q47="","",'Classe Terminale D'!Q47))</f>
        <v/>
      </c>
      <c r="R1327" s="18" t="str">
        <f>IF('Classe Terminale D'!$B47="","",N('Classe Terminale D'!N47))</f>
        <v/>
      </c>
      <c r="S1327" s="18" t="str">
        <f>IF('Classe Terminale D'!$B47="","",N('Classe Terminale D'!O47))</f>
        <v/>
      </c>
      <c r="T1327" s="18" t="str">
        <f>IF('Classe Terminale D'!$B47="","",N('Classe Terminale D'!P47))</f>
        <v/>
      </c>
    </row>
    <row r="1328">
      <c r="A1328" s="20" t="str">
        <f>IF('Classe Terminale D'!$B48="","",IF('Classe Terminale D'!A48="","",'Classe Terminale D'!A48))</f>
        <v/>
      </c>
      <c r="B1328" s="20" t="str">
        <f>IF('Classe Terminale D'!$B48="","",IF('Classe Terminale D'!B48="","",'Classe Terminale D'!B48))</f>
        <v/>
      </c>
      <c r="C1328" s="20" t="str">
        <f>IF('Classe Terminale D'!$B48="","",IF('Classe Terminale D'!C48="","",'Classe Terminale D'!C48))</f>
        <v/>
      </c>
      <c r="D1328" s="20" t="str">
        <f>IF($B1328="","",C1328&amp;" "&amp;B1328&amp;" - "&amp;E1328)</f>
        <v/>
      </c>
      <c r="E1328" s="21" t="str">
        <f>IF($B1328="","",Paramètres!$A$31)</f>
        <v/>
      </c>
      <c r="F1328" s="21" t="str">
        <f>IF($B1328="","",Paramètres!$B$31)</f>
        <v/>
      </c>
      <c r="G1328" s="21" t="str">
        <f>IF('Classe Terminale D'!$B48="","",IF('Classe Terminale D'!D48="","",'Classe Terminale D'!D48))</f>
        <v/>
      </c>
      <c r="H1328" s="77" t="str">
        <f>IF('Classe Terminale D'!$B48="","",IF('Classe Terminale D'!E48="","",'Classe Terminale D'!E48))</f>
        <v/>
      </c>
      <c r="I1328" s="20" t="str">
        <f>IF('Classe Terminale D'!$B48="","",IF('Classe Terminale D'!F48="","",'Classe Terminale D'!F48))</f>
        <v/>
      </c>
      <c r="J1328" s="20" t="str">
        <f>IF('Classe Terminale D'!$B48="","",IF('Classe Terminale D'!G48="","",'Classe Terminale D'!G48))</f>
        <v/>
      </c>
      <c r="K1328" s="51" t="str">
        <f>IF('Classe Terminale D'!$B48="","",N('Classe Terminale D'!H48))</f>
        <v/>
      </c>
      <c r="L1328" s="51" t="str">
        <f>IF('Classe Terminale D'!$B48="","",N('Classe Terminale D'!I48))</f>
        <v/>
      </c>
      <c r="M1328" s="51" t="str">
        <f>IF('Classe Terminale D'!$B48="","",N('Classe Terminale D'!J48))</f>
        <v/>
      </c>
      <c r="N1328" s="51" t="str">
        <f>IF('Classe Terminale D'!$B48="","",N('Classe Terminale D'!K48))</f>
        <v/>
      </c>
      <c r="O1328" s="51" t="str">
        <f>IF('Classe Terminale D'!$B48="","",N('Classe Terminale D'!L48))</f>
        <v/>
      </c>
      <c r="P1328" s="51" t="str">
        <f>IF('Classe Terminale D'!$B48="","",N('Classe Terminale D'!M48))</f>
        <v/>
      </c>
      <c r="Q1328" s="21" t="str">
        <f>IF('Classe Terminale D'!$B48="","",IF('Classe Terminale D'!Q48="","",'Classe Terminale D'!Q48))</f>
        <v/>
      </c>
      <c r="R1328" s="51" t="str">
        <f>IF('Classe Terminale D'!$B48="","",N('Classe Terminale D'!N48))</f>
        <v/>
      </c>
      <c r="S1328" s="51" t="str">
        <f>IF('Classe Terminale D'!$B48="","",N('Classe Terminale D'!O48))</f>
        <v/>
      </c>
      <c r="T1328" s="51" t="str">
        <f>IF('Classe Terminale D'!$B48="","",N('Classe Terminale D'!P48))</f>
        <v/>
      </c>
    </row>
    <row r="1329">
      <c r="A1329" s="16" t="str">
        <f>IF('Classe Terminale D'!$B49="","",IF('Classe Terminale D'!A49="","",'Classe Terminale D'!A49))</f>
        <v/>
      </c>
      <c r="B1329" s="16" t="str">
        <f>IF('Classe Terminale D'!$B49="","",IF('Classe Terminale D'!B49="","",'Classe Terminale D'!B49))</f>
        <v/>
      </c>
      <c r="C1329" s="16" t="str">
        <f>IF('Classe Terminale D'!$B49="","",IF('Classe Terminale D'!C49="","",'Classe Terminale D'!C49))</f>
        <v/>
      </c>
      <c r="D1329" s="16" t="str">
        <f>IF($B1329="","",C1329&amp;" "&amp;B1329&amp;" - "&amp;E1329)</f>
        <v/>
      </c>
      <c r="E1329" s="17" t="str">
        <f>IF($B1329="","",Paramètres!$A$31)</f>
        <v/>
      </c>
      <c r="F1329" s="17" t="str">
        <f>IF($B1329="","",Paramètres!$B$31)</f>
        <v/>
      </c>
      <c r="G1329" s="17" t="str">
        <f>IF('Classe Terminale D'!$B49="","",IF('Classe Terminale D'!D49="","",'Classe Terminale D'!D49))</f>
        <v/>
      </c>
      <c r="H1329" s="78" t="str">
        <f>IF('Classe Terminale D'!$B49="","",IF('Classe Terminale D'!E49="","",'Classe Terminale D'!E49))</f>
        <v/>
      </c>
      <c r="I1329" s="16" t="str">
        <f>IF('Classe Terminale D'!$B49="","",IF('Classe Terminale D'!F49="","",'Classe Terminale D'!F49))</f>
        <v/>
      </c>
      <c r="J1329" s="16" t="str">
        <f>IF('Classe Terminale D'!$B49="","",IF('Classe Terminale D'!G49="","",'Classe Terminale D'!G49))</f>
        <v/>
      </c>
      <c r="K1329" s="18" t="str">
        <f>IF('Classe Terminale D'!$B49="","",N('Classe Terminale D'!H49))</f>
        <v/>
      </c>
      <c r="L1329" s="18" t="str">
        <f>IF('Classe Terminale D'!$B49="","",N('Classe Terminale D'!I49))</f>
        <v/>
      </c>
      <c r="M1329" s="18" t="str">
        <f>IF('Classe Terminale D'!$B49="","",N('Classe Terminale D'!J49))</f>
        <v/>
      </c>
      <c r="N1329" s="18" t="str">
        <f>IF('Classe Terminale D'!$B49="","",N('Classe Terminale D'!K49))</f>
        <v/>
      </c>
      <c r="O1329" s="18" t="str">
        <f>IF('Classe Terminale D'!$B49="","",N('Classe Terminale D'!L49))</f>
        <v/>
      </c>
      <c r="P1329" s="18" t="str">
        <f>IF('Classe Terminale D'!$B49="","",N('Classe Terminale D'!M49))</f>
        <v/>
      </c>
      <c r="Q1329" s="17" t="str">
        <f>IF('Classe Terminale D'!$B49="","",IF('Classe Terminale D'!Q49="","",'Classe Terminale D'!Q49))</f>
        <v/>
      </c>
      <c r="R1329" s="18" t="str">
        <f>IF('Classe Terminale D'!$B49="","",N('Classe Terminale D'!N49))</f>
        <v/>
      </c>
      <c r="S1329" s="18" t="str">
        <f>IF('Classe Terminale D'!$B49="","",N('Classe Terminale D'!O49))</f>
        <v/>
      </c>
      <c r="T1329" s="18" t="str">
        <f>IF('Classe Terminale D'!$B49="","",N('Classe Terminale D'!P49))</f>
        <v/>
      </c>
    </row>
    <row r="1330">
      <c r="A1330" s="20" t="str">
        <f>IF('Classe Terminale D'!$B50="","",IF('Classe Terminale D'!A50="","",'Classe Terminale D'!A50))</f>
        <v/>
      </c>
      <c r="B1330" s="20" t="str">
        <f>IF('Classe Terminale D'!$B50="","",IF('Classe Terminale D'!B50="","",'Classe Terminale D'!B50))</f>
        <v/>
      </c>
      <c r="C1330" s="20" t="str">
        <f>IF('Classe Terminale D'!$B50="","",IF('Classe Terminale D'!C50="","",'Classe Terminale D'!C50))</f>
        <v/>
      </c>
      <c r="D1330" s="20" t="str">
        <f>IF($B1330="","",C1330&amp;" "&amp;B1330&amp;" - "&amp;E1330)</f>
        <v/>
      </c>
      <c r="E1330" s="21" t="str">
        <f>IF($B1330="","",Paramètres!$A$31)</f>
        <v/>
      </c>
      <c r="F1330" s="21" t="str">
        <f>IF($B1330="","",Paramètres!$B$31)</f>
        <v/>
      </c>
      <c r="G1330" s="21" t="str">
        <f>IF('Classe Terminale D'!$B50="","",IF('Classe Terminale D'!D50="","",'Classe Terminale D'!D50))</f>
        <v/>
      </c>
      <c r="H1330" s="77" t="str">
        <f>IF('Classe Terminale D'!$B50="","",IF('Classe Terminale D'!E50="","",'Classe Terminale D'!E50))</f>
        <v/>
      </c>
      <c r="I1330" s="20" t="str">
        <f>IF('Classe Terminale D'!$B50="","",IF('Classe Terminale D'!F50="","",'Classe Terminale D'!F50))</f>
        <v/>
      </c>
      <c r="J1330" s="20" t="str">
        <f>IF('Classe Terminale D'!$B50="","",IF('Classe Terminale D'!G50="","",'Classe Terminale D'!G50))</f>
        <v/>
      </c>
      <c r="K1330" s="51" t="str">
        <f>IF('Classe Terminale D'!$B50="","",N('Classe Terminale D'!H50))</f>
        <v/>
      </c>
      <c r="L1330" s="51" t="str">
        <f>IF('Classe Terminale D'!$B50="","",N('Classe Terminale D'!I50))</f>
        <v/>
      </c>
      <c r="M1330" s="51" t="str">
        <f>IF('Classe Terminale D'!$B50="","",N('Classe Terminale D'!J50))</f>
        <v/>
      </c>
      <c r="N1330" s="51" t="str">
        <f>IF('Classe Terminale D'!$B50="","",N('Classe Terminale D'!K50))</f>
        <v/>
      </c>
      <c r="O1330" s="51" t="str">
        <f>IF('Classe Terminale D'!$B50="","",N('Classe Terminale D'!L50))</f>
        <v/>
      </c>
      <c r="P1330" s="51" t="str">
        <f>IF('Classe Terminale D'!$B50="","",N('Classe Terminale D'!M50))</f>
        <v/>
      </c>
      <c r="Q1330" s="21" t="str">
        <f>IF('Classe Terminale D'!$B50="","",IF('Classe Terminale D'!Q50="","",'Classe Terminale D'!Q50))</f>
        <v/>
      </c>
      <c r="R1330" s="51" t="str">
        <f>IF('Classe Terminale D'!$B50="","",N('Classe Terminale D'!N50))</f>
        <v/>
      </c>
      <c r="S1330" s="51" t="str">
        <f>IF('Classe Terminale D'!$B50="","",N('Classe Terminale D'!O50))</f>
        <v/>
      </c>
      <c r="T1330" s="51" t="str">
        <f>IF('Classe Terminale D'!$B50="","",N('Classe Terminale D'!P50))</f>
        <v/>
      </c>
    </row>
    <row r="1331">
      <c r="A1331" s="16" t="str">
        <f>IF('Classe Terminale D'!$B51="","",IF('Classe Terminale D'!A51="","",'Classe Terminale D'!A51))</f>
        <v/>
      </c>
      <c r="B1331" s="16" t="str">
        <f>IF('Classe Terminale D'!$B51="","",IF('Classe Terminale D'!B51="","",'Classe Terminale D'!B51))</f>
        <v/>
      </c>
      <c r="C1331" s="16" t="str">
        <f>IF('Classe Terminale D'!$B51="","",IF('Classe Terminale D'!C51="","",'Classe Terminale D'!C51))</f>
        <v/>
      </c>
      <c r="D1331" s="16" t="str">
        <f>IF($B1331="","",C1331&amp;" "&amp;B1331&amp;" - "&amp;E1331)</f>
        <v/>
      </c>
      <c r="E1331" s="17" t="str">
        <f>IF($B1331="","",Paramètres!$A$31)</f>
        <v/>
      </c>
      <c r="F1331" s="17" t="str">
        <f>IF($B1331="","",Paramètres!$B$31)</f>
        <v/>
      </c>
      <c r="G1331" s="17" t="str">
        <f>IF('Classe Terminale D'!$B51="","",IF('Classe Terminale D'!D51="","",'Classe Terminale D'!D51))</f>
        <v/>
      </c>
      <c r="H1331" s="78" t="str">
        <f>IF('Classe Terminale D'!$B51="","",IF('Classe Terminale D'!E51="","",'Classe Terminale D'!E51))</f>
        <v/>
      </c>
      <c r="I1331" s="16" t="str">
        <f>IF('Classe Terminale D'!$B51="","",IF('Classe Terminale D'!F51="","",'Classe Terminale D'!F51))</f>
        <v/>
      </c>
      <c r="J1331" s="16" t="str">
        <f>IF('Classe Terminale D'!$B51="","",IF('Classe Terminale D'!G51="","",'Classe Terminale D'!G51))</f>
        <v/>
      </c>
      <c r="K1331" s="18" t="str">
        <f>IF('Classe Terminale D'!$B51="","",N('Classe Terminale D'!H51))</f>
        <v/>
      </c>
      <c r="L1331" s="18" t="str">
        <f>IF('Classe Terminale D'!$B51="","",N('Classe Terminale D'!I51))</f>
        <v/>
      </c>
      <c r="M1331" s="18" t="str">
        <f>IF('Classe Terminale D'!$B51="","",N('Classe Terminale D'!J51))</f>
        <v/>
      </c>
      <c r="N1331" s="18" t="str">
        <f>IF('Classe Terminale D'!$B51="","",N('Classe Terminale D'!K51))</f>
        <v/>
      </c>
      <c r="O1331" s="18" t="str">
        <f>IF('Classe Terminale D'!$B51="","",N('Classe Terminale D'!L51))</f>
        <v/>
      </c>
      <c r="P1331" s="18" t="str">
        <f>IF('Classe Terminale D'!$B51="","",N('Classe Terminale D'!M51))</f>
        <v/>
      </c>
      <c r="Q1331" s="17" t="str">
        <f>IF('Classe Terminale D'!$B51="","",IF('Classe Terminale D'!Q51="","",'Classe Terminale D'!Q51))</f>
        <v/>
      </c>
      <c r="R1331" s="18" t="str">
        <f>IF('Classe Terminale D'!$B51="","",N('Classe Terminale D'!N51))</f>
        <v/>
      </c>
      <c r="S1331" s="18" t="str">
        <f>IF('Classe Terminale D'!$B51="","",N('Classe Terminale D'!O51))</f>
        <v/>
      </c>
      <c r="T1331" s="18" t="str">
        <f>IF('Classe Terminale D'!$B51="","",N('Classe Terminale D'!P51))</f>
        <v/>
      </c>
    </row>
    <row r="1332">
      <c r="A1332" s="20" t="str">
        <f>IF('Classe Terminale D'!$B52="","",IF('Classe Terminale D'!A52="","",'Classe Terminale D'!A52))</f>
        <v/>
      </c>
      <c r="B1332" s="20" t="str">
        <f>IF('Classe Terminale D'!$B52="","",IF('Classe Terminale D'!B52="","",'Classe Terminale D'!B52))</f>
        <v/>
      </c>
      <c r="C1332" s="20" t="str">
        <f>IF('Classe Terminale D'!$B52="","",IF('Classe Terminale D'!C52="","",'Classe Terminale D'!C52))</f>
        <v/>
      </c>
      <c r="D1332" s="20" t="str">
        <f>IF($B1332="","",C1332&amp;" "&amp;B1332&amp;" - "&amp;E1332)</f>
        <v/>
      </c>
      <c r="E1332" s="21" t="str">
        <f>IF($B1332="","",Paramètres!$A$31)</f>
        <v/>
      </c>
      <c r="F1332" s="21" t="str">
        <f>IF($B1332="","",Paramètres!$B$31)</f>
        <v/>
      </c>
      <c r="G1332" s="21" t="str">
        <f>IF('Classe Terminale D'!$B52="","",IF('Classe Terminale D'!D52="","",'Classe Terminale D'!D52))</f>
        <v/>
      </c>
      <c r="H1332" s="77" t="str">
        <f>IF('Classe Terminale D'!$B52="","",IF('Classe Terminale D'!E52="","",'Classe Terminale D'!E52))</f>
        <v/>
      </c>
      <c r="I1332" s="20" t="str">
        <f>IF('Classe Terminale D'!$B52="","",IF('Classe Terminale D'!F52="","",'Classe Terminale D'!F52))</f>
        <v/>
      </c>
      <c r="J1332" s="20" t="str">
        <f>IF('Classe Terminale D'!$B52="","",IF('Classe Terminale D'!G52="","",'Classe Terminale D'!G52))</f>
        <v/>
      </c>
      <c r="K1332" s="51" t="str">
        <f>IF('Classe Terminale D'!$B52="","",N('Classe Terminale D'!H52))</f>
        <v/>
      </c>
      <c r="L1332" s="51" t="str">
        <f>IF('Classe Terminale D'!$B52="","",N('Classe Terminale D'!I52))</f>
        <v/>
      </c>
      <c r="M1332" s="51" t="str">
        <f>IF('Classe Terminale D'!$B52="","",N('Classe Terminale D'!J52))</f>
        <v/>
      </c>
      <c r="N1332" s="51" t="str">
        <f>IF('Classe Terminale D'!$B52="","",N('Classe Terminale D'!K52))</f>
        <v/>
      </c>
      <c r="O1332" s="51" t="str">
        <f>IF('Classe Terminale D'!$B52="","",N('Classe Terminale D'!L52))</f>
        <v/>
      </c>
      <c r="P1332" s="51" t="str">
        <f>IF('Classe Terminale D'!$B52="","",N('Classe Terminale D'!M52))</f>
        <v/>
      </c>
      <c r="Q1332" s="21" t="str">
        <f>IF('Classe Terminale D'!$B52="","",IF('Classe Terminale D'!Q52="","",'Classe Terminale D'!Q52))</f>
        <v/>
      </c>
      <c r="R1332" s="51" t="str">
        <f>IF('Classe Terminale D'!$B52="","",N('Classe Terminale D'!N52))</f>
        <v/>
      </c>
      <c r="S1332" s="51" t="str">
        <f>IF('Classe Terminale D'!$B52="","",N('Classe Terminale D'!O52))</f>
        <v/>
      </c>
      <c r="T1332" s="51" t="str">
        <f>IF('Classe Terminale D'!$B52="","",N('Classe Terminale D'!P52))</f>
        <v/>
      </c>
    </row>
    <row r="1333">
      <c r="A1333" s="16" t="str">
        <f>IF('Classe Terminale D'!$B53="","",IF('Classe Terminale D'!A53="","",'Classe Terminale D'!A53))</f>
        <v/>
      </c>
      <c r="B1333" s="16" t="str">
        <f>IF('Classe Terminale D'!$B53="","",IF('Classe Terminale D'!B53="","",'Classe Terminale D'!B53))</f>
        <v/>
      </c>
      <c r="C1333" s="16" t="str">
        <f>IF('Classe Terminale D'!$B53="","",IF('Classe Terminale D'!C53="","",'Classe Terminale D'!C53))</f>
        <v/>
      </c>
      <c r="D1333" s="16" t="str">
        <f>IF($B1333="","",C1333&amp;" "&amp;B1333&amp;" - "&amp;E1333)</f>
        <v/>
      </c>
      <c r="E1333" s="17" t="str">
        <f>IF($B1333="","",Paramètres!$A$31)</f>
        <v/>
      </c>
      <c r="F1333" s="17" t="str">
        <f>IF($B1333="","",Paramètres!$B$31)</f>
        <v/>
      </c>
      <c r="G1333" s="17" t="str">
        <f>IF('Classe Terminale D'!$B53="","",IF('Classe Terminale D'!D53="","",'Classe Terminale D'!D53))</f>
        <v/>
      </c>
      <c r="H1333" s="78" t="str">
        <f>IF('Classe Terminale D'!$B53="","",IF('Classe Terminale D'!E53="","",'Classe Terminale D'!E53))</f>
        <v/>
      </c>
      <c r="I1333" s="16" t="str">
        <f>IF('Classe Terminale D'!$B53="","",IF('Classe Terminale D'!F53="","",'Classe Terminale D'!F53))</f>
        <v/>
      </c>
      <c r="J1333" s="16" t="str">
        <f>IF('Classe Terminale D'!$B53="","",IF('Classe Terminale D'!G53="","",'Classe Terminale D'!G53))</f>
        <v/>
      </c>
      <c r="K1333" s="18" t="str">
        <f>IF('Classe Terminale D'!$B53="","",N('Classe Terminale D'!H53))</f>
        <v/>
      </c>
      <c r="L1333" s="18" t="str">
        <f>IF('Classe Terminale D'!$B53="","",N('Classe Terminale D'!I53))</f>
        <v/>
      </c>
      <c r="M1333" s="18" t="str">
        <f>IF('Classe Terminale D'!$B53="","",N('Classe Terminale D'!J53))</f>
        <v/>
      </c>
      <c r="N1333" s="18" t="str">
        <f>IF('Classe Terminale D'!$B53="","",N('Classe Terminale D'!K53))</f>
        <v/>
      </c>
      <c r="O1333" s="18" t="str">
        <f>IF('Classe Terminale D'!$B53="","",N('Classe Terminale D'!L53))</f>
        <v/>
      </c>
      <c r="P1333" s="18" t="str">
        <f>IF('Classe Terminale D'!$B53="","",N('Classe Terminale D'!M53))</f>
        <v/>
      </c>
      <c r="Q1333" s="17" t="str">
        <f>IF('Classe Terminale D'!$B53="","",IF('Classe Terminale D'!Q53="","",'Classe Terminale D'!Q53))</f>
        <v/>
      </c>
      <c r="R1333" s="18" t="str">
        <f>IF('Classe Terminale D'!$B53="","",N('Classe Terminale D'!N53))</f>
        <v/>
      </c>
      <c r="S1333" s="18" t="str">
        <f>IF('Classe Terminale D'!$B53="","",N('Classe Terminale D'!O53))</f>
        <v/>
      </c>
      <c r="T1333" s="18" t="str">
        <f>IF('Classe Terminale D'!$B53="","",N('Classe Terminale D'!P53))</f>
        <v/>
      </c>
    </row>
    <row r="1334">
      <c r="A1334" s="20" t="str">
        <f>IF('Classe Terminale D'!$B54="","",IF('Classe Terminale D'!A54="","",'Classe Terminale D'!A54))</f>
        <v/>
      </c>
      <c r="B1334" s="20" t="str">
        <f>IF('Classe Terminale D'!$B54="","",IF('Classe Terminale D'!B54="","",'Classe Terminale D'!B54))</f>
        <v/>
      </c>
      <c r="C1334" s="20" t="str">
        <f>IF('Classe Terminale D'!$B54="","",IF('Classe Terminale D'!C54="","",'Classe Terminale D'!C54))</f>
        <v/>
      </c>
      <c r="D1334" s="20" t="str">
        <f>IF($B1334="","",C1334&amp;" "&amp;B1334&amp;" - "&amp;E1334)</f>
        <v/>
      </c>
      <c r="E1334" s="21" t="str">
        <f>IF($B1334="","",Paramètres!$A$31)</f>
        <v/>
      </c>
      <c r="F1334" s="21" t="str">
        <f>IF($B1334="","",Paramètres!$B$31)</f>
        <v/>
      </c>
      <c r="G1334" s="21" t="str">
        <f>IF('Classe Terminale D'!$B54="","",IF('Classe Terminale D'!D54="","",'Classe Terminale D'!D54))</f>
        <v/>
      </c>
      <c r="H1334" s="77" t="str">
        <f>IF('Classe Terminale D'!$B54="","",IF('Classe Terminale D'!E54="","",'Classe Terminale D'!E54))</f>
        <v/>
      </c>
      <c r="I1334" s="20" t="str">
        <f>IF('Classe Terminale D'!$B54="","",IF('Classe Terminale D'!F54="","",'Classe Terminale D'!F54))</f>
        <v/>
      </c>
      <c r="J1334" s="20" t="str">
        <f>IF('Classe Terminale D'!$B54="","",IF('Classe Terminale D'!G54="","",'Classe Terminale D'!G54))</f>
        <v/>
      </c>
      <c r="K1334" s="51" t="str">
        <f>IF('Classe Terminale D'!$B54="","",N('Classe Terminale D'!H54))</f>
        <v/>
      </c>
      <c r="L1334" s="51" t="str">
        <f>IF('Classe Terminale D'!$B54="","",N('Classe Terminale D'!I54))</f>
        <v/>
      </c>
      <c r="M1334" s="51" t="str">
        <f>IF('Classe Terminale D'!$B54="","",N('Classe Terminale D'!J54))</f>
        <v/>
      </c>
      <c r="N1334" s="51" t="str">
        <f>IF('Classe Terminale D'!$B54="","",N('Classe Terminale D'!K54))</f>
        <v/>
      </c>
      <c r="O1334" s="51" t="str">
        <f>IF('Classe Terminale D'!$B54="","",N('Classe Terminale D'!L54))</f>
        <v/>
      </c>
      <c r="P1334" s="51" t="str">
        <f>IF('Classe Terminale D'!$B54="","",N('Classe Terminale D'!M54))</f>
        <v/>
      </c>
      <c r="Q1334" s="21" t="str">
        <f>IF('Classe Terminale D'!$B54="","",IF('Classe Terminale D'!Q54="","",'Classe Terminale D'!Q54))</f>
        <v/>
      </c>
      <c r="R1334" s="51" t="str">
        <f>IF('Classe Terminale D'!$B54="","",N('Classe Terminale D'!N54))</f>
        <v/>
      </c>
      <c r="S1334" s="51" t="str">
        <f>IF('Classe Terminale D'!$B54="","",N('Classe Terminale D'!O54))</f>
        <v/>
      </c>
      <c r="T1334" s="51" t="str">
        <f>IF('Classe Terminale D'!$B54="","",N('Classe Terminale D'!P54))</f>
        <v/>
      </c>
    </row>
    <row r="1335">
      <c r="A1335" s="16" t="str">
        <f>IF('Classe Terminale D'!$B55="","",IF('Classe Terminale D'!A55="","",'Classe Terminale D'!A55))</f>
        <v/>
      </c>
      <c r="B1335" s="16" t="str">
        <f>IF('Classe Terminale D'!$B55="","",IF('Classe Terminale D'!B55="","",'Classe Terminale D'!B55))</f>
        <v/>
      </c>
      <c r="C1335" s="16" t="str">
        <f>IF('Classe Terminale D'!$B55="","",IF('Classe Terminale D'!C55="","",'Classe Terminale D'!C55))</f>
        <v/>
      </c>
      <c r="D1335" s="16" t="str">
        <f>IF($B1335="","",C1335&amp;" "&amp;B1335&amp;" - "&amp;E1335)</f>
        <v/>
      </c>
      <c r="E1335" s="17" t="str">
        <f>IF($B1335="","",Paramètres!$A$31)</f>
        <v/>
      </c>
      <c r="F1335" s="17" t="str">
        <f>IF($B1335="","",Paramètres!$B$31)</f>
        <v/>
      </c>
      <c r="G1335" s="17" t="str">
        <f>IF('Classe Terminale D'!$B55="","",IF('Classe Terminale D'!D55="","",'Classe Terminale D'!D55))</f>
        <v/>
      </c>
      <c r="H1335" s="78" t="str">
        <f>IF('Classe Terminale D'!$B55="","",IF('Classe Terminale D'!E55="","",'Classe Terminale D'!E55))</f>
        <v/>
      </c>
      <c r="I1335" s="16" t="str">
        <f>IF('Classe Terminale D'!$B55="","",IF('Classe Terminale D'!F55="","",'Classe Terminale D'!F55))</f>
        <v/>
      </c>
      <c r="J1335" s="16" t="str">
        <f>IF('Classe Terminale D'!$B55="","",IF('Classe Terminale D'!G55="","",'Classe Terminale D'!G55))</f>
        <v/>
      </c>
      <c r="K1335" s="18" t="str">
        <f>IF('Classe Terminale D'!$B55="","",N('Classe Terminale D'!H55))</f>
        <v/>
      </c>
      <c r="L1335" s="18" t="str">
        <f>IF('Classe Terminale D'!$B55="","",N('Classe Terminale D'!I55))</f>
        <v/>
      </c>
      <c r="M1335" s="18" t="str">
        <f>IF('Classe Terminale D'!$B55="","",N('Classe Terminale D'!J55))</f>
        <v/>
      </c>
      <c r="N1335" s="18" t="str">
        <f>IF('Classe Terminale D'!$B55="","",N('Classe Terminale D'!K55))</f>
        <v/>
      </c>
      <c r="O1335" s="18" t="str">
        <f>IF('Classe Terminale D'!$B55="","",N('Classe Terminale D'!L55))</f>
        <v/>
      </c>
      <c r="P1335" s="18" t="str">
        <f>IF('Classe Terminale D'!$B55="","",N('Classe Terminale D'!M55))</f>
        <v/>
      </c>
      <c r="Q1335" s="17" t="str">
        <f>IF('Classe Terminale D'!$B55="","",IF('Classe Terminale D'!Q55="","",'Classe Terminale D'!Q55))</f>
        <v/>
      </c>
      <c r="R1335" s="18" t="str">
        <f>IF('Classe Terminale D'!$B55="","",N('Classe Terminale D'!N55))</f>
        <v/>
      </c>
      <c r="S1335" s="18" t="str">
        <f>IF('Classe Terminale D'!$B55="","",N('Classe Terminale D'!O55))</f>
        <v/>
      </c>
      <c r="T1335" s="18" t="str">
        <f>IF('Classe Terminale D'!$B55="","",N('Classe Terminale D'!P55))</f>
        <v/>
      </c>
    </row>
    <row r="1336">
      <c r="A1336" s="20" t="str">
        <f>IF('Classe Terminale D'!$B56="","",IF('Classe Terminale D'!A56="","",'Classe Terminale D'!A56))</f>
        <v/>
      </c>
      <c r="B1336" s="20" t="str">
        <f>IF('Classe Terminale D'!$B56="","",IF('Classe Terminale D'!B56="","",'Classe Terminale D'!B56))</f>
        <v/>
      </c>
      <c r="C1336" s="20" t="str">
        <f>IF('Classe Terminale D'!$B56="","",IF('Classe Terminale D'!C56="","",'Classe Terminale D'!C56))</f>
        <v/>
      </c>
      <c r="D1336" s="20" t="str">
        <f>IF($B1336="","",C1336&amp;" "&amp;B1336&amp;" - "&amp;E1336)</f>
        <v/>
      </c>
      <c r="E1336" s="21" t="str">
        <f>IF($B1336="","",Paramètres!$A$31)</f>
        <v/>
      </c>
      <c r="F1336" s="21" t="str">
        <f>IF($B1336="","",Paramètres!$B$31)</f>
        <v/>
      </c>
      <c r="G1336" s="21" t="str">
        <f>IF('Classe Terminale D'!$B56="","",IF('Classe Terminale D'!D56="","",'Classe Terminale D'!D56))</f>
        <v/>
      </c>
      <c r="H1336" s="77" t="str">
        <f>IF('Classe Terminale D'!$B56="","",IF('Classe Terminale D'!E56="","",'Classe Terminale D'!E56))</f>
        <v/>
      </c>
      <c r="I1336" s="20" t="str">
        <f>IF('Classe Terminale D'!$B56="","",IF('Classe Terminale D'!F56="","",'Classe Terminale D'!F56))</f>
        <v/>
      </c>
      <c r="J1336" s="20" t="str">
        <f>IF('Classe Terminale D'!$B56="","",IF('Classe Terminale D'!G56="","",'Classe Terminale D'!G56))</f>
        <v/>
      </c>
      <c r="K1336" s="51" t="str">
        <f>IF('Classe Terminale D'!$B56="","",N('Classe Terminale D'!H56))</f>
        <v/>
      </c>
      <c r="L1336" s="51" t="str">
        <f>IF('Classe Terminale D'!$B56="","",N('Classe Terminale D'!I56))</f>
        <v/>
      </c>
      <c r="M1336" s="51" t="str">
        <f>IF('Classe Terminale D'!$B56="","",N('Classe Terminale D'!J56))</f>
        <v/>
      </c>
      <c r="N1336" s="51" t="str">
        <f>IF('Classe Terminale D'!$B56="","",N('Classe Terminale D'!K56))</f>
        <v/>
      </c>
      <c r="O1336" s="51" t="str">
        <f>IF('Classe Terminale D'!$B56="","",N('Classe Terminale D'!L56))</f>
        <v/>
      </c>
      <c r="P1336" s="51" t="str">
        <f>IF('Classe Terminale D'!$B56="","",N('Classe Terminale D'!M56))</f>
        <v/>
      </c>
      <c r="Q1336" s="21" t="str">
        <f>IF('Classe Terminale D'!$B56="","",IF('Classe Terminale D'!Q56="","",'Classe Terminale D'!Q56))</f>
        <v/>
      </c>
      <c r="R1336" s="51" t="str">
        <f>IF('Classe Terminale D'!$B56="","",N('Classe Terminale D'!N56))</f>
        <v/>
      </c>
      <c r="S1336" s="51" t="str">
        <f>IF('Classe Terminale D'!$B56="","",N('Classe Terminale D'!O56))</f>
        <v/>
      </c>
      <c r="T1336" s="51" t="str">
        <f>IF('Classe Terminale D'!$B56="","",N('Classe Terminale D'!P56))</f>
        <v/>
      </c>
    </row>
    <row r="1337">
      <c r="A1337" s="16" t="str">
        <f>IF('Classe Terminale D'!$B57="","",IF('Classe Terminale D'!A57="","",'Classe Terminale D'!A57))</f>
        <v/>
      </c>
      <c r="B1337" s="16" t="str">
        <f>IF('Classe Terminale D'!$B57="","",IF('Classe Terminale D'!B57="","",'Classe Terminale D'!B57))</f>
        <v/>
      </c>
      <c r="C1337" s="16" t="str">
        <f>IF('Classe Terminale D'!$B57="","",IF('Classe Terminale D'!C57="","",'Classe Terminale D'!C57))</f>
        <v/>
      </c>
      <c r="D1337" s="16" t="str">
        <f>IF($B1337="","",C1337&amp;" "&amp;B1337&amp;" - "&amp;E1337)</f>
        <v/>
      </c>
      <c r="E1337" s="17" t="str">
        <f>IF($B1337="","",Paramètres!$A$31)</f>
        <v/>
      </c>
      <c r="F1337" s="17" t="str">
        <f>IF($B1337="","",Paramètres!$B$31)</f>
        <v/>
      </c>
      <c r="G1337" s="17" t="str">
        <f>IF('Classe Terminale D'!$B57="","",IF('Classe Terminale D'!D57="","",'Classe Terminale D'!D57))</f>
        <v/>
      </c>
      <c r="H1337" s="78" t="str">
        <f>IF('Classe Terminale D'!$B57="","",IF('Classe Terminale D'!E57="","",'Classe Terminale D'!E57))</f>
        <v/>
      </c>
      <c r="I1337" s="16" t="str">
        <f>IF('Classe Terminale D'!$B57="","",IF('Classe Terminale D'!F57="","",'Classe Terminale D'!F57))</f>
        <v/>
      </c>
      <c r="J1337" s="16" t="str">
        <f>IF('Classe Terminale D'!$B57="","",IF('Classe Terminale D'!G57="","",'Classe Terminale D'!G57))</f>
        <v/>
      </c>
      <c r="K1337" s="18" t="str">
        <f>IF('Classe Terminale D'!$B57="","",N('Classe Terminale D'!H57))</f>
        <v/>
      </c>
      <c r="L1337" s="18" t="str">
        <f>IF('Classe Terminale D'!$B57="","",N('Classe Terminale D'!I57))</f>
        <v/>
      </c>
      <c r="M1337" s="18" t="str">
        <f>IF('Classe Terminale D'!$B57="","",N('Classe Terminale D'!J57))</f>
        <v/>
      </c>
      <c r="N1337" s="18" t="str">
        <f>IF('Classe Terminale D'!$B57="","",N('Classe Terminale D'!K57))</f>
        <v/>
      </c>
      <c r="O1337" s="18" t="str">
        <f>IF('Classe Terminale D'!$B57="","",N('Classe Terminale D'!L57))</f>
        <v/>
      </c>
      <c r="P1337" s="18" t="str">
        <f>IF('Classe Terminale D'!$B57="","",N('Classe Terminale D'!M57))</f>
        <v/>
      </c>
      <c r="Q1337" s="17" t="str">
        <f>IF('Classe Terminale D'!$B57="","",IF('Classe Terminale D'!Q57="","",'Classe Terminale D'!Q57))</f>
        <v/>
      </c>
      <c r="R1337" s="18" t="str">
        <f>IF('Classe Terminale D'!$B57="","",N('Classe Terminale D'!N57))</f>
        <v/>
      </c>
      <c r="S1337" s="18" t="str">
        <f>IF('Classe Terminale D'!$B57="","",N('Classe Terminale D'!O57))</f>
        <v/>
      </c>
      <c r="T1337" s="18" t="str">
        <f>IF('Classe Terminale D'!$B57="","",N('Classe Terminale D'!P57))</f>
        <v/>
      </c>
    </row>
    <row r="1338">
      <c r="A1338" s="20" t="str">
        <f>IF('Classe Terminale D'!$B58="","",IF('Classe Terminale D'!A58="","",'Classe Terminale D'!A58))</f>
        <v/>
      </c>
      <c r="B1338" s="20" t="str">
        <f>IF('Classe Terminale D'!$B58="","",IF('Classe Terminale D'!B58="","",'Classe Terminale D'!B58))</f>
        <v/>
      </c>
      <c r="C1338" s="20" t="str">
        <f>IF('Classe Terminale D'!$B58="","",IF('Classe Terminale D'!C58="","",'Classe Terminale D'!C58))</f>
        <v/>
      </c>
      <c r="D1338" s="20" t="str">
        <f>IF($B1338="","",C1338&amp;" "&amp;B1338&amp;" - "&amp;E1338)</f>
        <v/>
      </c>
      <c r="E1338" s="21" t="str">
        <f>IF($B1338="","",Paramètres!$A$31)</f>
        <v/>
      </c>
      <c r="F1338" s="21" t="str">
        <f>IF($B1338="","",Paramètres!$B$31)</f>
        <v/>
      </c>
      <c r="G1338" s="21" t="str">
        <f>IF('Classe Terminale D'!$B58="","",IF('Classe Terminale D'!D58="","",'Classe Terminale D'!D58))</f>
        <v/>
      </c>
      <c r="H1338" s="77" t="str">
        <f>IF('Classe Terminale D'!$B58="","",IF('Classe Terminale D'!E58="","",'Classe Terminale D'!E58))</f>
        <v/>
      </c>
      <c r="I1338" s="20" t="str">
        <f>IF('Classe Terminale D'!$B58="","",IF('Classe Terminale D'!F58="","",'Classe Terminale D'!F58))</f>
        <v/>
      </c>
      <c r="J1338" s="20" t="str">
        <f>IF('Classe Terminale D'!$B58="","",IF('Classe Terminale D'!G58="","",'Classe Terminale D'!G58))</f>
        <v/>
      </c>
      <c r="K1338" s="51" t="str">
        <f>IF('Classe Terminale D'!$B58="","",N('Classe Terminale D'!H58))</f>
        <v/>
      </c>
      <c r="L1338" s="51" t="str">
        <f>IF('Classe Terminale D'!$B58="","",N('Classe Terminale D'!I58))</f>
        <v/>
      </c>
      <c r="M1338" s="51" t="str">
        <f>IF('Classe Terminale D'!$B58="","",N('Classe Terminale D'!J58))</f>
        <v/>
      </c>
      <c r="N1338" s="51" t="str">
        <f>IF('Classe Terminale D'!$B58="","",N('Classe Terminale D'!K58))</f>
        <v/>
      </c>
      <c r="O1338" s="51" t="str">
        <f>IF('Classe Terminale D'!$B58="","",N('Classe Terminale D'!L58))</f>
        <v/>
      </c>
      <c r="P1338" s="51" t="str">
        <f>IF('Classe Terminale D'!$B58="","",N('Classe Terminale D'!M58))</f>
        <v/>
      </c>
      <c r="Q1338" s="21" t="str">
        <f>IF('Classe Terminale D'!$B58="","",IF('Classe Terminale D'!Q58="","",'Classe Terminale D'!Q58))</f>
        <v/>
      </c>
      <c r="R1338" s="51" t="str">
        <f>IF('Classe Terminale D'!$B58="","",N('Classe Terminale D'!N58))</f>
        <v/>
      </c>
      <c r="S1338" s="51" t="str">
        <f>IF('Classe Terminale D'!$B58="","",N('Classe Terminale D'!O58))</f>
        <v/>
      </c>
      <c r="T1338" s="51" t="str">
        <f>IF('Classe Terminale D'!$B58="","",N('Classe Terminale D'!P58))</f>
        <v/>
      </c>
    </row>
    <row r="1339">
      <c r="A1339" s="16" t="str">
        <f>IF('Classe Terminale D'!$B59="","",IF('Classe Terminale D'!A59="","",'Classe Terminale D'!A59))</f>
        <v/>
      </c>
      <c r="B1339" s="16" t="str">
        <f>IF('Classe Terminale D'!$B59="","",IF('Classe Terminale D'!B59="","",'Classe Terminale D'!B59))</f>
        <v/>
      </c>
      <c r="C1339" s="16" t="str">
        <f>IF('Classe Terminale D'!$B59="","",IF('Classe Terminale D'!C59="","",'Classe Terminale D'!C59))</f>
        <v/>
      </c>
      <c r="D1339" s="16" t="str">
        <f>IF($B1339="","",C1339&amp;" "&amp;B1339&amp;" - "&amp;E1339)</f>
        <v/>
      </c>
      <c r="E1339" s="17" t="str">
        <f>IF($B1339="","",Paramètres!$A$31)</f>
        <v/>
      </c>
      <c r="F1339" s="17" t="str">
        <f>IF($B1339="","",Paramètres!$B$31)</f>
        <v/>
      </c>
      <c r="G1339" s="17" t="str">
        <f>IF('Classe Terminale D'!$B59="","",IF('Classe Terminale D'!D59="","",'Classe Terminale D'!D59))</f>
        <v/>
      </c>
      <c r="H1339" s="78" t="str">
        <f>IF('Classe Terminale D'!$B59="","",IF('Classe Terminale D'!E59="","",'Classe Terminale D'!E59))</f>
        <v/>
      </c>
      <c r="I1339" s="16" t="str">
        <f>IF('Classe Terminale D'!$B59="","",IF('Classe Terminale D'!F59="","",'Classe Terminale D'!F59))</f>
        <v/>
      </c>
      <c r="J1339" s="16" t="str">
        <f>IF('Classe Terminale D'!$B59="","",IF('Classe Terminale D'!G59="","",'Classe Terminale D'!G59))</f>
        <v/>
      </c>
      <c r="K1339" s="18" t="str">
        <f>IF('Classe Terminale D'!$B59="","",N('Classe Terminale D'!H59))</f>
        <v/>
      </c>
      <c r="L1339" s="18" t="str">
        <f>IF('Classe Terminale D'!$B59="","",N('Classe Terminale D'!I59))</f>
        <v/>
      </c>
      <c r="M1339" s="18" t="str">
        <f>IF('Classe Terminale D'!$B59="","",N('Classe Terminale D'!J59))</f>
        <v/>
      </c>
      <c r="N1339" s="18" t="str">
        <f>IF('Classe Terminale D'!$B59="","",N('Classe Terminale D'!K59))</f>
        <v/>
      </c>
      <c r="O1339" s="18" t="str">
        <f>IF('Classe Terminale D'!$B59="","",N('Classe Terminale D'!L59))</f>
        <v/>
      </c>
      <c r="P1339" s="18" t="str">
        <f>IF('Classe Terminale D'!$B59="","",N('Classe Terminale D'!M59))</f>
        <v/>
      </c>
      <c r="Q1339" s="17" t="str">
        <f>IF('Classe Terminale D'!$B59="","",IF('Classe Terminale D'!Q59="","",'Classe Terminale D'!Q59))</f>
        <v/>
      </c>
      <c r="R1339" s="18" t="str">
        <f>IF('Classe Terminale D'!$B59="","",N('Classe Terminale D'!N59))</f>
        <v/>
      </c>
      <c r="S1339" s="18" t="str">
        <f>IF('Classe Terminale D'!$B59="","",N('Classe Terminale D'!O59))</f>
        <v/>
      </c>
      <c r="T1339" s="18" t="str">
        <f>IF('Classe Terminale D'!$B59="","",N('Classe Terminale D'!P59))</f>
        <v/>
      </c>
    </row>
    <row r="1340">
      <c r="A1340" s="20" t="str">
        <f>IF('Classe Terminale D'!$B60="","",IF('Classe Terminale D'!A60="","",'Classe Terminale D'!A60))</f>
        <v/>
      </c>
      <c r="B1340" s="20" t="str">
        <f>IF('Classe Terminale D'!$B60="","",IF('Classe Terminale D'!B60="","",'Classe Terminale D'!B60))</f>
        <v/>
      </c>
      <c r="C1340" s="20" t="str">
        <f>IF('Classe Terminale D'!$B60="","",IF('Classe Terminale D'!C60="","",'Classe Terminale D'!C60))</f>
        <v/>
      </c>
      <c r="D1340" s="20" t="str">
        <f>IF($B1340="","",C1340&amp;" "&amp;B1340&amp;" - "&amp;E1340)</f>
        <v/>
      </c>
      <c r="E1340" s="21" t="str">
        <f>IF($B1340="","",Paramètres!$A$31)</f>
        <v/>
      </c>
      <c r="F1340" s="21" t="str">
        <f>IF($B1340="","",Paramètres!$B$31)</f>
        <v/>
      </c>
      <c r="G1340" s="21" t="str">
        <f>IF('Classe Terminale D'!$B60="","",IF('Classe Terminale D'!D60="","",'Classe Terminale D'!D60))</f>
        <v/>
      </c>
      <c r="H1340" s="77" t="str">
        <f>IF('Classe Terminale D'!$B60="","",IF('Classe Terminale D'!E60="","",'Classe Terminale D'!E60))</f>
        <v/>
      </c>
      <c r="I1340" s="20" t="str">
        <f>IF('Classe Terminale D'!$B60="","",IF('Classe Terminale D'!F60="","",'Classe Terminale D'!F60))</f>
        <v/>
      </c>
      <c r="J1340" s="20" t="str">
        <f>IF('Classe Terminale D'!$B60="","",IF('Classe Terminale D'!G60="","",'Classe Terminale D'!G60))</f>
        <v/>
      </c>
      <c r="K1340" s="51" t="str">
        <f>IF('Classe Terminale D'!$B60="","",N('Classe Terminale D'!H60))</f>
        <v/>
      </c>
      <c r="L1340" s="51" t="str">
        <f>IF('Classe Terminale D'!$B60="","",N('Classe Terminale D'!I60))</f>
        <v/>
      </c>
      <c r="M1340" s="51" t="str">
        <f>IF('Classe Terminale D'!$B60="","",N('Classe Terminale D'!J60))</f>
        <v/>
      </c>
      <c r="N1340" s="51" t="str">
        <f>IF('Classe Terminale D'!$B60="","",N('Classe Terminale D'!K60))</f>
        <v/>
      </c>
      <c r="O1340" s="51" t="str">
        <f>IF('Classe Terminale D'!$B60="","",N('Classe Terminale D'!L60))</f>
        <v/>
      </c>
      <c r="P1340" s="51" t="str">
        <f>IF('Classe Terminale D'!$B60="","",N('Classe Terminale D'!M60))</f>
        <v/>
      </c>
      <c r="Q1340" s="21" t="str">
        <f>IF('Classe Terminale D'!$B60="","",IF('Classe Terminale D'!Q60="","",'Classe Terminale D'!Q60))</f>
        <v/>
      </c>
      <c r="R1340" s="51" t="str">
        <f>IF('Classe Terminale D'!$B60="","",N('Classe Terminale D'!N60))</f>
        <v/>
      </c>
      <c r="S1340" s="51" t="str">
        <f>IF('Classe Terminale D'!$B60="","",N('Classe Terminale D'!O60))</f>
        <v/>
      </c>
      <c r="T1340" s="51" t="str">
        <f>IF('Classe Terminale D'!$B60="","",N('Classe Terminale D'!P60))</f>
        <v/>
      </c>
    </row>
    <row r="1341">
      <c r="A1341" s="16" t="str">
        <f>IF('Classe Terminale D'!$B61="","",IF('Classe Terminale D'!A61="","",'Classe Terminale D'!A61))</f>
        <v/>
      </c>
      <c r="B1341" s="16" t="str">
        <f>IF('Classe Terminale D'!$B61="","",IF('Classe Terminale D'!B61="","",'Classe Terminale D'!B61))</f>
        <v/>
      </c>
      <c r="C1341" s="16" t="str">
        <f>IF('Classe Terminale D'!$B61="","",IF('Classe Terminale D'!C61="","",'Classe Terminale D'!C61))</f>
        <v/>
      </c>
      <c r="D1341" s="16" t="str">
        <f>IF($B1341="","",C1341&amp;" "&amp;B1341&amp;" - "&amp;E1341)</f>
        <v/>
      </c>
      <c r="E1341" s="17" t="str">
        <f>IF($B1341="","",Paramètres!$A$31)</f>
        <v/>
      </c>
      <c r="F1341" s="17" t="str">
        <f>IF($B1341="","",Paramètres!$B$31)</f>
        <v/>
      </c>
      <c r="G1341" s="17" t="str">
        <f>IF('Classe Terminale D'!$B61="","",IF('Classe Terminale D'!D61="","",'Classe Terminale D'!D61))</f>
        <v/>
      </c>
      <c r="H1341" s="78" t="str">
        <f>IF('Classe Terminale D'!$B61="","",IF('Classe Terminale D'!E61="","",'Classe Terminale D'!E61))</f>
        <v/>
      </c>
      <c r="I1341" s="16" t="str">
        <f>IF('Classe Terminale D'!$B61="","",IF('Classe Terminale D'!F61="","",'Classe Terminale D'!F61))</f>
        <v/>
      </c>
      <c r="J1341" s="16" t="str">
        <f>IF('Classe Terminale D'!$B61="","",IF('Classe Terminale D'!G61="","",'Classe Terminale D'!G61))</f>
        <v/>
      </c>
      <c r="K1341" s="18" t="str">
        <f>IF('Classe Terminale D'!$B61="","",N('Classe Terminale D'!H61))</f>
        <v/>
      </c>
      <c r="L1341" s="18" t="str">
        <f>IF('Classe Terminale D'!$B61="","",N('Classe Terminale D'!I61))</f>
        <v/>
      </c>
      <c r="M1341" s="18" t="str">
        <f>IF('Classe Terminale D'!$B61="","",N('Classe Terminale D'!J61))</f>
        <v/>
      </c>
      <c r="N1341" s="18" t="str">
        <f>IF('Classe Terminale D'!$B61="","",N('Classe Terminale D'!K61))</f>
        <v/>
      </c>
      <c r="O1341" s="18" t="str">
        <f>IF('Classe Terminale D'!$B61="","",N('Classe Terminale D'!L61))</f>
        <v/>
      </c>
      <c r="P1341" s="18" t="str">
        <f>IF('Classe Terminale D'!$B61="","",N('Classe Terminale D'!M61))</f>
        <v/>
      </c>
      <c r="Q1341" s="17" t="str">
        <f>IF('Classe Terminale D'!$B61="","",IF('Classe Terminale D'!Q61="","",'Classe Terminale D'!Q61))</f>
        <v/>
      </c>
      <c r="R1341" s="18" t="str">
        <f>IF('Classe Terminale D'!$B61="","",N('Classe Terminale D'!N61))</f>
        <v/>
      </c>
      <c r="S1341" s="18" t="str">
        <f>IF('Classe Terminale D'!$B61="","",N('Classe Terminale D'!O61))</f>
        <v/>
      </c>
      <c r="T1341" s="18" t="str">
        <f>IF('Classe Terminale D'!$B61="","",N('Classe Terminale D'!P61))</f>
        <v/>
      </c>
    </row>
    <row r="1342">
      <c r="A1342" s="20" t="str">
        <f>IF('Classe Terminale D'!$B62="","",IF('Classe Terminale D'!A62="","",'Classe Terminale D'!A62))</f>
        <v/>
      </c>
      <c r="B1342" s="20" t="str">
        <f>IF('Classe Terminale D'!$B62="","",IF('Classe Terminale D'!B62="","",'Classe Terminale D'!B62))</f>
        <v/>
      </c>
      <c r="C1342" s="20" t="str">
        <f>IF('Classe Terminale D'!$B62="","",IF('Classe Terminale D'!C62="","",'Classe Terminale D'!C62))</f>
        <v/>
      </c>
      <c r="D1342" s="20" t="str">
        <f>IF($B1342="","",C1342&amp;" "&amp;B1342&amp;" - "&amp;E1342)</f>
        <v/>
      </c>
      <c r="E1342" s="21" t="str">
        <f>IF($B1342="","",Paramètres!$A$31)</f>
        <v/>
      </c>
      <c r="F1342" s="21" t="str">
        <f>IF($B1342="","",Paramètres!$B$31)</f>
        <v/>
      </c>
      <c r="G1342" s="21" t="str">
        <f>IF('Classe Terminale D'!$B62="","",IF('Classe Terminale D'!D62="","",'Classe Terminale D'!D62))</f>
        <v/>
      </c>
      <c r="H1342" s="77" t="str">
        <f>IF('Classe Terminale D'!$B62="","",IF('Classe Terminale D'!E62="","",'Classe Terminale D'!E62))</f>
        <v/>
      </c>
      <c r="I1342" s="20" t="str">
        <f>IF('Classe Terminale D'!$B62="","",IF('Classe Terminale D'!F62="","",'Classe Terminale D'!F62))</f>
        <v/>
      </c>
      <c r="J1342" s="20" t="str">
        <f>IF('Classe Terminale D'!$B62="","",IF('Classe Terminale D'!G62="","",'Classe Terminale D'!G62))</f>
        <v/>
      </c>
      <c r="K1342" s="51" t="str">
        <f>IF('Classe Terminale D'!$B62="","",N('Classe Terminale D'!H62))</f>
        <v/>
      </c>
      <c r="L1342" s="51" t="str">
        <f>IF('Classe Terminale D'!$B62="","",N('Classe Terminale D'!I62))</f>
        <v/>
      </c>
      <c r="M1342" s="51" t="str">
        <f>IF('Classe Terminale D'!$B62="","",N('Classe Terminale D'!J62))</f>
        <v/>
      </c>
      <c r="N1342" s="51" t="str">
        <f>IF('Classe Terminale D'!$B62="","",N('Classe Terminale D'!K62))</f>
        <v/>
      </c>
      <c r="O1342" s="51" t="str">
        <f>IF('Classe Terminale D'!$B62="","",N('Classe Terminale D'!L62))</f>
        <v/>
      </c>
      <c r="P1342" s="51" t="str">
        <f>IF('Classe Terminale D'!$B62="","",N('Classe Terminale D'!M62))</f>
        <v/>
      </c>
      <c r="Q1342" s="21" t="str">
        <f>IF('Classe Terminale D'!$B62="","",IF('Classe Terminale D'!Q62="","",'Classe Terminale D'!Q62))</f>
        <v/>
      </c>
      <c r="R1342" s="51" t="str">
        <f>IF('Classe Terminale D'!$B62="","",N('Classe Terminale D'!N62))</f>
        <v/>
      </c>
      <c r="S1342" s="51" t="str">
        <f>IF('Classe Terminale D'!$B62="","",N('Classe Terminale D'!O62))</f>
        <v/>
      </c>
      <c r="T1342" s="51" t="str">
        <f>IF('Classe Terminale D'!$B62="","",N('Classe Terminale D'!P62))</f>
        <v/>
      </c>
    </row>
    <row r="1343">
      <c r="A1343" s="16" t="str">
        <f>IF('Classe Terminale D'!$B63="","",IF('Classe Terminale D'!A63="","",'Classe Terminale D'!A63))</f>
        <v/>
      </c>
      <c r="B1343" s="16" t="str">
        <f>IF('Classe Terminale D'!$B63="","",IF('Classe Terminale D'!B63="","",'Classe Terminale D'!B63))</f>
        <v/>
      </c>
      <c r="C1343" s="16" t="str">
        <f>IF('Classe Terminale D'!$B63="","",IF('Classe Terminale D'!C63="","",'Classe Terminale D'!C63))</f>
        <v/>
      </c>
      <c r="D1343" s="16" t="str">
        <f>IF($B1343="","",C1343&amp;" "&amp;B1343&amp;" - "&amp;E1343)</f>
        <v/>
      </c>
      <c r="E1343" s="17" t="str">
        <f>IF($B1343="","",Paramètres!$A$31)</f>
        <v/>
      </c>
      <c r="F1343" s="17" t="str">
        <f>IF($B1343="","",Paramètres!$B$31)</f>
        <v/>
      </c>
      <c r="G1343" s="17" t="str">
        <f>IF('Classe Terminale D'!$B63="","",IF('Classe Terminale D'!D63="","",'Classe Terminale D'!D63))</f>
        <v/>
      </c>
      <c r="H1343" s="78" t="str">
        <f>IF('Classe Terminale D'!$B63="","",IF('Classe Terminale D'!E63="","",'Classe Terminale D'!E63))</f>
        <v/>
      </c>
      <c r="I1343" s="16" t="str">
        <f>IF('Classe Terminale D'!$B63="","",IF('Classe Terminale D'!F63="","",'Classe Terminale D'!F63))</f>
        <v/>
      </c>
      <c r="J1343" s="16" t="str">
        <f>IF('Classe Terminale D'!$B63="","",IF('Classe Terminale D'!G63="","",'Classe Terminale D'!G63))</f>
        <v/>
      </c>
      <c r="K1343" s="18" t="str">
        <f>IF('Classe Terminale D'!$B63="","",N('Classe Terminale D'!H63))</f>
        <v/>
      </c>
      <c r="L1343" s="18" t="str">
        <f>IF('Classe Terminale D'!$B63="","",N('Classe Terminale D'!I63))</f>
        <v/>
      </c>
      <c r="M1343" s="18" t="str">
        <f>IF('Classe Terminale D'!$B63="","",N('Classe Terminale D'!J63))</f>
        <v/>
      </c>
      <c r="N1343" s="18" t="str">
        <f>IF('Classe Terminale D'!$B63="","",N('Classe Terminale D'!K63))</f>
        <v/>
      </c>
      <c r="O1343" s="18" t="str">
        <f>IF('Classe Terminale D'!$B63="","",N('Classe Terminale D'!L63))</f>
        <v/>
      </c>
      <c r="P1343" s="18" t="str">
        <f>IF('Classe Terminale D'!$B63="","",N('Classe Terminale D'!M63))</f>
        <v/>
      </c>
      <c r="Q1343" s="17" t="str">
        <f>IF('Classe Terminale D'!$B63="","",IF('Classe Terminale D'!Q63="","",'Classe Terminale D'!Q63))</f>
        <v/>
      </c>
      <c r="R1343" s="18" t="str">
        <f>IF('Classe Terminale D'!$B63="","",N('Classe Terminale D'!N63))</f>
        <v/>
      </c>
      <c r="S1343" s="18" t="str">
        <f>IF('Classe Terminale D'!$B63="","",N('Classe Terminale D'!O63))</f>
        <v/>
      </c>
      <c r="T1343" s="18" t="str">
        <f>IF('Classe Terminale D'!$B63="","",N('Classe Terminale D'!P63))</f>
        <v/>
      </c>
    </row>
    <row r="1344">
      <c r="A1344" s="20" t="str">
        <f>IF('Classe Terminale D'!$B64="","",IF('Classe Terminale D'!A64="","",'Classe Terminale D'!A64))</f>
        <v/>
      </c>
      <c r="B1344" s="20" t="str">
        <f>IF('Classe Terminale D'!$B64="","",IF('Classe Terminale D'!B64="","",'Classe Terminale D'!B64))</f>
        <v/>
      </c>
      <c r="C1344" s="20" t="str">
        <f>IF('Classe Terminale D'!$B64="","",IF('Classe Terminale D'!C64="","",'Classe Terminale D'!C64))</f>
        <v/>
      </c>
      <c r="D1344" s="20" t="str">
        <f>IF($B1344="","",C1344&amp;" "&amp;B1344&amp;" - "&amp;E1344)</f>
        <v/>
      </c>
      <c r="E1344" s="21" t="str">
        <f>IF($B1344="","",Paramètres!$A$31)</f>
        <v/>
      </c>
      <c r="F1344" s="21" t="str">
        <f>IF($B1344="","",Paramètres!$B$31)</f>
        <v/>
      </c>
      <c r="G1344" s="21" t="str">
        <f>IF('Classe Terminale D'!$B64="","",IF('Classe Terminale D'!D64="","",'Classe Terminale D'!D64))</f>
        <v/>
      </c>
      <c r="H1344" s="77" t="str">
        <f>IF('Classe Terminale D'!$B64="","",IF('Classe Terminale D'!E64="","",'Classe Terminale D'!E64))</f>
        <v/>
      </c>
      <c r="I1344" s="20" t="str">
        <f>IF('Classe Terminale D'!$B64="","",IF('Classe Terminale D'!F64="","",'Classe Terminale D'!F64))</f>
        <v/>
      </c>
      <c r="J1344" s="20" t="str">
        <f>IF('Classe Terminale D'!$B64="","",IF('Classe Terminale D'!G64="","",'Classe Terminale D'!G64))</f>
        <v/>
      </c>
      <c r="K1344" s="51" t="str">
        <f>IF('Classe Terminale D'!$B64="","",N('Classe Terminale D'!H64))</f>
        <v/>
      </c>
      <c r="L1344" s="51" t="str">
        <f>IF('Classe Terminale D'!$B64="","",N('Classe Terminale D'!I64))</f>
        <v/>
      </c>
      <c r="M1344" s="51" t="str">
        <f>IF('Classe Terminale D'!$B64="","",N('Classe Terminale D'!J64))</f>
        <v/>
      </c>
      <c r="N1344" s="51" t="str">
        <f>IF('Classe Terminale D'!$B64="","",N('Classe Terminale D'!K64))</f>
        <v/>
      </c>
      <c r="O1344" s="51" t="str">
        <f>IF('Classe Terminale D'!$B64="","",N('Classe Terminale D'!L64))</f>
        <v/>
      </c>
      <c r="P1344" s="51" t="str">
        <f>IF('Classe Terminale D'!$B64="","",N('Classe Terminale D'!M64))</f>
        <v/>
      </c>
      <c r="Q1344" s="21" t="str">
        <f>IF('Classe Terminale D'!$B64="","",IF('Classe Terminale D'!Q64="","",'Classe Terminale D'!Q64))</f>
        <v/>
      </c>
      <c r="R1344" s="51" t="str">
        <f>IF('Classe Terminale D'!$B64="","",N('Classe Terminale D'!N64))</f>
        <v/>
      </c>
      <c r="S1344" s="51" t="str">
        <f>IF('Classe Terminale D'!$B64="","",N('Classe Terminale D'!O64))</f>
        <v/>
      </c>
      <c r="T1344" s="51" t="str">
        <f>IF('Classe Terminale D'!$B64="","",N('Classe Terminale D'!P64))</f>
        <v/>
      </c>
    </row>
    <row r="1345">
      <c r="A1345" s="16" t="str">
        <f>IF('Classe Terminale D'!$B65="","",IF('Classe Terminale D'!A65="","",'Classe Terminale D'!A65))</f>
        <v/>
      </c>
      <c r="B1345" s="16" t="str">
        <f>IF('Classe Terminale D'!$B65="","",IF('Classe Terminale D'!B65="","",'Classe Terminale D'!B65))</f>
        <v/>
      </c>
      <c r="C1345" s="16" t="str">
        <f>IF('Classe Terminale D'!$B65="","",IF('Classe Terminale D'!C65="","",'Classe Terminale D'!C65))</f>
        <v/>
      </c>
      <c r="D1345" s="16" t="str">
        <f>IF($B1345="","",C1345&amp;" "&amp;B1345&amp;" - "&amp;E1345)</f>
        <v/>
      </c>
      <c r="E1345" s="17" t="str">
        <f>IF($B1345="","",Paramètres!$A$31)</f>
        <v/>
      </c>
      <c r="F1345" s="17" t="str">
        <f>IF($B1345="","",Paramètres!$B$31)</f>
        <v/>
      </c>
      <c r="G1345" s="17" t="str">
        <f>IF('Classe Terminale D'!$B65="","",IF('Classe Terminale D'!D65="","",'Classe Terminale D'!D65))</f>
        <v/>
      </c>
      <c r="H1345" s="78" t="str">
        <f>IF('Classe Terminale D'!$B65="","",IF('Classe Terminale D'!E65="","",'Classe Terminale D'!E65))</f>
        <v/>
      </c>
      <c r="I1345" s="16" t="str">
        <f>IF('Classe Terminale D'!$B65="","",IF('Classe Terminale D'!F65="","",'Classe Terminale D'!F65))</f>
        <v/>
      </c>
      <c r="J1345" s="16" t="str">
        <f>IF('Classe Terminale D'!$B65="","",IF('Classe Terminale D'!G65="","",'Classe Terminale D'!G65))</f>
        <v/>
      </c>
      <c r="K1345" s="18" t="str">
        <f>IF('Classe Terminale D'!$B65="","",N('Classe Terminale D'!H65))</f>
        <v/>
      </c>
      <c r="L1345" s="18" t="str">
        <f>IF('Classe Terminale D'!$B65="","",N('Classe Terminale D'!I65))</f>
        <v/>
      </c>
      <c r="M1345" s="18" t="str">
        <f>IF('Classe Terminale D'!$B65="","",N('Classe Terminale D'!J65))</f>
        <v/>
      </c>
      <c r="N1345" s="18" t="str">
        <f>IF('Classe Terminale D'!$B65="","",N('Classe Terminale D'!K65))</f>
        <v/>
      </c>
      <c r="O1345" s="18" t="str">
        <f>IF('Classe Terminale D'!$B65="","",N('Classe Terminale D'!L65))</f>
        <v/>
      </c>
      <c r="P1345" s="18" t="str">
        <f>IF('Classe Terminale D'!$B65="","",N('Classe Terminale D'!M65))</f>
        <v/>
      </c>
      <c r="Q1345" s="17" t="str">
        <f>IF('Classe Terminale D'!$B65="","",IF('Classe Terminale D'!Q65="","",'Classe Terminale D'!Q65))</f>
        <v/>
      </c>
      <c r="R1345" s="18" t="str">
        <f>IF('Classe Terminale D'!$B65="","",N('Classe Terminale D'!N65))</f>
        <v/>
      </c>
      <c r="S1345" s="18" t="str">
        <f>IF('Classe Terminale D'!$B65="","",N('Classe Terminale D'!O65))</f>
        <v/>
      </c>
      <c r="T1345" s="18" t="str">
        <f>IF('Classe Terminale D'!$B65="","",N('Classe Terminale D'!P65))</f>
        <v/>
      </c>
    </row>
    <row r="1346">
      <c r="A1346" s="20" t="str">
        <f>IF('Classe Terminale D'!$B66="","",IF('Classe Terminale D'!A66="","",'Classe Terminale D'!A66))</f>
        <v/>
      </c>
      <c r="B1346" s="20" t="str">
        <f>IF('Classe Terminale D'!$B66="","",IF('Classe Terminale D'!B66="","",'Classe Terminale D'!B66))</f>
        <v/>
      </c>
      <c r="C1346" s="20" t="str">
        <f>IF('Classe Terminale D'!$B66="","",IF('Classe Terminale D'!C66="","",'Classe Terminale D'!C66))</f>
        <v/>
      </c>
      <c r="D1346" s="20" t="str">
        <f>IF($B1346="","",C1346&amp;" "&amp;B1346&amp;" - "&amp;E1346)</f>
        <v/>
      </c>
      <c r="E1346" s="21" t="str">
        <f>IF($B1346="","",Paramètres!$A$31)</f>
        <v/>
      </c>
      <c r="F1346" s="21" t="str">
        <f>IF($B1346="","",Paramètres!$B$31)</f>
        <v/>
      </c>
      <c r="G1346" s="21" t="str">
        <f>IF('Classe Terminale D'!$B66="","",IF('Classe Terminale D'!D66="","",'Classe Terminale D'!D66))</f>
        <v/>
      </c>
      <c r="H1346" s="77" t="str">
        <f>IF('Classe Terminale D'!$B66="","",IF('Classe Terminale D'!E66="","",'Classe Terminale D'!E66))</f>
        <v/>
      </c>
      <c r="I1346" s="20" t="str">
        <f>IF('Classe Terminale D'!$B66="","",IF('Classe Terminale D'!F66="","",'Classe Terminale D'!F66))</f>
        <v/>
      </c>
      <c r="J1346" s="20" t="str">
        <f>IF('Classe Terminale D'!$B66="","",IF('Classe Terminale D'!G66="","",'Classe Terminale D'!G66))</f>
        <v/>
      </c>
      <c r="K1346" s="51" t="str">
        <f>IF('Classe Terminale D'!$B66="","",N('Classe Terminale D'!H66))</f>
        <v/>
      </c>
      <c r="L1346" s="51" t="str">
        <f>IF('Classe Terminale D'!$B66="","",N('Classe Terminale D'!I66))</f>
        <v/>
      </c>
      <c r="M1346" s="51" t="str">
        <f>IF('Classe Terminale D'!$B66="","",N('Classe Terminale D'!J66))</f>
        <v/>
      </c>
      <c r="N1346" s="51" t="str">
        <f>IF('Classe Terminale D'!$B66="","",N('Classe Terminale D'!K66))</f>
        <v/>
      </c>
      <c r="O1346" s="51" t="str">
        <f>IF('Classe Terminale D'!$B66="","",N('Classe Terminale D'!L66))</f>
        <v/>
      </c>
      <c r="P1346" s="51" t="str">
        <f>IF('Classe Terminale D'!$B66="","",N('Classe Terminale D'!M66))</f>
        <v/>
      </c>
      <c r="Q1346" s="21" t="str">
        <f>IF('Classe Terminale D'!$B66="","",IF('Classe Terminale D'!Q66="","",'Classe Terminale D'!Q66))</f>
        <v/>
      </c>
      <c r="R1346" s="51" t="str">
        <f>IF('Classe Terminale D'!$B66="","",N('Classe Terminale D'!N66))</f>
        <v/>
      </c>
      <c r="S1346" s="51" t="str">
        <f>IF('Classe Terminale D'!$B66="","",N('Classe Terminale D'!O66))</f>
        <v/>
      </c>
      <c r="T1346" s="51" t="str">
        <f>IF('Classe Terminale D'!$B66="","",N('Classe Terminale D'!P66))</f>
        <v/>
      </c>
    </row>
    <row r="1347">
      <c r="A1347" s="16" t="str">
        <f>IF('Classe Terminale D'!$B67="","",IF('Classe Terminale D'!A67="","",'Classe Terminale D'!A67))</f>
        <v/>
      </c>
      <c r="B1347" s="16" t="str">
        <f>IF('Classe Terminale D'!$B67="","",IF('Classe Terminale D'!B67="","",'Classe Terminale D'!B67))</f>
        <v/>
      </c>
      <c r="C1347" s="16" t="str">
        <f>IF('Classe Terminale D'!$B67="","",IF('Classe Terminale D'!C67="","",'Classe Terminale D'!C67))</f>
        <v/>
      </c>
      <c r="D1347" s="16" t="str">
        <f>IF($B1347="","",C1347&amp;" "&amp;B1347&amp;" - "&amp;E1347)</f>
        <v/>
      </c>
      <c r="E1347" s="17" t="str">
        <f>IF($B1347="","",Paramètres!$A$31)</f>
        <v/>
      </c>
      <c r="F1347" s="17" t="str">
        <f>IF($B1347="","",Paramètres!$B$31)</f>
        <v/>
      </c>
      <c r="G1347" s="17" t="str">
        <f>IF('Classe Terminale D'!$B67="","",IF('Classe Terminale D'!D67="","",'Classe Terminale D'!D67))</f>
        <v/>
      </c>
      <c r="H1347" s="78" t="str">
        <f>IF('Classe Terminale D'!$B67="","",IF('Classe Terminale D'!E67="","",'Classe Terminale D'!E67))</f>
        <v/>
      </c>
      <c r="I1347" s="16" t="str">
        <f>IF('Classe Terminale D'!$B67="","",IF('Classe Terminale D'!F67="","",'Classe Terminale D'!F67))</f>
        <v/>
      </c>
      <c r="J1347" s="16" t="str">
        <f>IF('Classe Terminale D'!$B67="","",IF('Classe Terminale D'!G67="","",'Classe Terminale D'!G67))</f>
        <v/>
      </c>
      <c r="K1347" s="18" t="str">
        <f>IF('Classe Terminale D'!$B67="","",N('Classe Terminale D'!H67))</f>
        <v/>
      </c>
      <c r="L1347" s="18" t="str">
        <f>IF('Classe Terminale D'!$B67="","",N('Classe Terminale D'!I67))</f>
        <v/>
      </c>
      <c r="M1347" s="18" t="str">
        <f>IF('Classe Terminale D'!$B67="","",N('Classe Terminale D'!J67))</f>
        <v/>
      </c>
      <c r="N1347" s="18" t="str">
        <f>IF('Classe Terminale D'!$B67="","",N('Classe Terminale D'!K67))</f>
        <v/>
      </c>
      <c r="O1347" s="18" t="str">
        <f>IF('Classe Terminale D'!$B67="","",N('Classe Terminale D'!L67))</f>
        <v/>
      </c>
      <c r="P1347" s="18" t="str">
        <f>IF('Classe Terminale D'!$B67="","",N('Classe Terminale D'!M67))</f>
        <v/>
      </c>
      <c r="Q1347" s="17" t="str">
        <f>IF('Classe Terminale D'!$B67="","",IF('Classe Terminale D'!Q67="","",'Classe Terminale D'!Q67))</f>
        <v/>
      </c>
      <c r="R1347" s="18" t="str">
        <f>IF('Classe Terminale D'!$B67="","",N('Classe Terminale D'!N67))</f>
        <v/>
      </c>
      <c r="S1347" s="18" t="str">
        <f>IF('Classe Terminale D'!$B67="","",N('Classe Terminale D'!O67))</f>
        <v/>
      </c>
      <c r="T1347" s="18" t="str">
        <f>IF('Classe Terminale D'!$B67="","",N('Classe Terminale D'!P67))</f>
        <v/>
      </c>
    </row>
    <row r="1348">
      <c r="A1348" s="20" t="str">
        <f>IF('Classe Terminale D'!$B68="","",IF('Classe Terminale D'!A68="","",'Classe Terminale D'!A68))</f>
        <v/>
      </c>
      <c r="B1348" s="20" t="str">
        <f>IF('Classe Terminale D'!$B68="","",IF('Classe Terminale D'!B68="","",'Classe Terminale D'!B68))</f>
        <v/>
      </c>
      <c r="C1348" s="20" t="str">
        <f>IF('Classe Terminale D'!$B68="","",IF('Classe Terminale D'!C68="","",'Classe Terminale D'!C68))</f>
        <v/>
      </c>
      <c r="D1348" s="20" t="str">
        <f>IF($B1348="","",C1348&amp;" "&amp;B1348&amp;" - "&amp;E1348)</f>
        <v/>
      </c>
      <c r="E1348" s="21" t="str">
        <f>IF($B1348="","",Paramètres!$A$31)</f>
        <v/>
      </c>
      <c r="F1348" s="21" t="str">
        <f>IF($B1348="","",Paramètres!$B$31)</f>
        <v/>
      </c>
      <c r="G1348" s="21" t="str">
        <f>IF('Classe Terminale D'!$B68="","",IF('Classe Terminale D'!D68="","",'Classe Terminale D'!D68))</f>
        <v/>
      </c>
      <c r="H1348" s="77" t="str">
        <f>IF('Classe Terminale D'!$B68="","",IF('Classe Terminale D'!E68="","",'Classe Terminale D'!E68))</f>
        <v/>
      </c>
      <c r="I1348" s="20" t="str">
        <f>IF('Classe Terminale D'!$B68="","",IF('Classe Terminale D'!F68="","",'Classe Terminale D'!F68))</f>
        <v/>
      </c>
      <c r="J1348" s="20" t="str">
        <f>IF('Classe Terminale D'!$B68="","",IF('Classe Terminale D'!G68="","",'Classe Terminale D'!G68))</f>
        <v/>
      </c>
      <c r="K1348" s="51" t="str">
        <f>IF('Classe Terminale D'!$B68="","",N('Classe Terminale D'!H68))</f>
        <v/>
      </c>
      <c r="L1348" s="51" t="str">
        <f>IF('Classe Terminale D'!$B68="","",N('Classe Terminale D'!I68))</f>
        <v/>
      </c>
      <c r="M1348" s="51" t="str">
        <f>IF('Classe Terminale D'!$B68="","",N('Classe Terminale D'!J68))</f>
        <v/>
      </c>
      <c r="N1348" s="51" t="str">
        <f>IF('Classe Terminale D'!$B68="","",N('Classe Terminale D'!K68))</f>
        <v/>
      </c>
      <c r="O1348" s="51" t="str">
        <f>IF('Classe Terminale D'!$B68="","",N('Classe Terminale D'!L68))</f>
        <v/>
      </c>
      <c r="P1348" s="51" t="str">
        <f>IF('Classe Terminale D'!$B68="","",N('Classe Terminale D'!M68))</f>
        <v/>
      </c>
      <c r="Q1348" s="21" t="str">
        <f>IF('Classe Terminale D'!$B68="","",IF('Classe Terminale D'!Q68="","",'Classe Terminale D'!Q68))</f>
        <v/>
      </c>
      <c r="R1348" s="51" t="str">
        <f>IF('Classe Terminale D'!$B68="","",N('Classe Terminale D'!N68))</f>
        <v/>
      </c>
      <c r="S1348" s="51" t="str">
        <f>IF('Classe Terminale D'!$B68="","",N('Classe Terminale D'!O68))</f>
        <v/>
      </c>
      <c r="T1348" s="51" t="str">
        <f>IF('Classe Terminale D'!$B68="","",N('Classe Terminale D'!P68))</f>
        <v/>
      </c>
    </row>
    <row r="1349">
      <c r="A1349" s="16" t="str">
        <f>IF('Classe Terminale D'!$B69="","",IF('Classe Terminale D'!A69="","",'Classe Terminale D'!A69))</f>
        <v/>
      </c>
      <c r="B1349" s="16" t="str">
        <f>IF('Classe Terminale D'!$B69="","",IF('Classe Terminale D'!B69="","",'Classe Terminale D'!B69))</f>
        <v/>
      </c>
      <c r="C1349" s="16" t="str">
        <f>IF('Classe Terminale D'!$B69="","",IF('Classe Terminale D'!C69="","",'Classe Terminale D'!C69))</f>
        <v/>
      </c>
      <c r="D1349" s="16" t="str">
        <f>IF($B1349="","",C1349&amp;" "&amp;B1349&amp;" - "&amp;E1349)</f>
        <v/>
      </c>
      <c r="E1349" s="17" t="str">
        <f>IF($B1349="","",Paramètres!$A$31)</f>
        <v/>
      </c>
      <c r="F1349" s="17" t="str">
        <f>IF($B1349="","",Paramètres!$B$31)</f>
        <v/>
      </c>
      <c r="G1349" s="17" t="str">
        <f>IF('Classe Terminale D'!$B69="","",IF('Classe Terminale D'!D69="","",'Classe Terminale D'!D69))</f>
        <v/>
      </c>
      <c r="H1349" s="78" t="str">
        <f>IF('Classe Terminale D'!$B69="","",IF('Classe Terminale D'!E69="","",'Classe Terminale D'!E69))</f>
        <v/>
      </c>
      <c r="I1349" s="16" t="str">
        <f>IF('Classe Terminale D'!$B69="","",IF('Classe Terminale D'!F69="","",'Classe Terminale D'!F69))</f>
        <v/>
      </c>
      <c r="J1349" s="16" t="str">
        <f>IF('Classe Terminale D'!$B69="","",IF('Classe Terminale D'!G69="","",'Classe Terminale D'!G69))</f>
        <v/>
      </c>
      <c r="K1349" s="18" t="str">
        <f>IF('Classe Terminale D'!$B69="","",N('Classe Terminale D'!H69))</f>
        <v/>
      </c>
      <c r="L1349" s="18" t="str">
        <f>IF('Classe Terminale D'!$B69="","",N('Classe Terminale D'!I69))</f>
        <v/>
      </c>
      <c r="M1349" s="18" t="str">
        <f>IF('Classe Terminale D'!$B69="","",N('Classe Terminale D'!J69))</f>
        <v/>
      </c>
      <c r="N1349" s="18" t="str">
        <f>IF('Classe Terminale D'!$B69="","",N('Classe Terminale D'!K69))</f>
        <v/>
      </c>
      <c r="O1349" s="18" t="str">
        <f>IF('Classe Terminale D'!$B69="","",N('Classe Terminale D'!L69))</f>
        <v/>
      </c>
      <c r="P1349" s="18" t="str">
        <f>IF('Classe Terminale D'!$B69="","",N('Classe Terminale D'!M69))</f>
        <v/>
      </c>
      <c r="Q1349" s="17" t="str">
        <f>IF('Classe Terminale D'!$B69="","",IF('Classe Terminale D'!Q69="","",'Classe Terminale D'!Q69))</f>
        <v/>
      </c>
      <c r="R1349" s="18" t="str">
        <f>IF('Classe Terminale D'!$B69="","",N('Classe Terminale D'!N69))</f>
        <v/>
      </c>
      <c r="S1349" s="18" t="str">
        <f>IF('Classe Terminale D'!$B69="","",N('Classe Terminale D'!O69))</f>
        <v/>
      </c>
      <c r="T1349" s="18" t="str">
        <f>IF('Classe Terminale D'!$B69="","",N('Classe Terminale D'!P69))</f>
        <v/>
      </c>
    </row>
    <row r="1350">
      <c r="A1350" s="20" t="str">
        <f>IF('Classe Terminale D'!$B70="","",IF('Classe Terminale D'!A70="","",'Classe Terminale D'!A70))</f>
        <v/>
      </c>
      <c r="B1350" s="20" t="str">
        <f>IF('Classe Terminale D'!$B70="","",IF('Classe Terminale D'!B70="","",'Classe Terminale D'!B70))</f>
        <v/>
      </c>
      <c r="C1350" s="20" t="str">
        <f>IF('Classe Terminale D'!$B70="","",IF('Classe Terminale D'!C70="","",'Classe Terminale D'!C70))</f>
        <v/>
      </c>
      <c r="D1350" s="20" t="str">
        <f>IF($B1350="","",C1350&amp;" "&amp;B1350&amp;" - "&amp;E1350)</f>
        <v/>
      </c>
      <c r="E1350" s="21" t="str">
        <f>IF($B1350="","",Paramètres!$A$31)</f>
        <v/>
      </c>
      <c r="F1350" s="21" t="str">
        <f>IF($B1350="","",Paramètres!$B$31)</f>
        <v/>
      </c>
      <c r="G1350" s="21" t="str">
        <f>IF('Classe Terminale D'!$B70="","",IF('Classe Terminale D'!D70="","",'Classe Terminale D'!D70))</f>
        <v/>
      </c>
      <c r="H1350" s="77" t="str">
        <f>IF('Classe Terminale D'!$B70="","",IF('Classe Terminale D'!E70="","",'Classe Terminale D'!E70))</f>
        <v/>
      </c>
      <c r="I1350" s="20" t="str">
        <f>IF('Classe Terminale D'!$B70="","",IF('Classe Terminale D'!F70="","",'Classe Terminale D'!F70))</f>
        <v/>
      </c>
      <c r="J1350" s="20" t="str">
        <f>IF('Classe Terminale D'!$B70="","",IF('Classe Terminale D'!G70="","",'Classe Terminale D'!G70))</f>
        <v/>
      </c>
      <c r="K1350" s="51" t="str">
        <f>IF('Classe Terminale D'!$B70="","",N('Classe Terminale D'!H70))</f>
        <v/>
      </c>
      <c r="L1350" s="51" t="str">
        <f>IF('Classe Terminale D'!$B70="","",N('Classe Terminale D'!I70))</f>
        <v/>
      </c>
      <c r="M1350" s="51" t="str">
        <f>IF('Classe Terminale D'!$B70="","",N('Classe Terminale D'!J70))</f>
        <v/>
      </c>
      <c r="N1350" s="51" t="str">
        <f>IF('Classe Terminale D'!$B70="","",N('Classe Terminale D'!K70))</f>
        <v/>
      </c>
      <c r="O1350" s="51" t="str">
        <f>IF('Classe Terminale D'!$B70="","",N('Classe Terminale D'!L70))</f>
        <v/>
      </c>
      <c r="P1350" s="51" t="str">
        <f>IF('Classe Terminale D'!$B70="","",N('Classe Terminale D'!M70))</f>
        <v/>
      </c>
      <c r="Q1350" s="21" t="str">
        <f>IF('Classe Terminale D'!$B70="","",IF('Classe Terminale D'!Q70="","",'Classe Terminale D'!Q70))</f>
        <v/>
      </c>
      <c r="R1350" s="51" t="str">
        <f>IF('Classe Terminale D'!$B70="","",N('Classe Terminale D'!N70))</f>
        <v/>
      </c>
      <c r="S1350" s="51" t="str">
        <f>IF('Classe Terminale D'!$B70="","",N('Classe Terminale D'!O70))</f>
        <v/>
      </c>
      <c r="T1350" s="51" t="str">
        <f>IF('Classe Terminale D'!$B70="","",N('Classe Terminale D'!P70))</f>
        <v/>
      </c>
    </row>
    <row r="1351">
      <c r="A1351" s="16" t="str">
        <f>IF('Classe Terminale D'!$B71="","",IF('Classe Terminale D'!A71="","",'Classe Terminale D'!A71))</f>
        <v/>
      </c>
      <c r="B1351" s="16" t="str">
        <f>IF('Classe Terminale D'!$B71="","",IF('Classe Terminale D'!B71="","",'Classe Terminale D'!B71))</f>
        <v/>
      </c>
      <c r="C1351" s="16" t="str">
        <f>IF('Classe Terminale D'!$B71="","",IF('Classe Terminale D'!C71="","",'Classe Terminale D'!C71))</f>
        <v/>
      </c>
      <c r="D1351" s="16" t="str">
        <f>IF($B1351="","",C1351&amp;" "&amp;B1351&amp;" - "&amp;E1351)</f>
        <v/>
      </c>
      <c r="E1351" s="17" t="str">
        <f>IF($B1351="","",Paramètres!$A$31)</f>
        <v/>
      </c>
      <c r="F1351" s="17" t="str">
        <f>IF($B1351="","",Paramètres!$B$31)</f>
        <v/>
      </c>
      <c r="G1351" s="17" t="str">
        <f>IF('Classe Terminale D'!$B71="","",IF('Classe Terminale D'!D71="","",'Classe Terminale D'!D71))</f>
        <v/>
      </c>
      <c r="H1351" s="78" t="str">
        <f>IF('Classe Terminale D'!$B71="","",IF('Classe Terminale D'!E71="","",'Classe Terminale D'!E71))</f>
        <v/>
      </c>
      <c r="I1351" s="16" t="str">
        <f>IF('Classe Terminale D'!$B71="","",IF('Classe Terminale D'!F71="","",'Classe Terminale D'!F71))</f>
        <v/>
      </c>
      <c r="J1351" s="16" t="str">
        <f>IF('Classe Terminale D'!$B71="","",IF('Classe Terminale D'!G71="","",'Classe Terminale D'!G71))</f>
        <v/>
      </c>
      <c r="K1351" s="18" t="str">
        <f>IF('Classe Terminale D'!$B71="","",N('Classe Terminale D'!H71))</f>
        <v/>
      </c>
      <c r="L1351" s="18" t="str">
        <f>IF('Classe Terminale D'!$B71="","",N('Classe Terminale D'!I71))</f>
        <v/>
      </c>
      <c r="M1351" s="18" t="str">
        <f>IF('Classe Terminale D'!$B71="","",N('Classe Terminale D'!J71))</f>
        <v/>
      </c>
      <c r="N1351" s="18" t="str">
        <f>IF('Classe Terminale D'!$B71="","",N('Classe Terminale D'!K71))</f>
        <v/>
      </c>
      <c r="O1351" s="18" t="str">
        <f>IF('Classe Terminale D'!$B71="","",N('Classe Terminale D'!L71))</f>
        <v/>
      </c>
      <c r="P1351" s="18" t="str">
        <f>IF('Classe Terminale D'!$B71="","",N('Classe Terminale D'!M71))</f>
        <v/>
      </c>
      <c r="Q1351" s="17" t="str">
        <f>IF('Classe Terminale D'!$B71="","",IF('Classe Terminale D'!Q71="","",'Classe Terminale D'!Q71))</f>
        <v/>
      </c>
      <c r="R1351" s="18" t="str">
        <f>IF('Classe Terminale D'!$B71="","",N('Classe Terminale D'!N71))</f>
        <v/>
      </c>
      <c r="S1351" s="18" t="str">
        <f>IF('Classe Terminale D'!$B71="","",N('Classe Terminale D'!O71))</f>
        <v/>
      </c>
      <c r="T1351" s="18" t="str">
        <f>IF('Classe Terminale D'!$B71="","",N('Classe Terminale D'!P71))</f>
        <v/>
      </c>
    </row>
    <row r="1352">
      <c r="A1352" s="20" t="str">
        <f>IF('Classe Terminale D'!$B72="","",IF('Classe Terminale D'!A72="","",'Classe Terminale D'!A72))</f>
        <v/>
      </c>
      <c r="B1352" s="20" t="str">
        <f>IF('Classe Terminale D'!$B72="","",IF('Classe Terminale D'!B72="","",'Classe Terminale D'!B72))</f>
        <v/>
      </c>
      <c r="C1352" s="20" t="str">
        <f>IF('Classe Terminale D'!$B72="","",IF('Classe Terminale D'!C72="","",'Classe Terminale D'!C72))</f>
        <v/>
      </c>
      <c r="D1352" s="20" t="str">
        <f>IF($B1352="","",C1352&amp;" "&amp;B1352&amp;" - "&amp;E1352)</f>
        <v/>
      </c>
      <c r="E1352" s="21" t="str">
        <f>IF($B1352="","",Paramètres!$A$31)</f>
        <v/>
      </c>
      <c r="F1352" s="21" t="str">
        <f>IF($B1352="","",Paramètres!$B$31)</f>
        <v/>
      </c>
      <c r="G1352" s="21" t="str">
        <f>IF('Classe Terminale D'!$B72="","",IF('Classe Terminale D'!D72="","",'Classe Terminale D'!D72))</f>
        <v/>
      </c>
      <c r="H1352" s="77" t="str">
        <f>IF('Classe Terminale D'!$B72="","",IF('Classe Terminale D'!E72="","",'Classe Terminale D'!E72))</f>
        <v/>
      </c>
      <c r="I1352" s="20" t="str">
        <f>IF('Classe Terminale D'!$B72="","",IF('Classe Terminale D'!F72="","",'Classe Terminale D'!F72))</f>
        <v/>
      </c>
      <c r="J1352" s="20" t="str">
        <f>IF('Classe Terminale D'!$B72="","",IF('Classe Terminale D'!G72="","",'Classe Terminale D'!G72))</f>
        <v/>
      </c>
      <c r="K1352" s="51" t="str">
        <f>IF('Classe Terminale D'!$B72="","",N('Classe Terminale D'!H72))</f>
        <v/>
      </c>
      <c r="L1352" s="51" t="str">
        <f>IF('Classe Terminale D'!$B72="","",N('Classe Terminale D'!I72))</f>
        <v/>
      </c>
      <c r="M1352" s="51" t="str">
        <f>IF('Classe Terminale D'!$B72="","",N('Classe Terminale D'!J72))</f>
        <v/>
      </c>
      <c r="N1352" s="51" t="str">
        <f>IF('Classe Terminale D'!$B72="","",N('Classe Terminale D'!K72))</f>
        <v/>
      </c>
      <c r="O1352" s="51" t="str">
        <f>IF('Classe Terminale D'!$B72="","",N('Classe Terminale D'!L72))</f>
        <v/>
      </c>
      <c r="P1352" s="51" t="str">
        <f>IF('Classe Terminale D'!$B72="","",N('Classe Terminale D'!M72))</f>
        <v/>
      </c>
      <c r="Q1352" s="21" t="str">
        <f>IF('Classe Terminale D'!$B72="","",IF('Classe Terminale D'!Q72="","",'Classe Terminale D'!Q72))</f>
        <v/>
      </c>
      <c r="R1352" s="51" t="str">
        <f>IF('Classe Terminale D'!$B72="","",N('Classe Terminale D'!N72))</f>
        <v/>
      </c>
      <c r="S1352" s="51" t="str">
        <f>IF('Classe Terminale D'!$B72="","",N('Classe Terminale D'!O72))</f>
        <v/>
      </c>
      <c r="T1352" s="51" t="str">
        <f>IF('Classe Terminale D'!$B72="","",N('Classe Terminale D'!P72))</f>
        <v/>
      </c>
    </row>
    <row r="1353">
      <c r="A1353" s="16" t="str">
        <f>IF('Classe Terminale D'!$B73="","",IF('Classe Terminale D'!A73="","",'Classe Terminale D'!A73))</f>
        <v/>
      </c>
      <c r="B1353" s="16" t="str">
        <f>IF('Classe Terminale D'!$B73="","",IF('Classe Terminale D'!B73="","",'Classe Terminale D'!B73))</f>
        <v/>
      </c>
      <c r="C1353" s="16" t="str">
        <f>IF('Classe Terminale D'!$B73="","",IF('Classe Terminale D'!C73="","",'Classe Terminale D'!C73))</f>
        <v/>
      </c>
      <c r="D1353" s="16" t="str">
        <f>IF($B1353="","",C1353&amp;" "&amp;B1353&amp;" - "&amp;E1353)</f>
        <v/>
      </c>
      <c r="E1353" s="17" t="str">
        <f>IF($B1353="","",Paramètres!$A$31)</f>
        <v/>
      </c>
      <c r="F1353" s="17" t="str">
        <f>IF($B1353="","",Paramètres!$B$31)</f>
        <v/>
      </c>
      <c r="G1353" s="17" t="str">
        <f>IF('Classe Terminale D'!$B73="","",IF('Classe Terminale D'!D73="","",'Classe Terminale D'!D73))</f>
        <v/>
      </c>
      <c r="H1353" s="78" t="str">
        <f>IF('Classe Terminale D'!$B73="","",IF('Classe Terminale D'!E73="","",'Classe Terminale D'!E73))</f>
        <v/>
      </c>
      <c r="I1353" s="16" t="str">
        <f>IF('Classe Terminale D'!$B73="","",IF('Classe Terminale D'!F73="","",'Classe Terminale D'!F73))</f>
        <v/>
      </c>
      <c r="J1353" s="16" t="str">
        <f>IF('Classe Terminale D'!$B73="","",IF('Classe Terminale D'!G73="","",'Classe Terminale D'!G73))</f>
        <v/>
      </c>
      <c r="K1353" s="18" t="str">
        <f>IF('Classe Terminale D'!$B73="","",N('Classe Terminale D'!H73))</f>
        <v/>
      </c>
      <c r="L1353" s="18" t="str">
        <f>IF('Classe Terminale D'!$B73="","",N('Classe Terminale D'!I73))</f>
        <v/>
      </c>
      <c r="M1353" s="18" t="str">
        <f>IF('Classe Terminale D'!$B73="","",N('Classe Terminale D'!J73))</f>
        <v/>
      </c>
      <c r="N1353" s="18" t="str">
        <f>IF('Classe Terminale D'!$B73="","",N('Classe Terminale D'!K73))</f>
        <v/>
      </c>
      <c r="O1353" s="18" t="str">
        <f>IF('Classe Terminale D'!$B73="","",N('Classe Terminale D'!L73))</f>
        <v/>
      </c>
      <c r="P1353" s="18" t="str">
        <f>IF('Classe Terminale D'!$B73="","",N('Classe Terminale D'!M73))</f>
        <v/>
      </c>
      <c r="Q1353" s="17" t="str">
        <f>IF('Classe Terminale D'!$B73="","",IF('Classe Terminale D'!Q73="","",'Classe Terminale D'!Q73))</f>
        <v/>
      </c>
      <c r="R1353" s="18" t="str">
        <f>IF('Classe Terminale D'!$B73="","",N('Classe Terminale D'!N73))</f>
        <v/>
      </c>
      <c r="S1353" s="18" t="str">
        <f>IF('Classe Terminale D'!$B73="","",N('Classe Terminale D'!O73))</f>
        <v/>
      </c>
      <c r="T1353" s="18" t="str">
        <f>IF('Classe Terminale D'!$B73="","",N('Classe Terminale D'!P73))</f>
        <v/>
      </c>
    </row>
    <row r="1354">
      <c r="A1354" s="20" t="str">
        <f>IF('Classe Terminale D'!$B74="","",IF('Classe Terminale D'!A74="","",'Classe Terminale D'!A74))</f>
        <v/>
      </c>
      <c r="B1354" s="20" t="str">
        <f>IF('Classe Terminale D'!$B74="","",IF('Classe Terminale D'!B74="","",'Classe Terminale D'!B74))</f>
        <v/>
      </c>
      <c r="C1354" s="20" t="str">
        <f>IF('Classe Terminale D'!$B74="","",IF('Classe Terminale D'!C74="","",'Classe Terminale D'!C74))</f>
        <v/>
      </c>
      <c r="D1354" s="20" t="str">
        <f>IF($B1354="","",C1354&amp;" "&amp;B1354&amp;" - "&amp;E1354)</f>
        <v/>
      </c>
      <c r="E1354" s="21" t="str">
        <f>IF($B1354="","",Paramètres!$A$31)</f>
        <v/>
      </c>
      <c r="F1354" s="21" t="str">
        <f>IF($B1354="","",Paramètres!$B$31)</f>
        <v/>
      </c>
      <c r="G1354" s="21" t="str">
        <f>IF('Classe Terminale D'!$B74="","",IF('Classe Terminale D'!D74="","",'Classe Terminale D'!D74))</f>
        <v/>
      </c>
      <c r="H1354" s="77" t="str">
        <f>IF('Classe Terminale D'!$B74="","",IF('Classe Terminale D'!E74="","",'Classe Terminale D'!E74))</f>
        <v/>
      </c>
      <c r="I1354" s="20" t="str">
        <f>IF('Classe Terminale D'!$B74="","",IF('Classe Terminale D'!F74="","",'Classe Terminale D'!F74))</f>
        <v/>
      </c>
      <c r="J1354" s="20" t="str">
        <f>IF('Classe Terminale D'!$B74="","",IF('Classe Terminale D'!G74="","",'Classe Terminale D'!G74))</f>
        <v/>
      </c>
      <c r="K1354" s="51" t="str">
        <f>IF('Classe Terminale D'!$B74="","",N('Classe Terminale D'!H74))</f>
        <v/>
      </c>
      <c r="L1354" s="51" t="str">
        <f>IF('Classe Terminale D'!$B74="","",N('Classe Terminale D'!I74))</f>
        <v/>
      </c>
      <c r="M1354" s="51" t="str">
        <f>IF('Classe Terminale D'!$B74="","",N('Classe Terminale D'!J74))</f>
        <v/>
      </c>
      <c r="N1354" s="51" t="str">
        <f>IF('Classe Terminale D'!$B74="","",N('Classe Terminale D'!K74))</f>
        <v/>
      </c>
      <c r="O1354" s="51" t="str">
        <f>IF('Classe Terminale D'!$B74="","",N('Classe Terminale D'!L74))</f>
        <v/>
      </c>
      <c r="P1354" s="51" t="str">
        <f>IF('Classe Terminale D'!$B74="","",N('Classe Terminale D'!M74))</f>
        <v/>
      </c>
      <c r="Q1354" s="21" t="str">
        <f>IF('Classe Terminale D'!$B74="","",IF('Classe Terminale D'!Q74="","",'Classe Terminale D'!Q74))</f>
        <v/>
      </c>
      <c r="R1354" s="51" t="str">
        <f>IF('Classe Terminale D'!$B74="","",N('Classe Terminale D'!N74))</f>
        <v/>
      </c>
      <c r="S1354" s="51" t="str">
        <f>IF('Classe Terminale D'!$B74="","",N('Classe Terminale D'!O74))</f>
        <v/>
      </c>
      <c r="T1354" s="51" t="str">
        <f>IF('Classe Terminale D'!$B74="","",N('Classe Terminale D'!P74))</f>
        <v/>
      </c>
    </row>
    <row r="1355">
      <c r="A1355" s="16" t="str">
        <f>IF('Classe Terminale D'!$B75="","",IF('Classe Terminale D'!A75="","",'Classe Terminale D'!A75))</f>
        <v/>
      </c>
      <c r="B1355" s="16" t="str">
        <f>IF('Classe Terminale D'!$B75="","",IF('Classe Terminale D'!B75="","",'Classe Terminale D'!B75))</f>
        <v/>
      </c>
      <c r="C1355" s="16" t="str">
        <f>IF('Classe Terminale D'!$B75="","",IF('Classe Terminale D'!C75="","",'Classe Terminale D'!C75))</f>
        <v/>
      </c>
      <c r="D1355" s="16" t="str">
        <f>IF($B1355="","",C1355&amp;" "&amp;B1355&amp;" - "&amp;E1355)</f>
        <v/>
      </c>
      <c r="E1355" s="17" t="str">
        <f>IF($B1355="","",Paramètres!$A$31)</f>
        <v/>
      </c>
      <c r="F1355" s="17" t="str">
        <f>IF($B1355="","",Paramètres!$B$31)</f>
        <v/>
      </c>
      <c r="G1355" s="17" t="str">
        <f>IF('Classe Terminale D'!$B75="","",IF('Classe Terminale D'!D75="","",'Classe Terminale D'!D75))</f>
        <v/>
      </c>
      <c r="H1355" s="78" t="str">
        <f>IF('Classe Terminale D'!$B75="","",IF('Classe Terminale D'!E75="","",'Classe Terminale D'!E75))</f>
        <v/>
      </c>
      <c r="I1355" s="16" t="str">
        <f>IF('Classe Terminale D'!$B75="","",IF('Classe Terminale D'!F75="","",'Classe Terminale D'!F75))</f>
        <v/>
      </c>
      <c r="J1355" s="16" t="str">
        <f>IF('Classe Terminale D'!$B75="","",IF('Classe Terminale D'!G75="","",'Classe Terminale D'!G75))</f>
        <v/>
      </c>
      <c r="K1355" s="18" t="str">
        <f>IF('Classe Terminale D'!$B75="","",N('Classe Terminale D'!H75))</f>
        <v/>
      </c>
      <c r="L1355" s="18" t="str">
        <f>IF('Classe Terminale D'!$B75="","",N('Classe Terminale D'!I75))</f>
        <v/>
      </c>
      <c r="M1355" s="18" t="str">
        <f>IF('Classe Terminale D'!$B75="","",N('Classe Terminale D'!J75))</f>
        <v/>
      </c>
      <c r="N1355" s="18" t="str">
        <f>IF('Classe Terminale D'!$B75="","",N('Classe Terminale D'!K75))</f>
        <v/>
      </c>
      <c r="O1355" s="18" t="str">
        <f>IF('Classe Terminale D'!$B75="","",N('Classe Terminale D'!L75))</f>
        <v/>
      </c>
      <c r="P1355" s="18" t="str">
        <f>IF('Classe Terminale D'!$B75="","",N('Classe Terminale D'!M75))</f>
        <v/>
      </c>
      <c r="Q1355" s="17" t="str">
        <f>IF('Classe Terminale D'!$B75="","",IF('Classe Terminale D'!Q75="","",'Classe Terminale D'!Q75))</f>
        <v/>
      </c>
      <c r="R1355" s="18" t="str">
        <f>IF('Classe Terminale D'!$B75="","",N('Classe Terminale D'!N75))</f>
        <v/>
      </c>
      <c r="S1355" s="18" t="str">
        <f>IF('Classe Terminale D'!$B75="","",N('Classe Terminale D'!O75))</f>
        <v/>
      </c>
      <c r="T1355" s="18" t="str">
        <f>IF('Classe Terminale D'!$B75="","",N('Classe Terminale D'!P75))</f>
        <v/>
      </c>
    </row>
    <row r="1356">
      <c r="A1356" s="20" t="str">
        <f>IF('Classe Terminale D'!$B76="","",IF('Classe Terminale D'!A76="","",'Classe Terminale D'!A76))</f>
        <v/>
      </c>
      <c r="B1356" s="20" t="str">
        <f>IF('Classe Terminale D'!$B76="","",IF('Classe Terminale D'!B76="","",'Classe Terminale D'!B76))</f>
        <v/>
      </c>
      <c r="C1356" s="20" t="str">
        <f>IF('Classe Terminale D'!$B76="","",IF('Classe Terminale D'!C76="","",'Classe Terminale D'!C76))</f>
        <v/>
      </c>
      <c r="D1356" s="20" t="str">
        <f>IF($B1356="","",C1356&amp;" "&amp;B1356&amp;" - "&amp;E1356)</f>
        <v/>
      </c>
      <c r="E1356" s="21" t="str">
        <f>IF($B1356="","",Paramètres!$A$31)</f>
        <v/>
      </c>
      <c r="F1356" s="21" t="str">
        <f>IF($B1356="","",Paramètres!$B$31)</f>
        <v/>
      </c>
      <c r="G1356" s="21" t="str">
        <f>IF('Classe Terminale D'!$B76="","",IF('Classe Terminale D'!D76="","",'Classe Terminale D'!D76))</f>
        <v/>
      </c>
      <c r="H1356" s="77" t="str">
        <f>IF('Classe Terminale D'!$B76="","",IF('Classe Terminale D'!E76="","",'Classe Terminale D'!E76))</f>
        <v/>
      </c>
      <c r="I1356" s="20" t="str">
        <f>IF('Classe Terminale D'!$B76="","",IF('Classe Terminale D'!F76="","",'Classe Terminale D'!F76))</f>
        <v/>
      </c>
      <c r="J1356" s="20" t="str">
        <f>IF('Classe Terminale D'!$B76="","",IF('Classe Terminale D'!G76="","",'Classe Terminale D'!G76))</f>
        <v/>
      </c>
      <c r="K1356" s="51" t="str">
        <f>IF('Classe Terminale D'!$B76="","",N('Classe Terminale D'!H76))</f>
        <v/>
      </c>
      <c r="L1356" s="51" t="str">
        <f>IF('Classe Terminale D'!$B76="","",N('Classe Terminale D'!I76))</f>
        <v/>
      </c>
      <c r="M1356" s="51" t="str">
        <f>IF('Classe Terminale D'!$B76="","",N('Classe Terminale D'!J76))</f>
        <v/>
      </c>
      <c r="N1356" s="51" t="str">
        <f>IF('Classe Terminale D'!$B76="","",N('Classe Terminale D'!K76))</f>
        <v/>
      </c>
      <c r="O1356" s="51" t="str">
        <f>IF('Classe Terminale D'!$B76="","",N('Classe Terminale D'!L76))</f>
        <v/>
      </c>
      <c r="P1356" s="51" t="str">
        <f>IF('Classe Terminale D'!$B76="","",N('Classe Terminale D'!M76))</f>
        <v/>
      </c>
      <c r="Q1356" s="21" t="str">
        <f>IF('Classe Terminale D'!$B76="","",IF('Classe Terminale D'!Q76="","",'Classe Terminale D'!Q76))</f>
        <v/>
      </c>
      <c r="R1356" s="51" t="str">
        <f>IF('Classe Terminale D'!$B76="","",N('Classe Terminale D'!N76))</f>
        <v/>
      </c>
      <c r="S1356" s="51" t="str">
        <f>IF('Classe Terminale D'!$B76="","",N('Classe Terminale D'!O76))</f>
        <v/>
      </c>
      <c r="T1356" s="51" t="str">
        <f>IF('Classe Terminale D'!$B76="","",N('Classe Terminale D'!P76))</f>
        <v/>
      </c>
    </row>
    <row r="1357">
      <c r="A1357" s="16" t="str">
        <f>IF('Classe Terminale D'!$B77="","",IF('Classe Terminale D'!A77="","",'Classe Terminale D'!A77))</f>
        <v/>
      </c>
      <c r="B1357" s="16" t="str">
        <f>IF('Classe Terminale D'!$B77="","",IF('Classe Terminale D'!B77="","",'Classe Terminale D'!B77))</f>
        <v/>
      </c>
      <c r="C1357" s="16" t="str">
        <f>IF('Classe Terminale D'!$B77="","",IF('Classe Terminale D'!C77="","",'Classe Terminale D'!C77))</f>
        <v/>
      </c>
      <c r="D1357" s="16" t="str">
        <f>IF($B1357="","",C1357&amp;" "&amp;B1357&amp;" - "&amp;E1357)</f>
        <v/>
      </c>
      <c r="E1357" s="17" t="str">
        <f>IF($B1357="","",Paramètres!$A$31)</f>
        <v/>
      </c>
      <c r="F1357" s="17" t="str">
        <f>IF($B1357="","",Paramètres!$B$31)</f>
        <v/>
      </c>
      <c r="G1357" s="17" t="str">
        <f>IF('Classe Terminale D'!$B77="","",IF('Classe Terminale D'!D77="","",'Classe Terminale D'!D77))</f>
        <v/>
      </c>
      <c r="H1357" s="78" t="str">
        <f>IF('Classe Terminale D'!$B77="","",IF('Classe Terminale D'!E77="","",'Classe Terminale D'!E77))</f>
        <v/>
      </c>
      <c r="I1357" s="16" t="str">
        <f>IF('Classe Terminale D'!$B77="","",IF('Classe Terminale D'!F77="","",'Classe Terminale D'!F77))</f>
        <v/>
      </c>
      <c r="J1357" s="16" t="str">
        <f>IF('Classe Terminale D'!$B77="","",IF('Classe Terminale D'!G77="","",'Classe Terminale D'!G77))</f>
        <v/>
      </c>
      <c r="K1357" s="18" t="str">
        <f>IF('Classe Terminale D'!$B77="","",N('Classe Terminale D'!H77))</f>
        <v/>
      </c>
      <c r="L1357" s="18" t="str">
        <f>IF('Classe Terminale D'!$B77="","",N('Classe Terminale D'!I77))</f>
        <v/>
      </c>
      <c r="M1357" s="18" t="str">
        <f>IF('Classe Terminale D'!$B77="","",N('Classe Terminale D'!J77))</f>
        <v/>
      </c>
      <c r="N1357" s="18" t="str">
        <f>IF('Classe Terminale D'!$B77="","",N('Classe Terminale D'!K77))</f>
        <v/>
      </c>
      <c r="O1357" s="18" t="str">
        <f>IF('Classe Terminale D'!$B77="","",N('Classe Terminale D'!L77))</f>
        <v/>
      </c>
      <c r="P1357" s="18" t="str">
        <f>IF('Classe Terminale D'!$B77="","",N('Classe Terminale D'!M77))</f>
        <v/>
      </c>
      <c r="Q1357" s="17" t="str">
        <f>IF('Classe Terminale D'!$B77="","",IF('Classe Terminale D'!Q77="","",'Classe Terminale D'!Q77))</f>
        <v/>
      </c>
      <c r="R1357" s="18" t="str">
        <f>IF('Classe Terminale D'!$B77="","",N('Classe Terminale D'!N77))</f>
        <v/>
      </c>
      <c r="S1357" s="18" t="str">
        <f>IF('Classe Terminale D'!$B77="","",N('Classe Terminale D'!O77))</f>
        <v/>
      </c>
      <c r="T1357" s="18" t="str">
        <f>IF('Classe Terminale D'!$B77="","",N('Classe Terminale D'!P77))</f>
        <v/>
      </c>
    </row>
    <row r="1358">
      <c r="A1358" s="20" t="str">
        <f>IF('Classe Terminale D'!$B78="","",IF('Classe Terminale D'!A78="","",'Classe Terminale D'!A78))</f>
        <v/>
      </c>
      <c r="B1358" s="20" t="str">
        <f>IF('Classe Terminale D'!$B78="","",IF('Classe Terminale D'!B78="","",'Classe Terminale D'!B78))</f>
        <v/>
      </c>
      <c r="C1358" s="20" t="str">
        <f>IF('Classe Terminale D'!$B78="","",IF('Classe Terminale D'!C78="","",'Classe Terminale D'!C78))</f>
        <v/>
      </c>
      <c r="D1358" s="20" t="str">
        <f>IF($B1358="","",C1358&amp;" "&amp;B1358&amp;" - "&amp;E1358)</f>
        <v/>
      </c>
      <c r="E1358" s="21" t="str">
        <f>IF($B1358="","",Paramètres!$A$31)</f>
        <v/>
      </c>
      <c r="F1358" s="21" t="str">
        <f>IF($B1358="","",Paramètres!$B$31)</f>
        <v/>
      </c>
      <c r="G1358" s="21" t="str">
        <f>IF('Classe Terminale D'!$B78="","",IF('Classe Terminale D'!D78="","",'Classe Terminale D'!D78))</f>
        <v/>
      </c>
      <c r="H1358" s="77" t="str">
        <f>IF('Classe Terminale D'!$B78="","",IF('Classe Terminale D'!E78="","",'Classe Terminale D'!E78))</f>
        <v/>
      </c>
      <c r="I1358" s="20" t="str">
        <f>IF('Classe Terminale D'!$B78="","",IF('Classe Terminale D'!F78="","",'Classe Terminale D'!F78))</f>
        <v/>
      </c>
      <c r="J1358" s="20" t="str">
        <f>IF('Classe Terminale D'!$B78="","",IF('Classe Terminale D'!G78="","",'Classe Terminale D'!G78))</f>
        <v/>
      </c>
      <c r="K1358" s="51" t="str">
        <f>IF('Classe Terminale D'!$B78="","",N('Classe Terminale D'!H78))</f>
        <v/>
      </c>
      <c r="L1358" s="51" t="str">
        <f>IF('Classe Terminale D'!$B78="","",N('Classe Terminale D'!I78))</f>
        <v/>
      </c>
      <c r="M1358" s="51" t="str">
        <f>IF('Classe Terminale D'!$B78="","",N('Classe Terminale D'!J78))</f>
        <v/>
      </c>
      <c r="N1358" s="51" t="str">
        <f>IF('Classe Terminale D'!$B78="","",N('Classe Terminale D'!K78))</f>
        <v/>
      </c>
      <c r="O1358" s="51" t="str">
        <f>IF('Classe Terminale D'!$B78="","",N('Classe Terminale D'!L78))</f>
        <v/>
      </c>
      <c r="P1358" s="51" t="str">
        <f>IF('Classe Terminale D'!$B78="","",N('Classe Terminale D'!M78))</f>
        <v/>
      </c>
      <c r="Q1358" s="21" t="str">
        <f>IF('Classe Terminale D'!$B78="","",IF('Classe Terminale D'!Q78="","",'Classe Terminale D'!Q78))</f>
        <v/>
      </c>
      <c r="R1358" s="51" t="str">
        <f>IF('Classe Terminale D'!$B78="","",N('Classe Terminale D'!N78))</f>
        <v/>
      </c>
      <c r="S1358" s="51" t="str">
        <f>IF('Classe Terminale D'!$B78="","",N('Classe Terminale D'!O78))</f>
        <v/>
      </c>
      <c r="T1358" s="51" t="str">
        <f>IF('Classe Terminale D'!$B78="","",N('Classe Terminale D'!P78))</f>
        <v/>
      </c>
    </row>
    <row r="1359">
      <c r="A1359" s="16" t="str">
        <f>IF('Classe Terminale D'!$B79="","",IF('Classe Terminale D'!A79="","",'Classe Terminale D'!A79))</f>
        <v/>
      </c>
      <c r="B1359" s="16" t="str">
        <f>IF('Classe Terminale D'!$B79="","",IF('Classe Terminale D'!B79="","",'Classe Terminale D'!B79))</f>
        <v/>
      </c>
      <c r="C1359" s="16" t="str">
        <f>IF('Classe Terminale D'!$B79="","",IF('Classe Terminale D'!C79="","",'Classe Terminale D'!C79))</f>
        <v/>
      </c>
      <c r="D1359" s="16" t="str">
        <f>IF($B1359="","",C1359&amp;" "&amp;B1359&amp;" - "&amp;E1359)</f>
        <v/>
      </c>
      <c r="E1359" s="17" t="str">
        <f>IF($B1359="","",Paramètres!$A$31)</f>
        <v/>
      </c>
      <c r="F1359" s="17" t="str">
        <f>IF($B1359="","",Paramètres!$B$31)</f>
        <v/>
      </c>
      <c r="G1359" s="17" t="str">
        <f>IF('Classe Terminale D'!$B79="","",IF('Classe Terminale D'!D79="","",'Classe Terminale D'!D79))</f>
        <v/>
      </c>
      <c r="H1359" s="78" t="str">
        <f>IF('Classe Terminale D'!$B79="","",IF('Classe Terminale D'!E79="","",'Classe Terminale D'!E79))</f>
        <v/>
      </c>
      <c r="I1359" s="16" t="str">
        <f>IF('Classe Terminale D'!$B79="","",IF('Classe Terminale D'!F79="","",'Classe Terminale D'!F79))</f>
        <v/>
      </c>
      <c r="J1359" s="16" t="str">
        <f>IF('Classe Terminale D'!$B79="","",IF('Classe Terminale D'!G79="","",'Classe Terminale D'!G79))</f>
        <v/>
      </c>
      <c r="K1359" s="18" t="str">
        <f>IF('Classe Terminale D'!$B79="","",N('Classe Terminale D'!H79))</f>
        <v/>
      </c>
      <c r="L1359" s="18" t="str">
        <f>IF('Classe Terminale D'!$B79="","",N('Classe Terminale D'!I79))</f>
        <v/>
      </c>
      <c r="M1359" s="18" t="str">
        <f>IF('Classe Terminale D'!$B79="","",N('Classe Terminale D'!J79))</f>
        <v/>
      </c>
      <c r="N1359" s="18" t="str">
        <f>IF('Classe Terminale D'!$B79="","",N('Classe Terminale D'!K79))</f>
        <v/>
      </c>
      <c r="O1359" s="18" t="str">
        <f>IF('Classe Terminale D'!$B79="","",N('Classe Terminale D'!L79))</f>
        <v/>
      </c>
      <c r="P1359" s="18" t="str">
        <f>IF('Classe Terminale D'!$B79="","",N('Classe Terminale D'!M79))</f>
        <v/>
      </c>
      <c r="Q1359" s="17" t="str">
        <f>IF('Classe Terminale D'!$B79="","",IF('Classe Terminale D'!Q79="","",'Classe Terminale D'!Q79))</f>
        <v/>
      </c>
      <c r="R1359" s="18" t="str">
        <f>IF('Classe Terminale D'!$B79="","",N('Classe Terminale D'!N79))</f>
        <v/>
      </c>
      <c r="S1359" s="18" t="str">
        <f>IF('Classe Terminale D'!$B79="","",N('Classe Terminale D'!O79))</f>
        <v/>
      </c>
      <c r="T1359" s="18" t="str">
        <f>IF('Classe Terminale D'!$B79="","",N('Classe Terminale D'!P79))</f>
        <v/>
      </c>
    </row>
    <row r="1360">
      <c r="A1360" s="20" t="str">
        <f>IF('Classe Terminale D'!$B80="","",IF('Classe Terminale D'!A80="","",'Classe Terminale D'!A80))</f>
        <v/>
      </c>
      <c r="B1360" s="20" t="str">
        <f>IF('Classe Terminale D'!$B80="","",IF('Classe Terminale D'!B80="","",'Classe Terminale D'!B80))</f>
        <v/>
      </c>
      <c r="C1360" s="20" t="str">
        <f>IF('Classe Terminale D'!$B80="","",IF('Classe Terminale D'!C80="","",'Classe Terminale D'!C80))</f>
        <v/>
      </c>
      <c r="D1360" s="20" t="str">
        <f>IF($B1360="","",C1360&amp;" "&amp;B1360&amp;" - "&amp;E1360)</f>
        <v/>
      </c>
      <c r="E1360" s="21" t="str">
        <f>IF($B1360="","",Paramètres!$A$31)</f>
        <v/>
      </c>
      <c r="F1360" s="21" t="str">
        <f>IF($B1360="","",Paramètres!$B$31)</f>
        <v/>
      </c>
      <c r="G1360" s="21" t="str">
        <f>IF('Classe Terminale D'!$B80="","",IF('Classe Terminale D'!D80="","",'Classe Terminale D'!D80))</f>
        <v/>
      </c>
      <c r="H1360" s="77" t="str">
        <f>IF('Classe Terminale D'!$B80="","",IF('Classe Terminale D'!E80="","",'Classe Terminale D'!E80))</f>
        <v/>
      </c>
      <c r="I1360" s="20" t="str">
        <f>IF('Classe Terminale D'!$B80="","",IF('Classe Terminale D'!F80="","",'Classe Terminale D'!F80))</f>
        <v/>
      </c>
      <c r="J1360" s="20" t="str">
        <f>IF('Classe Terminale D'!$B80="","",IF('Classe Terminale D'!G80="","",'Classe Terminale D'!G80))</f>
        <v/>
      </c>
      <c r="K1360" s="51" t="str">
        <f>IF('Classe Terminale D'!$B80="","",N('Classe Terminale D'!H80))</f>
        <v/>
      </c>
      <c r="L1360" s="51" t="str">
        <f>IF('Classe Terminale D'!$B80="","",N('Classe Terminale D'!I80))</f>
        <v/>
      </c>
      <c r="M1360" s="51" t="str">
        <f>IF('Classe Terminale D'!$B80="","",N('Classe Terminale D'!J80))</f>
        <v/>
      </c>
      <c r="N1360" s="51" t="str">
        <f>IF('Classe Terminale D'!$B80="","",N('Classe Terminale D'!K80))</f>
        <v/>
      </c>
      <c r="O1360" s="51" t="str">
        <f>IF('Classe Terminale D'!$B80="","",N('Classe Terminale D'!L80))</f>
        <v/>
      </c>
      <c r="P1360" s="51" t="str">
        <f>IF('Classe Terminale D'!$B80="","",N('Classe Terminale D'!M80))</f>
        <v/>
      </c>
      <c r="Q1360" s="21" t="str">
        <f>IF('Classe Terminale D'!$B80="","",IF('Classe Terminale D'!Q80="","",'Classe Terminale D'!Q80))</f>
        <v/>
      </c>
      <c r="R1360" s="51" t="str">
        <f>IF('Classe Terminale D'!$B80="","",N('Classe Terminale D'!N80))</f>
        <v/>
      </c>
      <c r="S1360" s="51" t="str">
        <f>IF('Classe Terminale D'!$B80="","",N('Classe Terminale D'!O80))</f>
        <v/>
      </c>
      <c r="T1360" s="51" t="str">
        <f>IF('Classe Terminale D'!$B80="","",N('Classe Terminale D'!P80))</f>
        <v/>
      </c>
    </row>
    <row r="1361">
      <c r="A1361" s="16" t="str">
        <f>IF('Classe Terminale D'!$B81="","",IF('Classe Terminale D'!A81="","",'Classe Terminale D'!A81))</f>
        <v/>
      </c>
      <c r="B1361" s="16" t="str">
        <f>IF('Classe Terminale D'!$B81="","",IF('Classe Terminale D'!B81="","",'Classe Terminale D'!B81))</f>
        <v/>
      </c>
      <c r="C1361" s="16" t="str">
        <f>IF('Classe Terminale D'!$B81="","",IF('Classe Terminale D'!C81="","",'Classe Terminale D'!C81))</f>
        <v/>
      </c>
      <c r="D1361" s="16" t="str">
        <f>IF($B1361="","",C1361&amp;" "&amp;B1361&amp;" - "&amp;E1361)</f>
        <v/>
      </c>
      <c r="E1361" s="17" t="str">
        <f>IF($B1361="","",Paramètres!$A$31)</f>
        <v/>
      </c>
      <c r="F1361" s="17" t="str">
        <f>IF($B1361="","",Paramètres!$B$31)</f>
        <v/>
      </c>
      <c r="G1361" s="17" t="str">
        <f>IF('Classe Terminale D'!$B81="","",IF('Classe Terminale D'!D81="","",'Classe Terminale D'!D81))</f>
        <v/>
      </c>
      <c r="H1361" s="78" t="str">
        <f>IF('Classe Terminale D'!$B81="","",IF('Classe Terminale D'!E81="","",'Classe Terminale D'!E81))</f>
        <v/>
      </c>
      <c r="I1361" s="16" t="str">
        <f>IF('Classe Terminale D'!$B81="","",IF('Classe Terminale D'!F81="","",'Classe Terminale D'!F81))</f>
        <v/>
      </c>
      <c r="J1361" s="16" t="str">
        <f>IF('Classe Terminale D'!$B81="","",IF('Classe Terminale D'!G81="","",'Classe Terminale D'!G81))</f>
        <v/>
      </c>
      <c r="K1361" s="18" t="str">
        <f>IF('Classe Terminale D'!$B81="","",N('Classe Terminale D'!H81))</f>
        <v/>
      </c>
      <c r="L1361" s="18" t="str">
        <f>IF('Classe Terminale D'!$B81="","",N('Classe Terminale D'!I81))</f>
        <v/>
      </c>
      <c r="M1361" s="18" t="str">
        <f>IF('Classe Terminale D'!$B81="","",N('Classe Terminale D'!J81))</f>
        <v/>
      </c>
      <c r="N1361" s="18" t="str">
        <f>IF('Classe Terminale D'!$B81="","",N('Classe Terminale D'!K81))</f>
        <v/>
      </c>
      <c r="O1361" s="18" t="str">
        <f>IF('Classe Terminale D'!$B81="","",N('Classe Terminale D'!L81))</f>
        <v/>
      </c>
      <c r="P1361" s="18" t="str">
        <f>IF('Classe Terminale D'!$B81="","",N('Classe Terminale D'!M81))</f>
        <v/>
      </c>
      <c r="Q1361" s="17" t="str">
        <f>IF('Classe Terminale D'!$B81="","",IF('Classe Terminale D'!Q81="","",'Classe Terminale D'!Q81))</f>
        <v/>
      </c>
      <c r="R1361" s="18" t="str">
        <f>IF('Classe Terminale D'!$B81="","",N('Classe Terminale D'!N81))</f>
        <v/>
      </c>
      <c r="S1361" s="18" t="str">
        <f>IF('Classe Terminale D'!$B81="","",N('Classe Terminale D'!O81))</f>
        <v/>
      </c>
      <c r="T1361" s="18" t="str">
        <f>IF('Classe Terminale D'!$B81="","",N('Classe Terminale D'!P81))</f>
        <v/>
      </c>
    </row>
    <row r="1362">
      <c r="A1362" s="20" t="str">
        <f>IF('Classe Terminale D'!$B82="","",IF('Classe Terminale D'!A82="","",'Classe Terminale D'!A82))</f>
        <v/>
      </c>
      <c r="B1362" s="20" t="str">
        <f>IF('Classe Terminale D'!$B82="","",IF('Classe Terminale D'!B82="","",'Classe Terminale D'!B82))</f>
        <v/>
      </c>
      <c r="C1362" s="20" t="str">
        <f>IF('Classe Terminale D'!$B82="","",IF('Classe Terminale D'!C82="","",'Classe Terminale D'!C82))</f>
        <v/>
      </c>
      <c r="D1362" s="20" t="str">
        <f>IF($B1362="","",C1362&amp;" "&amp;B1362&amp;" - "&amp;E1362)</f>
        <v/>
      </c>
      <c r="E1362" s="21" t="str">
        <f>IF($B1362="","",Paramètres!$A$31)</f>
        <v/>
      </c>
      <c r="F1362" s="21" t="str">
        <f>IF($B1362="","",Paramètres!$B$31)</f>
        <v/>
      </c>
      <c r="G1362" s="21" t="str">
        <f>IF('Classe Terminale D'!$B82="","",IF('Classe Terminale D'!D82="","",'Classe Terminale D'!D82))</f>
        <v/>
      </c>
      <c r="H1362" s="77" t="str">
        <f>IF('Classe Terminale D'!$B82="","",IF('Classe Terminale D'!E82="","",'Classe Terminale D'!E82))</f>
        <v/>
      </c>
      <c r="I1362" s="20" t="str">
        <f>IF('Classe Terminale D'!$B82="","",IF('Classe Terminale D'!F82="","",'Classe Terminale D'!F82))</f>
        <v/>
      </c>
      <c r="J1362" s="20" t="str">
        <f>IF('Classe Terminale D'!$B82="","",IF('Classe Terminale D'!G82="","",'Classe Terminale D'!G82))</f>
        <v/>
      </c>
      <c r="K1362" s="51" t="str">
        <f>IF('Classe Terminale D'!$B82="","",N('Classe Terminale D'!H82))</f>
        <v/>
      </c>
      <c r="L1362" s="51" t="str">
        <f>IF('Classe Terminale D'!$B82="","",N('Classe Terminale D'!I82))</f>
        <v/>
      </c>
      <c r="M1362" s="51" t="str">
        <f>IF('Classe Terminale D'!$B82="","",N('Classe Terminale D'!J82))</f>
        <v/>
      </c>
      <c r="N1362" s="51" t="str">
        <f>IF('Classe Terminale D'!$B82="","",N('Classe Terminale D'!K82))</f>
        <v/>
      </c>
      <c r="O1362" s="51" t="str">
        <f>IF('Classe Terminale D'!$B82="","",N('Classe Terminale D'!L82))</f>
        <v/>
      </c>
      <c r="P1362" s="51" t="str">
        <f>IF('Classe Terminale D'!$B82="","",N('Classe Terminale D'!M82))</f>
        <v/>
      </c>
      <c r="Q1362" s="21" t="str">
        <f>IF('Classe Terminale D'!$B82="","",IF('Classe Terminale D'!Q82="","",'Classe Terminale D'!Q82))</f>
        <v/>
      </c>
      <c r="R1362" s="51" t="str">
        <f>IF('Classe Terminale D'!$B82="","",N('Classe Terminale D'!N82))</f>
        <v/>
      </c>
      <c r="S1362" s="51" t="str">
        <f>IF('Classe Terminale D'!$B82="","",N('Classe Terminale D'!O82))</f>
        <v/>
      </c>
      <c r="T1362" s="51" t="str">
        <f>IF('Classe Terminale D'!$B82="","",N('Classe Terminale D'!P82))</f>
        <v/>
      </c>
    </row>
    <row r="1363">
      <c r="A1363" s="16" t="str">
        <f>IF('Classe Terminale D'!$B83="","",IF('Classe Terminale D'!A83="","",'Classe Terminale D'!A83))</f>
        <v/>
      </c>
      <c r="B1363" s="16" t="str">
        <f>IF('Classe Terminale D'!$B83="","",IF('Classe Terminale D'!B83="","",'Classe Terminale D'!B83))</f>
        <v/>
      </c>
      <c r="C1363" s="16" t="str">
        <f>IF('Classe Terminale D'!$B83="","",IF('Classe Terminale D'!C83="","",'Classe Terminale D'!C83))</f>
        <v/>
      </c>
      <c r="D1363" s="16" t="str">
        <f>IF($B1363="","",C1363&amp;" "&amp;B1363&amp;" - "&amp;E1363)</f>
        <v/>
      </c>
      <c r="E1363" s="17" t="str">
        <f>IF($B1363="","",Paramètres!$A$31)</f>
        <v/>
      </c>
      <c r="F1363" s="17" t="str">
        <f>IF($B1363="","",Paramètres!$B$31)</f>
        <v/>
      </c>
      <c r="G1363" s="17" t="str">
        <f>IF('Classe Terminale D'!$B83="","",IF('Classe Terminale D'!D83="","",'Classe Terminale D'!D83))</f>
        <v/>
      </c>
      <c r="H1363" s="78" t="str">
        <f>IF('Classe Terminale D'!$B83="","",IF('Classe Terminale D'!E83="","",'Classe Terminale D'!E83))</f>
        <v/>
      </c>
      <c r="I1363" s="16" t="str">
        <f>IF('Classe Terminale D'!$B83="","",IF('Classe Terminale D'!F83="","",'Classe Terminale D'!F83))</f>
        <v/>
      </c>
      <c r="J1363" s="16" t="str">
        <f>IF('Classe Terminale D'!$B83="","",IF('Classe Terminale D'!G83="","",'Classe Terminale D'!G83))</f>
        <v/>
      </c>
      <c r="K1363" s="18" t="str">
        <f>IF('Classe Terminale D'!$B83="","",N('Classe Terminale D'!H83))</f>
        <v/>
      </c>
      <c r="L1363" s="18" t="str">
        <f>IF('Classe Terminale D'!$B83="","",N('Classe Terminale D'!I83))</f>
        <v/>
      </c>
      <c r="M1363" s="18" t="str">
        <f>IF('Classe Terminale D'!$B83="","",N('Classe Terminale D'!J83))</f>
        <v/>
      </c>
      <c r="N1363" s="18" t="str">
        <f>IF('Classe Terminale D'!$B83="","",N('Classe Terminale D'!K83))</f>
        <v/>
      </c>
      <c r="O1363" s="18" t="str">
        <f>IF('Classe Terminale D'!$B83="","",N('Classe Terminale D'!L83))</f>
        <v/>
      </c>
      <c r="P1363" s="18" t="str">
        <f>IF('Classe Terminale D'!$B83="","",N('Classe Terminale D'!M83))</f>
        <v/>
      </c>
      <c r="Q1363" s="17" t="str">
        <f>IF('Classe Terminale D'!$B83="","",IF('Classe Terminale D'!Q83="","",'Classe Terminale D'!Q83))</f>
        <v/>
      </c>
      <c r="R1363" s="18" t="str">
        <f>IF('Classe Terminale D'!$B83="","",N('Classe Terminale D'!N83))</f>
        <v/>
      </c>
      <c r="S1363" s="18" t="str">
        <f>IF('Classe Terminale D'!$B83="","",N('Classe Terminale D'!O83))</f>
        <v/>
      </c>
      <c r="T1363" s="18" t="str">
        <f>IF('Classe Terminale D'!$B83="","",N('Classe Terminale D'!P83))</f>
        <v/>
      </c>
    </row>
  </sheetData>
  <sheetProtection sheet="1" objects="1" scenarios="1" sort="0" autoFilter="0"/>
  <autoFilter ref="A3:T1363"/>
  <mergeCells count="2">
    <mergeCell ref="A1:T1"/>
    <mergeCell ref="A2:T2"/>
  </mergeCells>
  <conditionalFormatting sqref="P4:P1363 T4:T1363">
    <cfRule type="cellIs" dxfId="10" priority="4" operator="greaterThan">
      <formula>0</formula>
    </cfRule>
  </conditionalFormatting>
  <conditionalFormatting sqref="Q4:Q1363">
    <cfRule type="cellIs" dxfId="9" priority="2" operator="equal">
      <formula>"Soldé"</formula>
    </cfRule>
    <cfRule type="cellIs" dxfId="8" priority="3" operator="equal">
      <formula>"En retard"</formula>
    </cfRule>
  </conditionalFormatting>
  <pageMargins left="0.5" right="0.5" top="0.75" bottom="0.75" header="0.3" footer="0.3"/>
  <pageSetup paperSize="9" orientation="landscape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6B3A"/>
    <pageSetUpPr fitToPage="1"/>
  </sheetPr>
  <dimension ref="A1:I25"/>
  <sheetViews>
    <sheetView showGridLines="0" topLeftCell="A2" zoomScaleNormal="100" workbookViewId="0">
      <selection sqref="A1:F1"/>
    </sheetView>
  </sheetViews>
  <sheetFormatPr baseColWidth="10" defaultColWidth="8.6328125" defaultRowHeight="14.5" x14ac:dyDescent="0.35"/>
  <cols>
    <col min="1" max="1" width="18" customWidth="1"/>
    <col min="2" max="2" width="12" customWidth="1"/>
    <col min="3" max="4" width="16" customWidth="1"/>
    <col min="5" max="5" width="18" customWidth="1"/>
    <col min="6" max="6" width="16" customWidth="1"/>
    <col min="7" max="9" width="17" customWidth="1"/>
  </cols>
  <sheetData>
    <row r="1" spans="1:9" ht="27.75" customHeight="1" x14ac:dyDescent="0.35">
      <c r="A1" s="53" t="s">
        <v>60</v>
      </c>
      <c r="B1" s="53"/>
      <c r="C1" s="53"/>
      <c r="D1" s="53"/>
      <c r="E1" s="53"/>
      <c r="F1" s="53"/>
      <c r="G1" s="53"/>
      <c r="H1" s="53"/>
      <c r="I1" s="53"/>
    </row>
    <row r="2" spans="1:9" ht="18" customHeight="1" x14ac:dyDescent="0.35">
      <c r="A2" s="61" t="s">
        <v>61</v>
      </c>
      <c r="B2" s="61"/>
      <c r="C2" s="61"/>
      <c r="D2" s="61"/>
      <c r="E2" s="61"/>
      <c r="F2" s="61"/>
      <c r="G2" s="61"/>
      <c r="H2" s="61"/>
      <c r="I2" s="61"/>
    </row>
    <row r="3" spans="1:9" ht="27.75" customHeight="1" x14ac:dyDescent="0.35">
      <c r="A3" s="3" t="s">
        <v>62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67</v>
      </c>
      <c r="G3" s="3" t="inlineStr">
        <is>
          <t>Inscriptions dues</t>
        </is>
      </c>
      <c r="H3" s="3" t="inlineStr">
        <is>
          <t>Inscriptions encaissées</t>
        </is>
      </c>
      <c r="I3" s="3" t="inlineStr">
        <is>
          <t>Reste inscriptions</t>
        </is>
      </c>
    </row>
    <row r="4" spans="1:9">
      <c r="A4" s="60" t="inlineStr">
        <is>
          <t>— Maternelle —</t>
        </is>
      </c>
      <c r="B4" s="60"/>
      <c r="C4" s="60"/>
      <c r="D4" s="60"/>
      <c r="E4" s="60"/>
      <c r="F4" s="60"/>
      <c r="G4" s="60"/>
      <c r="H4" s="60"/>
      <c r="I4" s="60"/>
    </row>
    <row r="5" spans="1:6">
      <c r="A5" s="4" t="inlineStr">
        <is>
          <t>Petite section</t>
        </is>
      </c>
      <c r="B5" s="22">
        <f>COUNTIFS('Liste des élèves'!$E$4:$E$1363,A5)</f>
        <v>0</v>
      </c>
      <c r="C5" s="23">
        <f>SUMIFS('Liste des élèves'!$K$4:$K$1363,'Liste des élèves'!$E$4:$E$1363,A5)</f>
        <v>0</v>
      </c>
      <c r="D5" s="23">
        <f>SUMIFS('Liste des élèves'!$O$4:$O$1363,'Liste des élèves'!$E$4:$E$1363,A5)</f>
        <v>0</v>
      </c>
      <c r="E5" s="23">
        <f>SUMIFS('Liste des élèves'!$P$4:$P$1363,'Liste des élèves'!$E$4:$E$1363,A5)</f>
        <v>0</v>
      </c>
      <c r="F5" s="22">
        <f>COUNTIFS('Liste des élèves'!$E$4:$E$1363,A5,'Liste des élèves'!$Q$4:$Q$1363,"En retard")</f>
        <v>0</v>
      </c>
      <c r="G5" s="23">
        <f>SUMIFS('Liste des élèves'!$R$4:$R$1363,'Liste des élèves'!$E$4:$E$1363,A5)</f>
        <v>0</v>
      </c>
      <c r="H5" s="23">
        <f>SUMIFS('Liste des élèves'!$S$4:$S$1363,'Liste des élèves'!$E$4:$E$1363,A5)</f>
        <v>0</v>
      </c>
      <c r="I5" s="23">
        <f>SUMIFS('Liste des élèves'!$T$4:$T$1363,'Liste des élèves'!$E$4:$E$1363,A5)</f>
        <v>0</v>
      </c>
    </row>
    <row r="6" spans="1:6">
      <c r="A6" s="7" t="inlineStr">
        <is>
          <t>Grande section</t>
        </is>
      </c>
      <c r="B6" s="24">
        <f>COUNTIFS('Liste des élèves'!$E$4:$E$1363,A6)</f>
        <v>0</v>
      </c>
      <c r="C6" s="25">
        <f>SUMIFS('Liste des élèves'!$K$4:$K$1363,'Liste des élèves'!$E$4:$E$1363,A6)</f>
        <v>0</v>
      </c>
      <c r="D6" s="25">
        <f>SUMIFS('Liste des élèves'!$O$4:$O$1363,'Liste des élèves'!$E$4:$E$1363,A6)</f>
        <v>0</v>
      </c>
      <c r="E6" s="25">
        <f>SUMIFS('Liste des élèves'!$P$4:$P$1363,'Liste des élèves'!$E$4:$E$1363,A6)</f>
        <v>0</v>
      </c>
      <c r="F6" s="24">
        <f>COUNTIFS('Liste des élèves'!$E$4:$E$1363,A6,'Liste des élèves'!$Q$4:$Q$1363,"En retard")</f>
        <v>0</v>
      </c>
      <c r="G6" s="25">
        <f>SUMIFS('Liste des élèves'!$R$4:$R$1363,'Liste des élèves'!$E$4:$E$1363,A6)</f>
        <v>0</v>
      </c>
      <c r="H6" s="25">
        <f>SUMIFS('Liste des élèves'!$S$4:$S$1363,'Liste des élèves'!$E$4:$E$1363,A6)</f>
        <v>0</v>
      </c>
      <c r="I6" s="25">
        <f>SUMIFS('Liste des élèves'!$T$4:$T$1363,'Liste des élèves'!$E$4:$E$1363,A6)</f>
        <v>0</v>
      </c>
    </row>
    <row r="7" spans="1:9">
      <c r="A7" s="60" t="inlineStr">
        <is>
          <t>— Primaire —</t>
        </is>
      </c>
      <c r="B7" s="60"/>
      <c r="C7" s="60"/>
      <c r="D7" s="60"/>
      <c r="E7" s="60"/>
      <c r="F7" s="60"/>
      <c r="G7" s="60"/>
      <c r="H7" s="60"/>
      <c r="I7" s="60"/>
    </row>
    <row r="8" spans="1:6">
      <c r="A8" s="4" t="inlineStr">
        <is>
          <t>CI</t>
        </is>
      </c>
      <c r="B8" s="22">
        <f>COUNTIFS('Liste des élèves'!$E$4:$E$1363,A8)</f>
        <v>0</v>
      </c>
      <c r="C8" s="23">
        <f>SUMIFS('Liste des élèves'!$K$4:$K$1363,'Liste des élèves'!$E$4:$E$1363,A8)</f>
        <v>0</v>
      </c>
      <c r="D8" s="23">
        <f>SUMIFS('Liste des élèves'!$O$4:$O$1363,'Liste des élèves'!$E$4:$E$1363,A8)</f>
        <v>0</v>
      </c>
      <c r="E8" s="23">
        <f>SUMIFS('Liste des élèves'!$P$4:$P$1363,'Liste des élèves'!$E$4:$E$1363,A8)</f>
        <v>0</v>
      </c>
      <c r="F8" s="22">
        <f>COUNTIFS('Liste des élèves'!$E$4:$E$1363,A8,'Liste des élèves'!$Q$4:$Q$1363,"En retard")</f>
        <v>0</v>
      </c>
      <c r="G8" s="23">
        <f>SUMIFS('Liste des élèves'!$R$4:$R$1363,'Liste des élèves'!$E$4:$E$1363,A8)</f>
        <v>0</v>
      </c>
      <c r="H8" s="23">
        <f>SUMIFS('Liste des élèves'!$S$4:$S$1363,'Liste des élèves'!$E$4:$E$1363,A8)</f>
        <v>0</v>
      </c>
      <c r="I8" s="23">
        <f>SUMIFS('Liste des élèves'!$T$4:$T$1363,'Liste des élèves'!$E$4:$E$1363,A8)</f>
        <v>0</v>
      </c>
    </row>
    <row r="9" spans="1:6">
      <c r="A9" s="7" t="inlineStr">
        <is>
          <t>CP</t>
        </is>
      </c>
      <c r="B9" s="24">
        <f>COUNTIFS('Liste des élèves'!$E$4:$E$1363,A9)</f>
        <v>0</v>
      </c>
      <c r="C9" s="25">
        <f>SUMIFS('Liste des élèves'!$K$4:$K$1363,'Liste des élèves'!$E$4:$E$1363,A9)</f>
        <v>0</v>
      </c>
      <c r="D9" s="25">
        <f>SUMIFS('Liste des élèves'!$O$4:$O$1363,'Liste des élèves'!$E$4:$E$1363,A9)</f>
        <v>0</v>
      </c>
      <c r="E9" s="25">
        <f>SUMIFS('Liste des élèves'!$P$4:$P$1363,'Liste des élèves'!$E$4:$E$1363,A9)</f>
        <v>0</v>
      </c>
      <c r="F9" s="24">
        <f>COUNTIFS('Liste des élèves'!$E$4:$E$1363,A9,'Liste des élèves'!$Q$4:$Q$1363,"En retard")</f>
        <v>0</v>
      </c>
      <c r="G9" s="25">
        <f>SUMIFS('Liste des élèves'!$R$4:$R$1363,'Liste des élèves'!$E$4:$E$1363,A9)</f>
        <v>0</v>
      </c>
      <c r="H9" s="25">
        <f>SUMIFS('Liste des élèves'!$S$4:$S$1363,'Liste des élèves'!$E$4:$E$1363,A9)</f>
        <v>0</v>
      </c>
      <c r="I9" s="25">
        <f>SUMIFS('Liste des élèves'!$T$4:$T$1363,'Liste des élèves'!$E$4:$E$1363,A9)</f>
        <v>0</v>
      </c>
    </row>
    <row r="10" spans="1:6">
      <c r="A10" s="4" t="inlineStr">
        <is>
          <t>CE1</t>
        </is>
      </c>
      <c r="B10" s="22">
        <f>COUNTIFS('Liste des élèves'!$E$4:$E$1363,A10)</f>
        <v>0</v>
      </c>
      <c r="C10" s="23">
        <f>SUMIFS('Liste des élèves'!$K$4:$K$1363,'Liste des élèves'!$E$4:$E$1363,A10)</f>
        <v>0</v>
      </c>
      <c r="D10" s="23">
        <f>SUMIFS('Liste des élèves'!$O$4:$O$1363,'Liste des élèves'!$E$4:$E$1363,A10)</f>
        <v>0</v>
      </c>
      <c r="E10" s="23">
        <f>SUMIFS('Liste des élèves'!$P$4:$P$1363,'Liste des élèves'!$E$4:$E$1363,A10)</f>
        <v>0</v>
      </c>
      <c r="F10" s="22">
        <f>COUNTIFS('Liste des élèves'!$E$4:$E$1363,A10,'Liste des élèves'!$Q$4:$Q$1363,"En retard")</f>
        <v>0</v>
      </c>
      <c r="G10" s="23">
        <f>SUMIFS('Liste des élèves'!$R$4:$R$1363,'Liste des élèves'!$E$4:$E$1363,A10)</f>
        <v>0</v>
      </c>
      <c r="H10" s="23">
        <f>SUMIFS('Liste des élèves'!$S$4:$S$1363,'Liste des élèves'!$E$4:$E$1363,A10)</f>
        <v>0</v>
      </c>
      <c r="I10" s="23">
        <f>SUMIFS('Liste des élèves'!$T$4:$T$1363,'Liste des élèves'!$E$4:$E$1363,A10)</f>
        <v>0</v>
      </c>
    </row>
    <row r="11" spans="1:6">
      <c r="A11" s="7" t="inlineStr">
        <is>
          <t>CE2</t>
        </is>
      </c>
      <c r="B11" s="24">
        <f>COUNTIFS('Liste des élèves'!$E$4:$E$1363,A11)</f>
        <v>0</v>
      </c>
      <c r="C11" s="25">
        <f>SUMIFS('Liste des élèves'!$K$4:$K$1363,'Liste des élèves'!$E$4:$E$1363,A11)</f>
        <v>0</v>
      </c>
      <c r="D11" s="25">
        <f>SUMIFS('Liste des élèves'!$O$4:$O$1363,'Liste des élèves'!$E$4:$E$1363,A11)</f>
        <v>0</v>
      </c>
      <c r="E11" s="25">
        <f>SUMIFS('Liste des élèves'!$P$4:$P$1363,'Liste des élèves'!$E$4:$E$1363,A11)</f>
        <v>0</v>
      </c>
      <c r="F11" s="24">
        <f>COUNTIFS('Liste des élèves'!$E$4:$E$1363,A11,'Liste des élèves'!$Q$4:$Q$1363,"En retard")</f>
        <v>0</v>
      </c>
      <c r="G11" s="25">
        <f>SUMIFS('Liste des élèves'!$R$4:$R$1363,'Liste des élèves'!$E$4:$E$1363,A11)</f>
        <v>0</v>
      </c>
      <c r="H11" s="25">
        <f>SUMIFS('Liste des élèves'!$S$4:$S$1363,'Liste des élèves'!$E$4:$E$1363,A11)</f>
        <v>0</v>
      </c>
      <c r="I11" s="25">
        <f>SUMIFS('Liste des élèves'!$T$4:$T$1363,'Liste des élèves'!$E$4:$E$1363,A11)</f>
        <v>0</v>
      </c>
    </row>
    <row r="12" spans="1:6">
      <c r="A12" s="4" t="inlineStr">
        <is>
          <t>CM1</t>
        </is>
      </c>
      <c r="B12" s="22">
        <f>COUNTIFS('Liste des élèves'!$E$4:$E$1363,A12)</f>
        <v>0</v>
      </c>
      <c r="C12" s="23">
        <f>SUMIFS('Liste des élèves'!$K$4:$K$1363,'Liste des élèves'!$E$4:$E$1363,A12)</f>
        <v>0</v>
      </c>
      <c r="D12" s="23">
        <f>SUMIFS('Liste des élèves'!$O$4:$O$1363,'Liste des élèves'!$E$4:$E$1363,A12)</f>
        <v>0</v>
      </c>
      <c r="E12" s="23">
        <f>SUMIFS('Liste des élèves'!$P$4:$P$1363,'Liste des élèves'!$E$4:$E$1363,A12)</f>
        <v>0</v>
      </c>
      <c r="F12" s="22">
        <f>COUNTIFS('Liste des élèves'!$E$4:$E$1363,A12,'Liste des élèves'!$Q$4:$Q$1363,"En retard")</f>
        <v>0</v>
      </c>
      <c r="G12" s="23">
        <f>SUMIFS('Liste des élèves'!$R$4:$R$1363,'Liste des élèves'!$E$4:$E$1363,A12)</f>
        <v>0</v>
      </c>
      <c r="H12" s="23">
        <f>SUMIFS('Liste des élèves'!$S$4:$S$1363,'Liste des élèves'!$E$4:$E$1363,A12)</f>
        <v>0</v>
      </c>
      <c r="I12" s="23">
        <f>SUMIFS('Liste des élèves'!$T$4:$T$1363,'Liste des élèves'!$E$4:$E$1363,A12)</f>
        <v>0</v>
      </c>
    </row>
    <row r="13" spans="1:6">
      <c r="A13" s="7" t="inlineStr">
        <is>
          <t>CM2</t>
        </is>
      </c>
      <c r="B13" s="24">
        <f>COUNTIFS('Liste des élèves'!$E$4:$E$1363,A13)</f>
        <v>0</v>
      </c>
      <c r="C13" s="25">
        <f>SUMIFS('Liste des élèves'!$K$4:$K$1363,'Liste des élèves'!$E$4:$E$1363,A13)</f>
        <v>0</v>
      </c>
      <c r="D13" s="25">
        <f>SUMIFS('Liste des élèves'!$O$4:$O$1363,'Liste des élèves'!$E$4:$E$1363,A13)</f>
        <v>0</v>
      </c>
      <c r="E13" s="25">
        <f>SUMIFS('Liste des élèves'!$P$4:$P$1363,'Liste des élèves'!$E$4:$E$1363,A13)</f>
        <v>0</v>
      </c>
      <c r="F13" s="24">
        <f>COUNTIFS('Liste des élèves'!$E$4:$E$1363,A13,'Liste des élèves'!$Q$4:$Q$1363,"En retard")</f>
        <v>0</v>
      </c>
      <c r="G13" s="25">
        <f>SUMIFS('Liste des élèves'!$R$4:$R$1363,'Liste des élèves'!$E$4:$E$1363,A13)</f>
        <v>0</v>
      </c>
      <c r="H13" s="25">
        <f>SUMIFS('Liste des élèves'!$S$4:$S$1363,'Liste des élèves'!$E$4:$E$1363,A13)</f>
        <v>0</v>
      </c>
      <c r="I13" s="25">
        <f>SUMIFS('Liste des élèves'!$T$4:$T$1363,'Liste des élèves'!$E$4:$E$1363,A13)</f>
        <v>0</v>
      </c>
    </row>
    <row r="14" spans="1:9">
      <c r="A14" s="60" t="inlineStr">
        <is>
          <t>— Collège —</t>
        </is>
      </c>
      <c r="B14" s="60"/>
      <c r="C14" s="60"/>
      <c r="D14" s="60"/>
      <c r="E14" s="60"/>
      <c r="F14" s="60"/>
      <c r="G14" s="60"/>
      <c r="H14" s="60"/>
      <c r="I14" s="60"/>
    </row>
    <row r="15" spans="1:6">
      <c r="A15" s="4" t="inlineStr">
        <is>
          <t>6e</t>
        </is>
      </c>
      <c r="B15" s="22">
        <f>COUNTIFS('Liste des élèves'!$E$4:$E$1363,A15)</f>
        <v>0</v>
      </c>
      <c r="C15" s="23">
        <f>SUMIFS('Liste des élèves'!$K$4:$K$1363,'Liste des élèves'!$E$4:$E$1363,A15)</f>
        <v>0</v>
      </c>
      <c r="D15" s="23">
        <f>SUMIFS('Liste des élèves'!$O$4:$O$1363,'Liste des élèves'!$E$4:$E$1363,A15)</f>
        <v>0</v>
      </c>
      <c r="E15" s="23">
        <f>SUMIFS('Liste des élèves'!$P$4:$P$1363,'Liste des élèves'!$E$4:$E$1363,A15)</f>
        <v>0</v>
      </c>
      <c r="F15" s="22">
        <f>COUNTIFS('Liste des élèves'!$E$4:$E$1363,A15,'Liste des élèves'!$Q$4:$Q$1363,"En retard")</f>
        <v>0</v>
      </c>
      <c r="G15" s="23">
        <f>SUMIFS('Liste des élèves'!$R$4:$R$1363,'Liste des élèves'!$E$4:$E$1363,A15)</f>
        <v>0</v>
      </c>
      <c r="H15" s="23">
        <f>SUMIFS('Liste des élèves'!$S$4:$S$1363,'Liste des élèves'!$E$4:$E$1363,A15)</f>
        <v>0</v>
      </c>
      <c r="I15" s="23">
        <f>SUMIFS('Liste des élèves'!$T$4:$T$1363,'Liste des élèves'!$E$4:$E$1363,A15)</f>
        <v>0</v>
      </c>
    </row>
    <row r="16" spans="1:6">
      <c r="A16" s="7" t="inlineStr">
        <is>
          <t>5e</t>
        </is>
      </c>
      <c r="B16" s="24">
        <f>COUNTIFS('Liste des élèves'!$E$4:$E$1363,A16)</f>
        <v>0</v>
      </c>
      <c r="C16" s="25">
        <f>SUMIFS('Liste des élèves'!$K$4:$K$1363,'Liste des élèves'!$E$4:$E$1363,A16)</f>
        <v>0</v>
      </c>
      <c r="D16" s="25">
        <f>SUMIFS('Liste des élèves'!$O$4:$O$1363,'Liste des élèves'!$E$4:$E$1363,A16)</f>
        <v>0</v>
      </c>
      <c r="E16" s="25">
        <f>SUMIFS('Liste des élèves'!$P$4:$P$1363,'Liste des élèves'!$E$4:$E$1363,A16)</f>
        <v>0</v>
      </c>
      <c r="F16" s="24">
        <f>COUNTIFS('Liste des élèves'!$E$4:$E$1363,A16,'Liste des élèves'!$Q$4:$Q$1363,"En retard")</f>
        <v>0</v>
      </c>
      <c r="G16" s="25">
        <f>SUMIFS('Liste des élèves'!$R$4:$R$1363,'Liste des élèves'!$E$4:$E$1363,A16)</f>
        <v>0</v>
      </c>
      <c r="H16" s="25">
        <f>SUMIFS('Liste des élèves'!$S$4:$S$1363,'Liste des élèves'!$E$4:$E$1363,A16)</f>
        <v>0</v>
      </c>
      <c r="I16" s="25">
        <f>SUMIFS('Liste des élèves'!$T$4:$T$1363,'Liste des élèves'!$E$4:$E$1363,A16)</f>
        <v>0</v>
      </c>
    </row>
    <row r="17" spans="1:6">
      <c r="A17" s="4" t="inlineStr">
        <is>
          <t>4e</t>
        </is>
      </c>
      <c r="B17" s="22">
        <f>COUNTIFS('Liste des élèves'!$E$4:$E$1363,A17)</f>
        <v>1</v>
      </c>
      <c r="C17" s="23">
        <f>SUMIFS('Liste des élèves'!$K$4:$K$1363,'Liste des élèves'!$E$4:$E$1363,A17)</f>
        <v>150000</v>
      </c>
      <c r="D17" s="23">
        <f>SUMIFS('Liste des élèves'!$O$4:$O$1363,'Liste des élèves'!$E$4:$E$1363,A17)</f>
        <v>150000</v>
      </c>
      <c r="E17" s="23">
        <f>SUMIFS('Liste des élèves'!$P$4:$P$1363,'Liste des élèves'!$E$4:$E$1363,A17)</f>
        <v>0</v>
      </c>
      <c r="F17" s="22">
        <f>COUNTIFS('Liste des élèves'!$E$4:$E$1363,A17,'Liste des élèves'!$Q$4:$Q$1363,"En retard")</f>
        <v>1</v>
      </c>
      <c r="G17" s="23">
        <f>SUMIFS('Liste des élèves'!$R$4:$R$1363,'Liste des élèves'!$E$4:$E$1363,A17)</f>
        <v>3000</v>
      </c>
      <c r="H17" s="23">
        <f>SUMIFS('Liste des élèves'!$S$4:$S$1363,'Liste des élèves'!$E$4:$E$1363,A17)</f>
        <v>0</v>
      </c>
      <c r="I17" s="23">
        <f>SUMIFS('Liste des élèves'!$T$4:$T$1363,'Liste des élèves'!$E$4:$E$1363,A17)</f>
        <v>3000</v>
      </c>
    </row>
    <row r="18" spans="1:6">
      <c r="A18" s="7" t="inlineStr">
        <is>
          <t>3e</t>
        </is>
      </c>
      <c r="B18" s="24">
        <f>COUNTIFS('Liste des élèves'!$E$4:$E$1363,A18)</f>
        <v>0</v>
      </c>
      <c r="C18" s="25">
        <f>SUMIFS('Liste des élèves'!$K$4:$K$1363,'Liste des élèves'!$E$4:$E$1363,A18)</f>
        <v>0</v>
      </c>
      <c r="D18" s="25">
        <f>SUMIFS('Liste des élèves'!$O$4:$O$1363,'Liste des élèves'!$E$4:$E$1363,A18)</f>
        <v>0</v>
      </c>
      <c r="E18" s="25">
        <f>SUMIFS('Liste des élèves'!$P$4:$P$1363,'Liste des élèves'!$E$4:$E$1363,A18)</f>
        <v>0</v>
      </c>
      <c r="F18" s="24">
        <f>COUNTIFS('Liste des élèves'!$E$4:$E$1363,A18,'Liste des élèves'!$Q$4:$Q$1363,"En retard")</f>
        <v>0</v>
      </c>
      <c r="G18" s="25">
        <f>SUMIFS('Liste des élèves'!$R$4:$R$1363,'Liste des élèves'!$E$4:$E$1363,A18)</f>
        <v>0</v>
      </c>
      <c r="H18" s="25">
        <f>SUMIFS('Liste des élèves'!$S$4:$S$1363,'Liste des élèves'!$E$4:$E$1363,A18)</f>
        <v>0</v>
      </c>
      <c r="I18" s="25">
        <f>SUMIFS('Liste des élèves'!$T$4:$T$1363,'Liste des élèves'!$E$4:$E$1363,A18)</f>
        <v>0</v>
      </c>
    </row>
    <row r="19" spans="1:9">
      <c r="A19" s="60" t="inlineStr">
        <is>
          <t>— Lycée —</t>
        </is>
      </c>
      <c r="B19" s="60"/>
      <c r="C19" s="60"/>
      <c r="D19" s="60"/>
      <c r="E19" s="60"/>
      <c r="F19" s="60"/>
      <c r="G19" s="60"/>
      <c r="H19" s="60"/>
      <c r="I19" s="60"/>
    </row>
    <row r="20" spans="1:6">
      <c r="A20" s="4" t="inlineStr">
        <is>
          <t>2nde</t>
        </is>
      </c>
      <c r="B20" s="22">
        <f>COUNTIFS('Liste des élèves'!$E$4:$E$1363,A20)</f>
        <v>1</v>
      </c>
      <c r="C20" s="23">
        <f>SUMIFS('Liste des élèves'!$K$4:$K$1363,'Liste des élèves'!$E$4:$E$1363,A20)</f>
        <v>150000</v>
      </c>
      <c r="D20" s="23">
        <f>SUMIFS('Liste des élèves'!$O$4:$O$1363,'Liste des élèves'!$E$4:$E$1363,A20)</f>
        <v>50000</v>
      </c>
      <c r="E20" s="23">
        <f>SUMIFS('Liste des élèves'!$P$4:$P$1363,'Liste des élèves'!$E$4:$E$1363,A20)</f>
        <v>100000</v>
      </c>
      <c r="F20" s="22">
        <f>COUNTIFS('Liste des élèves'!$E$4:$E$1363,A20,'Liste des élèves'!$Q$4:$Q$1363,"En retard")</f>
        <v>1</v>
      </c>
      <c r="G20" s="23">
        <f>SUMIFS('Liste des élèves'!$R$4:$R$1363,'Liste des élèves'!$E$4:$E$1363,A20)</f>
        <v>3000</v>
      </c>
      <c r="H20" s="23">
        <f>SUMIFS('Liste des élèves'!$S$4:$S$1363,'Liste des élèves'!$E$4:$E$1363,A20)</f>
        <v>0</v>
      </c>
      <c r="I20" s="23">
        <f>SUMIFS('Liste des élèves'!$T$4:$T$1363,'Liste des élèves'!$E$4:$E$1363,A20)</f>
        <v>3000</v>
      </c>
    </row>
    <row r="21" spans="1:6">
      <c r="A21" s="7" t="inlineStr">
        <is>
          <t>1ère A</t>
        </is>
      </c>
      <c r="B21" s="24">
        <f>COUNTIFS('Liste des élèves'!$E$4:$E$1363,A21)</f>
        <v>0</v>
      </c>
      <c r="C21" s="25">
        <f>SUMIFS('Liste des élèves'!$K$4:$K$1363,'Liste des élèves'!$E$4:$E$1363,A21)</f>
        <v>0</v>
      </c>
      <c r="D21" s="25">
        <f>SUMIFS('Liste des élèves'!$O$4:$O$1363,'Liste des élèves'!$E$4:$E$1363,A21)</f>
        <v>0</v>
      </c>
      <c r="E21" s="25">
        <f>SUMIFS('Liste des élèves'!$P$4:$P$1363,'Liste des élèves'!$E$4:$E$1363,A21)</f>
        <v>0</v>
      </c>
      <c r="F21" s="24">
        <f>COUNTIFS('Liste des élèves'!$E$4:$E$1363,A21,'Liste des élèves'!$Q$4:$Q$1363,"En retard")</f>
        <v>0</v>
      </c>
      <c r="G21" s="25">
        <f>SUMIFS('Liste des élèves'!$R$4:$R$1363,'Liste des élèves'!$E$4:$E$1363,A21)</f>
        <v>0</v>
      </c>
      <c r="H21" s="25">
        <f>SUMIFS('Liste des élèves'!$S$4:$S$1363,'Liste des élèves'!$E$4:$E$1363,A21)</f>
        <v>0</v>
      </c>
      <c r="I21" s="25">
        <f>SUMIFS('Liste des élèves'!$T$4:$T$1363,'Liste des élèves'!$E$4:$E$1363,A21)</f>
        <v>0</v>
      </c>
    </row>
    <row r="22" spans="1:6">
      <c r="A22" s="4" t="inlineStr">
        <is>
          <t>1ère D</t>
        </is>
      </c>
      <c r="B22" s="22">
        <f>COUNTIFS('Liste des élèves'!$E$4:$E$1363,A22)</f>
        <v>0</v>
      </c>
      <c r="C22" s="23">
        <f>SUMIFS('Liste des élèves'!$K$4:$K$1363,'Liste des élèves'!$E$4:$E$1363,A22)</f>
        <v>0</v>
      </c>
      <c r="D22" s="23">
        <f>SUMIFS('Liste des élèves'!$O$4:$O$1363,'Liste des élèves'!$E$4:$E$1363,A22)</f>
        <v>0</v>
      </c>
      <c r="E22" s="23">
        <f>SUMIFS('Liste des élèves'!$P$4:$P$1363,'Liste des élèves'!$E$4:$E$1363,A22)</f>
        <v>0</v>
      </c>
      <c r="F22" s="22">
        <f>COUNTIFS('Liste des élèves'!$E$4:$E$1363,A22,'Liste des élèves'!$Q$4:$Q$1363,"En retard")</f>
        <v>0</v>
      </c>
      <c r="G22" s="23">
        <f>SUMIFS('Liste des élèves'!$R$4:$R$1363,'Liste des élèves'!$E$4:$E$1363,A22)</f>
        <v>0</v>
      </c>
      <c r="H22" s="23">
        <f>SUMIFS('Liste des élèves'!$S$4:$S$1363,'Liste des élèves'!$E$4:$E$1363,A22)</f>
        <v>0</v>
      </c>
      <c r="I22" s="23">
        <f>SUMIFS('Liste des élèves'!$T$4:$T$1363,'Liste des élèves'!$E$4:$E$1363,A22)</f>
        <v>0</v>
      </c>
    </row>
    <row r="23" spans="1:6">
      <c r="A23" s="7" t="inlineStr">
        <is>
          <t>Terminale A</t>
        </is>
      </c>
      <c r="B23" s="24">
        <f>COUNTIFS('Liste des élèves'!$E$4:$E$1363,A23)</f>
        <v>0</v>
      </c>
      <c r="C23" s="25">
        <f>SUMIFS('Liste des élèves'!$K$4:$K$1363,'Liste des élèves'!$E$4:$E$1363,A23)</f>
        <v>0</v>
      </c>
      <c r="D23" s="25">
        <f>SUMIFS('Liste des élèves'!$O$4:$O$1363,'Liste des élèves'!$E$4:$E$1363,A23)</f>
        <v>0</v>
      </c>
      <c r="E23" s="25">
        <f>SUMIFS('Liste des élèves'!$P$4:$P$1363,'Liste des élèves'!$E$4:$E$1363,A23)</f>
        <v>0</v>
      </c>
      <c r="F23" s="24">
        <f>COUNTIFS('Liste des élèves'!$E$4:$E$1363,A23,'Liste des élèves'!$Q$4:$Q$1363,"En retard")</f>
        <v>0</v>
      </c>
      <c r="G23" s="25">
        <f>SUMIFS('Liste des élèves'!$R$4:$R$1363,'Liste des élèves'!$E$4:$E$1363,A23)</f>
        <v>0</v>
      </c>
      <c r="H23" s="25">
        <f>SUMIFS('Liste des élèves'!$S$4:$S$1363,'Liste des élèves'!$E$4:$E$1363,A23)</f>
        <v>0</v>
      </c>
      <c r="I23" s="25">
        <f>SUMIFS('Liste des élèves'!$T$4:$T$1363,'Liste des élèves'!$E$4:$E$1363,A23)</f>
        <v>0</v>
      </c>
    </row>
    <row r="24" spans="1:6">
      <c r="A24" s="4" t="inlineStr">
        <is>
          <t>Terminale D</t>
        </is>
      </c>
      <c r="B24" s="22">
        <f>COUNTIFS('Liste des élèves'!$E$4:$E$1363,A24)</f>
        <v>0</v>
      </c>
      <c r="C24" s="23">
        <f>SUMIFS('Liste des élèves'!$K$4:$K$1363,'Liste des élèves'!$E$4:$E$1363,A24)</f>
        <v>0</v>
      </c>
      <c r="D24" s="23">
        <f>SUMIFS('Liste des élèves'!$O$4:$O$1363,'Liste des élèves'!$E$4:$E$1363,A24)</f>
        <v>0</v>
      </c>
      <c r="E24" s="23">
        <f>SUMIFS('Liste des élèves'!$P$4:$P$1363,'Liste des élèves'!$E$4:$E$1363,A24)</f>
        <v>0</v>
      </c>
      <c r="F24" s="22">
        <f>COUNTIFS('Liste des élèves'!$E$4:$E$1363,A24,'Liste des élèves'!$Q$4:$Q$1363,"En retard")</f>
        <v>0</v>
      </c>
      <c r="G24" s="23">
        <f>SUMIFS('Liste des élèves'!$R$4:$R$1363,'Liste des élèves'!$E$4:$E$1363,A24)</f>
        <v>0</v>
      </c>
      <c r="H24" s="23">
        <f>SUMIFS('Liste des élèves'!$S$4:$S$1363,'Liste des élèves'!$E$4:$E$1363,A24)</f>
        <v>0</v>
      </c>
      <c r="I24" s="23">
        <f>SUMIFS('Liste des élèves'!$T$4:$T$1363,'Liste des élèves'!$E$4:$E$1363,A24)</f>
        <v>0</v>
      </c>
    </row>
    <row r="25" spans="1:6">
      <c r="A25" s="26" t="inlineStr">
        <is>
          <t>TOTAL ÉCOLE</t>
        </is>
      </c>
      <c r="B25" s="27">
        <f>B5+B6+B8+B9+B10+B11+B12+B13+B15+B16+B17+B18+B20+B21+B22+B23+B24</f>
        <v>2</v>
      </c>
      <c r="C25" s="28">
        <f>C5+C6+C8+C9+C10+C11+C12+C13+C15+C16+C17+C18+C20+C21+C22+C23+C24</f>
        <v>300000</v>
      </c>
      <c r="D25" s="28">
        <f>D5+D6+D8+D9+D10+D11+D12+D13+D15+D16+D17+D18+D20+D21+D22+D23+D24</f>
        <v>200000</v>
      </c>
      <c r="E25" s="28">
        <f>E5+E6+E8+E9+E10+E11+E12+E13+E15+E16+E17+E18+E20+E21+E22+E23+E24</f>
        <v>100000</v>
      </c>
      <c r="F25" s="27">
        <f>F5+F6+F8+F9+F10+F11+F12+F13+F15+F16+F17+F18+F20+F21+F22+F23+F24</f>
        <v>2</v>
      </c>
      <c r="G25" s="28">
        <f>G5+G6+G8+G9+G10+G11+G12+G13+G15+G16+G17+G18+G20+G21+G22+G23+G24</f>
        <v>6000</v>
      </c>
      <c r="H25" s="28">
        <f>H5+H6+H8+H9+H10+H11+H12+H13+H15+H16+H17+H18+H20+H21+H22+H23+H24</f>
        <v>0</v>
      </c>
      <c r="I25" s="28">
        <f>I5+I6+I8+I9+I10+I11+I12+I13+I15+I16+I17+I18+I20+I21+I22+I23+I24</f>
        <v>6000</v>
      </c>
    </row>
  </sheetData>
  <mergeCells count="6">
    <mergeCell ref="A1:I1"/>
    <mergeCell ref="A2:I2"/>
    <mergeCell ref="A4:I4"/>
    <mergeCell ref="A7:I7"/>
    <mergeCell ref="A14:I14"/>
    <mergeCell ref="A19:I19"/>
  </mergeCells>
  <pageMargins left="0.75" right="0.75" top="1" bottom="1" header="0.511811023622047" footer="0.511811023622047"/>
  <pageSetup paperSize="9" orientation="landscape" fitToHeight="0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38D75"/>
    <pageSetUpPr fitToPage="1"/>
  </sheetPr>
  <dimension ref="A1:M25"/>
  <sheetViews>
    <sheetView showGridLines="0" zoomScaleNormal="100" workbookViewId="0">
      <selection activeCell="G8" sqref="G8"/>
    </sheetView>
  </sheetViews>
  <sheetFormatPr baseColWidth="10" defaultColWidth="8.6328125" defaultRowHeight="14.5" x14ac:dyDescent="0.35"/>
  <cols>
    <col min="1" max="1" width="18" customWidth="1"/>
    <col min="2" max="5" width="11" customWidth="1"/>
    <col min="6" max="6" width="15" customWidth="1"/>
    <col min="7" max="10" width="11" customWidth="1"/>
    <col min="11" max="12" width="10" customWidth="1"/>
    <col min="13" max="13" width="8" customWidth="1"/>
  </cols>
  <sheetData>
    <row r="1" spans="1:13" ht="27.75" customHeight="1" x14ac:dyDescent="0.35">
      <c r="A1" s="53" t="s">
        <v>73</v>
      </c>
      <c r="B1" s="53"/>
      <c r="C1" s="53"/>
      <c r="D1" s="53"/>
      <c r="E1" s="53"/>
      <c r="F1" s="53"/>
    </row>
    <row r="2" spans="1:13" ht="18" customHeight="1" x14ac:dyDescent="0.35">
      <c r="A2" s="61" t="s">
        <v>74</v>
      </c>
      <c r="B2" s="61"/>
      <c r="C2" s="61"/>
      <c r="D2" s="61"/>
      <c r="E2" s="61"/>
      <c r="F2" s="61"/>
      <c r="G2" s="29" t="s">
        <v>75</v>
      </c>
    </row>
    <row r="3" spans="1:13" ht="30" customHeight="1" x14ac:dyDescent="0.35">
      <c r="A3" s="3" t="s">
        <v>62</v>
      </c>
      <c r="B3" s="3" t="s">
        <v>63</v>
      </c>
      <c r="C3" s="3" t="s">
        <v>76</v>
      </c>
      <c r="D3" s="3" t="s">
        <v>77</v>
      </c>
      <c r="E3" s="3" t="s">
        <v>78</v>
      </c>
      <c r="F3" s="3" t="s">
        <v>67</v>
      </c>
      <c r="G3" s="30" t="s">
        <v>15</v>
      </c>
      <c r="H3" s="30" t="s">
        <v>63</v>
      </c>
      <c r="I3" s="30" t="s">
        <v>76</v>
      </c>
      <c r="J3" s="30" t="s">
        <v>77</v>
      </c>
      <c r="L3" s="29" t="s">
        <v>79</v>
      </c>
    </row>
    <row r="4" spans="1:13">
      <c r="A4" s="60" t="inlineStr">
        <is>
          <t>— Maternelle —</t>
        </is>
      </c>
      <c r="B4" s="60"/>
      <c r="C4" s="60"/>
      <c r="D4" s="60"/>
      <c r="E4" s="60"/>
      <c r="F4" s="60"/>
      <c r="G4" s="31" t="inlineStr">
        <is>
          <t>Petite section</t>
        </is>
      </c>
      <c r="H4" s="32">
        <f>COUNTIFS('Liste des élèves'!$E$4:$E$1363,G4)</f>
        <v>0</v>
      </c>
      <c r="I4" s="32">
        <f>COUNTIFS('Liste des élèves'!$E$4:$E$1363,G4,'Liste des élèves'!$G$4:$G$1363,"M")</f>
        <v>0</v>
      </c>
      <c r="J4" s="32">
        <f>COUNTIFS('Liste des élèves'!$E$4:$E$1363,G4,'Liste des élèves'!$G$4:$G$1363,"F")</f>
        <v>0</v>
      </c>
      <c r="L4" s="32" t="inlineStr">
        <is>
          <t>Garçons</t>
        </is>
      </c>
      <c r="M4" s="32">
        <f>COUNTIFS('Liste des élèves'!$G$4:$G$1363,"M")</f>
        <v>1</v>
      </c>
    </row>
    <row r="5" spans="1:13">
      <c r="A5" s="4" t="inlineStr">
        <is>
          <t>Petite section</t>
        </is>
      </c>
      <c r="B5" s="22">
        <f>COUNTIFS('Liste des élèves'!$E$4:$E$1363,A5)</f>
        <v>0</v>
      </c>
      <c r="C5" s="22">
        <f>COUNTIFS('Liste des élèves'!$E$4:$E$1363,A5,'Liste des élèves'!$G$4:$G$1363,"M")</f>
        <v>0</v>
      </c>
      <c r="D5" s="22">
        <f>COUNTIFS('Liste des élèves'!$E$4:$E$1363,A5,'Liste des élèves'!$G$4:$G$1363,"F")</f>
        <v>0</v>
      </c>
      <c r="E5" s="33">
        <f>IF(B5=0,0,D5/B5)</f>
        <v>0</v>
      </c>
      <c r="F5" s="22">
        <f>COUNTIFS('Liste des élèves'!$E$4:$E$1363,A5,'Liste des élèves'!$Q$4:$Q$1363,"En retard")</f>
        <v>0</v>
      </c>
      <c r="G5" s="31" t="inlineStr">
        <is>
          <t>Grande section</t>
        </is>
      </c>
      <c r="H5" s="32">
        <f>COUNTIFS('Liste des élèves'!$E$4:$E$1363,G5)</f>
        <v>0</v>
      </c>
      <c r="I5" s="32">
        <f>COUNTIFS('Liste des élèves'!$E$4:$E$1363,G5,'Liste des élèves'!$G$4:$G$1363,"M")</f>
        <v>0</v>
      </c>
      <c r="J5" s="32">
        <f>COUNTIFS('Liste des élèves'!$E$4:$E$1363,G5,'Liste des élèves'!$G$4:$G$1363,"F")</f>
        <v>0</v>
      </c>
      <c r="L5" s="32" t="inlineStr">
        <is>
          <t>Filles</t>
        </is>
      </c>
      <c r="M5" s="32">
        <f>COUNTIFS('Liste des élèves'!$G$4:$G$1363,"F")</f>
        <v>1</v>
      </c>
    </row>
    <row r="6" spans="1:13">
      <c r="A6" s="7" t="inlineStr">
        <is>
          <t>Grande section</t>
        </is>
      </c>
      <c r="B6" s="24">
        <f>COUNTIFS('Liste des élèves'!$E$4:$E$1363,A6)</f>
        <v>0</v>
      </c>
      <c r="C6" s="24">
        <f>COUNTIFS('Liste des élèves'!$E$4:$E$1363,A6,'Liste des élèves'!$G$4:$G$1363,"M")</f>
        <v>0</v>
      </c>
      <c r="D6" s="24">
        <f>COUNTIFS('Liste des élèves'!$E$4:$E$1363,A6,'Liste des élèves'!$G$4:$G$1363,"F")</f>
        <v>0</v>
      </c>
      <c r="E6" s="34">
        <f>IF(B6=0,0,D6/B6)</f>
        <v>0</v>
      </c>
      <c r="F6" s="24">
        <f>COUNTIFS('Liste des élèves'!$E$4:$E$1363,A6,'Liste des élèves'!$Q$4:$Q$1363,"En retard")</f>
        <v>0</v>
      </c>
      <c r="G6" s="31" t="inlineStr">
        <is>
          <t>CI</t>
        </is>
      </c>
      <c r="H6" s="32">
        <f>COUNTIFS('Liste des élèves'!$E$4:$E$1363,G6)</f>
        <v>0</v>
      </c>
      <c r="I6" s="32">
        <f>COUNTIFS('Liste des élèves'!$E$4:$E$1363,G6,'Liste des élèves'!$G$4:$G$1363,"M")</f>
        <v>0</v>
      </c>
      <c r="J6" s="32">
        <f>COUNTIFS('Liste des élèves'!$E$4:$E$1363,G6,'Liste des élèves'!$G$4:$G$1363,"F")</f>
        <v>0</v>
      </c>
    </row>
    <row r="7" spans="1:13">
      <c r="A7" s="60" t="inlineStr">
        <is>
          <t>— Primaire —</t>
        </is>
      </c>
      <c r="B7" s="60"/>
      <c r="C7" s="60"/>
      <c r="D7" s="60"/>
      <c r="E7" s="60"/>
      <c r="F7" s="60"/>
      <c r="G7" s="31" t="inlineStr">
        <is>
          <t>CP</t>
        </is>
      </c>
      <c r="H7" s="32">
        <f>COUNTIFS('Liste des élèves'!$E$4:$E$1363,G7)</f>
        <v>0</v>
      </c>
      <c r="I7" s="32">
        <f>COUNTIFS('Liste des élèves'!$E$4:$E$1363,G7,'Liste des élèves'!$G$4:$G$1363,"M")</f>
        <v>0</v>
      </c>
      <c r="J7" s="32">
        <f>COUNTIFS('Liste des élèves'!$E$4:$E$1363,G7,'Liste des élèves'!$G$4:$G$1363,"F")</f>
        <v>0</v>
      </c>
    </row>
    <row r="8" spans="1:13">
      <c r="A8" s="4" t="inlineStr">
        <is>
          <t>CI</t>
        </is>
      </c>
      <c r="B8" s="22">
        <f>COUNTIFS('Liste des élèves'!$E$4:$E$1363,A8)</f>
        <v>0</v>
      </c>
      <c r="C8" s="22">
        <f>COUNTIFS('Liste des élèves'!$E$4:$E$1363,A8,'Liste des élèves'!$G$4:$G$1363,"M")</f>
        <v>0</v>
      </c>
      <c r="D8" s="22">
        <f>COUNTIFS('Liste des élèves'!$E$4:$E$1363,A8,'Liste des élèves'!$G$4:$G$1363,"F")</f>
        <v>0</v>
      </c>
      <c r="E8" s="33">
        <f>IF(B8=0,0,D8/B8)</f>
        <v>0</v>
      </c>
      <c r="F8" s="22">
        <f>COUNTIFS('Liste des élèves'!$E$4:$E$1363,A8,'Liste des élèves'!$Q$4:$Q$1363,"En retard")</f>
        <v>0</v>
      </c>
      <c r="G8" s="31" t="inlineStr">
        <is>
          <t>CE1</t>
        </is>
      </c>
      <c r="H8" s="32">
        <f>COUNTIFS('Liste des élèves'!$E$4:$E$1363,G8)</f>
        <v>0</v>
      </c>
      <c r="I8" s="32">
        <f>COUNTIFS('Liste des élèves'!$E$4:$E$1363,G8,'Liste des élèves'!$G$4:$G$1363,"M")</f>
        <v>0</v>
      </c>
      <c r="J8" s="32">
        <f>COUNTIFS('Liste des élèves'!$E$4:$E$1363,G8,'Liste des élèves'!$G$4:$G$1363,"F")</f>
        <v>0</v>
      </c>
    </row>
    <row r="9" spans="1:13">
      <c r="A9" s="7" t="inlineStr">
        <is>
          <t>CP</t>
        </is>
      </c>
      <c r="B9" s="24">
        <f>COUNTIFS('Liste des élèves'!$E$4:$E$1363,A9)</f>
        <v>0</v>
      </c>
      <c r="C9" s="24">
        <f>COUNTIFS('Liste des élèves'!$E$4:$E$1363,A9,'Liste des élèves'!$G$4:$G$1363,"M")</f>
        <v>0</v>
      </c>
      <c r="D9" s="24">
        <f>COUNTIFS('Liste des élèves'!$E$4:$E$1363,A9,'Liste des élèves'!$G$4:$G$1363,"F")</f>
        <v>0</v>
      </c>
      <c r="E9" s="34">
        <f>IF(B9=0,0,D9/B9)</f>
        <v>0</v>
      </c>
      <c r="F9" s="24">
        <f>COUNTIFS('Liste des élèves'!$E$4:$E$1363,A9,'Liste des élèves'!$Q$4:$Q$1363,"En retard")</f>
        <v>0</v>
      </c>
      <c r="G9" s="31" t="inlineStr">
        <is>
          <t>CE2</t>
        </is>
      </c>
      <c r="H9" s="32">
        <f>COUNTIFS('Liste des élèves'!$E$4:$E$1363,G9)</f>
        <v>0</v>
      </c>
      <c r="I9" s="32">
        <f>COUNTIFS('Liste des élèves'!$E$4:$E$1363,G9,'Liste des élèves'!$G$4:$G$1363,"M")</f>
        <v>0</v>
      </c>
      <c r="J9" s="32">
        <f>COUNTIFS('Liste des élèves'!$E$4:$E$1363,G9,'Liste des élèves'!$G$4:$G$1363,"F")</f>
        <v>0</v>
      </c>
    </row>
    <row r="10" spans="1:13">
      <c r="A10" s="4" t="inlineStr">
        <is>
          <t>CE1</t>
        </is>
      </c>
      <c r="B10" s="22">
        <f>COUNTIFS('Liste des élèves'!$E$4:$E$1363,A10)</f>
        <v>0</v>
      </c>
      <c r="C10" s="22">
        <f>COUNTIFS('Liste des élèves'!$E$4:$E$1363,A10,'Liste des élèves'!$G$4:$G$1363,"M")</f>
        <v>0</v>
      </c>
      <c r="D10" s="22">
        <f>COUNTIFS('Liste des élèves'!$E$4:$E$1363,A10,'Liste des élèves'!$G$4:$G$1363,"F")</f>
        <v>0</v>
      </c>
      <c r="E10" s="33">
        <f>IF(B10=0,0,D10/B10)</f>
        <v>0</v>
      </c>
      <c r="F10" s="22">
        <f>COUNTIFS('Liste des élèves'!$E$4:$E$1363,A10,'Liste des élèves'!$Q$4:$Q$1363,"En retard")</f>
        <v>0</v>
      </c>
      <c r="G10" s="31" t="inlineStr">
        <is>
          <t>CM1</t>
        </is>
      </c>
      <c r="H10" s="32">
        <f>COUNTIFS('Liste des élèves'!$E$4:$E$1363,G10)</f>
        <v>0</v>
      </c>
      <c r="I10" s="32">
        <f>COUNTIFS('Liste des élèves'!$E$4:$E$1363,G10,'Liste des élèves'!$G$4:$G$1363,"M")</f>
        <v>0</v>
      </c>
      <c r="J10" s="32">
        <f>COUNTIFS('Liste des élèves'!$E$4:$E$1363,G10,'Liste des élèves'!$G$4:$G$1363,"F")</f>
        <v>0</v>
      </c>
    </row>
    <row r="11" spans="1:13">
      <c r="A11" s="7" t="inlineStr">
        <is>
          <t>CE2</t>
        </is>
      </c>
      <c r="B11" s="24">
        <f>COUNTIFS('Liste des élèves'!$E$4:$E$1363,A11)</f>
        <v>0</v>
      </c>
      <c r="C11" s="24">
        <f>COUNTIFS('Liste des élèves'!$E$4:$E$1363,A11,'Liste des élèves'!$G$4:$G$1363,"M")</f>
        <v>0</v>
      </c>
      <c r="D11" s="24">
        <f>COUNTIFS('Liste des élèves'!$E$4:$E$1363,A11,'Liste des élèves'!$G$4:$G$1363,"F")</f>
        <v>0</v>
      </c>
      <c r="E11" s="34">
        <f>IF(B11=0,0,D11/B11)</f>
        <v>0</v>
      </c>
      <c r="F11" s="24">
        <f>COUNTIFS('Liste des élèves'!$E$4:$E$1363,A11,'Liste des élèves'!$Q$4:$Q$1363,"En retard")</f>
        <v>0</v>
      </c>
      <c r="G11" s="31" t="inlineStr">
        <is>
          <t>CM2</t>
        </is>
      </c>
      <c r="H11" s="32">
        <f>COUNTIFS('Liste des élèves'!$E$4:$E$1363,G11)</f>
        <v>0</v>
      </c>
      <c r="I11" s="32">
        <f>COUNTIFS('Liste des élèves'!$E$4:$E$1363,G11,'Liste des élèves'!$G$4:$G$1363,"M")</f>
        <v>0</v>
      </c>
      <c r="J11" s="32">
        <f>COUNTIFS('Liste des élèves'!$E$4:$E$1363,G11,'Liste des élèves'!$G$4:$G$1363,"F")</f>
        <v>0</v>
      </c>
    </row>
    <row r="12" spans="1:13">
      <c r="A12" s="4" t="inlineStr">
        <is>
          <t>CM1</t>
        </is>
      </c>
      <c r="B12" s="22">
        <f>COUNTIFS('Liste des élèves'!$E$4:$E$1363,A12)</f>
        <v>0</v>
      </c>
      <c r="C12" s="22">
        <f>COUNTIFS('Liste des élèves'!$E$4:$E$1363,A12,'Liste des élèves'!$G$4:$G$1363,"M")</f>
        <v>0</v>
      </c>
      <c r="D12" s="22">
        <f>COUNTIFS('Liste des élèves'!$E$4:$E$1363,A12,'Liste des élèves'!$G$4:$G$1363,"F")</f>
        <v>0</v>
      </c>
      <c r="E12" s="33">
        <f>IF(B12=0,0,D12/B12)</f>
        <v>0</v>
      </c>
      <c r="F12" s="22">
        <f>COUNTIFS('Liste des élèves'!$E$4:$E$1363,A12,'Liste des élèves'!$Q$4:$Q$1363,"En retard")</f>
        <v>0</v>
      </c>
      <c r="G12" s="31" t="inlineStr">
        <is>
          <t>6e</t>
        </is>
      </c>
      <c r="H12" s="32">
        <f>COUNTIFS('Liste des élèves'!$E$4:$E$1363,G12)</f>
        <v>0</v>
      </c>
      <c r="I12" s="32">
        <f>COUNTIFS('Liste des élèves'!$E$4:$E$1363,G12,'Liste des élèves'!$G$4:$G$1363,"M")</f>
        <v>0</v>
      </c>
      <c r="J12" s="32">
        <f>COUNTIFS('Liste des élèves'!$E$4:$E$1363,G12,'Liste des élèves'!$G$4:$G$1363,"F")</f>
        <v>0</v>
      </c>
    </row>
    <row r="13" spans="1:13">
      <c r="A13" s="7" t="inlineStr">
        <is>
          <t>CM2</t>
        </is>
      </c>
      <c r="B13" s="24">
        <f>COUNTIFS('Liste des élèves'!$E$4:$E$1363,A13)</f>
        <v>0</v>
      </c>
      <c r="C13" s="24">
        <f>COUNTIFS('Liste des élèves'!$E$4:$E$1363,A13,'Liste des élèves'!$G$4:$G$1363,"M")</f>
        <v>0</v>
      </c>
      <c r="D13" s="24">
        <f>COUNTIFS('Liste des élèves'!$E$4:$E$1363,A13,'Liste des élèves'!$G$4:$G$1363,"F")</f>
        <v>0</v>
      </c>
      <c r="E13" s="34">
        <f>IF(B13=0,0,D13/B13)</f>
        <v>0</v>
      </c>
      <c r="F13" s="24">
        <f>COUNTIFS('Liste des élèves'!$E$4:$E$1363,A13,'Liste des élèves'!$Q$4:$Q$1363,"En retard")</f>
        <v>0</v>
      </c>
      <c r="G13" s="31" t="inlineStr">
        <is>
          <t>5e</t>
        </is>
      </c>
      <c r="H13" s="32">
        <f>COUNTIFS('Liste des élèves'!$E$4:$E$1363,G13)</f>
        <v>0</v>
      </c>
      <c r="I13" s="32">
        <f>COUNTIFS('Liste des élèves'!$E$4:$E$1363,G13,'Liste des élèves'!$G$4:$G$1363,"M")</f>
        <v>0</v>
      </c>
      <c r="J13" s="32">
        <f>COUNTIFS('Liste des élèves'!$E$4:$E$1363,G13,'Liste des élèves'!$G$4:$G$1363,"F")</f>
        <v>0</v>
      </c>
    </row>
    <row r="14" spans="1:13">
      <c r="A14" s="60" t="inlineStr">
        <is>
          <t>— Collège —</t>
        </is>
      </c>
      <c r="B14" s="60"/>
      <c r="C14" s="60"/>
      <c r="D14" s="60"/>
      <c r="E14" s="60"/>
      <c r="F14" s="60"/>
      <c r="G14" s="31" t="inlineStr">
        <is>
          <t>4e</t>
        </is>
      </c>
      <c r="H14" s="32">
        <f>COUNTIFS('Liste des élèves'!$E$4:$E$1363,G14)</f>
        <v>1</v>
      </c>
      <c r="I14" s="32">
        <f>COUNTIFS('Liste des élèves'!$E$4:$E$1363,G14,'Liste des élèves'!$G$4:$G$1363,"M")</f>
        <v>0</v>
      </c>
      <c r="J14" s="32">
        <f>COUNTIFS('Liste des élèves'!$E$4:$E$1363,G14,'Liste des élèves'!$G$4:$G$1363,"F")</f>
        <v>1</v>
      </c>
    </row>
    <row r="15" spans="1:13">
      <c r="A15" s="4" t="inlineStr">
        <is>
          <t>6e</t>
        </is>
      </c>
      <c r="B15" s="22">
        <f>COUNTIFS('Liste des élèves'!$E$4:$E$1363,A15)</f>
        <v>0</v>
      </c>
      <c r="C15" s="22">
        <f>COUNTIFS('Liste des élèves'!$E$4:$E$1363,A15,'Liste des élèves'!$G$4:$G$1363,"M")</f>
        <v>0</v>
      </c>
      <c r="D15" s="22">
        <f>COUNTIFS('Liste des élèves'!$E$4:$E$1363,A15,'Liste des élèves'!$G$4:$G$1363,"F")</f>
        <v>0</v>
      </c>
      <c r="E15" s="33">
        <f>IF(B15=0,0,D15/B15)</f>
        <v>0</v>
      </c>
      <c r="F15" s="22">
        <f>COUNTIFS('Liste des élèves'!$E$4:$E$1363,A15,'Liste des élèves'!$Q$4:$Q$1363,"En retard")</f>
        <v>0</v>
      </c>
      <c r="G15" s="31" t="inlineStr">
        <is>
          <t>3e</t>
        </is>
      </c>
      <c r="H15" s="32">
        <f>COUNTIFS('Liste des élèves'!$E$4:$E$1363,G15)</f>
        <v>0</v>
      </c>
      <c r="I15" s="32">
        <f>COUNTIFS('Liste des élèves'!$E$4:$E$1363,G15,'Liste des élèves'!$G$4:$G$1363,"M")</f>
        <v>0</v>
      </c>
      <c r="J15" s="32">
        <f>COUNTIFS('Liste des élèves'!$E$4:$E$1363,G15,'Liste des élèves'!$G$4:$G$1363,"F")</f>
        <v>0</v>
      </c>
    </row>
    <row r="16" spans="1:13">
      <c r="A16" s="7" t="inlineStr">
        <is>
          <t>5e</t>
        </is>
      </c>
      <c r="B16" s="24">
        <f>COUNTIFS('Liste des élèves'!$E$4:$E$1363,A16)</f>
        <v>0</v>
      </c>
      <c r="C16" s="24">
        <f>COUNTIFS('Liste des élèves'!$E$4:$E$1363,A16,'Liste des élèves'!$G$4:$G$1363,"M")</f>
        <v>0</v>
      </c>
      <c r="D16" s="24">
        <f>COUNTIFS('Liste des élèves'!$E$4:$E$1363,A16,'Liste des élèves'!$G$4:$G$1363,"F")</f>
        <v>0</v>
      </c>
      <c r="E16" s="34">
        <f>IF(B16=0,0,D16/B16)</f>
        <v>0</v>
      </c>
      <c r="F16" s="24">
        <f>COUNTIFS('Liste des élèves'!$E$4:$E$1363,A16,'Liste des élèves'!$Q$4:$Q$1363,"En retard")</f>
        <v>0</v>
      </c>
      <c r="G16" s="31" t="inlineStr">
        <is>
          <t>2nde</t>
        </is>
      </c>
      <c r="H16" s="32">
        <f>COUNTIFS('Liste des élèves'!$E$4:$E$1363,G16)</f>
        <v>1</v>
      </c>
      <c r="I16" s="32">
        <f>COUNTIFS('Liste des élèves'!$E$4:$E$1363,G16,'Liste des élèves'!$G$4:$G$1363,"M")</f>
        <v>1</v>
      </c>
      <c r="J16" s="32">
        <f>COUNTIFS('Liste des élèves'!$E$4:$E$1363,G16,'Liste des élèves'!$G$4:$G$1363,"F")</f>
        <v>0</v>
      </c>
    </row>
    <row r="17" spans="1:13">
      <c r="A17" s="4" t="inlineStr">
        <is>
          <t>4e</t>
        </is>
      </c>
      <c r="B17" s="22">
        <f>COUNTIFS('Liste des élèves'!$E$4:$E$1363,A17)</f>
        <v>1</v>
      </c>
      <c r="C17" s="22">
        <f>COUNTIFS('Liste des élèves'!$E$4:$E$1363,A17,'Liste des élèves'!$G$4:$G$1363,"M")</f>
        <v>0</v>
      </c>
      <c r="D17" s="22">
        <f>COUNTIFS('Liste des élèves'!$E$4:$E$1363,A17,'Liste des élèves'!$G$4:$G$1363,"F")</f>
        <v>1</v>
      </c>
      <c r="E17" s="33">
        <f>IF(B17=0,0,D17/B17)</f>
        <v>1</v>
      </c>
      <c r="F17" s="22">
        <f>COUNTIFS('Liste des élèves'!$E$4:$E$1363,A17,'Liste des élèves'!$Q$4:$Q$1363,"En retard")</f>
        <v>1</v>
      </c>
      <c r="G17" s="31" t="inlineStr">
        <is>
          <t>1ère A</t>
        </is>
      </c>
      <c r="H17" s="32">
        <f>COUNTIFS('Liste des élèves'!$E$4:$E$1363,G17)</f>
        <v>0</v>
      </c>
      <c r="I17" s="32">
        <f>COUNTIFS('Liste des élèves'!$E$4:$E$1363,G17,'Liste des élèves'!$G$4:$G$1363,"M")</f>
        <v>0</v>
      </c>
      <c r="J17" s="32">
        <f>COUNTIFS('Liste des élèves'!$E$4:$E$1363,G17,'Liste des élèves'!$G$4:$G$1363,"F")</f>
        <v>0</v>
      </c>
    </row>
    <row r="18" spans="1:13">
      <c r="A18" s="7" t="inlineStr">
        <is>
          <t>3e</t>
        </is>
      </c>
      <c r="B18" s="24">
        <f>COUNTIFS('Liste des élèves'!$E$4:$E$1363,A18)</f>
        <v>0</v>
      </c>
      <c r="C18" s="24">
        <f>COUNTIFS('Liste des élèves'!$E$4:$E$1363,A18,'Liste des élèves'!$G$4:$G$1363,"M")</f>
        <v>0</v>
      </c>
      <c r="D18" s="24">
        <f>COUNTIFS('Liste des élèves'!$E$4:$E$1363,A18,'Liste des élèves'!$G$4:$G$1363,"F")</f>
        <v>0</v>
      </c>
      <c r="E18" s="34">
        <f>IF(B18=0,0,D18/B18)</f>
        <v>0</v>
      </c>
      <c r="F18" s="24">
        <f>COUNTIFS('Liste des élèves'!$E$4:$E$1363,A18,'Liste des élèves'!$Q$4:$Q$1363,"En retard")</f>
        <v>0</v>
      </c>
      <c r="G18" s="31" t="inlineStr">
        <is>
          <t>1ère D</t>
        </is>
      </c>
      <c r="H18" s="32">
        <f>COUNTIFS('Liste des élèves'!$E$4:$E$1363,G18)</f>
        <v>0</v>
      </c>
      <c r="I18" s="32">
        <f>COUNTIFS('Liste des élèves'!$E$4:$E$1363,G18,'Liste des élèves'!$G$4:$G$1363,"M")</f>
        <v>0</v>
      </c>
      <c r="J18" s="32">
        <f>COUNTIFS('Liste des élèves'!$E$4:$E$1363,G18,'Liste des élèves'!$G$4:$G$1363,"F")</f>
        <v>0</v>
      </c>
    </row>
    <row r="19" spans="1:13">
      <c r="A19" s="60" t="inlineStr">
        <is>
          <t>— Lycée —</t>
        </is>
      </c>
      <c r="B19" s="60"/>
      <c r="C19" s="60"/>
      <c r="D19" s="60"/>
      <c r="E19" s="60"/>
      <c r="F19" s="60"/>
      <c r="G19" s="31" t="inlineStr">
        <is>
          <t>Terminale A</t>
        </is>
      </c>
      <c r="H19" s="32">
        <f>COUNTIFS('Liste des élèves'!$E$4:$E$1363,G19)</f>
        <v>0</v>
      </c>
      <c r="I19" s="32">
        <f>COUNTIFS('Liste des élèves'!$E$4:$E$1363,G19,'Liste des élèves'!$G$4:$G$1363,"M")</f>
        <v>0</v>
      </c>
      <c r="J19" s="32">
        <f>COUNTIFS('Liste des élèves'!$E$4:$E$1363,G19,'Liste des élèves'!$G$4:$G$1363,"F")</f>
        <v>0</v>
      </c>
    </row>
    <row r="20" spans="1:13">
      <c r="A20" s="4" t="inlineStr">
        <is>
          <t>2nde</t>
        </is>
      </c>
      <c r="B20" s="22">
        <f>COUNTIFS('Liste des élèves'!$E$4:$E$1363,A20)</f>
        <v>1</v>
      </c>
      <c r="C20" s="22">
        <f>COUNTIFS('Liste des élèves'!$E$4:$E$1363,A20,'Liste des élèves'!$G$4:$G$1363,"M")</f>
        <v>1</v>
      </c>
      <c r="D20" s="22">
        <f>COUNTIFS('Liste des élèves'!$E$4:$E$1363,A20,'Liste des élèves'!$G$4:$G$1363,"F")</f>
        <v>0</v>
      </c>
      <c r="E20" s="33">
        <f>IF(B20=0,0,D20/B20)</f>
        <v>0</v>
      </c>
      <c r="F20" s="22">
        <f>COUNTIFS('Liste des élèves'!$E$4:$E$1363,A20,'Liste des élèves'!$Q$4:$Q$1363,"En retard")</f>
        <v>1</v>
      </c>
      <c r="G20" s="31" t="inlineStr">
        <is>
          <t>Terminale D</t>
        </is>
      </c>
      <c r="H20" s="32">
        <f>COUNTIFS('Liste des élèves'!$E$4:$E$1363,G20)</f>
        <v>0</v>
      </c>
      <c r="I20" s="32">
        <f>COUNTIFS('Liste des élèves'!$E$4:$E$1363,G20,'Liste des élèves'!$G$4:$G$1363,"M")</f>
        <v>0</v>
      </c>
      <c r="J20" s="32">
        <f>COUNTIFS('Liste des élèves'!$E$4:$E$1363,G20,'Liste des élèves'!$G$4:$G$1363,"F")</f>
        <v>0</v>
      </c>
    </row>
    <row r="21" spans="1:13">
      <c r="A21" s="7" t="inlineStr">
        <is>
          <t>1ère A</t>
        </is>
      </c>
      <c r="B21" s="24">
        <f>COUNTIFS('Liste des élèves'!$E$4:$E$1363,A21)</f>
        <v>0</v>
      </c>
      <c r="C21" s="24">
        <f>COUNTIFS('Liste des élèves'!$E$4:$E$1363,A21,'Liste des élèves'!$G$4:$G$1363,"M")</f>
        <v>0</v>
      </c>
      <c r="D21" s="24">
        <f>COUNTIFS('Liste des élèves'!$E$4:$E$1363,A21,'Liste des élèves'!$G$4:$G$1363,"F")</f>
        <v>0</v>
      </c>
      <c r="E21" s="34">
        <f>IF(B21=0,0,D21/B21)</f>
        <v>0</v>
      </c>
      <c r="F21" s="24">
        <f>COUNTIFS('Liste des élèves'!$E$4:$E$1363,A21,'Liste des élèves'!$Q$4:$Q$1363,"En retard")</f>
        <v>0</v>
      </c>
    </row>
    <row r="22" spans="1:13">
      <c r="A22" s="4" t="inlineStr">
        <is>
          <t>1ère D</t>
        </is>
      </c>
      <c r="B22" s="22">
        <f>COUNTIFS('Liste des élèves'!$E$4:$E$1363,A22)</f>
        <v>0</v>
      </c>
      <c r="C22" s="22">
        <f>COUNTIFS('Liste des élèves'!$E$4:$E$1363,A22,'Liste des élèves'!$G$4:$G$1363,"M")</f>
        <v>0</v>
      </c>
      <c r="D22" s="22">
        <f>COUNTIFS('Liste des élèves'!$E$4:$E$1363,A22,'Liste des élèves'!$G$4:$G$1363,"F")</f>
        <v>0</v>
      </c>
      <c r="E22" s="33">
        <f>IF(B22=0,0,D22/B22)</f>
        <v>0</v>
      </c>
      <c r="F22" s="22">
        <f>COUNTIFS('Liste des élèves'!$E$4:$E$1363,A22,'Liste des élèves'!$Q$4:$Q$1363,"En retard")</f>
        <v>0</v>
      </c>
    </row>
    <row r="23" spans="1:13">
      <c r="A23" s="7" t="inlineStr">
        <is>
          <t>Terminale A</t>
        </is>
      </c>
      <c r="B23" s="24">
        <f>COUNTIFS('Liste des élèves'!$E$4:$E$1363,A23)</f>
        <v>0</v>
      </c>
      <c r="C23" s="24">
        <f>COUNTIFS('Liste des élèves'!$E$4:$E$1363,A23,'Liste des élèves'!$G$4:$G$1363,"M")</f>
        <v>0</v>
      </c>
      <c r="D23" s="24">
        <f>COUNTIFS('Liste des élèves'!$E$4:$E$1363,A23,'Liste des élèves'!$G$4:$G$1363,"F")</f>
        <v>0</v>
      </c>
      <c r="E23" s="34">
        <f>IF(B23=0,0,D23/B23)</f>
        <v>0</v>
      </c>
      <c r="F23" s="24">
        <f>COUNTIFS('Liste des élèves'!$E$4:$E$1363,A23,'Liste des élèves'!$Q$4:$Q$1363,"En retard")</f>
        <v>0</v>
      </c>
    </row>
    <row r="24" spans="1:13">
      <c r="A24" s="4" t="inlineStr">
        <is>
          <t>Terminale D</t>
        </is>
      </c>
      <c r="B24" s="22">
        <f>COUNTIFS('Liste des élèves'!$E$4:$E$1363,A24)</f>
        <v>0</v>
      </c>
      <c r="C24" s="22">
        <f>COUNTIFS('Liste des élèves'!$E$4:$E$1363,A24,'Liste des élèves'!$G$4:$G$1363,"M")</f>
        <v>0</v>
      </c>
      <c r="D24" s="22">
        <f>COUNTIFS('Liste des élèves'!$E$4:$E$1363,A24,'Liste des élèves'!$G$4:$G$1363,"F")</f>
        <v>0</v>
      </c>
      <c r="E24" s="33">
        <f>IF(B24=0,0,D24/B24)</f>
        <v>0</v>
      </c>
      <c r="F24" s="22">
        <f>COUNTIFS('Liste des élèves'!$E$4:$E$1363,A24,'Liste des élèves'!$Q$4:$Q$1363,"En retard")</f>
        <v>0</v>
      </c>
    </row>
    <row r="25" spans="1:13">
      <c r="A25" s="26" t="inlineStr">
        <is>
          <t>TOTAL ÉCOLE</t>
        </is>
      </c>
      <c r="B25" s="27">
        <f>B5+B6+B8+B9+B10+B11+B12+B13+B15+B16+B17+B18+B20+B21+B22+B23+B24</f>
        <v>2</v>
      </c>
      <c r="C25" s="27">
        <f>C5+C6+C8+C9+C10+C11+C12+C13+C15+C16+C17+C18+C20+C21+C22+C23+C24</f>
        <v>1</v>
      </c>
      <c r="D25" s="27">
        <f>D5+D6+D8+D9+D10+D11+D12+D13+D15+D16+D17+D18+D20+D21+D22+D23+D24</f>
        <v>1</v>
      </c>
      <c r="E25" s="35">
        <f>IF(B25=0,0,D25/B25)</f>
        <v>0.5</v>
      </c>
      <c r="F25" s="27">
        <f>F5+F6+F8+F9+F10+F11+F12+F13+F15+F16+F17+F18+F20+F21+F22+F23+F24</f>
        <v>2</v>
      </c>
    </row>
  </sheetData>
  <mergeCells count="6">
    <mergeCell ref="A1:F1"/>
    <mergeCell ref="A2:F2"/>
    <mergeCell ref="A4:F4"/>
    <mergeCell ref="A7:F7"/>
    <mergeCell ref="A14:F14"/>
    <mergeCell ref="A19:F19"/>
  </mergeCells>
  <conditionalFormatting sqref="F4:F25">
    <cfRule type="cellIs" dxfId="7" priority="2" operator="greaterThan">
      <formula>0</formula>
    </cfRule>
  </conditionalFormatting>
  <pageMargins left="0.75" right="0.75" top="1" bottom="1" header="0.511811023622047" footer="0.511811023622047"/>
  <pageSetup paperSize="9" orientation="portrait" fitToHeight="0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8860B"/>
    <pageSetUpPr fitToPage="1"/>
  </sheetPr>
  <dimension ref="A1:G33"/>
  <sheetViews>
    <sheetView showGridLines="0" topLeftCell="G15" zoomScaleNormal="100" workbookViewId="0">
      <selection activeCell="M13" sqref="M13"/>
    </sheetView>
  </sheetViews>
  <sheetFormatPr baseColWidth="10" defaultColWidth="8.6328125" defaultRowHeight="14.5" x14ac:dyDescent="0.35"/>
  <cols>
    <col min="1" max="1" width="26" customWidth="1"/>
    <col min="2" max="2" width="12" customWidth="1"/>
    <col min="3" max="3" width="28.1796875" customWidth="1"/>
    <col min="5" max="7" width="13" customWidth="1"/>
  </cols>
  <sheetData>
    <row r="1" spans="1:7" ht="57.5" customHeight="1" x14ac:dyDescent="0.35">
      <c r="A1" s="53" t="s">
        <v>80</v>
      </c>
      <c r="B1" s="53"/>
      <c r="C1" s="53"/>
    </row>
    <row r="2" spans="1:7" ht="18" customHeight="1" x14ac:dyDescent="0.35">
      <c r="A2" s="61" t="s">
        <v>81</v>
      </c>
      <c r="B2" s="61"/>
      <c r="C2" s="61"/>
      <c r="E2" s="2" t="s">
        <v>82</v>
      </c>
    </row>
    <row r="3" spans="1:7" ht="25.5" customHeight="1" x14ac:dyDescent="0.35">
      <c r="A3" s="62" t="s">
        <v>83</v>
      </c>
      <c r="B3" s="62"/>
      <c r="C3" s="36">
        <f>'Récapitulatif par classe'!B25</f>
        <v>2</v>
      </c>
      <c r="E3" s="30" t="s">
        <v>16</v>
      </c>
      <c r="F3" s="30" t="s">
        <v>84</v>
      </c>
      <c r="G3" s="30" t="s">
        <v>85</v>
      </c>
    </row>
    <row r="4" spans="1:7" ht="25.5" customHeight="1" x14ac:dyDescent="0.35">
      <c r="A4" s="62" t="s">
        <v>86</v>
      </c>
      <c r="B4" s="62"/>
      <c r="C4" s="37">
        <f>'Récapitulatif par classe'!C25</f>
        <v>300000</v>
      </c>
      <c r="E4" s="31" t="s">
        <v>19</v>
      </c>
      <c r="F4" s="38">
        <f>SUMIFS('Liste des élèves'!$O$4:$O$1363,'Liste des élèves'!$F$4:$F$1363,E4)</f>
        <v>0</v>
      </c>
      <c r="G4" s="38">
        <f>SUMIFS('Liste des élèves'!$P$4:$P$1363,'Liste des élèves'!$F$4:$F$1363,E4)</f>
        <v>0</v>
      </c>
    </row>
    <row r="5" spans="1:7" ht="25.5" customHeight="1" x14ac:dyDescent="0.35">
      <c r="A5" s="62" t="s">
        <v>65</v>
      </c>
      <c r="B5" s="62"/>
      <c r="C5" s="39">
        <f>'Récapitulatif par classe'!D25</f>
        <v>200000</v>
      </c>
      <c r="E5" s="31" t="s">
        <v>23</v>
      </c>
      <c r="F5" s="38">
        <f>SUMIFS('Liste des élèves'!$O$4:$O$1363,'Liste des élèves'!$F$4:$F$1363,E5)</f>
        <v>0</v>
      </c>
      <c r="G5" s="38">
        <f>SUMIFS('Liste des élèves'!$P$4:$P$1363,'Liste des élèves'!$F$4:$F$1363,E5)</f>
        <v>0</v>
      </c>
    </row>
    <row r="6" spans="1:7" ht="25.5" customHeight="1" x14ac:dyDescent="0.35">
      <c r="A6" s="62" t="s">
        <v>66</v>
      </c>
      <c r="B6" s="62"/>
      <c r="C6" s="40">
        <f>'Récapitulatif par classe'!E25</f>
        <v>100000</v>
      </c>
      <c r="E6" s="31" t="s">
        <v>29</v>
      </c>
      <c r="F6" s="38">
        <f>SUMIFS('Liste des élèves'!$O$4:$O$1363,'Liste des élèves'!$F$4:$F$1363,E6)</f>
        <v>150000</v>
      </c>
      <c r="G6" s="38">
        <f>SUMIFS('Liste des élèves'!$P$4:$P$1363,'Liste des élèves'!$F$4:$F$1363,E6)</f>
        <v>0</v>
      </c>
    </row>
    <row r="7" spans="1:7" ht="25.5" customHeight="1" x14ac:dyDescent="0.35">
      <c r="A7" s="62" t="s">
        <v>87</v>
      </c>
      <c r="B7" s="62"/>
      <c r="C7" s="41">
        <f>IF('Récapitulatif par classe'!C25=0,0,'Récapitulatif par classe'!D25/'Récapitulatif par classe'!C25)</f>
        <v>0.666666666666667</v>
      </c>
      <c r="E7" s="31" t="s">
        <v>34</v>
      </c>
      <c r="F7" s="38">
        <f>SUMIFS('Liste des élèves'!$O$4:$O$1363,'Liste des élèves'!$F$4:$F$1363,E7)</f>
        <v>50000</v>
      </c>
      <c r="G7" s="38">
        <f>SUMIFS('Liste des élèves'!$P$4:$P$1363,'Liste des élèves'!$F$4:$F$1363,E7)</f>
        <v>100000</v>
      </c>
    </row>
    <row r="8" spans="1:7" ht="25.5" customHeight="1" x14ac:dyDescent="0.35">
      <c r="A8" s="62" t="s">
        <v>88</v>
      </c>
      <c r="B8" s="62"/>
      <c r="C8" s="42">
        <f>COUNTIFS('Liste des élèves'!$Q$4:$Q$1363,"Soldé")</f>
        <v>0</v>
      </c>
      <c r="E8" s="2" t="s">
        <v>89</v>
      </c>
    </row>
    <row r="9" spans="1:7" ht="25.5" customHeight="1" x14ac:dyDescent="0.35">
      <c r="A9" s="62" t="s">
        <v>67</v>
      </c>
      <c r="B9" s="62"/>
      <c r="C9" s="43">
        <f>COUNTIFS('Liste des élèves'!$Q$4:$Q$1363,"En retard")</f>
        <v>2</v>
      </c>
      <c r="E9" s="30" t="s">
        <v>90</v>
      </c>
      <c r="F9" s="30" t="s">
        <v>91</v>
      </c>
    </row>
    <row r="10" spans="1:7" x14ac:dyDescent="0.35">
      <c r="E10" s="32" t="s">
        <v>92</v>
      </c>
      <c r="F10" s="32">
        <f>COUNTIFS('Liste des élèves'!$Q$4:$Q$1363,"Soldé")</f>
        <v>0</v>
      </c>
    </row>
    <row r="11" spans="1:7" ht="30" customHeight="1" x14ac:dyDescent="0.35">
      <c r="A11" s="63" t="str">
        <f>IF(COUNTIFS('Liste des élèves'!$Q$4:$Q$1363,"En retard")=0,"Tous les paiements sont à jour","ALERTE : "&amp;COUNTIFS('Liste des élèves'!$Q$4:$Q$1363,"En retard")&amp;" élève(s) en retard — voir l'onglet Suivi des impayés")</f>
        <v>ALERTE : 2 élève(s) en retard — voir l'onglet Suivi des impayés</v>
      </c>
      <c r="B11" s="63"/>
      <c r="C11" s="63"/>
      <c r="E11" s="32" t="s">
        <v>93</v>
      </c>
      <c r="F11" s="32">
        <f>COUNTIFS('Liste des élèves'!$Q$4:$Q$1363,"En retard")</f>
        <v>2</v>
      </c>
    </row>
    <row r="30" spans="1:7">
      <c r="A30" s="2" t="inlineStr">
        <is>
          <t>Frais d'inscription</t>
        </is>
      </c>
    </row>
    <row r="31" spans="1:7" ht="25.5" customHeight="1">
      <c r="A31" s="62" t="inlineStr">
        <is>
          <t>Inscriptions dues</t>
        </is>
      </c>
      <c r="B31" s="62"/>
      <c r="C31" s="37">
        <f>SUM('Liste des élèves'!$R$4:$R$1363)</f>
        <v>6000</v>
      </c>
    </row>
    <row r="32" spans="1:7" ht="25.5" customHeight="1">
      <c r="A32" s="62" t="inlineStr">
        <is>
          <t>Inscriptions encaissées</t>
        </is>
      </c>
      <c r="B32" s="62"/>
      <c r="C32" s="39">
        <f>SUM('Liste des élèves'!$S$4:$S$1363)</f>
        <v>0</v>
      </c>
    </row>
    <row r="33" spans="1:7" ht="25.5" customHeight="1">
      <c r="A33" s="62" t="inlineStr">
        <is>
          <t>Reste à recouvrer (inscriptions)</t>
        </is>
      </c>
      <c r="B33" s="62"/>
      <c r="C33" s="40">
        <f>SUM('Liste des élèves'!$T$4:$T$1363)</f>
        <v>6000</v>
      </c>
    </row>
  </sheetData>
  <mergeCells count="13">
    <mergeCell ref="A1:C1"/>
    <mergeCell ref="A2:C2"/>
    <mergeCell ref="A3:B3"/>
    <mergeCell ref="A4:B4"/>
    <mergeCell ref="A5:B5"/>
    <mergeCell ref="A6:B6"/>
    <mergeCell ref="A7:B7"/>
    <mergeCell ref="A8:B8"/>
    <mergeCell ref="A9:B9"/>
    <mergeCell ref="A11:C11"/>
    <mergeCell ref="A31:B31"/>
    <mergeCell ref="A32:B32"/>
    <mergeCell ref="A33:B33"/>
  </mergeCells>
  <conditionalFormatting sqref="C9">
    <cfRule type="cellIs" dxfId="4" priority="2" operator="greaterThan">
      <formula>0</formula>
    </cfRule>
  </conditionalFormatting>
  <pageMargins left="0.75" right="0.75" top="1" bottom="1" header="0.511811023622047" footer="0.511811023622047"/>
  <pageSetup paperSize="9" orientation="portrait" fitToHeight="0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000000-000E-0000-0400-000003000000}">
            <xm:f>COUNTIFS('Liste des élèves'!$Q$4:$Q$1363,"En retard")&gt;0</xm:f>
            <x14:dxf>
              <font>
                <b/>
                <sz val="12"/>
                <color rgb="FFFFFFFF"/>
                <name val="Arial"/>
                <charset val="1"/>
              </font>
              <fill>
                <patternFill>
                  <bgColor rgb="FFC00000"/>
                </patternFill>
              </fill>
            </x14:dxf>
          </x14:cfRule>
          <x14:cfRule type="expression" priority="4" id="{00000000-000E-0000-0400-000004000000}">
            <xm:f>COUNTIFS('Liste des élèves'!$Q$4:$Q$1363,"En retard")=0</xm:f>
            <x14:dxf>
              <font>
                <b/>
                <sz val="12"/>
                <color rgb="FFFFFFFF"/>
                <name val="Arial"/>
                <charset val="1"/>
              </font>
              <fill>
                <patternFill>
                  <bgColor rgb="FF1E6B3A"/>
                </patternFill>
              </fill>
            </x14:dxf>
          </x14:cfRule>
          <xm:sqref>A11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C3483"/>
    <pageSetUpPr fitToPage="1"/>
  </sheetPr>
  <dimension ref="B1:E39"/>
  <sheetViews>
    <sheetView showGridLines="0" zoomScaleNormal="100" workbookViewId="0">
      <selection activeCell="C5" sqref="C5"/>
    </sheetView>
  </sheetViews>
  <sheetFormatPr baseColWidth="10" defaultRowHeight="14.5"/>
  <cols>
    <col min="1" max="1" width="3" customWidth="1"/>
    <col min="2" max="2" width="25" customWidth="1"/>
    <col min="3" max="3" width="21" customWidth="1"/>
    <col min="4" max="4" width="25" customWidth="1"/>
    <col min="5" max="5" width="21" customWidth="1"/>
  </cols>
  <sheetData>
    <row r="1" ht="26" customHeight="1">
      <c r="C1" s="69" t="inlineStr">
        <is>
          <t>ÉCOLE LES ROIS DU SAHEL</t>
        </is>
      </c>
      <c r="D1" s="69"/>
      <c r="E1" s="69"/>
    </row>
    <row r="2" ht="17" customHeight="1">
      <c r="C2" s="70" t="str">
        <f>Paramètres!C6&amp;IF(Paramètres!C8=""," ","  •  Tél : "&amp;Paramètres!C8)</f>
        <v> </v>
      </c>
      <c r="D2" s="70"/>
      <c r="E2" s="70"/>
    </row>
    <row r="3" ht="17" customHeight="1">
      <c r="C3" s="71" t="inlineStr">
        <is>
          <t>Discipline · Travail · Succès</t>
        </is>
      </c>
      <c r="D3" s="71"/>
      <c r="E3" s="71"/>
    </row>
    <row r="4" ht="26" customHeight="1">
      <c r="B4" s="72" t="inlineStr">
        <is>
          <t>REÇU DE PAIEMENT DE SCOLARITÉ</t>
        </is>
      </c>
      <c r="C4" s="72"/>
      <c r="D4" s="72"/>
      <c r="E4" s="72"/>
    </row>
    <row r="5" ht="23" customHeight="1">
      <c r="B5" s="44" t="inlineStr">
        <is>
          <t>Matricule de l'élève :</t>
        </is>
      </c>
      <c r="C5" s="45" t="inlineStr">
        <is>
          <t>2025-001</t>
        </is>
      </c>
      <c r="D5" s="46" t="inlineStr">
        <is>
          <t>Année scolaire :</t>
        </is>
      </c>
      <c r="E5" s="47" t="str">
        <f>Paramètres!C11</f>
        <v>2025-2026</v>
      </c>
    </row>
    <row r="6" ht="13" customHeight="1">
      <c r="B6" s="73" t="inlineStr">
        <is>
          <t>(tapez le matricule d'un élève enregistré dans sa feuille de classe)</t>
        </is>
      </c>
      <c r="C6" s="73"/>
      <c r="D6" s="73"/>
      <c r="E6" s="73"/>
    </row>
    <row r="7" ht="23" customHeight="1">
      <c r="B7" s="48" t="inlineStr">
        <is>
          <t>Nom et prénom(s)</t>
        </is>
      </c>
      <c r="C7" s="67" t="str">
        <f>IFERROR(INDEX('Liste des élèves'!$D$4:$D$1363,MATCH($C$5,'Liste des élèves'!$A$4:$A$1363,0)),"—")</f>
        <v>Falmata DAOUDA - 4e</v>
      </c>
      <c r="D7" s="67"/>
      <c r="E7" s="67"/>
    </row>
    <row r="8" ht="23" customHeight="1">
      <c r="B8" s="48" t="inlineStr">
        <is>
          <t>Classe</t>
        </is>
      </c>
      <c r="C8" s="67" t="str">
        <f>IFERROR(INDEX('Liste des élèves'!$E$4:$E$1363,MATCH($C$5,'Liste des élèves'!$A$4:$A$1363,0)),"—")</f>
        <v>4e</v>
      </c>
      <c r="D8" s="82" t="inlineStr">
        <is>
          <t>Statut</t>
        </is>
      </c>
      <c r="E8" s="67" t="str">
        <f>IFERROR(INDEX('Liste des élèves'!$Q$4:$Q$1363,MATCH($C$5,'Liste des élèves'!$A$4:$A$1363,0)),"—")</f>
        <v>En retard</v>
      </c>
    </row>
    <row r="9" ht="23" customHeight="1">
      <c r="B9" s="48" t="inlineStr">
        <is>
          <t>Scolarité due</t>
        </is>
      </c>
      <c r="C9" s="65">
        <f>IFERROR(INDEX('Liste des élèves'!$K$4:$K$1363,MATCH($C$5,'Liste des élèves'!$A$4:$A$1363,0)),"—")</f>
        <v>150000</v>
      </c>
      <c r="D9" s="82" t="inlineStr">
        <is>
          <t>Frais d'inscription</t>
        </is>
      </c>
      <c r="E9" s="65">
        <f>IFERROR(INDEX('Liste des élèves'!$R$4:$R$1363,MATCH($C$5,'Liste des élèves'!$A$4:$A$1363,0)),"—")</f>
        <v>3000</v>
      </c>
    </row>
    <row r="10" ht="23" customHeight="1">
      <c r="B10" s="48" t="inlineStr">
        <is>
          <t>Tranche 1 versée</t>
        </is>
      </c>
      <c r="C10" s="65">
        <f>IFERROR(INDEX('Liste des élèves'!$L$4:$L$1363,MATCH($C$5,'Liste des élèves'!$A$4:$A$1363,0)),"—")</f>
        <v>150000</v>
      </c>
      <c r="D10" s="82" t="inlineStr">
        <is>
          <t>Inscription versée</t>
        </is>
      </c>
      <c r="E10" s="65">
        <f>IFERROR(INDEX('Liste des élèves'!$S$4:$S$1363,MATCH($C$5,'Liste des élèves'!$A$4:$A$1363,0)),"—")</f>
        <v>0</v>
      </c>
    </row>
    <row r="11" ht="23" customHeight="1">
      <c r="B11" s="48" t="inlineStr">
        <is>
          <t>Tranche 2 versée</t>
        </is>
      </c>
      <c r="C11" s="65">
        <f>IFERROR(INDEX('Liste des élèves'!$M$4:$M$1363,MATCH($C$5,'Liste des élèves'!$A$4:$A$1363,0)),"—")</f>
        <v>0</v>
      </c>
      <c r="D11" s="82" t="inlineStr">
        <is>
          <t>Reste inscription</t>
        </is>
      </c>
      <c r="E11" s="66">
        <f>IFERROR(INDEX('Liste des élèves'!$T$4:$T$1363,MATCH($C$5,'Liste des élèves'!$A$4:$A$1363,0)),"—")</f>
        <v>3000</v>
      </c>
    </row>
    <row r="12" ht="23" customHeight="1">
      <c r="B12" s="48" t="inlineStr">
        <is>
          <t>Tranche 3 versée</t>
        </is>
      </c>
      <c r="C12" s="65">
        <f>IFERROR(INDEX('Liste des élèves'!$N$4:$N$1363,MATCH($C$5,'Liste des élèves'!$A$4:$A$1363,0)),"—")</f>
        <v>0</v>
      </c>
    </row>
    <row r="13" ht="23" customHeight="1">
      <c r="B13" s="1" t="inlineStr">
        <is>
          <t>TOTAL PAYÉ</t>
        </is>
      </c>
      <c r="C13" s="66">
        <f>IFERROR(INDEX('Liste des élèves'!$O$4:$O$1363,MATCH($C$5,'Liste des élèves'!$A$4:$A$1363,0)),"—")</f>
        <v>150000</v>
      </c>
      <c r="D13" s="83" t="inlineStr">
        <is>
          <t>RESTE À PAYER</t>
        </is>
      </c>
      <c r="E13" s="66">
        <f>IFERROR(INDEX('Liste des élèves'!$P$4:$P$1363,MATCH($C$5,'Liste des élèves'!$A$4:$A$1363,0)),"—")</f>
        <v>0</v>
      </c>
    </row>
    <row r="14" ht="9" customHeight="1"/>
    <row r="15" ht="23" customHeight="1">
      <c r="B15" s="68" t="inlineStr">
        <is>
          <t>Fait à Niamey, le :</t>
        </is>
      </c>
      <c r="C15" s="80">
        <f>TODAY()</f>
        <v>46292</v>
      </c>
      <c r="D15" s="49" t="inlineStr">
        <is>
          <t>Signature &amp; cachet de l'établissement :</t>
        </is>
      </c>
      <c r="E15" s="49"/>
    </row>
    <row r="16" ht="36" customHeight="1"/>
    <row r="17" ht="16" customHeight="1">
      <c r="B17" s="81" t="inlineStr">
        <is>
          <t>✂ - - - - - - - - - - - - - - - - - - - - - - - - - - - - - - - - - - - - - - - -</t>
        </is>
      </c>
      <c r="C17" s="81"/>
      <c r="D17" s="81"/>
      <c r="E17" s="81"/>
    </row>
    <row r="18" ht="26" customHeight="1">
      <c r="C18" s="69" t="inlineStr">
        <is>
          <t>ÉCOLE LES ROIS DU SAHEL</t>
        </is>
      </c>
      <c r="D18" s="69"/>
      <c r="E18" s="69"/>
    </row>
    <row r="19" ht="17" customHeight="1">
      <c r="C19" s="70" t="str">
        <f>Paramètres!C6&amp;IF(Paramètres!C8=""," ","  •  Tél : "&amp;Paramètres!C8)</f>
        <v> </v>
      </c>
      <c r="D19" s="70"/>
      <c r="E19" s="70"/>
    </row>
    <row r="20" ht="17" customHeight="1">
      <c r="C20" s="71" t="inlineStr">
        <is>
          <t>Discipline · Travail · Succès</t>
        </is>
      </c>
      <c r="D20" s="71"/>
      <c r="E20" s="71"/>
    </row>
    <row r="21" ht="26" customHeight="1">
      <c r="B21" s="72" t="inlineStr">
        <is>
          <t>REÇU DE PAIEMENT DE SCOLARITÉ</t>
        </is>
      </c>
      <c r="C21" s="72"/>
      <c r="D21" s="72"/>
      <c r="E21" s="72"/>
    </row>
    <row r="22" ht="23" customHeight="1">
      <c r="B22" s="44" t="inlineStr">
        <is>
          <t>Matricule de l'élève :</t>
        </is>
      </c>
      <c r="C22" s="47" t="str">
        <f>C5</f>
        <v>2025-001</v>
      </c>
      <c r="D22" s="46" t="inlineStr">
        <is>
          <t>Année scolaire :</t>
        </is>
      </c>
      <c r="E22" s="47" t="str">
        <f>E5</f>
        <v>2025-2026</v>
      </c>
    </row>
    <row r="23" ht="13" customHeight="1">
      <c r="B23" s="73"/>
      <c r="C23" s="73"/>
      <c r="D23" s="73"/>
      <c r="E23" s="73"/>
    </row>
    <row r="24" ht="23" customHeight="1">
      <c r="B24" s="48" t="inlineStr">
        <is>
          <t>Nom et prénom(s)</t>
        </is>
      </c>
      <c r="C24" s="67" t="str">
        <f>C7</f>
        <v>Falmata DAOUDA - 4e</v>
      </c>
      <c r="D24" s="67"/>
      <c r="E24" s="67"/>
    </row>
    <row r="25" ht="23" customHeight="1">
      <c r="B25" s="48" t="inlineStr">
        <is>
          <t>Classe</t>
        </is>
      </c>
      <c r="C25" s="67" t="str">
        <f>C8</f>
        <v>4e</v>
      </c>
      <c r="D25" s="82" t="inlineStr">
        <is>
          <t>Statut</t>
        </is>
      </c>
      <c r="E25" s="67" t="str">
        <f>E8</f>
        <v>En retard</v>
      </c>
    </row>
    <row r="26" ht="23" customHeight="1">
      <c r="B26" s="48" t="inlineStr">
        <is>
          <t>Scolarité due</t>
        </is>
      </c>
      <c r="C26" s="65">
        <f>C9</f>
        <v>150000</v>
      </c>
      <c r="D26" s="82" t="inlineStr">
        <is>
          <t>Frais d'inscription</t>
        </is>
      </c>
      <c r="E26" s="65">
        <f>E9</f>
        <v>3000</v>
      </c>
    </row>
    <row r="27" ht="23" customHeight="1">
      <c r="B27" s="48" t="inlineStr">
        <is>
          <t>Tranche 1 versée</t>
        </is>
      </c>
      <c r="C27" s="65">
        <f>C10</f>
        <v>150000</v>
      </c>
      <c r="D27" s="82" t="inlineStr">
        <is>
          <t>Inscription versée</t>
        </is>
      </c>
      <c r="E27" s="65">
        <f>E10</f>
        <v>0</v>
      </c>
    </row>
    <row r="28" ht="23" customHeight="1">
      <c r="B28" s="48" t="inlineStr">
        <is>
          <t>Tranche 2 versée</t>
        </is>
      </c>
      <c r="C28" s="65">
        <f>C11</f>
        <v>0</v>
      </c>
      <c r="D28" s="82" t="inlineStr">
        <is>
          <t>Reste inscription</t>
        </is>
      </c>
      <c r="E28" s="66">
        <f>E11</f>
        <v>3000</v>
      </c>
    </row>
    <row r="29" ht="23" customHeight="1">
      <c r="B29" s="48" t="inlineStr">
        <is>
          <t>Tranche 3 versée</t>
        </is>
      </c>
      <c r="C29" s="65">
        <f>C12</f>
        <v>0</v>
      </c>
    </row>
    <row r="30" ht="23" customHeight="1">
      <c r="B30" s="1" t="inlineStr">
        <is>
          <t>TOTAL PAYÉ</t>
        </is>
      </c>
      <c r="C30" s="66">
        <f>C13</f>
        <v>150000</v>
      </c>
      <c r="D30" s="83" t="inlineStr">
        <is>
          <t>RESTE À PAYER</t>
        </is>
      </c>
      <c r="E30" s="66">
        <f>E13</f>
        <v>0</v>
      </c>
    </row>
    <row r="31" ht="9" customHeight="1"/>
    <row r="32" ht="23" customHeight="1">
      <c r="B32" s="68" t="inlineStr">
        <is>
          <t>Fait à Niamey, le :</t>
        </is>
      </c>
      <c r="C32" s="80">
        <f>C15</f>
        <v>46292</v>
      </c>
      <c r="D32" s="49" t="inlineStr">
        <is>
          <t>Signature &amp; cachet de l'établissement :</t>
        </is>
      </c>
      <c r="E32" s="49"/>
    </row>
    <row r="33" ht="36" customHeight="1"/>
    <row r="36" ht="15" customHeight="1">
      <c r="B36" s="64" t="inlineStr">
        <is>
          <t xml:space="preserve">Impression : le fichier est prêt pour du papier A4 vertical. Les deux reçus identiques (exemplaire parent et souche) s'impriment ensemble sur une même feuille ; découpez suivant la ligne pointillée.
Pour enregistrer en PDF : Excel bureau → Fichier ▸ Enregistrer sous / Exporter ▸ PDF.  Excel Web → Fichier ▸ Exporter ▸ Télécharger au format PDF.
Astuce : changez le matricule (case jaune du reçu du haut) pour éditer le reçu de n'importe quel élève. La date se met à jour automatiquement (date du jour).</t>
        </is>
      </c>
      <c r="C36" s="64"/>
      <c r="D36" s="64"/>
      <c r="E36" s="64"/>
    </row>
    <row r="37">
      <c r="B37" s="64"/>
      <c r="C37" s="64"/>
      <c r="D37" s="64"/>
      <c r="E37" s="64"/>
    </row>
    <row r="38">
      <c r="B38" s="64"/>
      <c r="C38" s="64"/>
      <c r="D38" s="64"/>
      <c r="E38" s="64"/>
    </row>
    <row r="39">
      <c r="B39" s="64"/>
      <c r="C39" s="64"/>
      <c r="D39" s="64"/>
      <c r="E39" s="64"/>
    </row>
  </sheetData>
  <mergeCells count="16">
    <mergeCell ref="C1:E1"/>
    <mergeCell ref="C2:E2"/>
    <mergeCell ref="C3:E3"/>
    <mergeCell ref="B4:E4"/>
    <mergeCell ref="B6:E6"/>
    <mergeCell ref="C7:E7"/>
    <mergeCell ref="D15:E15"/>
    <mergeCell ref="C18:E18"/>
    <mergeCell ref="C19:E19"/>
    <mergeCell ref="C20:E20"/>
    <mergeCell ref="B21:E21"/>
    <mergeCell ref="B23:E23"/>
    <mergeCell ref="C24:E24"/>
    <mergeCell ref="D32:E32"/>
    <mergeCell ref="B17:E17"/>
    <mergeCell ref="B36:E39"/>
  </mergeCells>
  <conditionalFormatting sqref="E11">
    <cfRule type="expression" dxfId="3" priority="2">
      <formula>AND(ISNUMBER(E11),E11&gt;0)</formula>
    </cfRule>
  </conditionalFormatting>
  <conditionalFormatting sqref="E13">
    <cfRule type="expression" dxfId="3" priority="3">
      <formula>AND(ISNUMBER(E13),E13&gt;0)</formula>
    </cfRule>
  </conditionalFormatting>
  <conditionalFormatting sqref="E28">
    <cfRule type="expression" dxfId="3" priority="4">
      <formula>AND(ISNUMBER(E28),E28&gt;0)</formula>
    </cfRule>
  </conditionalFormatting>
  <conditionalFormatting sqref="E30">
    <cfRule type="expression" dxfId="3" priority="5">
      <formula>AND(ISNUMBER(E30),E30&gt;0)</formula>
    </cfRule>
  </conditionalFormatting>
  <printOptions horizontalCentered="1"/>
  <pageMargins left="0.4" right="0.4" top="0.5" bottom="0.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pageSetUpPr fitToPage="1"/>
  </sheetPr>
  <dimension ref="A1:G504"/>
  <sheetViews>
    <sheetView showGridLines="0" zoomScaleNormal="100" workbookViewId="0">
      <pane ySplit="4" topLeftCell="A5" activePane="bottomLeft" state="frozen"/>
      <selection pane="bottomLeft" activeCell="E6" sqref="E6"/>
    </sheetView>
  </sheetViews>
  <sheetFormatPr baseColWidth="10" defaultColWidth="8.6328125" defaultRowHeight="14.5" x14ac:dyDescent="0.35"/>
  <cols>
    <col min="1" max="1" width="12" customWidth="1"/>
    <col min="2" max="2" width="26" customWidth="1"/>
    <col min="3" max="3" width="10" customWidth="1"/>
    <col min="4" max="4" width="20" customWidth="1"/>
    <col min="5" max="5" width="16" customWidth="1"/>
    <col min="6" max="6" width="15" customWidth="1"/>
    <col min="7" max="7" width="10" hidden="1" customWidth="1"/>
  </cols>
  <sheetData>
    <row r="1" spans="1:6" ht="27.75" customHeight="1" x14ac:dyDescent="0.35">
      <c r="A1" s="74" t="s">
        <v>109</v>
      </c>
      <c r="B1" s="74"/>
      <c r="C1" s="74"/>
      <c r="D1" s="74"/>
      <c r="E1" s="74"/>
      <c r="F1" s="74"/>
    </row>
    <row r="2" spans="1:6" ht="24" customHeight="1" x14ac:dyDescent="0.35">
      <c r="A2" s="75" t="str">
        <f>IF(COUNTIFS('Liste des élèves'!$Q$4:$Q$1363,"En retard")=0,"Aucun retard : tous les paiements sont à jour.",COUNTIFS('Liste des élèves'!$Q$4:$Q$1363,"En retard")&amp;" élève(s) en retard — total à recouvrer : "&amp;FIXED(SUMIFS('Liste des élèves'!$P$4:$P$1363,'Liste des élèves'!$Q$4:$Q$1363,"En retard")+SUMIFS('Liste des élèves'!$T$4:$T$1363,'Liste des élèves'!$Q$4:$Q$1363,"En retard"),0)&amp;" FCFA (inscriptions comprises)."&amp;IF(COUNTIFS('Liste des élèves'!$Q$4:$Q$1363,"En retard")&gt;500," ATTENTION : seuls les 500 premiers sont affichés.",""))</f>
        <v>2 élève(s) en retard — total à recouvrer : 106,000 FCFA (inscriptions comprises).</v>
      </c>
      <c r="B2" s="75"/>
      <c r="C2" s="75"/>
      <c r="D2" s="75"/>
      <c r="E2" s="75"/>
      <c r="F2" s="75"/>
    </row>
    <row r="3" spans="1:6" x14ac:dyDescent="0.35">
      <c r="A3" s="76" t="inlineStr">
        <is>
          <t>Liste automatique : seuls les élèves en retard (scolarité ou inscription) apparaissent ici, classe par classe.</t>
        </is>
      </c>
      <c r="B3" s="76"/>
      <c r="C3" s="76"/>
      <c r="D3" s="76"/>
      <c r="E3" s="76"/>
      <c r="F3" s="76"/>
    </row>
    <row r="4" spans="1:6" x14ac:dyDescent="0.35">
      <c r="A4" s="3" t="s">
        <v>40</v>
      </c>
      <c r="B4" s="3" t="s">
        <v>43</v>
      </c>
      <c r="C4" s="3" t="s">
        <v>15</v>
      </c>
      <c r="D4" s="3" t="s">
        <v>46</v>
      </c>
      <c r="E4" s="3" t="s">
        <v>7</v>
      </c>
      <c r="F4" s="3" t="s">
        <v>52</v>
      </c>
      <c r="G4" s="3" t="inlineStr">
        <is>
          <t>Ligne source</t>
        </is>
      </c>
    </row>
    <row r="5">
      <c r="A5" s="20" t="str">
        <f>IF($G5="","",INDEX('Liste des élèves'!$A$4:$A$1363,$G5))</f>
        <v>2025-001</v>
      </c>
      <c r="B5" s="20" t="str">
        <f>IF($G5="","",INDEX('Liste des élèves'!$D$4:$D$1363,$G5))</f>
        <v>Falmata DAOUDA - 4e</v>
      </c>
      <c r="C5" s="21" t="str">
        <f>IF($G5="","",INDEX('Liste des élèves'!$E$4:$E$1363,$G5))</f>
        <v>4e</v>
      </c>
      <c r="D5" s="20" t="str">
        <f>IF($G5="","",INDEX('Liste des élèves'!$I$4:$I$1363,$G5))</f>
        <v>Daouda Marthé</v>
      </c>
      <c r="E5" s="20" t="str">
        <f>IF($G5="","",INDEX('Liste des élèves'!$J$4:$J$1363,$G5))</f>
        <v>+227 90 00 00 00</v>
      </c>
      <c r="F5" s="51">
        <f>IF($G5="","",INDEX('Liste des élèves'!$P$4:$P$1363,$G5)+INDEX('Liste des élèves'!$T$4:$T$1363,$G5))</f>
        <v>3000</v>
      </c>
      <c r="G5" s="49">
        <f>IFERROR(MATCH("En retard",'Liste des élèves'!$Q$4:$Q$1363,0),"")</f>
        <v>801</v>
      </c>
    </row>
    <row r="6">
      <c r="A6" s="20" t="str">
        <f>IF($G6="","",INDEX('Liste des élèves'!$A$4:$A$1363,$G6))</f>
        <v>2025-002</v>
      </c>
      <c r="B6" s="20" t="str">
        <f>IF($G6="","",INDEX('Liste des élèves'!$D$4:$D$1363,$G6))</f>
        <v>Arimi DAOUDA - 2nde</v>
      </c>
      <c r="C6" s="21" t="str">
        <f>IF($G6="","",INDEX('Liste des élèves'!$E$4:$E$1363,$G6))</f>
        <v>2nde</v>
      </c>
      <c r="D6" s="20" t="str">
        <f>IF($G6="","",INDEX('Liste des élèves'!$I$4:$I$1363,$G6))</f>
        <v>Daouda Marthé</v>
      </c>
      <c r="E6" s="20" t="str">
        <f>IF($G6="","",INDEX('Liste des élèves'!$J$4:$J$1363,$G6))</f>
        <v>+227 90 00 00 00</v>
      </c>
      <c r="F6" s="51">
        <f>IF($G6="","",INDEX('Liste des élèves'!$P$4:$P$1363,$G6)+INDEX('Liste des élèves'!$T$4:$T$1363,$G6))</f>
        <v>103000</v>
      </c>
      <c r="G6" s="49">
        <f>IF(G5="","",IFERROR(G5+MATCH("En retard",INDEX('Liste des élèves'!$Q$4:$Q$1363,G5+1):'Liste des élèves'!$Q$1363,0),""))</f>
        <v>961</v>
      </c>
    </row>
    <row r="7">
      <c r="A7" s="20" t="str">
        <f>IF($G7="","",INDEX('Liste des élèves'!$A$4:$A$1363,$G7))</f>
        <v/>
      </c>
      <c r="B7" s="20" t="str">
        <f>IF($G7="","",INDEX('Liste des élèves'!$D$4:$D$1363,$G7))</f>
        <v/>
      </c>
      <c r="C7" s="21" t="str">
        <f>IF($G7="","",INDEX('Liste des élèves'!$E$4:$E$1363,$G7))</f>
        <v/>
      </c>
      <c r="D7" s="20" t="str">
        <f>IF($G7="","",INDEX('Liste des élèves'!$I$4:$I$1363,$G7))</f>
        <v/>
      </c>
      <c r="E7" s="20" t="str">
        <f>IF($G7="","",INDEX('Liste des élèves'!$J$4:$J$1363,$G7))</f>
        <v/>
      </c>
      <c r="F7" s="51" t="str">
        <f>IF($G7="","",INDEX('Liste des élèves'!$P$4:$P$1363,$G7)+INDEX('Liste des élèves'!$T$4:$T$1363,$G7))</f>
        <v/>
      </c>
      <c r="G7" s="49" t="str">
        <f>IF(G6="","",IFERROR(G6+MATCH("En retard",INDEX('Liste des élèves'!$Q$4:$Q$1363,G6+1):'Liste des élèves'!$Q$1363,0),""))</f>
        <v/>
      </c>
    </row>
    <row r="8">
      <c r="A8" s="20" t="str">
        <f>IF($G8="","",INDEX('Liste des élèves'!$A$4:$A$1363,$G8))</f>
        <v/>
      </c>
      <c r="B8" s="20" t="str">
        <f>IF($G8="","",INDEX('Liste des élèves'!$D$4:$D$1363,$G8))</f>
        <v/>
      </c>
      <c r="C8" s="21" t="str">
        <f>IF($G8="","",INDEX('Liste des élèves'!$E$4:$E$1363,$G8))</f>
        <v/>
      </c>
      <c r="D8" s="20" t="str">
        <f>IF($G8="","",INDEX('Liste des élèves'!$I$4:$I$1363,$G8))</f>
        <v/>
      </c>
      <c r="E8" s="20" t="str">
        <f>IF($G8="","",INDEX('Liste des élèves'!$J$4:$J$1363,$G8))</f>
        <v/>
      </c>
      <c r="F8" s="51" t="str">
        <f>IF($G8="","",INDEX('Liste des élèves'!$P$4:$P$1363,$G8)+INDEX('Liste des élèves'!$T$4:$T$1363,$G8))</f>
        <v/>
      </c>
      <c r="G8" s="49" t="str">
        <f>IF(G7="","",IFERROR(G7+MATCH("En retard",INDEX('Liste des élèves'!$Q$4:$Q$1363,G7+1):'Liste des élèves'!$Q$1363,0),""))</f>
        <v/>
      </c>
    </row>
    <row r="9">
      <c r="A9" s="20" t="str">
        <f>IF($G9="","",INDEX('Liste des élèves'!$A$4:$A$1363,$G9))</f>
        <v/>
      </c>
      <c r="B9" s="20" t="str">
        <f>IF($G9="","",INDEX('Liste des élèves'!$D$4:$D$1363,$G9))</f>
        <v/>
      </c>
      <c r="C9" s="21" t="str">
        <f>IF($G9="","",INDEX('Liste des élèves'!$E$4:$E$1363,$G9))</f>
        <v/>
      </c>
      <c r="D9" s="20" t="str">
        <f>IF($G9="","",INDEX('Liste des élèves'!$I$4:$I$1363,$G9))</f>
        <v/>
      </c>
      <c r="E9" s="20" t="str">
        <f>IF($G9="","",INDEX('Liste des élèves'!$J$4:$J$1363,$G9))</f>
        <v/>
      </c>
      <c r="F9" s="51" t="str">
        <f>IF($G9="","",INDEX('Liste des élèves'!$P$4:$P$1363,$G9)+INDEX('Liste des élèves'!$T$4:$T$1363,$G9))</f>
        <v/>
      </c>
      <c r="G9" s="49" t="str">
        <f>IF(G8="","",IFERROR(G8+MATCH("En retard",INDEX('Liste des élèves'!$Q$4:$Q$1363,G8+1):'Liste des élèves'!$Q$1363,0),""))</f>
        <v/>
      </c>
    </row>
    <row r="10">
      <c r="A10" s="20" t="str">
        <f>IF($G10="","",INDEX('Liste des élèves'!$A$4:$A$1363,$G10))</f>
        <v/>
      </c>
      <c r="B10" s="20" t="str">
        <f>IF($G10="","",INDEX('Liste des élèves'!$D$4:$D$1363,$G10))</f>
        <v/>
      </c>
      <c r="C10" s="21" t="str">
        <f>IF($G10="","",INDEX('Liste des élèves'!$E$4:$E$1363,$G10))</f>
        <v/>
      </c>
      <c r="D10" s="20" t="str">
        <f>IF($G10="","",INDEX('Liste des élèves'!$I$4:$I$1363,$G10))</f>
        <v/>
      </c>
      <c r="E10" s="20" t="str">
        <f>IF($G10="","",INDEX('Liste des élèves'!$J$4:$J$1363,$G10))</f>
        <v/>
      </c>
      <c r="F10" s="51" t="str">
        <f>IF($G10="","",INDEX('Liste des élèves'!$P$4:$P$1363,$G10)+INDEX('Liste des élèves'!$T$4:$T$1363,$G10))</f>
        <v/>
      </c>
      <c r="G10" s="49" t="str">
        <f>IF(G9="","",IFERROR(G9+MATCH("En retard",INDEX('Liste des élèves'!$Q$4:$Q$1363,G9+1):'Liste des élèves'!$Q$1363,0),""))</f>
        <v/>
      </c>
    </row>
    <row r="11">
      <c r="A11" s="20" t="str">
        <f>IF($G11="","",INDEX('Liste des élèves'!$A$4:$A$1363,$G11))</f>
        <v/>
      </c>
      <c r="B11" s="20" t="str">
        <f>IF($G11="","",INDEX('Liste des élèves'!$D$4:$D$1363,$G11))</f>
        <v/>
      </c>
      <c r="C11" s="21" t="str">
        <f>IF($G11="","",INDEX('Liste des élèves'!$E$4:$E$1363,$G11))</f>
        <v/>
      </c>
      <c r="D11" s="20" t="str">
        <f>IF($G11="","",INDEX('Liste des élèves'!$I$4:$I$1363,$G11))</f>
        <v/>
      </c>
      <c r="E11" s="20" t="str">
        <f>IF($G11="","",INDEX('Liste des élèves'!$J$4:$J$1363,$G11))</f>
        <v/>
      </c>
      <c r="F11" s="51" t="str">
        <f>IF($G11="","",INDEX('Liste des élèves'!$P$4:$P$1363,$G11)+INDEX('Liste des élèves'!$T$4:$T$1363,$G11))</f>
        <v/>
      </c>
      <c r="G11" s="49" t="str">
        <f>IF(G10="","",IFERROR(G10+MATCH("En retard",INDEX('Liste des élèves'!$Q$4:$Q$1363,G10+1):'Liste des élèves'!$Q$1363,0),""))</f>
        <v/>
      </c>
    </row>
    <row r="12">
      <c r="A12" s="20" t="str">
        <f>IF($G12="","",INDEX('Liste des élèves'!$A$4:$A$1363,$G12))</f>
        <v/>
      </c>
      <c r="B12" s="20" t="str">
        <f>IF($G12="","",INDEX('Liste des élèves'!$D$4:$D$1363,$G12))</f>
        <v/>
      </c>
      <c r="C12" s="21" t="str">
        <f>IF($G12="","",INDEX('Liste des élèves'!$E$4:$E$1363,$G12))</f>
        <v/>
      </c>
      <c r="D12" s="20" t="str">
        <f>IF($G12="","",INDEX('Liste des élèves'!$I$4:$I$1363,$G12))</f>
        <v/>
      </c>
      <c r="E12" s="20" t="str">
        <f>IF($G12="","",INDEX('Liste des élèves'!$J$4:$J$1363,$G12))</f>
        <v/>
      </c>
      <c r="F12" s="51" t="str">
        <f>IF($G12="","",INDEX('Liste des élèves'!$P$4:$P$1363,$G12)+INDEX('Liste des élèves'!$T$4:$T$1363,$G12))</f>
        <v/>
      </c>
      <c r="G12" s="49" t="str">
        <f>IF(G11="","",IFERROR(G11+MATCH("En retard",INDEX('Liste des élèves'!$Q$4:$Q$1363,G11+1):'Liste des élèves'!$Q$1363,0),""))</f>
        <v/>
      </c>
    </row>
    <row r="13">
      <c r="A13" s="20" t="str">
        <f>IF($G13="","",INDEX('Liste des élèves'!$A$4:$A$1363,$G13))</f>
        <v/>
      </c>
      <c r="B13" s="20" t="str">
        <f>IF($G13="","",INDEX('Liste des élèves'!$D$4:$D$1363,$G13))</f>
        <v/>
      </c>
      <c r="C13" s="21" t="str">
        <f>IF($G13="","",INDEX('Liste des élèves'!$E$4:$E$1363,$G13))</f>
        <v/>
      </c>
      <c r="D13" s="20" t="str">
        <f>IF($G13="","",INDEX('Liste des élèves'!$I$4:$I$1363,$G13))</f>
        <v/>
      </c>
      <c r="E13" s="20" t="str">
        <f>IF($G13="","",INDEX('Liste des élèves'!$J$4:$J$1363,$G13))</f>
        <v/>
      </c>
      <c r="F13" s="51" t="str">
        <f>IF($G13="","",INDEX('Liste des élèves'!$P$4:$P$1363,$G13)+INDEX('Liste des élèves'!$T$4:$T$1363,$G13))</f>
        <v/>
      </c>
      <c r="G13" s="49" t="str">
        <f>IF(G12="","",IFERROR(G12+MATCH("En retard",INDEX('Liste des élèves'!$Q$4:$Q$1363,G12+1):'Liste des élèves'!$Q$1363,0),""))</f>
        <v/>
      </c>
    </row>
    <row r="14">
      <c r="A14" s="20" t="str">
        <f>IF($G14="","",INDEX('Liste des élèves'!$A$4:$A$1363,$G14))</f>
        <v/>
      </c>
      <c r="B14" s="20" t="str">
        <f>IF($G14="","",INDEX('Liste des élèves'!$D$4:$D$1363,$G14))</f>
        <v/>
      </c>
      <c r="C14" s="21" t="str">
        <f>IF($G14="","",INDEX('Liste des élèves'!$E$4:$E$1363,$G14))</f>
        <v/>
      </c>
      <c r="D14" s="20" t="str">
        <f>IF($G14="","",INDEX('Liste des élèves'!$I$4:$I$1363,$G14))</f>
        <v/>
      </c>
      <c r="E14" s="20" t="str">
        <f>IF($G14="","",INDEX('Liste des élèves'!$J$4:$J$1363,$G14))</f>
        <v/>
      </c>
      <c r="F14" s="51" t="str">
        <f>IF($G14="","",INDEX('Liste des élèves'!$P$4:$P$1363,$G14)+INDEX('Liste des élèves'!$T$4:$T$1363,$G14))</f>
        <v/>
      </c>
      <c r="G14" s="49" t="str">
        <f>IF(G13="","",IFERROR(G13+MATCH("En retard",INDEX('Liste des élèves'!$Q$4:$Q$1363,G13+1):'Liste des élèves'!$Q$1363,0),""))</f>
        <v/>
      </c>
    </row>
    <row r="15">
      <c r="A15" s="20" t="str">
        <f>IF($G15="","",INDEX('Liste des élèves'!$A$4:$A$1363,$G15))</f>
        <v/>
      </c>
      <c r="B15" s="20" t="str">
        <f>IF($G15="","",INDEX('Liste des élèves'!$D$4:$D$1363,$G15))</f>
        <v/>
      </c>
      <c r="C15" s="21" t="str">
        <f>IF($G15="","",INDEX('Liste des élèves'!$E$4:$E$1363,$G15))</f>
        <v/>
      </c>
      <c r="D15" s="20" t="str">
        <f>IF($G15="","",INDEX('Liste des élèves'!$I$4:$I$1363,$G15))</f>
        <v/>
      </c>
      <c r="E15" s="20" t="str">
        <f>IF($G15="","",INDEX('Liste des élèves'!$J$4:$J$1363,$G15))</f>
        <v/>
      </c>
      <c r="F15" s="51" t="str">
        <f>IF($G15="","",INDEX('Liste des élèves'!$P$4:$P$1363,$G15)+INDEX('Liste des élèves'!$T$4:$T$1363,$G15))</f>
        <v/>
      </c>
      <c r="G15" s="49" t="str">
        <f>IF(G14="","",IFERROR(G14+MATCH("En retard",INDEX('Liste des élèves'!$Q$4:$Q$1363,G14+1):'Liste des élèves'!$Q$1363,0),""))</f>
        <v/>
      </c>
    </row>
    <row r="16">
      <c r="A16" s="20" t="str">
        <f>IF($G16="","",INDEX('Liste des élèves'!$A$4:$A$1363,$G16))</f>
        <v/>
      </c>
      <c r="B16" s="20" t="str">
        <f>IF($G16="","",INDEX('Liste des élèves'!$D$4:$D$1363,$G16))</f>
        <v/>
      </c>
      <c r="C16" s="21" t="str">
        <f>IF($G16="","",INDEX('Liste des élèves'!$E$4:$E$1363,$G16))</f>
        <v/>
      </c>
      <c r="D16" s="20" t="str">
        <f>IF($G16="","",INDEX('Liste des élèves'!$I$4:$I$1363,$G16))</f>
        <v/>
      </c>
      <c r="E16" s="20" t="str">
        <f>IF($G16="","",INDEX('Liste des élèves'!$J$4:$J$1363,$G16))</f>
        <v/>
      </c>
      <c r="F16" s="51" t="str">
        <f>IF($G16="","",INDEX('Liste des élèves'!$P$4:$P$1363,$G16)+INDEX('Liste des élèves'!$T$4:$T$1363,$G16))</f>
        <v/>
      </c>
      <c r="G16" s="49" t="str">
        <f>IF(G15="","",IFERROR(G15+MATCH("En retard",INDEX('Liste des élèves'!$Q$4:$Q$1363,G15+1):'Liste des élèves'!$Q$1363,0),""))</f>
        <v/>
      </c>
    </row>
    <row r="17">
      <c r="A17" s="20" t="str">
        <f>IF($G17="","",INDEX('Liste des élèves'!$A$4:$A$1363,$G17))</f>
        <v/>
      </c>
      <c r="B17" s="20" t="str">
        <f>IF($G17="","",INDEX('Liste des élèves'!$D$4:$D$1363,$G17))</f>
        <v/>
      </c>
      <c r="C17" s="21" t="str">
        <f>IF($G17="","",INDEX('Liste des élèves'!$E$4:$E$1363,$G17))</f>
        <v/>
      </c>
      <c r="D17" s="20" t="str">
        <f>IF($G17="","",INDEX('Liste des élèves'!$I$4:$I$1363,$G17))</f>
        <v/>
      </c>
      <c r="E17" s="20" t="str">
        <f>IF($G17="","",INDEX('Liste des élèves'!$J$4:$J$1363,$G17))</f>
        <v/>
      </c>
      <c r="F17" s="51" t="str">
        <f>IF($G17="","",INDEX('Liste des élèves'!$P$4:$P$1363,$G17)+INDEX('Liste des élèves'!$T$4:$T$1363,$G17))</f>
        <v/>
      </c>
      <c r="G17" s="49" t="str">
        <f>IF(G16="","",IFERROR(G16+MATCH("En retard",INDEX('Liste des élèves'!$Q$4:$Q$1363,G16+1):'Liste des élèves'!$Q$1363,0),""))</f>
        <v/>
      </c>
    </row>
    <row r="18">
      <c r="A18" s="20" t="str">
        <f>IF($G18="","",INDEX('Liste des élèves'!$A$4:$A$1363,$G18))</f>
        <v/>
      </c>
      <c r="B18" s="20" t="str">
        <f>IF($G18="","",INDEX('Liste des élèves'!$D$4:$D$1363,$G18))</f>
        <v/>
      </c>
      <c r="C18" s="21" t="str">
        <f>IF($G18="","",INDEX('Liste des élèves'!$E$4:$E$1363,$G18))</f>
        <v/>
      </c>
      <c r="D18" s="20" t="str">
        <f>IF($G18="","",INDEX('Liste des élèves'!$I$4:$I$1363,$G18))</f>
        <v/>
      </c>
      <c r="E18" s="20" t="str">
        <f>IF($G18="","",INDEX('Liste des élèves'!$J$4:$J$1363,$G18))</f>
        <v/>
      </c>
      <c r="F18" s="51" t="str">
        <f>IF($G18="","",INDEX('Liste des élèves'!$P$4:$P$1363,$G18)+INDEX('Liste des élèves'!$T$4:$T$1363,$G18))</f>
        <v/>
      </c>
      <c r="G18" s="49" t="str">
        <f>IF(G17="","",IFERROR(G17+MATCH("En retard",INDEX('Liste des élèves'!$Q$4:$Q$1363,G17+1):'Liste des élèves'!$Q$1363,0),""))</f>
        <v/>
      </c>
    </row>
    <row r="19">
      <c r="A19" s="20" t="str">
        <f>IF($G19="","",INDEX('Liste des élèves'!$A$4:$A$1363,$G19))</f>
        <v/>
      </c>
      <c r="B19" s="20" t="str">
        <f>IF($G19="","",INDEX('Liste des élèves'!$D$4:$D$1363,$G19))</f>
        <v/>
      </c>
      <c r="C19" s="21" t="str">
        <f>IF($G19="","",INDEX('Liste des élèves'!$E$4:$E$1363,$G19))</f>
        <v/>
      </c>
      <c r="D19" s="20" t="str">
        <f>IF($G19="","",INDEX('Liste des élèves'!$I$4:$I$1363,$G19))</f>
        <v/>
      </c>
      <c r="E19" s="20" t="str">
        <f>IF($G19="","",INDEX('Liste des élèves'!$J$4:$J$1363,$G19))</f>
        <v/>
      </c>
      <c r="F19" s="51" t="str">
        <f>IF($G19="","",INDEX('Liste des élèves'!$P$4:$P$1363,$G19)+INDEX('Liste des élèves'!$T$4:$T$1363,$G19))</f>
        <v/>
      </c>
      <c r="G19" s="49" t="str">
        <f>IF(G18="","",IFERROR(G18+MATCH("En retard",INDEX('Liste des élèves'!$Q$4:$Q$1363,G18+1):'Liste des élèves'!$Q$1363,0),""))</f>
        <v/>
      </c>
    </row>
    <row r="20">
      <c r="A20" s="20" t="str">
        <f>IF($G20="","",INDEX('Liste des élèves'!$A$4:$A$1363,$G20))</f>
        <v/>
      </c>
      <c r="B20" s="20" t="str">
        <f>IF($G20="","",INDEX('Liste des élèves'!$D$4:$D$1363,$G20))</f>
        <v/>
      </c>
      <c r="C20" s="21" t="str">
        <f>IF($G20="","",INDEX('Liste des élèves'!$E$4:$E$1363,$G20))</f>
        <v/>
      </c>
      <c r="D20" s="20" t="str">
        <f>IF($G20="","",INDEX('Liste des élèves'!$I$4:$I$1363,$G20))</f>
        <v/>
      </c>
      <c r="E20" s="20" t="str">
        <f>IF($G20="","",INDEX('Liste des élèves'!$J$4:$J$1363,$G20))</f>
        <v/>
      </c>
      <c r="F20" s="51" t="str">
        <f>IF($G20="","",INDEX('Liste des élèves'!$P$4:$P$1363,$G20)+INDEX('Liste des élèves'!$T$4:$T$1363,$G20))</f>
        <v/>
      </c>
      <c r="G20" s="49" t="str">
        <f>IF(G19="","",IFERROR(G19+MATCH("En retard",INDEX('Liste des élèves'!$Q$4:$Q$1363,G19+1):'Liste des élèves'!$Q$1363,0),""))</f>
        <v/>
      </c>
    </row>
    <row r="21">
      <c r="A21" s="20" t="str">
        <f>IF($G21="","",INDEX('Liste des élèves'!$A$4:$A$1363,$G21))</f>
        <v/>
      </c>
      <c r="B21" s="20" t="str">
        <f>IF($G21="","",INDEX('Liste des élèves'!$D$4:$D$1363,$G21))</f>
        <v/>
      </c>
      <c r="C21" s="21" t="str">
        <f>IF($G21="","",INDEX('Liste des élèves'!$E$4:$E$1363,$G21))</f>
        <v/>
      </c>
      <c r="D21" s="20" t="str">
        <f>IF($G21="","",INDEX('Liste des élèves'!$I$4:$I$1363,$G21))</f>
        <v/>
      </c>
      <c r="E21" s="20" t="str">
        <f>IF($G21="","",INDEX('Liste des élèves'!$J$4:$J$1363,$G21))</f>
        <v/>
      </c>
      <c r="F21" s="51" t="str">
        <f>IF($G21="","",INDEX('Liste des élèves'!$P$4:$P$1363,$G21)+INDEX('Liste des élèves'!$T$4:$T$1363,$G21))</f>
        <v/>
      </c>
      <c r="G21" s="49" t="str">
        <f>IF(G20="","",IFERROR(G20+MATCH("En retard",INDEX('Liste des élèves'!$Q$4:$Q$1363,G20+1):'Liste des élèves'!$Q$1363,0),""))</f>
        <v/>
      </c>
    </row>
    <row r="22">
      <c r="A22" s="20" t="str">
        <f>IF($G22="","",INDEX('Liste des élèves'!$A$4:$A$1363,$G22))</f>
        <v/>
      </c>
      <c r="B22" s="20" t="str">
        <f>IF($G22="","",INDEX('Liste des élèves'!$D$4:$D$1363,$G22))</f>
        <v/>
      </c>
      <c r="C22" s="21" t="str">
        <f>IF($G22="","",INDEX('Liste des élèves'!$E$4:$E$1363,$G22))</f>
        <v/>
      </c>
      <c r="D22" s="20" t="str">
        <f>IF($G22="","",INDEX('Liste des élèves'!$I$4:$I$1363,$G22))</f>
        <v/>
      </c>
      <c r="E22" s="20" t="str">
        <f>IF($G22="","",INDEX('Liste des élèves'!$J$4:$J$1363,$G22))</f>
        <v/>
      </c>
      <c r="F22" s="51" t="str">
        <f>IF($G22="","",INDEX('Liste des élèves'!$P$4:$P$1363,$G22)+INDEX('Liste des élèves'!$T$4:$T$1363,$G22))</f>
        <v/>
      </c>
      <c r="G22" s="49" t="str">
        <f>IF(G21="","",IFERROR(G21+MATCH("En retard",INDEX('Liste des élèves'!$Q$4:$Q$1363,G21+1):'Liste des élèves'!$Q$1363,0),""))</f>
        <v/>
      </c>
    </row>
    <row r="23">
      <c r="A23" s="20" t="str">
        <f>IF($G23="","",INDEX('Liste des élèves'!$A$4:$A$1363,$G23))</f>
        <v/>
      </c>
      <c r="B23" s="20" t="str">
        <f>IF($G23="","",INDEX('Liste des élèves'!$D$4:$D$1363,$G23))</f>
        <v/>
      </c>
      <c r="C23" s="21" t="str">
        <f>IF($G23="","",INDEX('Liste des élèves'!$E$4:$E$1363,$G23))</f>
        <v/>
      </c>
      <c r="D23" s="20" t="str">
        <f>IF($G23="","",INDEX('Liste des élèves'!$I$4:$I$1363,$G23))</f>
        <v/>
      </c>
      <c r="E23" s="20" t="str">
        <f>IF($G23="","",INDEX('Liste des élèves'!$J$4:$J$1363,$G23))</f>
        <v/>
      </c>
      <c r="F23" s="51" t="str">
        <f>IF($G23="","",INDEX('Liste des élèves'!$P$4:$P$1363,$G23)+INDEX('Liste des élèves'!$T$4:$T$1363,$G23))</f>
        <v/>
      </c>
      <c r="G23" s="49" t="str">
        <f>IF(G22="","",IFERROR(G22+MATCH("En retard",INDEX('Liste des élèves'!$Q$4:$Q$1363,G22+1):'Liste des élèves'!$Q$1363,0),""))</f>
        <v/>
      </c>
    </row>
    <row r="24">
      <c r="A24" s="20" t="str">
        <f>IF($G24="","",INDEX('Liste des élèves'!$A$4:$A$1363,$G24))</f>
        <v/>
      </c>
      <c r="B24" s="20" t="str">
        <f>IF($G24="","",INDEX('Liste des élèves'!$D$4:$D$1363,$G24))</f>
        <v/>
      </c>
      <c r="C24" s="21" t="str">
        <f>IF($G24="","",INDEX('Liste des élèves'!$E$4:$E$1363,$G24))</f>
        <v/>
      </c>
      <c r="D24" s="20" t="str">
        <f>IF($G24="","",INDEX('Liste des élèves'!$I$4:$I$1363,$G24))</f>
        <v/>
      </c>
      <c r="E24" s="20" t="str">
        <f>IF($G24="","",INDEX('Liste des élèves'!$J$4:$J$1363,$G24))</f>
        <v/>
      </c>
      <c r="F24" s="51" t="str">
        <f>IF($G24="","",INDEX('Liste des élèves'!$P$4:$P$1363,$G24)+INDEX('Liste des élèves'!$T$4:$T$1363,$G24))</f>
        <v/>
      </c>
      <c r="G24" s="49" t="str">
        <f>IF(G23="","",IFERROR(G23+MATCH("En retard",INDEX('Liste des élèves'!$Q$4:$Q$1363,G23+1):'Liste des élèves'!$Q$1363,0),""))</f>
        <v/>
      </c>
    </row>
    <row r="25">
      <c r="A25" s="20" t="str">
        <f>IF($G25="","",INDEX('Liste des élèves'!$A$4:$A$1363,$G25))</f>
        <v/>
      </c>
      <c r="B25" s="20" t="str">
        <f>IF($G25="","",INDEX('Liste des élèves'!$D$4:$D$1363,$G25))</f>
        <v/>
      </c>
      <c r="C25" s="21" t="str">
        <f>IF($G25="","",INDEX('Liste des élèves'!$E$4:$E$1363,$G25))</f>
        <v/>
      </c>
      <c r="D25" s="20" t="str">
        <f>IF($G25="","",INDEX('Liste des élèves'!$I$4:$I$1363,$G25))</f>
        <v/>
      </c>
      <c r="E25" s="20" t="str">
        <f>IF($G25="","",INDEX('Liste des élèves'!$J$4:$J$1363,$G25))</f>
        <v/>
      </c>
      <c r="F25" s="51" t="str">
        <f>IF($G25="","",INDEX('Liste des élèves'!$P$4:$P$1363,$G25)+INDEX('Liste des élèves'!$T$4:$T$1363,$G25))</f>
        <v/>
      </c>
      <c r="G25" s="49" t="str">
        <f>IF(G24="","",IFERROR(G24+MATCH("En retard",INDEX('Liste des élèves'!$Q$4:$Q$1363,G24+1):'Liste des élèves'!$Q$1363,0),""))</f>
        <v/>
      </c>
    </row>
    <row r="26">
      <c r="A26" s="20" t="str">
        <f>IF($G26="","",INDEX('Liste des élèves'!$A$4:$A$1363,$G26))</f>
        <v/>
      </c>
      <c r="B26" s="20" t="str">
        <f>IF($G26="","",INDEX('Liste des élèves'!$D$4:$D$1363,$G26))</f>
        <v/>
      </c>
      <c r="C26" s="21" t="str">
        <f>IF($G26="","",INDEX('Liste des élèves'!$E$4:$E$1363,$G26))</f>
        <v/>
      </c>
      <c r="D26" s="20" t="str">
        <f>IF($G26="","",INDEX('Liste des élèves'!$I$4:$I$1363,$G26))</f>
        <v/>
      </c>
      <c r="E26" s="20" t="str">
        <f>IF($G26="","",INDEX('Liste des élèves'!$J$4:$J$1363,$G26))</f>
        <v/>
      </c>
      <c r="F26" s="51" t="str">
        <f>IF($G26="","",INDEX('Liste des élèves'!$P$4:$P$1363,$G26)+INDEX('Liste des élèves'!$T$4:$T$1363,$G26))</f>
        <v/>
      </c>
      <c r="G26" s="49" t="str">
        <f>IF(G25="","",IFERROR(G25+MATCH("En retard",INDEX('Liste des élèves'!$Q$4:$Q$1363,G25+1):'Liste des élèves'!$Q$1363,0),""))</f>
        <v/>
      </c>
    </row>
    <row r="27">
      <c r="A27" s="20" t="str">
        <f>IF($G27="","",INDEX('Liste des élèves'!$A$4:$A$1363,$G27))</f>
        <v/>
      </c>
      <c r="B27" s="20" t="str">
        <f>IF($G27="","",INDEX('Liste des élèves'!$D$4:$D$1363,$G27))</f>
        <v/>
      </c>
      <c r="C27" s="21" t="str">
        <f>IF($G27="","",INDEX('Liste des élèves'!$E$4:$E$1363,$G27))</f>
        <v/>
      </c>
      <c r="D27" s="20" t="str">
        <f>IF($G27="","",INDEX('Liste des élèves'!$I$4:$I$1363,$G27))</f>
        <v/>
      </c>
      <c r="E27" s="20" t="str">
        <f>IF($G27="","",INDEX('Liste des élèves'!$J$4:$J$1363,$G27))</f>
        <v/>
      </c>
      <c r="F27" s="51" t="str">
        <f>IF($G27="","",INDEX('Liste des élèves'!$P$4:$P$1363,$G27)+INDEX('Liste des élèves'!$T$4:$T$1363,$G27))</f>
        <v/>
      </c>
      <c r="G27" s="49" t="str">
        <f>IF(G26="","",IFERROR(G26+MATCH("En retard",INDEX('Liste des élèves'!$Q$4:$Q$1363,G26+1):'Liste des élèves'!$Q$1363,0),""))</f>
        <v/>
      </c>
    </row>
    <row r="28">
      <c r="A28" s="20" t="str">
        <f>IF($G28="","",INDEX('Liste des élèves'!$A$4:$A$1363,$G28))</f>
        <v/>
      </c>
      <c r="B28" s="20" t="str">
        <f>IF($G28="","",INDEX('Liste des élèves'!$D$4:$D$1363,$G28))</f>
        <v/>
      </c>
      <c r="C28" s="21" t="str">
        <f>IF($G28="","",INDEX('Liste des élèves'!$E$4:$E$1363,$G28))</f>
        <v/>
      </c>
      <c r="D28" s="20" t="str">
        <f>IF($G28="","",INDEX('Liste des élèves'!$I$4:$I$1363,$G28))</f>
        <v/>
      </c>
      <c r="E28" s="20" t="str">
        <f>IF($G28="","",INDEX('Liste des élèves'!$J$4:$J$1363,$G28))</f>
        <v/>
      </c>
      <c r="F28" s="51" t="str">
        <f>IF($G28="","",INDEX('Liste des élèves'!$P$4:$P$1363,$G28)+INDEX('Liste des élèves'!$T$4:$T$1363,$G28))</f>
        <v/>
      </c>
      <c r="G28" s="49" t="str">
        <f>IF(G27="","",IFERROR(G27+MATCH("En retard",INDEX('Liste des élèves'!$Q$4:$Q$1363,G27+1):'Liste des élèves'!$Q$1363,0),""))</f>
        <v/>
      </c>
    </row>
    <row r="29">
      <c r="A29" s="20" t="str">
        <f>IF($G29="","",INDEX('Liste des élèves'!$A$4:$A$1363,$G29))</f>
        <v/>
      </c>
      <c r="B29" s="20" t="str">
        <f>IF($G29="","",INDEX('Liste des élèves'!$D$4:$D$1363,$G29))</f>
        <v/>
      </c>
      <c r="C29" s="21" t="str">
        <f>IF($G29="","",INDEX('Liste des élèves'!$E$4:$E$1363,$G29))</f>
        <v/>
      </c>
      <c r="D29" s="20" t="str">
        <f>IF($G29="","",INDEX('Liste des élèves'!$I$4:$I$1363,$G29))</f>
        <v/>
      </c>
      <c r="E29" s="20" t="str">
        <f>IF($G29="","",INDEX('Liste des élèves'!$J$4:$J$1363,$G29))</f>
        <v/>
      </c>
      <c r="F29" s="51" t="str">
        <f>IF($G29="","",INDEX('Liste des élèves'!$P$4:$P$1363,$G29)+INDEX('Liste des élèves'!$T$4:$T$1363,$G29))</f>
        <v/>
      </c>
      <c r="G29" s="49" t="str">
        <f>IF(G28="","",IFERROR(G28+MATCH("En retard",INDEX('Liste des élèves'!$Q$4:$Q$1363,G28+1):'Liste des élèves'!$Q$1363,0),""))</f>
        <v/>
      </c>
    </row>
    <row r="30">
      <c r="A30" s="20" t="str">
        <f>IF($G30="","",INDEX('Liste des élèves'!$A$4:$A$1363,$G30))</f>
        <v/>
      </c>
      <c r="B30" s="20" t="str">
        <f>IF($G30="","",INDEX('Liste des élèves'!$D$4:$D$1363,$G30))</f>
        <v/>
      </c>
      <c r="C30" s="21" t="str">
        <f>IF($G30="","",INDEX('Liste des élèves'!$E$4:$E$1363,$G30))</f>
        <v/>
      </c>
      <c r="D30" s="20" t="str">
        <f>IF($G30="","",INDEX('Liste des élèves'!$I$4:$I$1363,$G30))</f>
        <v/>
      </c>
      <c r="E30" s="20" t="str">
        <f>IF($G30="","",INDEX('Liste des élèves'!$J$4:$J$1363,$G30))</f>
        <v/>
      </c>
      <c r="F30" s="51" t="str">
        <f>IF($G30="","",INDEX('Liste des élèves'!$P$4:$P$1363,$G30)+INDEX('Liste des élèves'!$T$4:$T$1363,$G30))</f>
        <v/>
      </c>
      <c r="G30" s="49" t="str">
        <f>IF(G29="","",IFERROR(G29+MATCH("En retard",INDEX('Liste des élèves'!$Q$4:$Q$1363,G29+1):'Liste des élèves'!$Q$1363,0),""))</f>
        <v/>
      </c>
    </row>
    <row r="31">
      <c r="A31" s="20" t="str">
        <f>IF($G31="","",INDEX('Liste des élèves'!$A$4:$A$1363,$G31))</f>
        <v/>
      </c>
      <c r="B31" s="20" t="str">
        <f>IF($G31="","",INDEX('Liste des élèves'!$D$4:$D$1363,$G31))</f>
        <v/>
      </c>
      <c r="C31" s="21" t="str">
        <f>IF($G31="","",INDEX('Liste des élèves'!$E$4:$E$1363,$G31))</f>
        <v/>
      </c>
      <c r="D31" s="20" t="str">
        <f>IF($G31="","",INDEX('Liste des élèves'!$I$4:$I$1363,$G31))</f>
        <v/>
      </c>
      <c r="E31" s="20" t="str">
        <f>IF($G31="","",INDEX('Liste des élèves'!$J$4:$J$1363,$G31))</f>
        <v/>
      </c>
      <c r="F31" s="51" t="str">
        <f>IF($G31="","",INDEX('Liste des élèves'!$P$4:$P$1363,$G31)+INDEX('Liste des élèves'!$T$4:$T$1363,$G31))</f>
        <v/>
      </c>
      <c r="G31" s="49" t="str">
        <f>IF(G30="","",IFERROR(G30+MATCH("En retard",INDEX('Liste des élèves'!$Q$4:$Q$1363,G30+1):'Liste des élèves'!$Q$1363,0),""))</f>
        <v/>
      </c>
    </row>
    <row r="32">
      <c r="A32" s="20" t="str">
        <f>IF($G32="","",INDEX('Liste des élèves'!$A$4:$A$1363,$G32))</f>
        <v/>
      </c>
      <c r="B32" s="20" t="str">
        <f>IF($G32="","",INDEX('Liste des élèves'!$D$4:$D$1363,$G32))</f>
        <v/>
      </c>
      <c r="C32" s="21" t="str">
        <f>IF($G32="","",INDEX('Liste des élèves'!$E$4:$E$1363,$G32))</f>
        <v/>
      </c>
      <c r="D32" s="20" t="str">
        <f>IF($G32="","",INDEX('Liste des élèves'!$I$4:$I$1363,$G32))</f>
        <v/>
      </c>
      <c r="E32" s="20" t="str">
        <f>IF($G32="","",INDEX('Liste des élèves'!$J$4:$J$1363,$G32))</f>
        <v/>
      </c>
      <c r="F32" s="51" t="str">
        <f>IF($G32="","",INDEX('Liste des élèves'!$P$4:$P$1363,$G32)+INDEX('Liste des élèves'!$T$4:$T$1363,$G32))</f>
        <v/>
      </c>
      <c r="G32" s="49" t="str">
        <f>IF(G31="","",IFERROR(G31+MATCH("En retard",INDEX('Liste des élèves'!$Q$4:$Q$1363,G31+1):'Liste des élèves'!$Q$1363,0),""))</f>
        <v/>
      </c>
    </row>
    <row r="33">
      <c r="A33" s="20" t="str">
        <f>IF($G33="","",INDEX('Liste des élèves'!$A$4:$A$1363,$G33))</f>
        <v/>
      </c>
      <c r="B33" s="20" t="str">
        <f>IF($G33="","",INDEX('Liste des élèves'!$D$4:$D$1363,$G33))</f>
        <v/>
      </c>
      <c r="C33" s="21" t="str">
        <f>IF($G33="","",INDEX('Liste des élèves'!$E$4:$E$1363,$G33))</f>
        <v/>
      </c>
      <c r="D33" s="20" t="str">
        <f>IF($G33="","",INDEX('Liste des élèves'!$I$4:$I$1363,$G33))</f>
        <v/>
      </c>
      <c r="E33" s="20" t="str">
        <f>IF($G33="","",INDEX('Liste des élèves'!$J$4:$J$1363,$G33))</f>
        <v/>
      </c>
      <c r="F33" s="51" t="str">
        <f>IF($G33="","",INDEX('Liste des élèves'!$P$4:$P$1363,$G33)+INDEX('Liste des élèves'!$T$4:$T$1363,$G33))</f>
        <v/>
      </c>
      <c r="G33" s="49" t="str">
        <f>IF(G32="","",IFERROR(G32+MATCH("En retard",INDEX('Liste des élèves'!$Q$4:$Q$1363,G32+1):'Liste des élèves'!$Q$1363,0),""))</f>
        <v/>
      </c>
    </row>
    <row r="34">
      <c r="A34" s="20" t="str">
        <f>IF($G34="","",INDEX('Liste des élèves'!$A$4:$A$1363,$G34))</f>
        <v/>
      </c>
      <c r="B34" s="20" t="str">
        <f>IF($G34="","",INDEX('Liste des élèves'!$D$4:$D$1363,$G34))</f>
        <v/>
      </c>
      <c r="C34" s="21" t="str">
        <f>IF($G34="","",INDEX('Liste des élèves'!$E$4:$E$1363,$G34))</f>
        <v/>
      </c>
      <c r="D34" s="20" t="str">
        <f>IF($G34="","",INDEX('Liste des élèves'!$I$4:$I$1363,$G34))</f>
        <v/>
      </c>
      <c r="E34" s="20" t="str">
        <f>IF($G34="","",INDEX('Liste des élèves'!$J$4:$J$1363,$G34))</f>
        <v/>
      </c>
      <c r="F34" s="51" t="str">
        <f>IF($G34="","",INDEX('Liste des élèves'!$P$4:$P$1363,$G34)+INDEX('Liste des élèves'!$T$4:$T$1363,$G34))</f>
        <v/>
      </c>
      <c r="G34" s="49" t="str">
        <f>IF(G33="","",IFERROR(G33+MATCH("En retard",INDEX('Liste des élèves'!$Q$4:$Q$1363,G33+1):'Liste des élèves'!$Q$1363,0),""))</f>
        <v/>
      </c>
    </row>
    <row r="35">
      <c r="A35" s="20" t="str">
        <f>IF($G35="","",INDEX('Liste des élèves'!$A$4:$A$1363,$G35))</f>
        <v/>
      </c>
      <c r="B35" s="20" t="str">
        <f>IF($G35="","",INDEX('Liste des élèves'!$D$4:$D$1363,$G35))</f>
        <v/>
      </c>
      <c r="C35" s="21" t="str">
        <f>IF($G35="","",INDEX('Liste des élèves'!$E$4:$E$1363,$G35))</f>
        <v/>
      </c>
      <c r="D35" s="20" t="str">
        <f>IF($G35="","",INDEX('Liste des élèves'!$I$4:$I$1363,$G35))</f>
        <v/>
      </c>
      <c r="E35" s="20" t="str">
        <f>IF($G35="","",INDEX('Liste des élèves'!$J$4:$J$1363,$G35))</f>
        <v/>
      </c>
      <c r="F35" s="51" t="str">
        <f>IF($G35="","",INDEX('Liste des élèves'!$P$4:$P$1363,$G35)+INDEX('Liste des élèves'!$T$4:$T$1363,$G35))</f>
        <v/>
      </c>
      <c r="G35" s="49" t="str">
        <f>IF(G34="","",IFERROR(G34+MATCH("En retard",INDEX('Liste des élèves'!$Q$4:$Q$1363,G34+1):'Liste des élèves'!$Q$1363,0),""))</f>
        <v/>
      </c>
    </row>
    <row r="36">
      <c r="A36" s="20" t="str">
        <f>IF($G36="","",INDEX('Liste des élèves'!$A$4:$A$1363,$G36))</f>
        <v/>
      </c>
      <c r="B36" s="20" t="str">
        <f>IF($G36="","",INDEX('Liste des élèves'!$D$4:$D$1363,$G36))</f>
        <v/>
      </c>
      <c r="C36" s="21" t="str">
        <f>IF($G36="","",INDEX('Liste des élèves'!$E$4:$E$1363,$G36))</f>
        <v/>
      </c>
      <c r="D36" s="20" t="str">
        <f>IF($G36="","",INDEX('Liste des élèves'!$I$4:$I$1363,$G36))</f>
        <v/>
      </c>
      <c r="E36" s="20" t="str">
        <f>IF($G36="","",INDEX('Liste des élèves'!$J$4:$J$1363,$G36))</f>
        <v/>
      </c>
      <c r="F36" s="51" t="str">
        <f>IF($G36="","",INDEX('Liste des élèves'!$P$4:$P$1363,$G36)+INDEX('Liste des élèves'!$T$4:$T$1363,$G36))</f>
        <v/>
      </c>
      <c r="G36" s="49" t="str">
        <f>IF(G35="","",IFERROR(G35+MATCH("En retard",INDEX('Liste des élèves'!$Q$4:$Q$1363,G35+1):'Liste des élèves'!$Q$1363,0),""))</f>
        <v/>
      </c>
    </row>
    <row r="37">
      <c r="A37" s="20" t="str">
        <f>IF($G37="","",INDEX('Liste des élèves'!$A$4:$A$1363,$G37))</f>
        <v/>
      </c>
      <c r="B37" s="20" t="str">
        <f>IF($G37="","",INDEX('Liste des élèves'!$D$4:$D$1363,$G37))</f>
        <v/>
      </c>
      <c r="C37" s="21" t="str">
        <f>IF($G37="","",INDEX('Liste des élèves'!$E$4:$E$1363,$G37))</f>
        <v/>
      </c>
      <c r="D37" s="20" t="str">
        <f>IF($G37="","",INDEX('Liste des élèves'!$I$4:$I$1363,$G37))</f>
        <v/>
      </c>
      <c r="E37" s="20" t="str">
        <f>IF($G37="","",INDEX('Liste des élèves'!$J$4:$J$1363,$G37))</f>
        <v/>
      </c>
      <c r="F37" s="51" t="str">
        <f>IF($G37="","",INDEX('Liste des élèves'!$P$4:$P$1363,$G37)+INDEX('Liste des élèves'!$T$4:$T$1363,$G37))</f>
        <v/>
      </c>
      <c r="G37" s="49" t="str">
        <f>IF(G36="","",IFERROR(G36+MATCH("En retard",INDEX('Liste des élèves'!$Q$4:$Q$1363,G36+1):'Liste des élèves'!$Q$1363,0),""))</f>
        <v/>
      </c>
    </row>
    <row r="38">
      <c r="A38" s="20" t="str">
        <f>IF($G38="","",INDEX('Liste des élèves'!$A$4:$A$1363,$G38))</f>
        <v/>
      </c>
      <c r="B38" s="20" t="str">
        <f>IF($G38="","",INDEX('Liste des élèves'!$D$4:$D$1363,$G38))</f>
        <v/>
      </c>
      <c r="C38" s="21" t="str">
        <f>IF($G38="","",INDEX('Liste des élèves'!$E$4:$E$1363,$G38))</f>
        <v/>
      </c>
      <c r="D38" s="20" t="str">
        <f>IF($G38="","",INDEX('Liste des élèves'!$I$4:$I$1363,$G38))</f>
        <v/>
      </c>
      <c r="E38" s="20" t="str">
        <f>IF($G38="","",INDEX('Liste des élèves'!$J$4:$J$1363,$G38))</f>
        <v/>
      </c>
      <c r="F38" s="51" t="str">
        <f>IF($G38="","",INDEX('Liste des élèves'!$P$4:$P$1363,$G38)+INDEX('Liste des élèves'!$T$4:$T$1363,$G38))</f>
        <v/>
      </c>
      <c r="G38" s="49" t="str">
        <f>IF(G37="","",IFERROR(G37+MATCH("En retard",INDEX('Liste des élèves'!$Q$4:$Q$1363,G37+1):'Liste des élèves'!$Q$1363,0),""))</f>
        <v/>
      </c>
    </row>
    <row r="39">
      <c r="A39" s="20" t="str">
        <f>IF($G39="","",INDEX('Liste des élèves'!$A$4:$A$1363,$G39))</f>
        <v/>
      </c>
      <c r="B39" s="20" t="str">
        <f>IF($G39="","",INDEX('Liste des élèves'!$D$4:$D$1363,$G39))</f>
        <v/>
      </c>
      <c r="C39" s="21" t="str">
        <f>IF($G39="","",INDEX('Liste des élèves'!$E$4:$E$1363,$G39))</f>
        <v/>
      </c>
      <c r="D39" s="20" t="str">
        <f>IF($G39="","",INDEX('Liste des élèves'!$I$4:$I$1363,$G39))</f>
        <v/>
      </c>
      <c r="E39" s="20" t="str">
        <f>IF($G39="","",INDEX('Liste des élèves'!$J$4:$J$1363,$G39))</f>
        <v/>
      </c>
      <c r="F39" s="51" t="str">
        <f>IF($G39="","",INDEX('Liste des élèves'!$P$4:$P$1363,$G39)+INDEX('Liste des élèves'!$T$4:$T$1363,$G39))</f>
        <v/>
      </c>
      <c r="G39" s="49" t="str">
        <f>IF(G38="","",IFERROR(G38+MATCH("En retard",INDEX('Liste des élèves'!$Q$4:$Q$1363,G38+1):'Liste des élèves'!$Q$1363,0),""))</f>
        <v/>
      </c>
    </row>
    <row r="40">
      <c r="A40" s="20" t="str">
        <f>IF($G40="","",INDEX('Liste des élèves'!$A$4:$A$1363,$G40))</f>
        <v/>
      </c>
      <c r="B40" s="20" t="str">
        <f>IF($G40="","",INDEX('Liste des élèves'!$D$4:$D$1363,$G40))</f>
        <v/>
      </c>
      <c r="C40" s="21" t="str">
        <f>IF($G40="","",INDEX('Liste des élèves'!$E$4:$E$1363,$G40))</f>
        <v/>
      </c>
      <c r="D40" s="20" t="str">
        <f>IF($G40="","",INDEX('Liste des élèves'!$I$4:$I$1363,$G40))</f>
        <v/>
      </c>
      <c r="E40" s="20" t="str">
        <f>IF($G40="","",INDEX('Liste des élèves'!$J$4:$J$1363,$G40))</f>
        <v/>
      </c>
      <c r="F40" s="51" t="str">
        <f>IF($G40="","",INDEX('Liste des élèves'!$P$4:$P$1363,$G40)+INDEX('Liste des élèves'!$T$4:$T$1363,$G40))</f>
        <v/>
      </c>
      <c r="G40" s="49" t="str">
        <f>IF(G39="","",IFERROR(G39+MATCH("En retard",INDEX('Liste des élèves'!$Q$4:$Q$1363,G39+1):'Liste des élèves'!$Q$1363,0),""))</f>
        <v/>
      </c>
    </row>
    <row r="41">
      <c r="A41" s="20" t="str">
        <f>IF($G41="","",INDEX('Liste des élèves'!$A$4:$A$1363,$G41))</f>
        <v/>
      </c>
      <c r="B41" s="20" t="str">
        <f>IF($G41="","",INDEX('Liste des élèves'!$D$4:$D$1363,$G41))</f>
        <v/>
      </c>
      <c r="C41" s="21" t="str">
        <f>IF($G41="","",INDEX('Liste des élèves'!$E$4:$E$1363,$G41))</f>
        <v/>
      </c>
      <c r="D41" s="20" t="str">
        <f>IF($G41="","",INDEX('Liste des élèves'!$I$4:$I$1363,$G41))</f>
        <v/>
      </c>
      <c r="E41" s="20" t="str">
        <f>IF($G41="","",INDEX('Liste des élèves'!$J$4:$J$1363,$G41))</f>
        <v/>
      </c>
      <c r="F41" s="51" t="str">
        <f>IF($G41="","",INDEX('Liste des élèves'!$P$4:$P$1363,$G41)+INDEX('Liste des élèves'!$T$4:$T$1363,$G41))</f>
        <v/>
      </c>
      <c r="G41" s="49" t="str">
        <f>IF(G40="","",IFERROR(G40+MATCH("En retard",INDEX('Liste des élèves'!$Q$4:$Q$1363,G40+1):'Liste des élèves'!$Q$1363,0),""))</f>
        <v/>
      </c>
    </row>
    <row r="42">
      <c r="A42" s="20" t="str">
        <f>IF($G42="","",INDEX('Liste des élèves'!$A$4:$A$1363,$G42))</f>
        <v/>
      </c>
      <c r="B42" s="20" t="str">
        <f>IF($G42="","",INDEX('Liste des élèves'!$D$4:$D$1363,$G42))</f>
        <v/>
      </c>
      <c r="C42" s="21" t="str">
        <f>IF($G42="","",INDEX('Liste des élèves'!$E$4:$E$1363,$G42))</f>
        <v/>
      </c>
      <c r="D42" s="20" t="str">
        <f>IF($G42="","",INDEX('Liste des élèves'!$I$4:$I$1363,$G42))</f>
        <v/>
      </c>
      <c r="E42" s="20" t="str">
        <f>IF($G42="","",INDEX('Liste des élèves'!$J$4:$J$1363,$G42))</f>
        <v/>
      </c>
      <c r="F42" s="51" t="str">
        <f>IF($G42="","",INDEX('Liste des élèves'!$P$4:$P$1363,$G42)+INDEX('Liste des élèves'!$T$4:$T$1363,$G42))</f>
        <v/>
      </c>
      <c r="G42" s="49" t="str">
        <f>IF(G41="","",IFERROR(G41+MATCH("En retard",INDEX('Liste des élèves'!$Q$4:$Q$1363,G41+1):'Liste des élèves'!$Q$1363,0),""))</f>
        <v/>
      </c>
    </row>
    <row r="43">
      <c r="A43" s="20" t="str">
        <f>IF($G43="","",INDEX('Liste des élèves'!$A$4:$A$1363,$G43))</f>
        <v/>
      </c>
      <c r="B43" s="20" t="str">
        <f>IF($G43="","",INDEX('Liste des élèves'!$D$4:$D$1363,$G43))</f>
        <v/>
      </c>
      <c r="C43" s="21" t="str">
        <f>IF($G43="","",INDEX('Liste des élèves'!$E$4:$E$1363,$G43))</f>
        <v/>
      </c>
      <c r="D43" s="20" t="str">
        <f>IF($G43="","",INDEX('Liste des élèves'!$I$4:$I$1363,$G43))</f>
        <v/>
      </c>
      <c r="E43" s="20" t="str">
        <f>IF($G43="","",INDEX('Liste des élèves'!$J$4:$J$1363,$G43))</f>
        <v/>
      </c>
      <c r="F43" s="51" t="str">
        <f>IF($G43="","",INDEX('Liste des élèves'!$P$4:$P$1363,$G43)+INDEX('Liste des élèves'!$T$4:$T$1363,$G43))</f>
        <v/>
      </c>
      <c r="G43" s="49" t="str">
        <f>IF(G42="","",IFERROR(G42+MATCH("En retard",INDEX('Liste des élèves'!$Q$4:$Q$1363,G42+1):'Liste des élèves'!$Q$1363,0),""))</f>
        <v/>
      </c>
    </row>
    <row r="44">
      <c r="A44" s="20" t="str">
        <f>IF($G44="","",INDEX('Liste des élèves'!$A$4:$A$1363,$G44))</f>
        <v/>
      </c>
      <c r="B44" s="20" t="str">
        <f>IF($G44="","",INDEX('Liste des élèves'!$D$4:$D$1363,$G44))</f>
        <v/>
      </c>
      <c r="C44" s="21" t="str">
        <f>IF($G44="","",INDEX('Liste des élèves'!$E$4:$E$1363,$G44))</f>
        <v/>
      </c>
      <c r="D44" s="20" t="str">
        <f>IF($G44="","",INDEX('Liste des élèves'!$I$4:$I$1363,$G44))</f>
        <v/>
      </c>
      <c r="E44" s="20" t="str">
        <f>IF($G44="","",INDEX('Liste des élèves'!$J$4:$J$1363,$G44))</f>
        <v/>
      </c>
      <c r="F44" s="51" t="str">
        <f>IF($G44="","",INDEX('Liste des élèves'!$P$4:$P$1363,$G44)+INDEX('Liste des élèves'!$T$4:$T$1363,$G44))</f>
        <v/>
      </c>
      <c r="G44" s="49" t="str">
        <f>IF(G43="","",IFERROR(G43+MATCH("En retard",INDEX('Liste des élèves'!$Q$4:$Q$1363,G43+1):'Liste des élèves'!$Q$1363,0),""))</f>
        <v/>
      </c>
    </row>
    <row r="45">
      <c r="A45" s="20" t="str">
        <f>IF($G45="","",INDEX('Liste des élèves'!$A$4:$A$1363,$G45))</f>
        <v/>
      </c>
      <c r="B45" s="20" t="str">
        <f>IF($G45="","",INDEX('Liste des élèves'!$D$4:$D$1363,$G45))</f>
        <v/>
      </c>
      <c r="C45" s="21" t="str">
        <f>IF($G45="","",INDEX('Liste des élèves'!$E$4:$E$1363,$G45))</f>
        <v/>
      </c>
      <c r="D45" s="20" t="str">
        <f>IF($G45="","",INDEX('Liste des élèves'!$I$4:$I$1363,$G45))</f>
        <v/>
      </c>
      <c r="E45" s="20" t="str">
        <f>IF($G45="","",INDEX('Liste des élèves'!$J$4:$J$1363,$G45))</f>
        <v/>
      </c>
      <c r="F45" s="51" t="str">
        <f>IF($G45="","",INDEX('Liste des élèves'!$P$4:$P$1363,$G45)+INDEX('Liste des élèves'!$T$4:$T$1363,$G45))</f>
        <v/>
      </c>
      <c r="G45" s="49" t="str">
        <f>IF(G44="","",IFERROR(G44+MATCH("En retard",INDEX('Liste des élèves'!$Q$4:$Q$1363,G44+1):'Liste des élèves'!$Q$1363,0),""))</f>
        <v/>
      </c>
    </row>
    <row r="46">
      <c r="A46" s="20" t="str">
        <f>IF($G46="","",INDEX('Liste des élèves'!$A$4:$A$1363,$G46))</f>
        <v/>
      </c>
      <c r="B46" s="20" t="str">
        <f>IF($G46="","",INDEX('Liste des élèves'!$D$4:$D$1363,$G46))</f>
        <v/>
      </c>
      <c r="C46" s="21" t="str">
        <f>IF($G46="","",INDEX('Liste des élèves'!$E$4:$E$1363,$G46))</f>
        <v/>
      </c>
      <c r="D46" s="20" t="str">
        <f>IF($G46="","",INDEX('Liste des élèves'!$I$4:$I$1363,$G46))</f>
        <v/>
      </c>
      <c r="E46" s="20" t="str">
        <f>IF($G46="","",INDEX('Liste des élèves'!$J$4:$J$1363,$G46))</f>
        <v/>
      </c>
      <c r="F46" s="51" t="str">
        <f>IF($G46="","",INDEX('Liste des élèves'!$P$4:$P$1363,$G46)+INDEX('Liste des élèves'!$T$4:$T$1363,$G46))</f>
        <v/>
      </c>
      <c r="G46" s="49" t="str">
        <f>IF(G45="","",IFERROR(G45+MATCH("En retard",INDEX('Liste des élèves'!$Q$4:$Q$1363,G45+1):'Liste des élèves'!$Q$1363,0),""))</f>
        <v/>
      </c>
    </row>
    <row r="47">
      <c r="A47" s="20" t="str">
        <f>IF($G47="","",INDEX('Liste des élèves'!$A$4:$A$1363,$G47))</f>
        <v/>
      </c>
      <c r="B47" s="20" t="str">
        <f>IF($G47="","",INDEX('Liste des élèves'!$D$4:$D$1363,$G47))</f>
        <v/>
      </c>
      <c r="C47" s="21" t="str">
        <f>IF($G47="","",INDEX('Liste des élèves'!$E$4:$E$1363,$G47))</f>
        <v/>
      </c>
      <c r="D47" s="20" t="str">
        <f>IF($G47="","",INDEX('Liste des élèves'!$I$4:$I$1363,$G47))</f>
        <v/>
      </c>
      <c r="E47" s="20" t="str">
        <f>IF($G47="","",INDEX('Liste des élèves'!$J$4:$J$1363,$G47))</f>
        <v/>
      </c>
      <c r="F47" s="51" t="str">
        <f>IF($G47="","",INDEX('Liste des élèves'!$P$4:$P$1363,$G47)+INDEX('Liste des élèves'!$T$4:$T$1363,$G47))</f>
        <v/>
      </c>
      <c r="G47" s="49" t="str">
        <f>IF(G46="","",IFERROR(G46+MATCH("En retard",INDEX('Liste des élèves'!$Q$4:$Q$1363,G46+1):'Liste des élèves'!$Q$1363,0),""))</f>
        <v/>
      </c>
    </row>
    <row r="48">
      <c r="A48" s="20" t="str">
        <f>IF($G48="","",INDEX('Liste des élèves'!$A$4:$A$1363,$G48))</f>
        <v/>
      </c>
      <c r="B48" s="20" t="str">
        <f>IF($G48="","",INDEX('Liste des élèves'!$D$4:$D$1363,$G48))</f>
        <v/>
      </c>
      <c r="C48" s="21" t="str">
        <f>IF($G48="","",INDEX('Liste des élèves'!$E$4:$E$1363,$G48))</f>
        <v/>
      </c>
      <c r="D48" s="20" t="str">
        <f>IF($G48="","",INDEX('Liste des élèves'!$I$4:$I$1363,$G48))</f>
        <v/>
      </c>
      <c r="E48" s="20" t="str">
        <f>IF($G48="","",INDEX('Liste des élèves'!$J$4:$J$1363,$G48))</f>
        <v/>
      </c>
      <c r="F48" s="51" t="str">
        <f>IF($G48="","",INDEX('Liste des élèves'!$P$4:$P$1363,$G48)+INDEX('Liste des élèves'!$T$4:$T$1363,$G48))</f>
        <v/>
      </c>
      <c r="G48" s="49" t="str">
        <f>IF(G47="","",IFERROR(G47+MATCH("En retard",INDEX('Liste des élèves'!$Q$4:$Q$1363,G47+1):'Liste des élèves'!$Q$1363,0),""))</f>
        <v/>
      </c>
    </row>
    <row r="49">
      <c r="A49" s="20" t="str">
        <f>IF($G49="","",INDEX('Liste des élèves'!$A$4:$A$1363,$G49))</f>
        <v/>
      </c>
      <c r="B49" s="20" t="str">
        <f>IF($G49="","",INDEX('Liste des élèves'!$D$4:$D$1363,$G49))</f>
        <v/>
      </c>
      <c r="C49" s="21" t="str">
        <f>IF($G49="","",INDEX('Liste des élèves'!$E$4:$E$1363,$G49))</f>
        <v/>
      </c>
      <c r="D49" s="20" t="str">
        <f>IF($G49="","",INDEX('Liste des élèves'!$I$4:$I$1363,$G49))</f>
        <v/>
      </c>
      <c r="E49" s="20" t="str">
        <f>IF($G49="","",INDEX('Liste des élèves'!$J$4:$J$1363,$G49))</f>
        <v/>
      </c>
      <c r="F49" s="51" t="str">
        <f>IF($G49="","",INDEX('Liste des élèves'!$P$4:$P$1363,$G49)+INDEX('Liste des élèves'!$T$4:$T$1363,$G49))</f>
        <v/>
      </c>
      <c r="G49" s="49" t="str">
        <f>IF(G48="","",IFERROR(G48+MATCH("En retard",INDEX('Liste des élèves'!$Q$4:$Q$1363,G48+1):'Liste des élèves'!$Q$1363,0),""))</f>
        <v/>
      </c>
    </row>
    <row r="50">
      <c r="A50" s="20" t="str">
        <f>IF($G50="","",INDEX('Liste des élèves'!$A$4:$A$1363,$G50))</f>
        <v/>
      </c>
      <c r="B50" s="20" t="str">
        <f>IF($G50="","",INDEX('Liste des élèves'!$D$4:$D$1363,$G50))</f>
        <v/>
      </c>
      <c r="C50" s="21" t="str">
        <f>IF($G50="","",INDEX('Liste des élèves'!$E$4:$E$1363,$G50))</f>
        <v/>
      </c>
      <c r="D50" s="20" t="str">
        <f>IF($G50="","",INDEX('Liste des élèves'!$I$4:$I$1363,$G50))</f>
        <v/>
      </c>
      <c r="E50" s="20" t="str">
        <f>IF($G50="","",INDEX('Liste des élèves'!$J$4:$J$1363,$G50))</f>
        <v/>
      </c>
      <c r="F50" s="51" t="str">
        <f>IF($G50="","",INDEX('Liste des élèves'!$P$4:$P$1363,$G50)+INDEX('Liste des élèves'!$T$4:$T$1363,$G50))</f>
        <v/>
      </c>
      <c r="G50" s="49" t="str">
        <f>IF(G49="","",IFERROR(G49+MATCH("En retard",INDEX('Liste des élèves'!$Q$4:$Q$1363,G49+1):'Liste des élèves'!$Q$1363,0),""))</f>
        <v/>
      </c>
    </row>
    <row r="51">
      <c r="A51" s="20" t="str">
        <f>IF($G51="","",INDEX('Liste des élèves'!$A$4:$A$1363,$G51))</f>
        <v/>
      </c>
      <c r="B51" s="20" t="str">
        <f>IF($G51="","",INDEX('Liste des élèves'!$D$4:$D$1363,$G51))</f>
        <v/>
      </c>
      <c r="C51" s="21" t="str">
        <f>IF($G51="","",INDEX('Liste des élèves'!$E$4:$E$1363,$G51))</f>
        <v/>
      </c>
      <c r="D51" s="20" t="str">
        <f>IF($G51="","",INDEX('Liste des élèves'!$I$4:$I$1363,$G51))</f>
        <v/>
      </c>
      <c r="E51" s="20" t="str">
        <f>IF($G51="","",INDEX('Liste des élèves'!$J$4:$J$1363,$G51))</f>
        <v/>
      </c>
      <c r="F51" s="51" t="str">
        <f>IF($G51="","",INDEX('Liste des élèves'!$P$4:$P$1363,$G51)+INDEX('Liste des élèves'!$T$4:$T$1363,$G51))</f>
        <v/>
      </c>
      <c r="G51" s="49" t="str">
        <f>IF(G50="","",IFERROR(G50+MATCH("En retard",INDEX('Liste des élèves'!$Q$4:$Q$1363,G50+1):'Liste des élèves'!$Q$1363,0),""))</f>
        <v/>
      </c>
    </row>
    <row r="52">
      <c r="A52" s="20" t="str">
        <f>IF($G52="","",INDEX('Liste des élèves'!$A$4:$A$1363,$G52))</f>
        <v/>
      </c>
      <c r="B52" s="20" t="str">
        <f>IF($G52="","",INDEX('Liste des élèves'!$D$4:$D$1363,$G52))</f>
        <v/>
      </c>
      <c r="C52" s="21" t="str">
        <f>IF($G52="","",INDEX('Liste des élèves'!$E$4:$E$1363,$G52))</f>
        <v/>
      </c>
      <c r="D52" s="20" t="str">
        <f>IF($G52="","",INDEX('Liste des élèves'!$I$4:$I$1363,$G52))</f>
        <v/>
      </c>
      <c r="E52" s="20" t="str">
        <f>IF($G52="","",INDEX('Liste des élèves'!$J$4:$J$1363,$G52))</f>
        <v/>
      </c>
      <c r="F52" s="51" t="str">
        <f>IF($G52="","",INDEX('Liste des élèves'!$P$4:$P$1363,$G52)+INDEX('Liste des élèves'!$T$4:$T$1363,$G52))</f>
        <v/>
      </c>
      <c r="G52" s="49" t="str">
        <f>IF(G51="","",IFERROR(G51+MATCH("En retard",INDEX('Liste des élèves'!$Q$4:$Q$1363,G51+1):'Liste des élèves'!$Q$1363,0),""))</f>
        <v/>
      </c>
    </row>
    <row r="53">
      <c r="A53" s="20" t="str">
        <f>IF($G53="","",INDEX('Liste des élèves'!$A$4:$A$1363,$G53))</f>
        <v/>
      </c>
      <c r="B53" s="20" t="str">
        <f>IF($G53="","",INDEX('Liste des élèves'!$D$4:$D$1363,$G53))</f>
        <v/>
      </c>
      <c r="C53" s="21" t="str">
        <f>IF($G53="","",INDEX('Liste des élèves'!$E$4:$E$1363,$G53))</f>
        <v/>
      </c>
      <c r="D53" s="20" t="str">
        <f>IF($G53="","",INDEX('Liste des élèves'!$I$4:$I$1363,$G53))</f>
        <v/>
      </c>
      <c r="E53" s="20" t="str">
        <f>IF($G53="","",INDEX('Liste des élèves'!$J$4:$J$1363,$G53))</f>
        <v/>
      </c>
      <c r="F53" s="51" t="str">
        <f>IF($G53="","",INDEX('Liste des élèves'!$P$4:$P$1363,$G53)+INDEX('Liste des élèves'!$T$4:$T$1363,$G53))</f>
        <v/>
      </c>
      <c r="G53" s="49" t="str">
        <f>IF(G52="","",IFERROR(G52+MATCH("En retard",INDEX('Liste des élèves'!$Q$4:$Q$1363,G52+1):'Liste des élèves'!$Q$1363,0),""))</f>
        <v/>
      </c>
    </row>
    <row r="54">
      <c r="A54" s="20" t="str">
        <f>IF($G54="","",INDEX('Liste des élèves'!$A$4:$A$1363,$G54))</f>
        <v/>
      </c>
      <c r="B54" s="20" t="str">
        <f>IF($G54="","",INDEX('Liste des élèves'!$D$4:$D$1363,$G54))</f>
        <v/>
      </c>
      <c r="C54" s="21" t="str">
        <f>IF($G54="","",INDEX('Liste des élèves'!$E$4:$E$1363,$G54))</f>
        <v/>
      </c>
      <c r="D54" s="20" t="str">
        <f>IF($G54="","",INDEX('Liste des élèves'!$I$4:$I$1363,$G54))</f>
        <v/>
      </c>
      <c r="E54" s="20" t="str">
        <f>IF($G54="","",INDEX('Liste des élèves'!$J$4:$J$1363,$G54))</f>
        <v/>
      </c>
      <c r="F54" s="51" t="str">
        <f>IF($G54="","",INDEX('Liste des élèves'!$P$4:$P$1363,$G54)+INDEX('Liste des élèves'!$T$4:$T$1363,$G54))</f>
        <v/>
      </c>
      <c r="G54" s="49" t="str">
        <f>IF(G53="","",IFERROR(G53+MATCH("En retard",INDEX('Liste des élèves'!$Q$4:$Q$1363,G53+1):'Liste des élèves'!$Q$1363,0),""))</f>
        <v/>
      </c>
    </row>
    <row r="55">
      <c r="A55" s="20" t="str">
        <f>IF($G55="","",INDEX('Liste des élèves'!$A$4:$A$1363,$G55))</f>
        <v/>
      </c>
      <c r="B55" s="20" t="str">
        <f>IF($G55="","",INDEX('Liste des élèves'!$D$4:$D$1363,$G55))</f>
        <v/>
      </c>
      <c r="C55" s="21" t="str">
        <f>IF($G55="","",INDEX('Liste des élèves'!$E$4:$E$1363,$G55))</f>
        <v/>
      </c>
      <c r="D55" s="20" t="str">
        <f>IF($G55="","",INDEX('Liste des élèves'!$I$4:$I$1363,$G55))</f>
        <v/>
      </c>
      <c r="E55" s="20" t="str">
        <f>IF($G55="","",INDEX('Liste des élèves'!$J$4:$J$1363,$G55))</f>
        <v/>
      </c>
      <c r="F55" s="51" t="str">
        <f>IF($G55="","",INDEX('Liste des élèves'!$P$4:$P$1363,$G55)+INDEX('Liste des élèves'!$T$4:$T$1363,$G55))</f>
        <v/>
      </c>
      <c r="G55" s="49" t="str">
        <f>IF(G54="","",IFERROR(G54+MATCH("En retard",INDEX('Liste des élèves'!$Q$4:$Q$1363,G54+1):'Liste des élèves'!$Q$1363,0),""))</f>
        <v/>
      </c>
    </row>
    <row r="56">
      <c r="A56" s="20" t="str">
        <f>IF($G56="","",INDEX('Liste des élèves'!$A$4:$A$1363,$G56))</f>
        <v/>
      </c>
      <c r="B56" s="20" t="str">
        <f>IF($G56="","",INDEX('Liste des élèves'!$D$4:$D$1363,$G56))</f>
        <v/>
      </c>
      <c r="C56" s="21" t="str">
        <f>IF($G56="","",INDEX('Liste des élèves'!$E$4:$E$1363,$G56))</f>
        <v/>
      </c>
      <c r="D56" s="20" t="str">
        <f>IF($G56="","",INDEX('Liste des élèves'!$I$4:$I$1363,$G56))</f>
        <v/>
      </c>
      <c r="E56" s="20" t="str">
        <f>IF($G56="","",INDEX('Liste des élèves'!$J$4:$J$1363,$G56))</f>
        <v/>
      </c>
      <c r="F56" s="51" t="str">
        <f>IF($G56="","",INDEX('Liste des élèves'!$P$4:$P$1363,$G56)+INDEX('Liste des élèves'!$T$4:$T$1363,$G56))</f>
        <v/>
      </c>
      <c r="G56" s="49" t="str">
        <f>IF(G55="","",IFERROR(G55+MATCH("En retard",INDEX('Liste des élèves'!$Q$4:$Q$1363,G55+1):'Liste des élèves'!$Q$1363,0),""))</f>
        <v/>
      </c>
    </row>
    <row r="57">
      <c r="A57" s="20" t="str">
        <f>IF($G57="","",INDEX('Liste des élèves'!$A$4:$A$1363,$G57))</f>
        <v/>
      </c>
      <c r="B57" s="20" t="str">
        <f>IF($G57="","",INDEX('Liste des élèves'!$D$4:$D$1363,$G57))</f>
        <v/>
      </c>
      <c r="C57" s="21" t="str">
        <f>IF($G57="","",INDEX('Liste des élèves'!$E$4:$E$1363,$G57))</f>
        <v/>
      </c>
      <c r="D57" s="20" t="str">
        <f>IF($G57="","",INDEX('Liste des élèves'!$I$4:$I$1363,$G57))</f>
        <v/>
      </c>
      <c r="E57" s="20" t="str">
        <f>IF($G57="","",INDEX('Liste des élèves'!$J$4:$J$1363,$G57))</f>
        <v/>
      </c>
      <c r="F57" s="51" t="str">
        <f>IF($G57="","",INDEX('Liste des élèves'!$P$4:$P$1363,$G57)+INDEX('Liste des élèves'!$T$4:$T$1363,$G57))</f>
        <v/>
      </c>
      <c r="G57" s="49" t="str">
        <f>IF(G56="","",IFERROR(G56+MATCH("En retard",INDEX('Liste des élèves'!$Q$4:$Q$1363,G56+1):'Liste des élèves'!$Q$1363,0),""))</f>
        <v/>
      </c>
    </row>
    <row r="58">
      <c r="A58" s="20" t="str">
        <f>IF($G58="","",INDEX('Liste des élèves'!$A$4:$A$1363,$G58))</f>
        <v/>
      </c>
      <c r="B58" s="20" t="str">
        <f>IF($G58="","",INDEX('Liste des élèves'!$D$4:$D$1363,$G58))</f>
        <v/>
      </c>
      <c r="C58" s="21" t="str">
        <f>IF($G58="","",INDEX('Liste des élèves'!$E$4:$E$1363,$G58))</f>
        <v/>
      </c>
      <c r="D58" s="20" t="str">
        <f>IF($G58="","",INDEX('Liste des élèves'!$I$4:$I$1363,$G58))</f>
        <v/>
      </c>
      <c r="E58" s="20" t="str">
        <f>IF($G58="","",INDEX('Liste des élèves'!$J$4:$J$1363,$G58))</f>
        <v/>
      </c>
      <c r="F58" s="51" t="str">
        <f>IF($G58="","",INDEX('Liste des élèves'!$P$4:$P$1363,$G58)+INDEX('Liste des élèves'!$T$4:$T$1363,$G58))</f>
        <v/>
      </c>
      <c r="G58" s="49" t="str">
        <f>IF(G57="","",IFERROR(G57+MATCH("En retard",INDEX('Liste des élèves'!$Q$4:$Q$1363,G57+1):'Liste des élèves'!$Q$1363,0),""))</f>
        <v/>
      </c>
    </row>
    <row r="59">
      <c r="A59" s="20" t="str">
        <f>IF($G59="","",INDEX('Liste des élèves'!$A$4:$A$1363,$G59))</f>
        <v/>
      </c>
      <c r="B59" s="20" t="str">
        <f>IF($G59="","",INDEX('Liste des élèves'!$D$4:$D$1363,$G59))</f>
        <v/>
      </c>
      <c r="C59" s="21" t="str">
        <f>IF($G59="","",INDEX('Liste des élèves'!$E$4:$E$1363,$G59))</f>
        <v/>
      </c>
      <c r="D59" s="20" t="str">
        <f>IF($G59="","",INDEX('Liste des élèves'!$I$4:$I$1363,$G59))</f>
        <v/>
      </c>
      <c r="E59" s="20" t="str">
        <f>IF($G59="","",INDEX('Liste des élèves'!$J$4:$J$1363,$G59))</f>
        <v/>
      </c>
      <c r="F59" s="51" t="str">
        <f>IF($G59="","",INDEX('Liste des élèves'!$P$4:$P$1363,$G59)+INDEX('Liste des élèves'!$T$4:$T$1363,$G59))</f>
        <v/>
      </c>
      <c r="G59" s="49" t="str">
        <f>IF(G58="","",IFERROR(G58+MATCH("En retard",INDEX('Liste des élèves'!$Q$4:$Q$1363,G58+1):'Liste des élèves'!$Q$1363,0),""))</f>
        <v/>
      </c>
    </row>
    <row r="60">
      <c r="A60" s="20" t="str">
        <f>IF($G60="","",INDEX('Liste des élèves'!$A$4:$A$1363,$G60))</f>
        <v/>
      </c>
      <c r="B60" s="20" t="str">
        <f>IF($G60="","",INDEX('Liste des élèves'!$D$4:$D$1363,$G60))</f>
        <v/>
      </c>
      <c r="C60" s="21" t="str">
        <f>IF($G60="","",INDEX('Liste des élèves'!$E$4:$E$1363,$G60))</f>
        <v/>
      </c>
      <c r="D60" s="20" t="str">
        <f>IF($G60="","",INDEX('Liste des élèves'!$I$4:$I$1363,$G60))</f>
        <v/>
      </c>
      <c r="E60" s="20" t="str">
        <f>IF($G60="","",INDEX('Liste des élèves'!$J$4:$J$1363,$G60))</f>
        <v/>
      </c>
      <c r="F60" s="51" t="str">
        <f>IF($G60="","",INDEX('Liste des élèves'!$P$4:$P$1363,$G60)+INDEX('Liste des élèves'!$T$4:$T$1363,$G60))</f>
        <v/>
      </c>
      <c r="G60" s="49" t="str">
        <f>IF(G59="","",IFERROR(G59+MATCH("En retard",INDEX('Liste des élèves'!$Q$4:$Q$1363,G59+1):'Liste des élèves'!$Q$1363,0),""))</f>
        <v/>
      </c>
    </row>
    <row r="61">
      <c r="A61" s="20" t="str">
        <f>IF($G61="","",INDEX('Liste des élèves'!$A$4:$A$1363,$G61))</f>
        <v/>
      </c>
      <c r="B61" s="20" t="str">
        <f>IF($G61="","",INDEX('Liste des élèves'!$D$4:$D$1363,$G61))</f>
        <v/>
      </c>
      <c r="C61" s="21" t="str">
        <f>IF($G61="","",INDEX('Liste des élèves'!$E$4:$E$1363,$G61))</f>
        <v/>
      </c>
      <c r="D61" s="20" t="str">
        <f>IF($G61="","",INDEX('Liste des élèves'!$I$4:$I$1363,$G61))</f>
        <v/>
      </c>
      <c r="E61" s="20" t="str">
        <f>IF($G61="","",INDEX('Liste des élèves'!$J$4:$J$1363,$G61))</f>
        <v/>
      </c>
      <c r="F61" s="51" t="str">
        <f>IF($G61="","",INDEX('Liste des élèves'!$P$4:$P$1363,$G61)+INDEX('Liste des élèves'!$T$4:$T$1363,$G61))</f>
        <v/>
      </c>
      <c r="G61" s="49" t="str">
        <f>IF(G60="","",IFERROR(G60+MATCH("En retard",INDEX('Liste des élèves'!$Q$4:$Q$1363,G60+1):'Liste des élèves'!$Q$1363,0),""))</f>
        <v/>
      </c>
    </row>
    <row r="62">
      <c r="A62" s="20" t="str">
        <f>IF($G62="","",INDEX('Liste des élèves'!$A$4:$A$1363,$G62))</f>
        <v/>
      </c>
      <c r="B62" s="20" t="str">
        <f>IF($G62="","",INDEX('Liste des élèves'!$D$4:$D$1363,$G62))</f>
        <v/>
      </c>
      <c r="C62" s="21" t="str">
        <f>IF($G62="","",INDEX('Liste des élèves'!$E$4:$E$1363,$G62))</f>
        <v/>
      </c>
      <c r="D62" s="20" t="str">
        <f>IF($G62="","",INDEX('Liste des élèves'!$I$4:$I$1363,$G62))</f>
        <v/>
      </c>
      <c r="E62" s="20" t="str">
        <f>IF($G62="","",INDEX('Liste des élèves'!$J$4:$J$1363,$G62))</f>
        <v/>
      </c>
      <c r="F62" s="51" t="str">
        <f>IF($G62="","",INDEX('Liste des élèves'!$P$4:$P$1363,$G62)+INDEX('Liste des élèves'!$T$4:$T$1363,$G62))</f>
        <v/>
      </c>
      <c r="G62" s="49" t="str">
        <f>IF(G61="","",IFERROR(G61+MATCH("En retard",INDEX('Liste des élèves'!$Q$4:$Q$1363,G61+1):'Liste des élèves'!$Q$1363,0),""))</f>
        <v/>
      </c>
    </row>
    <row r="63">
      <c r="A63" s="20" t="str">
        <f>IF($G63="","",INDEX('Liste des élèves'!$A$4:$A$1363,$G63))</f>
        <v/>
      </c>
      <c r="B63" s="20" t="str">
        <f>IF($G63="","",INDEX('Liste des élèves'!$D$4:$D$1363,$G63))</f>
        <v/>
      </c>
      <c r="C63" s="21" t="str">
        <f>IF($G63="","",INDEX('Liste des élèves'!$E$4:$E$1363,$G63))</f>
        <v/>
      </c>
      <c r="D63" s="20" t="str">
        <f>IF($G63="","",INDEX('Liste des élèves'!$I$4:$I$1363,$G63))</f>
        <v/>
      </c>
      <c r="E63" s="20" t="str">
        <f>IF($G63="","",INDEX('Liste des élèves'!$J$4:$J$1363,$G63))</f>
        <v/>
      </c>
      <c r="F63" s="51" t="str">
        <f>IF($G63="","",INDEX('Liste des élèves'!$P$4:$P$1363,$G63)+INDEX('Liste des élèves'!$T$4:$T$1363,$G63))</f>
        <v/>
      </c>
      <c r="G63" s="49" t="str">
        <f>IF(G62="","",IFERROR(G62+MATCH("En retard",INDEX('Liste des élèves'!$Q$4:$Q$1363,G62+1):'Liste des élèves'!$Q$1363,0),""))</f>
        <v/>
      </c>
    </row>
    <row r="64">
      <c r="A64" s="20" t="str">
        <f>IF($G64="","",INDEX('Liste des élèves'!$A$4:$A$1363,$G64))</f>
        <v/>
      </c>
      <c r="B64" s="20" t="str">
        <f>IF($G64="","",INDEX('Liste des élèves'!$D$4:$D$1363,$G64))</f>
        <v/>
      </c>
      <c r="C64" s="21" t="str">
        <f>IF($G64="","",INDEX('Liste des élèves'!$E$4:$E$1363,$G64))</f>
        <v/>
      </c>
      <c r="D64" s="20" t="str">
        <f>IF($G64="","",INDEX('Liste des élèves'!$I$4:$I$1363,$G64))</f>
        <v/>
      </c>
      <c r="E64" s="20" t="str">
        <f>IF($G64="","",INDEX('Liste des élèves'!$J$4:$J$1363,$G64))</f>
        <v/>
      </c>
      <c r="F64" s="51" t="str">
        <f>IF($G64="","",INDEX('Liste des élèves'!$P$4:$P$1363,$G64)+INDEX('Liste des élèves'!$T$4:$T$1363,$G64))</f>
        <v/>
      </c>
      <c r="G64" s="49" t="str">
        <f>IF(G63="","",IFERROR(G63+MATCH("En retard",INDEX('Liste des élèves'!$Q$4:$Q$1363,G63+1):'Liste des élèves'!$Q$1363,0),""))</f>
        <v/>
      </c>
    </row>
    <row r="65">
      <c r="A65" s="20" t="str">
        <f>IF($G65="","",INDEX('Liste des élèves'!$A$4:$A$1363,$G65))</f>
        <v/>
      </c>
      <c r="B65" s="20" t="str">
        <f>IF($G65="","",INDEX('Liste des élèves'!$D$4:$D$1363,$G65))</f>
        <v/>
      </c>
      <c r="C65" s="21" t="str">
        <f>IF($G65="","",INDEX('Liste des élèves'!$E$4:$E$1363,$G65))</f>
        <v/>
      </c>
      <c r="D65" s="20" t="str">
        <f>IF($G65="","",INDEX('Liste des élèves'!$I$4:$I$1363,$G65))</f>
        <v/>
      </c>
      <c r="E65" s="20" t="str">
        <f>IF($G65="","",INDEX('Liste des élèves'!$J$4:$J$1363,$G65))</f>
        <v/>
      </c>
      <c r="F65" s="51" t="str">
        <f>IF($G65="","",INDEX('Liste des élèves'!$P$4:$P$1363,$G65)+INDEX('Liste des élèves'!$T$4:$T$1363,$G65))</f>
        <v/>
      </c>
      <c r="G65" s="49" t="str">
        <f>IF(G64="","",IFERROR(G64+MATCH("En retard",INDEX('Liste des élèves'!$Q$4:$Q$1363,G64+1):'Liste des élèves'!$Q$1363,0),""))</f>
        <v/>
      </c>
    </row>
    <row r="66">
      <c r="A66" s="20" t="str">
        <f>IF($G66="","",INDEX('Liste des élèves'!$A$4:$A$1363,$G66))</f>
        <v/>
      </c>
      <c r="B66" s="20" t="str">
        <f>IF($G66="","",INDEX('Liste des élèves'!$D$4:$D$1363,$G66))</f>
        <v/>
      </c>
      <c r="C66" s="21" t="str">
        <f>IF($G66="","",INDEX('Liste des élèves'!$E$4:$E$1363,$G66))</f>
        <v/>
      </c>
      <c r="D66" s="20" t="str">
        <f>IF($G66="","",INDEX('Liste des élèves'!$I$4:$I$1363,$G66))</f>
        <v/>
      </c>
      <c r="E66" s="20" t="str">
        <f>IF($G66="","",INDEX('Liste des élèves'!$J$4:$J$1363,$G66))</f>
        <v/>
      </c>
      <c r="F66" s="51" t="str">
        <f>IF($G66="","",INDEX('Liste des élèves'!$P$4:$P$1363,$G66)+INDEX('Liste des élèves'!$T$4:$T$1363,$G66))</f>
        <v/>
      </c>
      <c r="G66" s="49" t="str">
        <f>IF(G65="","",IFERROR(G65+MATCH("En retard",INDEX('Liste des élèves'!$Q$4:$Q$1363,G65+1):'Liste des élèves'!$Q$1363,0),""))</f>
        <v/>
      </c>
    </row>
    <row r="67">
      <c r="A67" s="20" t="str">
        <f>IF($G67="","",INDEX('Liste des élèves'!$A$4:$A$1363,$G67))</f>
        <v/>
      </c>
      <c r="B67" s="20" t="str">
        <f>IF($G67="","",INDEX('Liste des élèves'!$D$4:$D$1363,$G67))</f>
        <v/>
      </c>
      <c r="C67" s="21" t="str">
        <f>IF($G67="","",INDEX('Liste des élèves'!$E$4:$E$1363,$G67))</f>
        <v/>
      </c>
      <c r="D67" s="20" t="str">
        <f>IF($G67="","",INDEX('Liste des élèves'!$I$4:$I$1363,$G67))</f>
        <v/>
      </c>
      <c r="E67" s="20" t="str">
        <f>IF($G67="","",INDEX('Liste des élèves'!$J$4:$J$1363,$G67))</f>
        <v/>
      </c>
      <c r="F67" s="51" t="str">
        <f>IF($G67="","",INDEX('Liste des élèves'!$P$4:$P$1363,$G67)+INDEX('Liste des élèves'!$T$4:$T$1363,$G67))</f>
        <v/>
      </c>
      <c r="G67" s="49" t="str">
        <f>IF(G66="","",IFERROR(G66+MATCH("En retard",INDEX('Liste des élèves'!$Q$4:$Q$1363,G66+1):'Liste des élèves'!$Q$1363,0),""))</f>
        <v/>
      </c>
    </row>
    <row r="68">
      <c r="A68" s="20" t="str">
        <f>IF($G68="","",INDEX('Liste des élèves'!$A$4:$A$1363,$G68))</f>
        <v/>
      </c>
      <c r="B68" s="20" t="str">
        <f>IF($G68="","",INDEX('Liste des élèves'!$D$4:$D$1363,$G68))</f>
        <v/>
      </c>
      <c r="C68" s="21" t="str">
        <f>IF($G68="","",INDEX('Liste des élèves'!$E$4:$E$1363,$G68))</f>
        <v/>
      </c>
      <c r="D68" s="20" t="str">
        <f>IF($G68="","",INDEX('Liste des élèves'!$I$4:$I$1363,$G68))</f>
        <v/>
      </c>
      <c r="E68" s="20" t="str">
        <f>IF($G68="","",INDEX('Liste des élèves'!$J$4:$J$1363,$G68))</f>
        <v/>
      </c>
      <c r="F68" s="51" t="str">
        <f>IF($G68="","",INDEX('Liste des élèves'!$P$4:$P$1363,$G68)+INDEX('Liste des élèves'!$T$4:$T$1363,$G68))</f>
        <v/>
      </c>
      <c r="G68" s="49" t="str">
        <f>IF(G67="","",IFERROR(G67+MATCH("En retard",INDEX('Liste des élèves'!$Q$4:$Q$1363,G67+1):'Liste des élèves'!$Q$1363,0),""))</f>
        <v/>
      </c>
    </row>
    <row r="69">
      <c r="A69" s="20" t="str">
        <f>IF($G69="","",INDEX('Liste des élèves'!$A$4:$A$1363,$G69))</f>
        <v/>
      </c>
      <c r="B69" s="20" t="str">
        <f>IF($G69="","",INDEX('Liste des élèves'!$D$4:$D$1363,$G69))</f>
        <v/>
      </c>
      <c r="C69" s="21" t="str">
        <f>IF($G69="","",INDEX('Liste des élèves'!$E$4:$E$1363,$G69))</f>
        <v/>
      </c>
      <c r="D69" s="20" t="str">
        <f>IF($G69="","",INDEX('Liste des élèves'!$I$4:$I$1363,$G69))</f>
        <v/>
      </c>
      <c r="E69" s="20" t="str">
        <f>IF($G69="","",INDEX('Liste des élèves'!$J$4:$J$1363,$G69))</f>
        <v/>
      </c>
      <c r="F69" s="51" t="str">
        <f>IF($G69="","",INDEX('Liste des élèves'!$P$4:$P$1363,$G69)+INDEX('Liste des élèves'!$T$4:$T$1363,$G69))</f>
        <v/>
      </c>
      <c r="G69" s="49" t="str">
        <f>IF(G68="","",IFERROR(G68+MATCH("En retard",INDEX('Liste des élèves'!$Q$4:$Q$1363,G68+1):'Liste des élèves'!$Q$1363,0),""))</f>
        <v/>
      </c>
    </row>
    <row r="70">
      <c r="A70" s="20" t="str">
        <f>IF($G70="","",INDEX('Liste des élèves'!$A$4:$A$1363,$G70))</f>
        <v/>
      </c>
      <c r="B70" s="20" t="str">
        <f>IF($G70="","",INDEX('Liste des élèves'!$D$4:$D$1363,$G70))</f>
        <v/>
      </c>
      <c r="C70" s="21" t="str">
        <f>IF($G70="","",INDEX('Liste des élèves'!$E$4:$E$1363,$G70))</f>
        <v/>
      </c>
      <c r="D70" s="20" t="str">
        <f>IF($G70="","",INDEX('Liste des élèves'!$I$4:$I$1363,$G70))</f>
        <v/>
      </c>
      <c r="E70" s="20" t="str">
        <f>IF($G70="","",INDEX('Liste des élèves'!$J$4:$J$1363,$G70))</f>
        <v/>
      </c>
      <c r="F70" s="51" t="str">
        <f>IF($G70="","",INDEX('Liste des élèves'!$P$4:$P$1363,$G70)+INDEX('Liste des élèves'!$T$4:$T$1363,$G70))</f>
        <v/>
      </c>
      <c r="G70" s="49" t="str">
        <f>IF(G69="","",IFERROR(G69+MATCH("En retard",INDEX('Liste des élèves'!$Q$4:$Q$1363,G69+1):'Liste des élèves'!$Q$1363,0),""))</f>
        <v/>
      </c>
    </row>
    <row r="71">
      <c r="A71" s="20" t="str">
        <f>IF($G71="","",INDEX('Liste des élèves'!$A$4:$A$1363,$G71))</f>
        <v/>
      </c>
      <c r="B71" s="20" t="str">
        <f>IF($G71="","",INDEX('Liste des élèves'!$D$4:$D$1363,$G71))</f>
        <v/>
      </c>
      <c r="C71" s="21" t="str">
        <f>IF($G71="","",INDEX('Liste des élèves'!$E$4:$E$1363,$G71))</f>
        <v/>
      </c>
      <c r="D71" s="20" t="str">
        <f>IF($G71="","",INDEX('Liste des élèves'!$I$4:$I$1363,$G71))</f>
        <v/>
      </c>
      <c r="E71" s="20" t="str">
        <f>IF($G71="","",INDEX('Liste des élèves'!$J$4:$J$1363,$G71))</f>
        <v/>
      </c>
      <c r="F71" s="51" t="str">
        <f>IF($G71="","",INDEX('Liste des élèves'!$P$4:$P$1363,$G71)+INDEX('Liste des élèves'!$T$4:$T$1363,$G71))</f>
        <v/>
      </c>
      <c r="G71" s="49" t="str">
        <f>IF(G70="","",IFERROR(G70+MATCH("En retard",INDEX('Liste des élèves'!$Q$4:$Q$1363,G70+1):'Liste des élèves'!$Q$1363,0),""))</f>
        <v/>
      </c>
    </row>
    <row r="72">
      <c r="A72" s="20" t="str">
        <f>IF($G72="","",INDEX('Liste des élèves'!$A$4:$A$1363,$G72))</f>
        <v/>
      </c>
      <c r="B72" s="20" t="str">
        <f>IF($G72="","",INDEX('Liste des élèves'!$D$4:$D$1363,$G72))</f>
        <v/>
      </c>
      <c r="C72" s="21" t="str">
        <f>IF($G72="","",INDEX('Liste des élèves'!$E$4:$E$1363,$G72))</f>
        <v/>
      </c>
      <c r="D72" s="20" t="str">
        <f>IF($G72="","",INDEX('Liste des élèves'!$I$4:$I$1363,$G72))</f>
        <v/>
      </c>
      <c r="E72" s="20" t="str">
        <f>IF($G72="","",INDEX('Liste des élèves'!$J$4:$J$1363,$G72))</f>
        <v/>
      </c>
      <c r="F72" s="51" t="str">
        <f>IF($G72="","",INDEX('Liste des élèves'!$P$4:$P$1363,$G72)+INDEX('Liste des élèves'!$T$4:$T$1363,$G72))</f>
        <v/>
      </c>
      <c r="G72" s="49" t="str">
        <f>IF(G71="","",IFERROR(G71+MATCH("En retard",INDEX('Liste des élèves'!$Q$4:$Q$1363,G71+1):'Liste des élèves'!$Q$1363,0),""))</f>
        <v/>
      </c>
    </row>
    <row r="73">
      <c r="A73" s="20" t="str">
        <f>IF($G73="","",INDEX('Liste des élèves'!$A$4:$A$1363,$G73))</f>
        <v/>
      </c>
      <c r="B73" s="20" t="str">
        <f>IF($G73="","",INDEX('Liste des élèves'!$D$4:$D$1363,$G73))</f>
        <v/>
      </c>
      <c r="C73" s="21" t="str">
        <f>IF($G73="","",INDEX('Liste des élèves'!$E$4:$E$1363,$G73))</f>
        <v/>
      </c>
      <c r="D73" s="20" t="str">
        <f>IF($G73="","",INDEX('Liste des élèves'!$I$4:$I$1363,$G73))</f>
        <v/>
      </c>
      <c r="E73" s="20" t="str">
        <f>IF($G73="","",INDEX('Liste des élèves'!$J$4:$J$1363,$G73))</f>
        <v/>
      </c>
      <c r="F73" s="51" t="str">
        <f>IF($G73="","",INDEX('Liste des élèves'!$P$4:$P$1363,$G73)+INDEX('Liste des élèves'!$T$4:$T$1363,$G73))</f>
        <v/>
      </c>
      <c r="G73" s="49" t="str">
        <f>IF(G72="","",IFERROR(G72+MATCH("En retard",INDEX('Liste des élèves'!$Q$4:$Q$1363,G72+1):'Liste des élèves'!$Q$1363,0),""))</f>
        <v/>
      </c>
    </row>
    <row r="74">
      <c r="A74" s="20" t="str">
        <f>IF($G74="","",INDEX('Liste des élèves'!$A$4:$A$1363,$G74))</f>
        <v/>
      </c>
      <c r="B74" s="20" t="str">
        <f>IF($G74="","",INDEX('Liste des élèves'!$D$4:$D$1363,$G74))</f>
        <v/>
      </c>
      <c r="C74" s="21" t="str">
        <f>IF($G74="","",INDEX('Liste des élèves'!$E$4:$E$1363,$G74))</f>
        <v/>
      </c>
      <c r="D74" s="20" t="str">
        <f>IF($G74="","",INDEX('Liste des élèves'!$I$4:$I$1363,$G74))</f>
        <v/>
      </c>
      <c r="E74" s="20" t="str">
        <f>IF($G74="","",INDEX('Liste des élèves'!$J$4:$J$1363,$G74))</f>
        <v/>
      </c>
      <c r="F74" s="51" t="str">
        <f>IF($G74="","",INDEX('Liste des élèves'!$P$4:$P$1363,$G74)+INDEX('Liste des élèves'!$T$4:$T$1363,$G74))</f>
        <v/>
      </c>
      <c r="G74" s="49" t="str">
        <f>IF(G73="","",IFERROR(G73+MATCH("En retard",INDEX('Liste des élèves'!$Q$4:$Q$1363,G73+1):'Liste des élèves'!$Q$1363,0),""))</f>
        <v/>
      </c>
    </row>
    <row r="75">
      <c r="A75" s="20" t="str">
        <f>IF($G75="","",INDEX('Liste des élèves'!$A$4:$A$1363,$G75))</f>
        <v/>
      </c>
      <c r="B75" s="20" t="str">
        <f>IF($G75="","",INDEX('Liste des élèves'!$D$4:$D$1363,$G75))</f>
        <v/>
      </c>
      <c r="C75" s="21" t="str">
        <f>IF($G75="","",INDEX('Liste des élèves'!$E$4:$E$1363,$G75))</f>
        <v/>
      </c>
      <c r="D75" s="20" t="str">
        <f>IF($G75="","",INDEX('Liste des élèves'!$I$4:$I$1363,$G75))</f>
        <v/>
      </c>
      <c r="E75" s="20" t="str">
        <f>IF($G75="","",INDEX('Liste des élèves'!$J$4:$J$1363,$G75))</f>
        <v/>
      </c>
      <c r="F75" s="51" t="str">
        <f>IF($G75="","",INDEX('Liste des élèves'!$P$4:$P$1363,$G75)+INDEX('Liste des élèves'!$T$4:$T$1363,$G75))</f>
        <v/>
      </c>
      <c r="G75" s="49" t="str">
        <f>IF(G74="","",IFERROR(G74+MATCH("En retard",INDEX('Liste des élèves'!$Q$4:$Q$1363,G74+1):'Liste des élèves'!$Q$1363,0),""))</f>
        <v/>
      </c>
    </row>
    <row r="76">
      <c r="A76" s="20" t="str">
        <f>IF($G76="","",INDEX('Liste des élèves'!$A$4:$A$1363,$G76))</f>
        <v/>
      </c>
      <c r="B76" s="20" t="str">
        <f>IF($G76="","",INDEX('Liste des élèves'!$D$4:$D$1363,$G76))</f>
        <v/>
      </c>
      <c r="C76" s="21" t="str">
        <f>IF($G76="","",INDEX('Liste des élèves'!$E$4:$E$1363,$G76))</f>
        <v/>
      </c>
      <c r="D76" s="20" t="str">
        <f>IF($G76="","",INDEX('Liste des élèves'!$I$4:$I$1363,$G76))</f>
        <v/>
      </c>
      <c r="E76" s="20" t="str">
        <f>IF($G76="","",INDEX('Liste des élèves'!$J$4:$J$1363,$G76))</f>
        <v/>
      </c>
      <c r="F76" s="51" t="str">
        <f>IF($G76="","",INDEX('Liste des élèves'!$P$4:$P$1363,$G76)+INDEX('Liste des élèves'!$T$4:$T$1363,$G76))</f>
        <v/>
      </c>
      <c r="G76" s="49" t="str">
        <f>IF(G75="","",IFERROR(G75+MATCH("En retard",INDEX('Liste des élèves'!$Q$4:$Q$1363,G75+1):'Liste des élèves'!$Q$1363,0),""))</f>
        <v/>
      </c>
    </row>
    <row r="77">
      <c r="A77" s="20" t="str">
        <f>IF($G77="","",INDEX('Liste des élèves'!$A$4:$A$1363,$G77))</f>
        <v/>
      </c>
      <c r="B77" s="20" t="str">
        <f>IF($G77="","",INDEX('Liste des élèves'!$D$4:$D$1363,$G77))</f>
        <v/>
      </c>
      <c r="C77" s="21" t="str">
        <f>IF($G77="","",INDEX('Liste des élèves'!$E$4:$E$1363,$G77))</f>
        <v/>
      </c>
      <c r="D77" s="20" t="str">
        <f>IF($G77="","",INDEX('Liste des élèves'!$I$4:$I$1363,$G77))</f>
        <v/>
      </c>
      <c r="E77" s="20" t="str">
        <f>IF($G77="","",INDEX('Liste des élèves'!$J$4:$J$1363,$G77))</f>
        <v/>
      </c>
      <c r="F77" s="51" t="str">
        <f>IF($G77="","",INDEX('Liste des élèves'!$P$4:$P$1363,$G77)+INDEX('Liste des élèves'!$T$4:$T$1363,$G77))</f>
        <v/>
      </c>
      <c r="G77" s="49" t="str">
        <f>IF(G76="","",IFERROR(G76+MATCH("En retard",INDEX('Liste des élèves'!$Q$4:$Q$1363,G76+1):'Liste des élèves'!$Q$1363,0),""))</f>
        <v/>
      </c>
    </row>
    <row r="78">
      <c r="A78" s="20" t="str">
        <f>IF($G78="","",INDEX('Liste des élèves'!$A$4:$A$1363,$G78))</f>
        <v/>
      </c>
      <c r="B78" s="20" t="str">
        <f>IF($G78="","",INDEX('Liste des élèves'!$D$4:$D$1363,$G78))</f>
        <v/>
      </c>
      <c r="C78" s="21" t="str">
        <f>IF($G78="","",INDEX('Liste des élèves'!$E$4:$E$1363,$G78))</f>
        <v/>
      </c>
      <c r="D78" s="20" t="str">
        <f>IF($G78="","",INDEX('Liste des élèves'!$I$4:$I$1363,$G78))</f>
        <v/>
      </c>
      <c r="E78" s="20" t="str">
        <f>IF($G78="","",INDEX('Liste des élèves'!$J$4:$J$1363,$G78))</f>
        <v/>
      </c>
      <c r="F78" s="51" t="str">
        <f>IF($G78="","",INDEX('Liste des élèves'!$P$4:$P$1363,$G78)+INDEX('Liste des élèves'!$T$4:$T$1363,$G78))</f>
        <v/>
      </c>
      <c r="G78" s="49" t="str">
        <f>IF(G77="","",IFERROR(G77+MATCH("En retard",INDEX('Liste des élèves'!$Q$4:$Q$1363,G77+1):'Liste des élèves'!$Q$1363,0),""))</f>
        <v/>
      </c>
    </row>
    <row r="79">
      <c r="A79" s="20" t="str">
        <f>IF($G79="","",INDEX('Liste des élèves'!$A$4:$A$1363,$G79))</f>
        <v/>
      </c>
      <c r="B79" s="20" t="str">
        <f>IF($G79="","",INDEX('Liste des élèves'!$D$4:$D$1363,$G79))</f>
        <v/>
      </c>
      <c r="C79" s="21" t="str">
        <f>IF($G79="","",INDEX('Liste des élèves'!$E$4:$E$1363,$G79))</f>
        <v/>
      </c>
      <c r="D79" s="20" t="str">
        <f>IF($G79="","",INDEX('Liste des élèves'!$I$4:$I$1363,$G79))</f>
        <v/>
      </c>
      <c r="E79" s="20" t="str">
        <f>IF($G79="","",INDEX('Liste des élèves'!$J$4:$J$1363,$G79))</f>
        <v/>
      </c>
      <c r="F79" s="51" t="str">
        <f>IF($G79="","",INDEX('Liste des élèves'!$P$4:$P$1363,$G79)+INDEX('Liste des élèves'!$T$4:$T$1363,$G79))</f>
        <v/>
      </c>
      <c r="G79" s="49" t="str">
        <f>IF(G78="","",IFERROR(G78+MATCH("En retard",INDEX('Liste des élèves'!$Q$4:$Q$1363,G78+1):'Liste des élèves'!$Q$1363,0),""))</f>
        <v/>
      </c>
    </row>
    <row r="80">
      <c r="A80" s="20" t="str">
        <f>IF($G80="","",INDEX('Liste des élèves'!$A$4:$A$1363,$G80))</f>
        <v/>
      </c>
      <c r="B80" s="20" t="str">
        <f>IF($G80="","",INDEX('Liste des élèves'!$D$4:$D$1363,$G80))</f>
        <v/>
      </c>
      <c r="C80" s="21" t="str">
        <f>IF($G80="","",INDEX('Liste des élèves'!$E$4:$E$1363,$G80))</f>
        <v/>
      </c>
      <c r="D80" s="20" t="str">
        <f>IF($G80="","",INDEX('Liste des élèves'!$I$4:$I$1363,$G80))</f>
        <v/>
      </c>
      <c r="E80" s="20" t="str">
        <f>IF($G80="","",INDEX('Liste des élèves'!$J$4:$J$1363,$G80))</f>
        <v/>
      </c>
      <c r="F80" s="51" t="str">
        <f>IF($G80="","",INDEX('Liste des élèves'!$P$4:$P$1363,$G80)+INDEX('Liste des élèves'!$T$4:$T$1363,$G80))</f>
        <v/>
      </c>
      <c r="G80" s="49" t="str">
        <f>IF(G79="","",IFERROR(G79+MATCH("En retard",INDEX('Liste des élèves'!$Q$4:$Q$1363,G79+1):'Liste des élèves'!$Q$1363,0),""))</f>
        <v/>
      </c>
    </row>
    <row r="81">
      <c r="A81" s="20" t="str">
        <f>IF($G81="","",INDEX('Liste des élèves'!$A$4:$A$1363,$G81))</f>
        <v/>
      </c>
      <c r="B81" s="20" t="str">
        <f>IF($G81="","",INDEX('Liste des élèves'!$D$4:$D$1363,$G81))</f>
        <v/>
      </c>
      <c r="C81" s="21" t="str">
        <f>IF($G81="","",INDEX('Liste des élèves'!$E$4:$E$1363,$G81))</f>
        <v/>
      </c>
      <c r="D81" s="20" t="str">
        <f>IF($G81="","",INDEX('Liste des élèves'!$I$4:$I$1363,$G81))</f>
        <v/>
      </c>
      <c r="E81" s="20" t="str">
        <f>IF($G81="","",INDEX('Liste des élèves'!$J$4:$J$1363,$G81))</f>
        <v/>
      </c>
      <c r="F81" s="51" t="str">
        <f>IF($G81="","",INDEX('Liste des élèves'!$P$4:$P$1363,$G81)+INDEX('Liste des élèves'!$T$4:$T$1363,$G81))</f>
        <v/>
      </c>
      <c r="G81" s="49" t="str">
        <f>IF(G80="","",IFERROR(G80+MATCH("En retard",INDEX('Liste des élèves'!$Q$4:$Q$1363,G80+1):'Liste des élèves'!$Q$1363,0),""))</f>
        <v/>
      </c>
    </row>
    <row r="82">
      <c r="A82" s="20" t="str">
        <f>IF($G82="","",INDEX('Liste des élèves'!$A$4:$A$1363,$G82))</f>
        <v/>
      </c>
      <c r="B82" s="20" t="str">
        <f>IF($G82="","",INDEX('Liste des élèves'!$D$4:$D$1363,$G82))</f>
        <v/>
      </c>
      <c r="C82" s="21" t="str">
        <f>IF($G82="","",INDEX('Liste des élèves'!$E$4:$E$1363,$G82))</f>
        <v/>
      </c>
      <c r="D82" s="20" t="str">
        <f>IF($G82="","",INDEX('Liste des élèves'!$I$4:$I$1363,$G82))</f>
        <v/>
      </c>
      <c r="E82" s="20" t="str">
        <f>IF($G82="","",INDEX('Liste des élèves'!$J$4:$J$1363,$G82))</f>
        <v/>
      </c>
      <c r="F82" s="51" t="str">
        <f>IF($G82="","",INDEX('Liste des élèves'!$P$4:$P$1363,$G82)+INDEX('Liste des élèves'!$T$4:$T$1363,$G82))</f>
        <v/>
      </c>
      <c r="G82" s="49" t="str">
        <f>IF(G81="","",IFERROR(G81+MATCH("En retard",INDEX('Liste des élèves'!$Q$4:$Q$1363,G81+1):'Liste des élèves'!$Q$1363,0),""))</f>
        <v/>
      </c>
    </row>
    <row r="83">
      <c r="A83" s="20" t="str">
        <f>IF($G83="","",INDEX('Liste des élèves'!$A$4:$A$1363,$G83))</f>
        <v/>
      </c>
      <c r="B83" s="20" t="str">
        <f>IF($G83="","",INDEX('Liste des élèves'!$D$4:$D$1363,$G83))</f>
        <v/>
      </c>
      <c r="C83" s="21" t="str">
        <f>IF($G83="","",INDEX('Liste des élèves'!$E$4:$E$1363,$G83))</f>
        <v/>
      </c>
      <c r="D83" s="20" t="str">
        <f>IF($G83="","",INDEX('Liste des élèves'!$I$4:$I$1363,$G83))</f>
        <v/>
      </c>
      <c r="E83" s="20" t="str">
        <f>IF($G83="","",INDEX('Liste des élèves'!$J$4:$J$1363,$G83))</f>
        <v/>
      </c>
      <c r="F83" s="51" t="str">
        <f>IF($G83="","",INDEX('Liste des élèves'!$P$4:$P$1363,$G83)+INDEX('Liste des élèves'!$T$4:$T$1363,$G83))</f>
        <v/>
      </c>
      <c r="G83" s="49" t="str">
        <f>IF(G82="","",IFERROR(G82+MATCH("En retard",INDEX('Liste des élèves'!$Q$4:$Q$1363,G82+1):'Liste des élèves'!$Q$1363,0),""))</f>
        <v/>
      </c>
    </row>
    <row r="84">
      <c r="A84" s="20" t="str">
        <f>IF($G84="","",INDEX('Liste des élèves'!$A$4:$A$1363,$G84))</f>
        <v/>
      </c>
      <c r="B84" s="20" t="str">
        <f>IF($G84="","",INDEX('Liste des élèves'!$D$4:$D$1363,$G84))</f>
        <v/>
      </c>
      <c r="C84" s="21" t="str">
        <f>IF($G84="","",INDEX('Liste des élèves'!$E$4:$E$1363,$G84))</f>
        <v/>
      </c>
      <c r="D84" s="20" t="str">
        <f>IF($G84="","",INDEX('Liste des élèves'!$I$4:$I$1363,$G84))</f>
        <v/>
      </c>
      <c r="E84" s="20" t="str">
        <f>IF($G84="","",INDEX('Liste des élèves'!$J$4:$J$1363,$G84))</f>
        <v/>
      </c>
      <c r="F84" s="51" t="str">
        <f>IF($G84="","",INDEX('Liste des élèves'!$P$4:$P$1363,$G84)+INDEX('Liste des élèves'!$T$4:$T$1363,$G84))</f>
        <v/>
      </c>
      <c r="G84" s="49" t="str">
        <f>IF(G83="","",IFERROR(G83+MATCH("En retard",INDEX('Liste des élèves'!$Q$4:$Q$1363,G83+1):'Liste des élèves'!$Q$1363,0),""))</f>
        <v/>
      </c>
    </row>
    <row r="85">
      <c r="A85" s="20" t="str">
        <f>IF($G85="","",INDEX('Liste des élèves'!$A$4:$A$1363,$G85))</f>
        <v/>
      </c>
      <c r="B85" s="20" t="str">
        <f>IF($G85="","",INDEX('Liste des élèves'!$D$4:$D$1363,$G85))</f>
        <v/>
      </c>
      <c r="C85" s="21" t="str">
        <f>IF($G85="","",INDEX('Liste des élèves'!$E$4:$E$1363,$G85))</f>
        <v/>
      </c>
      <c r="D85" s="20" t="str">
        <f>IF($G85="","",INDEX('Liste des élèves'!$I$4:$I$1363,$G85))</f>
        <v/>
      </c>
      <c r="E85" s="20" t="str">
        <f>IF($G85="","",INDEX('Liste des élèves'!$J$4:$J$1363,$G85))</f>
        <v/>
      </c>
      <c r="F85" s="51" t="str">
        <f>IF($G85="","",INDEX('Liste des élèves'!$P$4:$P$1363,$G85)+INDEX('Liste des élèves'!$T$4:$T$1363,$G85))</f>
        <v/>
      </c>
      <c r="G85" s="49" t="str">
        <f>IF(G84="","",IFERROR(G84+MATCH("En retard",INDEX('Liste des élèves'!$Q$4:$Q$1363,G84+1):'Liste des élèves'!$Q$1363,0),""))</f>
        <v/>
      </c>
    </row>
    <row r="86">
      <c r="A86" s="20" t="str">
        <f>IF($G86="","",INDEX('Liste des élèves'!$A$4:$A$1363,$G86))</f>
        <v/>
      </c>
      <c r="B86" s="20" t="str">
        <f>IF($G86="","",INDEX('Liste des élèves'!$D$4:$D$1363,$G86))</f>
        <v/>
      </c>
      <c r="C86" s="21" t="str">
        <f>IF($G86="","",INDEX('Liste des élèves'!$E$4:$E$1363,$G86))</f>
        <v/>
      </c>
      <c r="D86" s="20" t="str">
        <f>IF($G86="","",INDEX('Liste des élèves'!$I$4:$I$1363,$G86))</f>
        <v/>
      </c>
      <c r="E86" s="20" t="str">
        <f>IF($G86="","",INDEX('Liste des élèves'!$J$4:$J$1363,$G86))</f>
        <v/>
      </c>
      <c r="F86" s="51" t="str">
        <f>IF($G86="","",INDEX('Liste des élèves'!$P$4:$P$1363,$G86)+INDEX('Liste des élèves'!$T$4:$T$1363,$G86))</f>
        <v/>
      </c>
      <c r="G86" s="49" t="str">
        <f>IF(G85="","",IFERROR(G85+MATCH("En retard",INDEX('Liste des élèves'!$Q$4:$Q$1363,G85+1):'Liste des élèves'!$Q$1363,0),""))</f>
        <v/>
      </c>
    </row>
    <row r="87">
      <c r="A87" s="20" t="str">
        <f>IF($G87="","",INDEX('Liste des élèves'!$A$4:$A$1363,$G87))</f>
        <v/>
      </c>
      <c r="B87" s="20" t="str">
        <f>IF($G87="","",INDEX('Liste des élèves'!$D$4:$D$1363,$G87))</f>
        <v/>
      </c>
      <c r="C87" s="21" t="str">
        <f>IF($G87="","",INDEX('Liste des élèves'!$E$4:$E$1363,$G87))</f>
        <v/>
      </c>
      <c r="D87" s="20" t="str">
        <f>IF($G87="","",INDEX('Liste des élèves'!$I$4:$I$1363,$G87))</f>
        <v/>
      </c>
      <c r="E87" s="20" t="str">
        <f>IF($G87="","",INDEX('Liste des élèves'!$J$4:$J$1363,$G87))</f>
        <v/>
      </c>
      <c r="F87" s="51" t="str">
        <f>IF($G87="","",INDEX('Liste des élèves'!$P$4:$P$1363,$G87)+INDEX('Liste des élèves'!$T$4:$T$1363,$G87))</f>
        <v/>
      </c>
      <c r="G87" s="49" t="str">
        <f>IF(G86="","",IFERROR(G86+MATCH("En retard",INDEX('Liste des élèves'!$Q$4:$Q$1363,G86+1):'Liste des élèves'!$Q$1363,0),""))</f>
        <v/>
      </c>
    </row>
    <row r="88">
      <c r="A88" s="20" t="str">
        <f>IF($G88="","",INDEX('Liste des élèves'!$A$4:$A$1363,$G88))</f>
        <v/>
      </c>
      <c r="B88" s="20" t="str">
        <f>IF($G88="","",INDEX('Liste des élèves'!$D$4:$D$1363,$G88))</f>
        <v/>
      </c>
      <c r="C88" s="21" t="str">
        <f>IF($G88="","",INDEX('Liste des élèves'!$E$4:$E$1363,$G88))</f>
        <v/>
      </c>
      <c r="D88" s="20" t="str">
        <f>IF($G88="","",INDEX('Liste des élèves'!$I$4:$I$1363,$G88))</f>
        <v/>
      </c>
      <c r="E88" s="20" t="str">
        <f>IF($G88="","",INDEX('Liste des élèves'!$J$4:$J$1363,$G88))</f>
        <v/>
      </c>
      <c r="F88" s="51" t="str">
        <f>IF($G88="","",INDEX('Liste des élèves'!$P$4:$P$1363,$G88)+INDEX('Liste des élèves'!$T$4:$T$1363,$G88))</f>
        <v/>
      </c>
      <c r="G88" s="49" t="str">
        <f>IF(G87="","",IFERROR(G87+MATCH("En retard",INDEX('Liste des élèves'!$Q$4:$Q$1363,G87+1):'Liste des élèves'!$Q$1363,0),""))</f>
        <v/>
      </c>
    </row>
    <row r="89">
      <c r="A89" s="20" t="str">
        <f>IF($G89="","",INDEX('Liste des élèves'!$A$4:$A$1363,$G89))</f>
        <v/>
      </c>
      <c r="B89" s="20" t="str">
        <f>IF($G89="","",INDEX('Liste des élèves'!$D$4:$D$1363,$G89))</f>
        <v/>
      </c>
      <c r="C89" s="21" t="str">
        <f>IF($G89="","",INDEX('Liste des élèves'!$E$4:$E$1363,$G89))</f>
        <v/>
      </c>
      <c r="D89" s="20" t="str">
        <f>IF($G89="","",INDEX('Liste des élèves'!$I$4:$I$1363,$G89))</f>
        <v/>
      </c>
      <c r="E89" s="20" t="str">
        <f>IF($G89="","",INDEX('Liste des élèves'!$J$4:$J$1363,$G89))</f>
        <v/>
      </c>
      <c r="F89" s="51" t="str">
        <f>IF($G89="","",INDEX('Liste des élèves'!$P$4:$P$1363,$G89)+INDEX('Liste des élèves'!$T$4:$T$1363,$G89))</f>
        <v/>
      </c>
      <c r="G89" s="49" t="str">
        <f>IF(G88="","",IFERROR(G88+MATCH("En retard",INDEX('Liste des élèves'!$Q$4:$Q$1363,G88+1):'Liste des élèves'!$Q$1363,0),""))</f>
        <v/>
      </c>
    </row>
    <row r="90">
      <c r="A90" s="20" t="str">
        <f>IF($G90="","",INDEX('Liste des élèves'!$A$4:$A$1363,$G90))</f>
        <v/>
      </c>
      <c r="B90" s="20" t="str">
        <f>IF($G90="","",INDEX('Liste des élèves'!$D$4:$D$1363,$G90))</f>
        <v/>
      </c>
      <c r="C90" s="21" t="str">
        <f>IF($G90="","",INDEX('Liste des élèves'!$E$4:$E$1363,$G90))</f>
        <v/>
      </c>
      <c r="D90" s="20" t="str">
        <f>IF($G90="","",INDEX('Liste des élèves'!$I$4:$I$1363,$G90))</f>
        <v/>
      </c>
      <c r="E90" s="20" t="str">
        <f>IF($G90="","",INDEX('Liste des élèves'!$J$4:$J$1363,$G90))</f>
        <v/>
      </c>
      <c r="F90" s="51" t="str">
        <f>IF($G90="","",INDEX('Liste des élèves'!$P$4:$P$1363,$G90)+INDEX('Liste des élèves'!$T$4:$T$1363,$G90))</f>
        <v/>
      </c>
      <c r="G90" s="49" t="str">
        <f>IF(G89="","",IFERROR(G89+MATCH("En retard",INDEX('Liste des élèves'!$Q$4:$Q$1363,G89+1):'Liste des élèves'!$Q$1363,0),""))</f>
        <v/>
      </c>
    </row>
    <row r="91">
      <c r="A91" s="20" t="str">
        <f>IF($G91="","",INDEX('Liste des élèves'!$A$4:$A$1363,$G91))</f>
        <v/>
      </c>
      <c r="B91" s="20" t="str">
        <f>IF($G91="","",INDEX('Liste des élèves'!$D$4:$D$1363,$G91))</f>
        <v/>
      </c>
      <c r="C91" s="21" t="str">
        <f>IF($G91="","",INDEX('Liste des élèves'!$E$4:$E$1363,$G91))</f>
        <v/>
      </c>
      <c r="D91" s="20" t="str">
        <f>IF($G91="","",INDEX('Liste des élèves'!$I$4:$I$1363,$G91))</f>
        <v/>
      </c>
      <c r="E91" s="20" t="str">
        <f>IF($G91="","",INDEX('Liste des élèves'!$J$4:$J$1363,$G91))</f>
        <v/>
      </c>
      <c r="F91" s="51" t="str">
        <f>IF($G91="","",INDEX('Liste des élèves'!$P$4:$P$1363,$G91)+INDEX('Liste des élèves'!$T$4:$T$1363,$G91))</f>
        <v/>
      </c>
      <c r="G91" s="49" t="str">
        <f>IF(G90="","",IFERROR(G90+MATCH("En retard",INDEX('Liste des élèves'!$Q$4:$Q$1363,G90+1):'Liste des élèves'!$Q$1363,0),""))</f>
        <v/>
      </c>
    </row>
    <row r="92">
      <c r="A92" s="20" t="str">
        <f>IF($G92="","",INDEX('Liste des élèves'!$A$4:$A$1363,$G92))</f>
        <v/>
      </c>
      <c r="B92" s="20" t="str">
        <f>IF($G92="","",INDEX('Liste des élèves'!$D$4:$D$1363,$G92))</f>
        <v/>
      </c>
      <c r="C92" s="21" t="str">
        <f>IF($G92="","",INDEX('Liste des élèves'!$E$4:$E$1363,$G92))</f>
        <v/>
      </c>
      <c r="D92" s="20" t="str">
        <f>IF($G92="","",INDEX('Liste des élèves'!$I$4:$I$1363,$G92))</f>
        <v/>
      </c>
      <c r="E92" s="20" t="str">
        <f>IF($G92="","",INDEX('Liste des élèves'!$J$4:$J$1363,$G92))</f>
        <v/>
      </c>
      <c r="F92" s="51" t="str">
        <f>IF($G92="","",INDEX('Liste des élèves'!$P$4:$P$1363,$G92)+INDEX('Liste des élèves'!$T$4:$T$1363,$G92))</f>
        <v/>
      </c>
      <c r="G92" s="49" t="str">
        <f>IF(G91="","",IFERROR(G91+MATCH("En retard",INDEX('Liste des élèves'!$Q$4:$Q$1363,G91+1):'Liste des élèves'!$Q$1363,0),""))</f>
        <v/>
      </c>
    </row>
    <row r="93">
      <c r="A93" s="20" t="str">
        <f>IF($G93="","",INDEX('Liste des élèves'!$A$4:$A$1363,$G93))</f>
        <v/>
      </c>
      <c r="B93" s="20" t="str">
        <f>IF($G93="","",INDEX('Liste des élèves'!$D$4:$D$1363,$G93))</f>
        <v/>
      </c>
      <c r="C93" s="21" t="str">
        <f>IF($G93="","",INDEX('Liste des élèves'!$E$4:$E$1363,$G93))</f>
        <v/>
      </c>
      <c r="D93" s="20" t="str">
        <f>IF($G93="","",INDEX('Liste des élèves'!$I$4:$I$1363,$G93))</f>
        <v/>
      </c>
      <c r="E93" s="20" t="str">
        <f>IF($G93="","",INDEX('Liste des élèves'!$J$4:$J$1363,$G93))</f>
        <v/>
      </c>
      <c r="F93" s="51" t="str">
        <f>IF($G93="","",INDEX('Liste des élèves'!$P$4:$P$1363,$G93)+INDEX('Liste des élèves'!$T$4:$T$1363,$G93))</f>
        <v/>
      </c>
      <c r="G93" s="49" t="str">
        <f>IF(G92="","",IFERROR(G92+MATCH("En retard",INDEX('Liste des élèves'!$Q$4:$Q$1363,G92+1):'Liste des élèves'!$Q$1363,0),""))</f>
        <v/>
      </c>
    </row>
    <row r="94">
      <c r="A94" s="20" t="str">
        <f>IF($G94="","",INDEX('Liste des élèves'!$A$4:$A$1363,$G94))</f>
        <v/>
      </c>
      <c r="B94" s="20" t="str">
        <f>IF($G94="","",INDEX('Liste des élèves'!$D$4:$D$1363,$G94))</f>
        <v/>
      </c>
      <c r="C94" s="21" t="str">
        <f>IF($G94="","",INDEX('Liste des élèves'!$E$4:$E$1363,$G94))</f>
        <v/>
      </c>
      <c r="D94" s="20" t="str">
        <f>IF($G94="","",INDEX('Liste des élèves'!$I$4:$I$1363,$G94))</f>
        <v/>
      </c>
      <c r="E94" s="20" t="str">
        <f>IF($G94="","",INDEX('Liste des élèves'!$J$4:$J$1363,$G94))</f>
        <v/>
      </c>
      <c r="F94" s="51" t="str">
        <f>IF($G94="","",INDEX('Liste des élèves'!$P$4:$P$1363,$G94)+INDEX('Liste des élèves'!$T$4:$T$1363,$G94))</f>
        <v/>
      </c>
      <c r="G94" s="49" t="str">
        <f>IF(G93="","",IFERROR(G93+MATCH("En retard",INDEX('Liste des élèves'!$Q$4:$Q$1363,G93+1):'Liste des élèves'!$Q$1363,0),""))</f>
        <v/>
      </c>
    </row>
    <row r="95">
      <c r="A95" s="20" t="str">
        <f>IF($G95="","",INDEX('Liste des élèves'!$A$4:$A$1363,$G95))</f>
        <v/>
      </c>
      <c r="B95" s="20" t="str">
        <f>IF($G95="","",INDEX('Liste des élèves'!$D$4:$D$1363,$G95))</f>
        <v/>
      </c>
      <c r="C95" s="21" t="str">
        <f>IF($G95="","",INDEX('Liste des élèves'!$E$4:$E$1363,$G95))</f>
        <v/>
      </c>
      <c r="D95" s="20" t="str">
        <f>IF($G95="","",INDEX('Liste des élèves'!$I$4:$I$1363,$G95))</f>
        <v/>
      </c>
      <c r="E95" s="20" t="str">
        <f>IF($G95="","",INDEX('Liste des élèves'!$J$4:$J$1363,$G95))</f>
        <v/>
      </c>
      <c r="F95" s="51" t="str">
        <f>IF($G95="","",INDEX('Liste des élèves'!$P$4:$P$1363,$G95)+INDEX('Liste des élèves'!$T$4:$T$1363,$G95))</f>
        <v/>
      </c>
      <c r="G95" s="49" t="str">
        <f>IF(G94="","",IFERROR(G94+MATCH("En retard",INDEX('Liste des élèves'!$Q$4:$Q$1363,G94+1):'Liste des élèves'!$Q$1363,0),""))</f>
        <v/>
      </c>
    </row>
    <row r="96">
      <c r="A96" s="20" t="str">
        <f>IF($G96="","",INDEX('Liste des élèves'!$A$4:$A$1363,$G96))</f>
        <v/>
      </c>
      <c r="B96" s="20" t="str">
        <f>IF($G96="","",INDEX('Liste des élèves'!$D$4:$D$1363,$G96))</f>
        <v/>
      </c>
      <c r="C96" s="21" t="str">
        <f>IF($G96="","",INDEX('Liste des élèves'!$E$4:$E$1363,$G96))</f>
        <v/>
      </c>
      <c r="D96" s="20" t="str">
        <f>IF($G96="","",INDEX('Liste des élèves'!$I$4:$I$1363,$G96))</f>
        <v/>
      </c>
      <c r="E96" s="20" t="str">
        <f>IF($G96="","",INDEX('Liste des élèves'!$J$4:$J$1363,$G96))</f>
        <v/>
      </c>
      <c r="F96" s="51" t="str">
        <f>IF($G96="","",INDEX('Liste des élèves'!$P$4:$P$1363,$G96)+INDEX('Liste des élèves'!$T$4:$T$1363,$G96))</f>
        <v/>
      </c>
      <c r="G96" s="49" t="str">
        <f>IF(G95="","",IFERROR(G95+MATCH("En retard",INDEX('Liste des élèves'!$Q$4:$Q$1363,G95+1):'Liste des élèves'!$Q$1363,0),""))</f>
        <v/>
      </c>
    </row>
    <row r="97">
      <c r="A97" s="20" t="str">
        <f>IF($G97="","",INDEX('Liste des élèves'!$A$4:$A$1363,$G97))</f>
        <v/>
      </c>
      <c r="B97" s="20" t="str">
        <f>IF($G97="","",INDEX('Liste des élèves'!$D$4:$D$1363,$G97))</f>
        <v/>
      </c>
      <c r="C97" s="21" t="str">
        <f>IF($G97="","",INDEX('Liste des élèves'!$E$4:$E$1363,$G97))</f>
        <v/>
      </c>
      <c r="D97" s="20" t="str">
        <f>IF($G97="","",INDEX('Liste des élèves'!$I$4:$I$1363,$G97))</f>
        <v/>
      </c>
      <c r="E97" s="20" t="str">
        <f>IF($G97="","",INDEX('Liste des élèves'!$J$4:$J$1363,$G97))</f>
        <v/>
      </c>
      <c r="F97" s="51" t="str">
        <f>IF($G97="","",INDEX('Liste des élèves'!$P$4:$P$1363,$G97)+INDEX('Liste des élèves'!$T$4:$T$1363,$G97))</f>
        <v/>
      </c>
      <c r="G97" s="49" t="str">
        <f>IF(G96="","",IFERROR(G96+MATCH("En retard",INDEX('Liste des élèves'!$Q$4:$Q$1363,G96+1):'Liste des élèves'!$Q$1363,0),""))</f>
        <v/>
      </c>
    </row>
    <row r="98">
      <c r="A98" s="20" t="str">
        <f>IF($G98="","",INDEX('Liste des élèves'!$A$4:$A$1363,$G98))</f>
        <v/>
      </c>
      <c r="B98" s="20" t="str">
        <f>IF($G98="","",INDEX('Liste des élèves'!$D$4:$D$1363,$G98))</f>
        <v/>
      </c>
      <c r="C98" s="21" t="str">
        <f>IF($G98="","",INDEX('Liste des élèves'!$E$4:$E$1363,$G98))</f>
        <v/>
      </c>
      <c r="D98" s="20" t="str">
        <f>IF($G98="","",INDEX('Liste des élèves'!$I$4:$I$1363,$G98))</f>
        <v/>
      </c>
      <c r="E98" s="20" t="str">
        <f>IF($G98="","",INDEX('Liste des élèves'!$J$4:$J$1363,$G98))</f>
        <v/>
      </c>
      <c r="F98" s="51" t="str">
        <f>IF($G98="","",INDEX('Liste des élèves'!$P$4:$P$1363,$G98)+INDEX('Liste des élèves'!$T$4:$T$1363,$G98))</f>
        <v/>
      </c>
      <c r="G98" s="49" t="str">
        <f>IF(G97="","",IFERROR(G97+MATCH("En retard",INDEX('Liste des élèves'!$Q$4:$Q$1363,G97+1):'Liste des élèves'!$Q$1363,0),""))</f>
        <v/>
      </c>
    </row>
    <row r="99">
      <c r="A99" s="20" t="str">
        <f>IF($G99="","",INDEX('Liste des élèves'!$A$4:$A$1363,$G99))</f>
        <v/>
      </c>
      <c r="B99" s="20" t="str">
        <f>IF($G99="","",INDEX('Liste des élèves'!$D$4:$D$1363,$G99))</f>
        <v/>
      </c>
      <c r="C99" s="21" t="str">
        <f>IF($G99="","",INDEX('Liste des élèves'!$E$4:$E$1363,$G99))</f>
        <v/>
      </c>
      <c r="D99" s="20" t="str">
        <f>IF($G99="","",INDEX('Liste des élèves'!$I$4:$I$1363,$G99))</f>
        <v/>
      </c>
      <c r="E99" s="20" t="str">
        <f>IF($G99="","",INDEX('Liste des élèves'!$J$4:$J$1363,$G99))</f>
        <v/>
      </c>
      <c r="F99" s="51" t="str">
        <f>IF($G99="","",INDEX('Liste des élèves'!$P$4:$P$1363,$G99)+INDEX('Liste des élèves'!$T$4:$T$1363,$G99))</f>
        <v/>
      </c>
      <c r="G99" s="49" t="str">
        <f>IF(G98="","",IFERROR(G98+MATCH("En retard",INDEX('Liste des élèves'!$Q$4:$Q$1363,G98+1):'Liste des élèves'!$Q$1363,0),""))</f>
        <v/>
      </c>
    </row>
    <row r="100">
      <c r="A100" s="20" t="str">
        <f>IF($G100="","",INDEX('Liste des élèves'!$A$4:$A$1363,$G100))</f>
        <v/>
      </c>
      <c r="B100" s="20" t="str">
        <f>IF($G100="","",INDEX('Liste des élèves'!$D$4:$D$1363,$G100))</f>
        <v/>
      </c>
      <c r="C100" s="21" t="str">
        <f>IF($G100="","",INDEX('Liste des élèves'!$E$4:$E$1363,$G100))</f>
        <v/>
      </c>
      <c r="D100" s="20" t="str">
        <f>IF($G100="","",INDEX('Liste des élèves'!$I$4:$I$1363,$G100))</f>
        <v/>
      </c>
      <c r="E100" s="20" t="str">
        <f>IF($G100="","",INDEX('Liste des élèves'!$J$4:$J$1363,$G100))</f>
        <v/>
      </c>
      <c r="F100" s="51" t="str">
        <f>IF($G100="","",INDEX('Liste des élèves'!$P$4:$P$1363,$G100)+INDEX('Liste des élèves'!$T$4:$T$1363,$G100))</f>
        <v/>
      </c>
      <c r="G100" s="49" t="str">
        <f>IF(G99="","",IFERROR(G99+MATCH("En retard",INDEX('Liste des élèves'!$Q$4:$Q$1363,G99+1):'Liste des élèves'!$Q$1363,0),""))</f>
        <v/>
      </c>
    </row>
    <row r="101">
      <c r="A101" s="20" t="str">
        <f>IF($G101="","",INDEX('Liste des élèves'!$A$4:$A$1363,$G101))</f>
        <v/>
      </c>
      <c r="B101" s="20" t="str">
        <f>IF($G101="","",INDEX('Liste des élèves'!$D$4:$D$1363,$G101))</f>
        <v/>
      </c>
      <c r="C101" s="21" t="str">
        <f>IF($G101="","",INDEX('Liste des élèves'!$E$4:$E$1363,$G101))</f>
        <v/>
      </c>
      <c r="D101" s="20" t="str">
        <f>IF($G101="","",INDEX('Liste des élèves'!$I$4:$I$1363,$G101))</f>
        <v/>
      </c>
      <c r="E101" s="20" t="str">
        <f>IF($G101="","",INDEX('Liste des élèves'!$J$4:$J$1363,$G101))</f>
        <v/>
      </c>
      <c r="F101" s="51" t="str">
        <f>IF($G101="","",INDEX('Liste des élèves'!$P$4:$P$1363,$G101)+INDEX('Liste des élèves'!$T$4:$T$1363,$G101))</f>
        <v/>
      </c>
      <c r="G101" s="49" t="str">
        <f>IF(G100="","",IFERROR(G100+MATCH("En retard",INDEX('Liste des élèves'!$Q$4:$Q$1363,G100+1):'Liste des élèves'!$Q$1363,0),""))</f>
        <v/>
      </c>
    </row>
    <row r="102">
      <c r="A102" s="20" t="str">
        <f>IF($G102="","",INDEX('Liste des élèves'!$A$4:$A$1363,$G102))</f>
        <v/>
      </c>
      <c r="B102" s="20" t="str">
        <f>IF($G102="","",INDEX('Liste des élèves'!$D$4:$D$1363,$G102))</f>
        <v/>
      </c>
      <c r="C102" s="21" t="str">
        <f>IF($G102="","",INDEX('Liste des élèves'!$E$4:$E$1363,$G102))</f>
        <v/>
      </c>
      <c r="D102" s="20" t="str">
        <f>IF($G102="","",INDEX('Liste des élèves'!$I$4:$I$1363,$G102))</f>
        <v/>
      </c>
      <c r="E102" s="20" t="str">
        <f>IF($G102="","",INDEX('Liste des élèves'!$J$4:$J$1363,$G102))</f>
        <v/>
      </c>
      <c r="F102" s="51" t="str">
        <f>IF($G102="","",INDEX('Liste des élèves'!$P$4:$P$1363,$G102)+INDEX('Liste des élèves'!$T$4:$T$1363,$G102))</f>
        <v/>
      </c>
      <c r="G102" s="49" t="str">
        <f>IF(G101="","",IFERROR(G101+MATCH("En retard",INDEX('Liste des élèves'!$Q$4:$Q$1363,G101+1):'Liste des élèves'!$Q$1363,0),""))</f>
        <v/>
      </c>
    </row>
    <row r="103">
      <c r="A103" s="20" t="str">
        <f>IF($G103="","",INDEX('Liste des élèves'!$A$4:$A$1363,$G103))</f>
        <v/>
      </c>
      <c r="B103" s="20" t="str">
        <f>IF($G103="","",INDEX('Liste des élèves'!$D$4:$D$1363,$G103))</f>
        <v/>
      </c>
      <c r="C103" s="21" t="str">
        <f>IF($G103="","",INDEX('Liste des élèves'!$E$4:$E$1363,$G103))</f>
        <v/>
      </c>
      <c r="D103" s="20" t="str">
        <f>IF($G103="","",INDEX('Liste des élèves'!$I$4:$I$1363,$G103))</f>
        <v/>
      </c>
      <c r="E103" s="20" t="str">
        <f>IF($G103="","",INDEX('Liste des élèves'!$J$4:$J$1363,$G103))</f>
        <v/>
      </c>
      <c r="F103" s="51" t="str">
        <f>IF($G103="","",INDEX('Liste des élèves'!$P$4:$P$1363,$G103)+INDEX('Liste des élèves'!$T$4:$T$1363,$G103))</f>
        <v/>
      </c>
      <c r="G103" s="49" t="str">
        <f>IF(G102="","",IFERROR(G102+MATCH("En retard",INDEX('Liste des élèves'!$Q$4:$Q$1363,G102+1):'Liste des élèves'!$Q$1363,0),""))</f>
        <v/>
      </c>
    </row>
    <row r="104">
      <c r="A104" s="20" t="str">
        <f>IF($G104="","",INDEX('Liste des élèves'!$A$4:$A$1363,$G104))</f>
        <v/>
      </c>
      <c r="B104" s="20" t="str">
        <f>IF($G104="","",INDEX('Liste des élèves'!$D$4:$D$1363,$G104))</f>
        <v/>
      </c>
      <c r="C104" s="21" t="str">
        <f>IF($G104="","",INDEX('Liste des élèves'!$E$4:$E$1363,$G104))</f>
        <v/>
      </c>
      <c r="D104" s="20" t="str">
        <f>IF($G104="","",INDEX('Liste des élèves'!$I$4:$I$1363,$G104))</f>
        <v/>
      </c>
      <c r="E104" s="20" t="str">
        <f>IF($G104="","",INDEX('Liste des élèves'!$J$4:$J$1363,$G104))</f>
        <v/>
      </c>
      <c r="F104" s="51" t="str">
        <f>IF($G104="","",INDEX('Liste des élèves'!$P$4:$P$1363,$G104)+INDEX('Liste des élèves'!$T$4:$T$1363,$G104))</f>
        <v/>
      </c>
      <c r="G104" s="49" t="str">
        <f>IF(G103="","",IFERROR(G103+MATCH("En retard",INDEX('Liste des élèves'!$Q$4:$Q$1363,G103+1):'Liste des élèves'!$Q$1363,0),""))</f>
        <v/>
      </c>
    </row>
    <row r="105">
      <c r="A105" s="20" t="str">
        <f>IF($G105="","",INDEX('Liste des élèves'!$A$4:$A$1363,$G105))</f>
        <v/>
      </c>
      <c r="B105" s="20" t="str">
        <f>IF($G105="","",INDEX('Liste des élèves'!$D$4:$D$1363,$G105))</f>
        <v/>
      </c>
      <c r="C105" s="21" t="str">
        <f>IF($G105="","",INDEX('Liste des élèves'!$E$4:$E$1363,$G105))</f>
        <v/>
      </c>
      <c r="D105" s="20" t="str">
        <f>IF($G105="","",INDEX('Liste des élèves'!$I$4:$I$1363,$G105))</f>
        <v/>
      </c>
      <c r="E105" s="20" t="str">
        <f>IF($G105="","",INDEX('Liste des élèves'!$J$4:$J$1363,$G105))</f>
        <v/>
      </c>
      <c r="F105" s="51" t="str">
        <f>IF($G105="","",INDEX('Liste des élèves'!$P$4:$P$1363,$G105)+INDEX('Liste des élèves'!$T$4:$T$1363,$G105))</f>
        <v/>
      </c>
      <c r="G105" s="49" t="str">
        <f>IF(G104="","",IFERROR(G104+MATCH("En retard",INDEX('Liste des élèves'!$Q$4:$Q$1363,G104+1):'Liste des élèves'!$Q$1363,0),""))</f>
        <v/>
      </c>
    </row>
    <row r="106">
      <c r="A106" s="20" t="str">
        <f>IF($G106="","",INDEX('Liste des élèves'!$A$4:$A$1363,$G106))</f>
        <v/>
      </c>
      <c r="B106" s="20" t="str">
        <f>IF($G106="","",INDEX('Liste des élèves'!$D$4:$D$1363,$G106))</f>
        <v/>
      </c>
      <c r="C106" s="21" t="str">
        <f>IF($G106="","",INDEX('Liste des élèves'!$E$4:$E$1363,$G106))</f>
        <v/>
      </c>
      <c r="D106" s="20" t="str">
        <f>IF($G106="","",INDEX('Liste des élèves'!$I$4:$I$1363,$G106))</f>
        <v/>
      </c>
      <c r="E106" s="20" t="str">
        <f>IF($G106="","",INDEX('Liste des élèves'!$J$4:$J$1363,$G106))</f>
        <v/>
      </c>
      <c r="F106" s="51" t="str">
        <f>IF($G106="","",INDEX('Liste des élèves'!$P$4:$P$1363,$G106)+INDEX('Liste des élèves'!$T$4:$T$1363,$G106))</f>
        <v/>
      </c>
      <c r="G106" s="49" t="str">
        <f>IF(G105="","",IFERROR(G105+MATCH("En retard",INDEX('Liste des élèves'!$Q$4:$Q$1363,G105+1):'Liste des élèves'!$Q$1363,0),""))</f>
        <v/>
      </c>
    </row>
    <row r="107">
      <c r="A107" s="20" t="str">
        <f>IF($G107="","",INDEX('Liste des élèves'!$A$4:$A$1363,$G107))</f>
        <v/>
      </c>
      <c r="B107" s="20" t="str">
        <f>IF($G107="","",INDEX('Liste des élèves'!$D$4:$D$1363,$G107))</f>
        <v/>
      </c>
      <c r="C107" s="21" t="str">
        <f>IF($G107="","",INDEX('Liste des élèves'!$E$4:$E$1363,$G107))</f>
        <v/>
      </c>
      <c r="D107" s="20" t="str">
        <f>IF($G107="","",INDEX('Liste des élèves'!$I$4:$I$1363,$G107))</f>
        <v/>
      </c>
      <c r="E107" s="20" t="str">
        <f>IF($G107="","",INDEX('Liste des élèves'!$J$4:$J$1363,$G107))</f>
        <v/>
      </c>
      <c r="F107" s="51" t="str">
        <f>IF($G107="","",INDEX('Liste des élèves'!$P$4:$P$1363,$G107)+INDEX('Liste des élèves'!$T$4:$T$1363,$G107))</f>
        <v/>
      </c>
      <c r="G107" s="49" t="str">
        <f>IF(G106="","",IFERROR(G106+MATCH("En retard",INDEX('Liste des élèves'!$Q$4:$Q$1363,G106+1):'Liste des élèves'!$Q$1363,0),""))</f>
        <v/>
      </c>
    </row>
    <row r="108">
      <c r="A108" s="20" t="str">
        <f>IF($G108="","",INDEX('Liste des élèves'!$A$4:$A$1363,$G108))</f>
        <v/>
      </c>
      <c r="B108" s="20" t="str">
        <f>IF($G108="","",INDEX('Liste des élèves'!$D$4:$D$1363,$G108))</f>
        <v/>
      </c>
      <c r="C108" s="21" t="str">
        <f>IF($G108="","",INDEX('Liste des élèves'!$E$4:$E$1363,$G108))</f>
        <v/>
      </c>
      <c r="D108" s="20" t="str">
        <f>IF($G108="","",INDEX('Liste des élèves'!$I$4:$I$1363,$G108))</f>
        <v/>
      </c>
      <c r="E108" s="20" t="str">
        <f>IF($G108="","",INDEX('Liste des élèves'!$J$4:$J$1363,$G108))</f>
        <v/>
      </c>
      <c r="F108" s="51" t="str">
        <f>IF($G108="","",INDEX('Liste des élèves'!$P$4:$P$1363,$G108)+INDEX('Liste des élèves'!$T$4:$T$1363,$G108))</f>
        <v/>
      </c>
      <c r="G108" s="49" t="str">
        <f>IF(G107="","",IFERROR(G107+MATCH("En retard",INDEX('Liste des élèves'!$Q$4:$Q$1363,G107+1):'Liste des élèves'!$Q$1363,0),""))</f>
        <v/>
      </c>
    </row>
    <row r="109">
      <c r="A109" s="20" t="str">
        <f>IF($G109="","",INDEX('Liste des élèves'!$A$4:$A$1363,$G109))</f>
        <v/>
      </c>
      <c r="B109" s="20" t="str">
        <f>IF($G109="","",INDEX('Liste des élèves'!$D$4:$D$1363,$G109))</f>
        <v/>
      </c>
      <c r="C109" s="21" t="str">
        <f>IF($G109="","",INDEX('Liste des élèves'!$E$4:$E$1363,$G109))</f>
        <v/>
      </c>
      <c r="D109" s="20" t="str">
        <f>IF($G109="","",INDEX('Liste des élèves'!$I$4:$I$1363,$G109))</f>
        <v/>
      </c>
      <c r="E109" s="20" t="str">
        <f>IF($G109="","",INDEX('Liste des élèves'!$J$4:$J$1363,$G109))</f>
        <v/>
      </c>
      <c r="F109" s="51" t="str">
        <f>IF($G109="","",INDEX('Liste des élèves'!$P$4:$P$1363,$G109)+INDEX('Liste des élèves'!$T$4:$T$1363,$G109))</f>
        <v/>
      </c>
      <c r="G109" s="49" t="str">
        <f>IF(G108="","",IFERROR(G108+MATCH("En retard",INDEX('Liste des élèves'!$Q$4:$Q$1363,G108+1):'Liste des élèves'!$Q$1363,0),""))</f>
        <v/>
      </c>
    </row>
    <row r="110">
      <c r="A110" s="20" t="str">
        <f>IF($G110="","",INDEX('Liste des élèves'!$A$4:$A$1363,$G110))</f>
        <v/>
      </c>
      <c r="B110" s="20" t="str">
        <f>IF($G110="","",INDEX('Liste des élèves'!$D$4:$D$1363,$G110))</f>
        <v/>
      </c>
      <c r="C110" s="21" t="str">
        <f>IF($G110="","",INDEX('Liste des élèves'!$E$4:$E$1363,$G110))</f>
        <v/>
      </c>
      <c r="D110" s="20" t="str">
        <f>IF($G110="","",INDEX('Liste des élèves'!$I$4:$I$1363,$G110))</f>
        <v/>
      </c>
      <c r="E110" s="20" t="str">
        <f>IF($G110="","",INDEX('Liste des élèves'!$J$4:$J$1363,$G110))</f>
        <v/>
      </c>
      <c r="F110" s="51" t="str">
        <f>IF($G110="","",INDEX('Liste des élèves'!$P$4:$P$1363,$G110)+INDEX('Liste des élèves'!$T$4:$T$1363,$G110))</f>
        <v/>
      </c>
      <c r="G110" s="49" t="str">
        <f>IF(G109="","",IFERROR(G109+MATCH("En retard",INDEX('Liste des élèves'!$Q$4:$Q$1363,G109+1):'Liste des élèves'!$Q$1363,0),""))</f>
        <v/>
      </c>
    </row>
    <row r="111">
      <c r="A111" s="20" t="str">
        <f>IF($G111="","",INDEX('Liste des élèves'!$A$4:$A$1363,$G111))</f>
        <v/>
      </c>
      <c r="B111" s="20" t="str">
        <f>IF($G111="","",INDEX('Liste des élèves'!$D$4:$D$1363,$G111))</f>
        <v/>
      </c>
      <c r="C111" s="21" t="str">
        <f>IF($G111="","",INDEX('Liste des élèves'!$E$4:$E$1363,$G111))</f>
        <v/>
      </c>
      <c r="D111" s="20" t="str">
        <f>IF($G111="","",INDEX('Liste des élèves'!$I$4:$I$1363,$G111))</f>
        <v/>
      </c>
      <c r="E111" s="20" t="str">
        <f>IF($G111="","",INDEX('Liste des élèves'!$J$4:$J$1363,$G111))</f>
        <v/>
      </c>
      <c r="F111" s="51" t="str">
        <f>IF($G111="","",INDEX('Liste des élèves'!$P$4:$P$1363,$G111)+INDEX('Liste des élèves'!$T$4:$T$1363,$G111))</f>
        <v/>
      </c>
      <c r="G111" s="49" t="str">
        <f>IF(G110="","",IFERROR(G110+MATCH("En retard",INDEX('Liste des élèves'!$Q$4:$Q$1363,G110+1):'Liste des élèves'!$Q$1363,0),""))</f>
        <v/>
      </c>
    </row>
    <row r="112">
      <c r="A112" s="20" t="str">
        <f>IF($G112="","",INDEX('Liste des élèves'!$A$4:$A$1363,$G112))</f>
        <v/>
      </c>
      <c r="B112" s="20" t="str">
        <f>IF($G112="","",INDEX('Liste des élèves'!$D$4:$D$1363,$G112))</f>
        <v/>
      </c>
      <c r="C112" s="21" t="str">
        <f>IF($G112="","",INDEX('Liste des élèves'!$E$4:$E$1363,$G112))</f>
        <v/>
      </c>
      <c r="D112" s="20" t="str">
        <f>IF($G112="","",INDEX('Liste des élèves'!$I$4:$I$1363,$G112))</f>
        <v/>
      </c>
      <c r="E112" s="20" t="str">
        <f>IF($G112="","",INDEX('Liste des élèves'!$J$4:$J$1363,$G112))</f>
        <v/>
      </c>
      <c r="F112" s="51" t="str">
        <f>IF($G112="","",INDEX('Liste des élèves'!$P$4:$P$1363,$G112)+INDEX('Liste des élèves'!$T$4:$T$1363,$G112))</f>
        <v/>
      </c>
      <c r="G112" s="49" t="str">
        <f>IF(G111="","",IFERROR(G111+MATCH("En retard",INDEX('Liste des élèves'!$Q$4:$Q$1363,G111+1):'Liste des élèves'!$Q$1363,0),""))</f>
        <v/>
      </c>
    </row>
    <row r="113">
      <c r="A113" s="20" t="str">
        <f>IF($G113="","",INDEX('Liste des élèves'!$A$4:$A$1363,$G113))</f>
        <v/>
      </c>
      <c r="B113" s="20" t="str">
        <f>IF($G113="","",INDEX('Liste des élèves'!$D$4:$D$1363,$G113))</f>
        <v/>
      </c>
      <c r="C113" s="21" t="str">
        <f>IF($G113="","",INDEX('Liste des élèves'!$E$4:$E$1363,$G113))</f>
        <v/>
      </c>
      <c r="D113" s="20" t="str">
        <f>IF($G113="","",INDEX('Liste des élèves'!$I$4:$I$1363,$G113))</f>
        <v/>
      </c>
      <c r="E113" s="20" t="str">
        <f>IF($G113="","",INDEX('Liste des élèves'!$J$4:$J$1363,$G113))</f>
        <v/>
      </c>
      <c r="F113" s="51" t="str">
        <f>IF($G113="","",INDEX('Liste des élèves'!$P$4:$P$1363,$G113)+INDEX('Liste des élèves'!$T$4:$T$1363,$G113))</f>
        <v/>
      </c>
      <c r="G113" s="49" t="str">
        <f>IF(G112="","",IFERROR(G112+MATCH("En retard",INDEX('Liste des élèves'!$Q$4:$Q$1363,G112+1):'Liste des élèves'!$Q$1363,0),""))</f>
        <v/>
      </c>
    </row>
    <row r="114">
      <c r="A114" s="20" t="str">
        <f>IF($G114="","",INDEX('Liste des élèves'!$A$4:$A$1363,$G114))</f>
        <v/>
      </c>
      <c r="B114" s="20" t="str">
        <f>IF($G114="","",INDEX('Liste des élèves'!$D$4:$D$1363,$G114))</f>
        <v/>
      </c>
      <c r="C114" s="21" t="str">
        <f>IF($G114="","",INDEX('Liste des élèves'!$E$4:$E$1363,$G114))</f>
        <v/>
      </c>
      <c r="D114" s="20" t="str">
        <f>IF($G114="","",INDEX('Liste des élèves'!$I$4:$I$1363,$G114))</f>
        <v/>
      </c>
      <c r="E114" s="20" t="str">
        <f>IF($G114="","",INDEX('Liste des élèves'!$J$4:$J$1363,$G114))</f>
        <v/>
      </c>
      <c r="F114" s="51" t="str">
        <f>IF($G114="","",INDEX('Liste des élèves'!$P$4:$P$1363,$G114)+INDEX('Liste des élèves'!$T$4:$T$1363,$G114))</f>
        <v/>
      </c>
      <c r="G114" s="49" t="str">
        <f>IF(G113="","",IFERROR(G113+MATCH("En retard",INDEX('Liste des élèves'!$Q$4:$Q$1363,G113+1):'Liste des élèves'!$Q$1363,0),""))</f>
        <v/>
      </c>
    </row>
    <row r="115">
      <c r="A115" s="20" t="str">
        <f>IF($G115="","",INDEX('Liste des élèves'!$A$4:$A$1363,$G115))</f>
        <v/>
      </c>
      <c r="B115" s="20" t="str">
        <f>IF($G115="","",INDEX('Liste des élèves'!$D$4:$D$1363,$G115))</f>
        <v/>
      </c>
      <c r="C115" s="21" t="str">
        <f>IF($G115="","",INDEX('Liste des élèves'!$E$4:$E$1363,$G115))</f>
        <v/>
      </c>
      <c r="D115" s="20" t="str">
        <f>IF($G115="","",INDEX('Liste des élèves'!$I$4:$I$1363,$G115))</f>
        <v/>
      </c>
      <c r="E115" s="20" t="str">
        <f>IF($G115="","",INDEX('Liste des élèves'!$J$4:$J$1363,$G115))</f>
        <v/>
      </c>
      <c r="F115" s="51" t="str">
        <f>IF($G115="","",INDEX('Liste des élèves'!$P$4:$P$1363,$G115)+INDEX('Liste des élèves'!$T$4:$T$1363,$G115))</f>
        <v/>
      </c>
      <c r="G115" s="49" t="str">
        <f>IF(G114="","",IFERROR(G114+MATCH("En retard",INDEX('Liste des élèves'!$Q$4:$Q$1363,G114+1):'Liste des élèves'!$Q$1363,0),""))</f>
        <v/>
      </c>
    </row>
    <row r="116">
      <c r="A116" s="20" t="str">
        <f>IF($G116="","",INDEX('Liste des élèves'!$A$4:$A$1363,$G116))</f>
        <v/>
      </c>
      <c r="B116" s="20" t="str">
        <f>IF($G116="","",INDEX('Liste des élèves'!$D$4:$D$1363,$G116))</f>
        <v/>
      </c>
      <c r="C116" s="21" t="str">
        <f>IF($G116="","",INDEX('Liste des élèves'!$E$4:$E$1363,$G116))</f>
        <v/>
      </c>
      <c r="D116" s="20" t="str">
        <f>IF($G116="","",INDEX('Liste des élèves'!$I$4:$I$1363,$G116))</f>
        <v/>
      </c>
      <c r="E116" s="20" t="str">
        <f>IF($G116="","",INDEX('Liste des élèves'!$J$4:$J$1363,$G116))</f>
        <v/>
      </c>
      <c r="F116" s="51" t="str">
        <f>IF($G116="","",INDEX('Liste des élèves'!$P$4:$P$1363,$G116)+INDEX('Liste des élèves'!$T$4:$T$1363,$G116))</f>
        <v/>
      </c>
      <c r="G116" s="49" t="str">
        <f>IF(G115="","",IFERROR(G115+MATCH("En retard",INDEX('Liste des élèves'!$Q$4:$Q$1363,G115+1):'Liste des élèves'!$Q$1363,0),""))</f>
        <v/>
      </c>
    </row>
    <row r="117">
      <c r="A117" s="20" t="str">
        <f>IF($G117="","",INDEX('Liste des élèves'!$A$4:$A$1363,$G117))</f>
        <v/>
      </c>
      <c r="B117" s="20" t="str">
        <f>IF($G117="","",INDEX('Liste des élèves'!$D$4:$D$1363,$G117))</f>
        <v/>
      </c>
      <c r="C117" s="21" t="str">
        <f>IF($G117="","",INDEX('Liste des élèves'!$E$4:$E$1363,$G117))</f>
        <v/>
      </c>
      <c r="D117" s="20" t="str">
        <f>IF($G117="","",INDEX('Liste des élèves'!$I$4:$I$1363,$G117))</f>
        <v/>
      </c>
      <c r="E117" s="20" t="str">
        <f>IF($G117="","",INDEX('Liste des élèves'!$J$4:$J$1363,$G117))</f>
        <v/>
      </c>
      <c r="F117" s="51" t="str">
        <f>IF($G117="","",INDEX('Liste des élèves'!$P$4:$P$1363,$G117)+INDEX('Liste des élèves'!$T$4:$T$1363,$G117))</f>
        <v/>
      </c>
      <c r="G117" s="49" t="str">
        <f>IF(G116="","",IFERROR(G116+MATCH("En retard",INDEX('Liste des élèves'!$Q$4:$Q$1363,G116+1):'Liste des élèves'!$Q$1363,0),""))</f>
        <v/>
      </c>
    </row>
    <row r="118">
      <c r="A118" s="20" t="str">
        <f>IF($G118="","",INDEX('Liste des élèves'!$A$4:$A$1363,$G118))</f>
        <v/>
      </c>
      <c r="B118" s="20" t="str">
        <f>IF($G118="","",INDEX('Liste des élèves'!$D$4:$D$1363,$G118))</f>
        <v/>
      </c>
      <c r="C118" s="21" t="str">
        <f>IF($G118="","",INDEX('Liste des élèves'!$E$4:$E$1363,$G118))</f>
        <v/>
      </c>
      <c r="D118" s="20" t="str">
        <f>IF($G118="","",INDEX('Liste des élèves'!$I$4:$I$1363,$G118))</f>
        <v/>
      </c>
      <c r="E118" s="20" t="str">
        <f>IF($G118="","",INDEX('Liste des élèves'!$J$4:$J$1363,$G118))</f>
        <v/>
      </c>
      <c r="F118" s="51" t="str">
        <f>IF($G118="","",INDEX('Liste des élèves'!$P$4:$P$1363,$G118)+INDEX('Liste des élèves'!$T$4:$T$1363,$G118))</f>
        <v/>
      </c>
      <c r="G118" s="49" t="str">
        <f>IF(G117="","",IFERROR(G117+MATCH("En retard",INDEX('Liste des élèves'!$Q$4:$Q$1363,G117+1):'Liste des élèves'!$Q$1363,0),""))</f>
        <v/>
      </c>
    </row>
    <row r="119">
      <c r="A119" s="20" t="str">
        <f>IF($G119="","",INDEX('Liste des élèves'!$A$4:$A$1363,$G119))</f>
        <v/>
      </c>
      <c r="B119" s="20" t="str">
        <f>IF($G119="","",INDEX('Liste des élèves'!$D$4:$D$1363,$G119))</f>
        <v/>
      </c>
      <c r="C119" s="21" t="str">
        <f>IF($G119="","",INDEX('Liste des élèves'!$E$4:$E$1363,$G119))</f>
        <v/>
      </c>
      <c r="D119" s="20" t="str">
        <f>IF($G119="","",INDEX('Liste des élèves'!$I$4:$I$1363,$G119))</f>
        <v/>
      </c>
      <c r="E119" s="20" t="str">
        <f>IF($G119="","",INDEX('Liste des élèves'!$J$4:$J$1363,$G119))</f>
        <v/>
      </c>
      <c r="F119" s="51" t="str">
        <f>IF($G119="","",INDEX('Liste des élèves'!$P$4:$P$1363,$G119)+INDEX('Liste des élèves'!$T$4:$T$1363,$G119))</f>
        <v/>
      </c>
      <c r="G119" s="49" t="str">
        <f>IF(G118="","",IFERROR(G118+MATCH("En retard",INDEX('Liste des élèves'!$Q$4:$Q$1363,G118+1):'Liste des élèves'!$Q$1363,0),""))</f>
        <v/>
      </c>
    </row>
    <row r="120">
      <c r="A120" s="20" t="str">
        <f>IF($G120="","",INDEX('Liste des élèves'!$A$4:$A$1363,$G120))</f>
        <v/>
      </c>
      <c r="B120" s="20" t="str">
        <f>IF($G120="","",INDEX('Liste des élèves'!$D$4:$D$1363,$G120))</f>
        <v/>
      </c>
      <c r="C120" s="21" t="str">
        <f>IF($G120="","",INDEX('Liste des élèves'!$E$4:$E$1363,$G120))</f>
        <v/>
      </c>
      <c r="D120" s="20" t="str">
        <f>IF($G120="","",INDEX('Liste des élèves'!$I$4:$I$1363,$G120))</f>
        <v/>
      </c>
      <c r="E120" s="20" t="str">
        <f>IF($G120="","",INDEX('Liste des élèves'!$J$4:$J$1363,$G120))</f>
        <v/>
      </c>
      <c r="F120" s="51" t="str">
        <f>IF($G120="","",INDEX('Liste des élèves'!$P$4:$P$1363,$G120)+INDEX('Liste des élèves'!$T$4:$T$1363,$G120))</f>
        <v/>
      </c>
      <c r="G120" s="49" t="str">
        <f>IF(G119="","",IFERROR(G119+MATCH("En retard",INDEX('Liste des élèves'!$Q$4:$Q$1363,G119+1):'Liste des élèves'!$Q$1363,0),""))</f>
        <v/>
      </c>
    </row>
    <row r="121">
      <c r="A121" s="20" t="str">
        <f>IF($G121="","",INDEX('Liste des élèves'!$A$4:$A$1363,$G121))</f>
        <v/>
      </c>
      <c r="B121" s="20" t="str">
        <f>IF($G121="","",INDEX('Liste des élèves'!$D$4:$D$1363,$G121))</f>
        <v/>
      </c>
      <c r="C121" s="21" t="str">
        <f>IF($G121="","",INDEX('Liste des élèves'!$E$4:$E$1363,$G121))</f>
        <v/>
      </c>
      <c r="D121" s="20" t="str">
        <f>IF($G121="","",INDEX('Liste des élèves'!$I$4:$I$1363,$G121))</f>
        <v/>
      </c>
      <c r="E121" s="20" t="str">
        <f>IF($G121="","",INDEX('Liste des élèves'!$J$4:$J$1363,$G121))</f>
        <v/>
      </c>
      <c r="F121" s="51" t="str">
        <f>IF($G121="","",INDEX('Liste des élèves'!$P$4:$P$1363,$G121)+INDEX('Liste des élèves'!$T$4:$T$1363,$G121))</f>
        <v/>
      </c>
      <c r="G121" s="49" t="str">
        <f>IF(G120="","",IFERROR(G120+MATCH("En retard",INDEX('Liste des élèves'!$Q$4:$Q$1363,G120+1):'Liste des élèves'!$Q$1363,0),""))</f>
        <v/>
      </c>
    </row>
    <row r="122">
      <c r="A122" s="20" t="str">
        <f>IF($G122="","",INDEX('Liste des élèves'!$A$4:$A$1363,$G122))</f>
        <v/>
      </c>
      <c r="B122" s="20" t="str">
        <f>IF($G122="","",INDEX('Liste des élèves'!$D$4:$D$1363,$G122))</f>
        <v/>
      </c>
      <c r="C122" s="21" t="str">
        <f>IF($G122="","",INDEX('Liste des élèves'!$E$4:$E$1363,$G122))</f>
        <v/>
      </c>
      <c r="D122" s="20" t="str">
        <f>IF($G122="","",INDEX('Liste des élèves'!$I$4:$I$1363,$G122))</f>
        <v/>
      </c>
      <c r="E122" s="20" t="str">
        <f>IF($G122="","",INDEX('Liste des élèves'!$J$4:$J$1363,$G122))</f>
        <v/>
      </c>
      <c r="F122" s="51" t="str">
        <f>IF($G122="","",INDEX('Liste des élèves'!$P$4:$P$1363,$G122)+INDEX('Liste des élèves'!$T$4:$T$1363,$G122))</f>
        <v/>
      </c>
      <c r="G122" s="49" t="str">
        <f>IF(G121="","",IFERROR(G121+MATCH("En retard",INDEX('Liste des élèves'!$Q$4:$Q$1363,G121+1):'Liste des élèves'!$Q$1363,0),""))</f>
        <v/>
      </c>
    </row>
    <row r="123">
      <c r="A123" s="20" t="str">
        <f>IF($G123="","",INDEX('Liste des élèves'!$A$4:$A$1363,$G123))</f>
        <v/>
      </c>
      <c r="B123" s="20" t="str">
        <f>IF($G123="","",INDEX('Liste des élèves'!$D$4:$D$1363,$G123))</f>
        <v/>
      </c>
      <c r="C123" s="21" t="str">
        <f>IF($G123="","",INDEX('Liste des élèves'!$E$4:$E$1363,$G123))</f>
        <v/>
      </c>
      <c r="D123" s="20" t="str">
        <f>IF($G123="","",INDEX('Liste des élèves'!$I$4:$I$1363,$G123))</f>
        <v/>
      </c>
      <c r="E123" s="20" t="str">
        <f>IF($G123="","",INDEX('Liste des élèves'!$J$4:$J$1363,$G123))</f>
        <v/>
      </c>
      <c r="F123" s="51" t="str">
        <f>IF($G123="","",INDEX('Liste des élèves'!$P$4:$P$1363,$G123)+INDEX('Liste des élèves'!$T$4:$T$1363,$G123))</f>
        <v/>
      </c>
      <c r="G123" s="49" t="str">
        <f>IF(G122="","",IFERROR(G122+MATCH("En retard",INDEX('Liste des élèves'!$Q$4:$Q$1363,G122+1):'Liste des élèves'!$Q$1363,0),""))</f>
        <v/>
      </c>
    </row>
    <row r="124">
      <c r="A124" s="20" t="str">
        <f>IF($G124="","",INDEX('Liste des élèves'!$A$4:$A$1363,$G124))</f>
        <v/>
      </c>
      <c r="B124" s="20" t="str">
        <f>IF($G124="","",INDEX('Liste des élèves'!$D$4:$D$1363,$G124))</f>
        <v/>
      </c>
      <c r="C124" s="21" t="str">
        <f>IF($G124="","",INDEX('Liste des élèves'!$E$4:$E$1363,$G124))</f>
        <v/>
      </c>
      <c r="D124" s="20" t="str">
        <f>IF($G124="","",INDEX('Liste des élèves'!$I$4:$I$1363,$G124))</f>
        <v/>
      </c>
      <c r="E124" s="20" t="str">
        <f>IF($G124="","",INDEX('Liste des élèves'!$J$4:$J$1363,$G124))</f>
        <v/>
      </c>
      <c r="F124" s="51" t="str">
        <f>IF($G124="","",INDEX('Liste des élèves'!$P$4:$P$1363,$G124)+INDEX('Liste des élèves'!$T$4:$T$1363,$G124))</f>
        <v/>
      </c>
      <c r="G124" s="49" t="str">
        <f>IF(G123="","",IFERROR(G123+MATCH("En retard",INDEX('Liste des élèves'!$Q$4:$Q$1363,G123+1):'Liste des élèves'!$Q$1363,0),""))</f>
        <v/>
      </c>
    </row>
    <row r="125">
      <c r="A125" s="20" t="str">
        <f>IF($G125="","",INDEX('Liste des élèves'!$A$4:$A$1363,$G125))</f>
        <v/>
      </c>
      <c r="B125" s="20" t="str">
        <f>IF($G125="","",INDEX('Liste des élèves'!$D$4:$D$1363,$G125))</f>
        <v/>
      </c>
      <c r="C125" s="21" t="str">
        <f>IF($G125="","",INDEX('Liste des élèves'!$E$4:$E$1363,$G125))</f>
        <v/>
      </c>
      <c r="D125" s="20" t="str">
        <f>IF($G125="","",INDEX('Liste des élèves'!$I$4:$I$1363,$G125))</f>
        <v/>
      </c>
      <c r="E125" s="20" t="str">
        <f>IF($G125="","",INDEX('Liste des élèves'!$J$4:$J$1363,$G125))</f>
        <v/>
      </c>
      <c r="F125" s="51" t="str">
        <f>IF($G125="","",INDEX('Liste des élèves'!$P$4:$P$1363,$G125)+INDEX('Liste des élèves'!$T$4:$T$1363,$G125))</f>
        <v/>
      </c>
      <c r="G125" s="49" t="str">
        <f>IF(G124="","",IFERROR(G124+MATCH("En retard",INDEX('Liste des élèves'!$Q$4:$Q$1363,G124+1):'Liste des élèves'!$Q$1363,0),""))</f>
        <v/>
      </c>
    </row>
    <row r="126">
      <c r="A126" s="20" t="str">
        <f>IF($G126="","",INDEX('Liste des élèves'!$A$4:$A$1363,$G126))</f>
        <v/>
      </c>
      <c r="B126" s="20" t="str">
        <f>IF($G126="","",INDEX('Liste des élèves'!$D$4:$D$1363,$G126))</f>
        <v/>
      </c>
      <c r="C126" s="21" t="str">
        <f>IF($G126="","",INDEX('Liste des élèves'!$E$4:$E$1363,$G126))</f>
        <v/>
      </c>
      <c r="D126" s="20" t="str">
        <f>IF($G126="","",INDEX('Liste des élèves'!$I$4:$I$1363,$G126))</f>
        <v/>
      </c>
      <c r="E126" s="20" t="str">
        <f>IF($G126="","",INDEX('Liste des élèves'!$J$4:$J$1363,$G126))</f>
        <v/>
      </c>
      <c r="F126" s="51" t="str">
        <f>IF($G126="","",INDEX('Liste des élèves'!$P$4:$P$1363,$G126)+INDEX('Liste des élèves'!$T$4:$T$1363,$G126))</f>
        <v/>
      </c>
      <c r="G126" s="49" t="str">
        <f>IF(G125="","",IFERROR(G125+MATCH("En retard",INDEX('Liste des élèves'!$Q$4:$Q$1363,G125+1):'Liste des élèves'!$Q$1363,0),""))</f>
        <v/>
      </c>
    </row>
    <row r="127">
      <c r="A127" s="20" t="str">
        <f>IF($G127="","",INDEX('Liste des élèves'!$A$4:$A$1363,$G127))</f>
        <v/>
      </c>
      <c r="B127" s="20" t="str">
        <f>IF($G127="","",INDEX('Liste des élèves'!$D$4:$D$1363,$G127))</f>
        <v/>
      </c>
      <c r="C127" s="21" t="str">
        <f>IF($G127="","",INDEX('Liste des élèves'!$E$4:$E$1363,$G127))</f>
        <v/>
      </c>
      <c r="D127" s="20" t="str">
        <f>IF($G127="","",INDEX('Liste des élèves'!$I$4:$I$1363,$G127))</f>
        <v/>
      </c>
      <c r="E127" s="20" t="str">
        <f>IF($G127="","",INDEX('Liste des élèves'!$J$4:$J$1363,$G127))</f>
        <v/>
      </c>
      <c r="F127" s="51" t="str">
        <f>IF($G127="","",INDEX('Liste des élèves'!$P$4:$P$1363,$G127)+INDEX('Liste des élèves'!$T$4:$T$1363,$G127))</f>
        <v/>
      </c>
      <c r="G127" s="49" t="str">
        <f>IF(G126="","",IFERROR(G126+MATCH("En retard",INDEX('Liste des élèves'!$Q$4:$Q$1363,G126+1):'Liste des élèves'!$Q$1363,0),""))</f>
        <v/>
      </c>
    </row>
    <row r="128">
      <c r="A128" s="20" t="str">
        <f>IF($G128="","",INDEX('Liste des élèves'!$A$4:$A$1363,$G128))</f>
        <v/>
      </c>
      <c r="B128" s="20" t="str">
        <f>IF($G128="","",INDEX('Liste des élèves'!$D$4:$D$1363,$G128))</f>
        <v/>
      </c>
      <c r="C128" s="21" t="str">
        <f>IF($G128="","",INDEX('Liste des élèves'!$E$4:$E$1363,$G128))</f>
        <v/>
      </c>
      <c r="D128" s="20" t="str">
        <f>IF($G128="","",INDEX('Liste des élèves'!$I$4:$I$1363,$G128))</f>
        <v/>
      </c>
      <c r="E128" s="20" t="str">
        <f>IF($G128="","",INDEX('Liste des élèves'!$J$4:$J$1363,$G128))</f>
        <v/>
      </c>
      <c r="F128" s="51" t="str">
        <f>IF($G128="","",INDEX('Liste des élèves'!$P$4:$P$1363,$G128)+INDEX('Liste des élèves'!$T$4:$T$1363,$G128))</f>
        <v/>
      </c>
      <c r="G128" s="49" t="str">
        <f>IF(G127="","",IFERROR(G127+MATCH("En retard",INDEX('Liste des élèves'!$Q$4:$Q$1363,G127+1):'Liste des élèves'!$Q$1363,0),""))</f>
        <v/>
      </c>
    </row>
    <row r="129">
      <c r="A129" s="20" t="str">
        <f>IF($G129="","",INDEX('Liste des élèves'!$A$4:$A$1363,$G129))</f>
        <v/>
      </c>
      <c r="B129" s="20" t="str">
        <f>IF($G129="","",INDEX('Liste des élèves'!$D$4:$D$1363,$G129))</f>
        <v/>
      </c>
      <c r="C129" s="21" t="str">
        <f>IF($G129="","",INDEX('Liste des élèves'!$E$4:$E$1363,$G129))</f>
        <v/>
      </c>
      <c r="D129" s="20" t="str">
        <f>IF($G129="","",INDEX('Liste des élèves'!$I$4:$I$1363,$G129))</f>
        <v/>
      </c>
      <c r="E129" s="20" t="str">
        <f>IF($G129="","",INDEX('Liste des élèves'!$J$4:$J$1363,$G129))</f>
        <v/>
      </c>
      <c r="F129" s="51" t="str">
        <f>IF($G129="","",INDEX('Liste des élèves'!$P$4:$P$1363,$G129)+INDEX('Liste des élèves'!$T$4:$T$1363,$G129))</f>
        <v/>
      </c>
      <c r="G129" s="49" t="str">
        <f>IF(G128="","",IFERROR(G128+MATCH("En retard",INDEX('Liste des élèves'!$Q$4:$Q$1363,G128+1):'Liste des élèves'!$Q$1363,0),""))</f>
        <v/>
      </c>
    </row>
    <row r="130">
      <c r="A130" s="20" t="str">
        <f>IF($G130="","",INDEX('Liste des élèves'!$A$4:$A$1363,$G130))</f>
        <v/>
      </c>
      <c r="B130" s="20" t="str">
        <f>IF($G130="","",INDEX('Liste des élèves'!$D$4:$D$1363,$G130))</f>
        <v/>
      </c>
      <c r="C130" s="21" t="str">
        <f>IF($G130="","",INDEX('Liste des élèves'!$E$4:$E$1363,$G130))</f>
        <v/>
      </c>
      <c r="D130" s="20" t="str">
        <f>IF($G130="","",INDEX('Liste des élèves'!$I$4:$I$1363,$G130))</f>
        <v/>
      </c>
      <c r="E130" s="20" t="str">
        <f>IF($G130="","",INDEX('Liste des élèves'!$J$4:$J$1363,$G130))</f>
        <v/>
      </c>
      <c r="F130" s="51" t="str">
        <f>IF($G130="","",INDEX('Liste des élèves'!$P$4:$P$1363,$G130)+INDEX('Liste des élèves'!$T$4:$T$1363,$G130))</f>
        <v/>
      </c>
      <c r="G130" s="49" t="str">
        <f>IF(G129="","",IFERROR(G129+MATCH("En retard",INDEX('Liste des élèves'!$Q$4:$Q$1363,G129+1):'Liste des élèves'!$Q$1363,0),""))</f>
        <v/>
      </c>
    </row>
    <row r="131">
      <c r="A131" s="20" t="str">
        <f>IF($G131="","",INDEX('Liste des élèves'!$A$4:$A$1363,$G131))</f>
        <v/>
      </c>
      <c r="B131" s="20" t="str">
        <f>IF($G131="","",INDEX('Liste des élèves'!$D$4:$D$1363,$G131))</f>
        <v/>
      </c>
      <c r="C131" s="21" t="str">
        <f>IF($G131="","",INDEX('Liste des élèves'!$E$4:$E$1363,$G131))</f>
        <v/>
      </c>
      <c r="D131" s="20" t="str">
        <f>IF($G131="","",INDEX('Liste des élèves'!$I$4:$I$1363,$G131))</f>
        <v/>
      </c>
      <c r="E131" s="20" t="str">
        <f>IF($G131="","",INDEX('Liste des élèves'!$J$4:$J$1363,$G131))</f>
        <v/>
      </c>
      <c r="F131" s="51" t="str">
        <f>IF($G131="","",INDEX('Liste des élèves'!$P$4:$P$1363,$G131)+INDEX('Liste des élèves'!$T$4:$T$1363,$G131))</f>
        <v/>
      </c>
      <c r="G131" s="49" t="str">
        <f>IF(G130="","",IFERROR(G130+MATCH("En retard",INDEX('Liste des élèves'!$Q$4:$Q$1363,G130+1):'Liste des élèves'!$Q$1363,0),""))</f>
        <v/>
      </c>
    </row>
    <row r="132">
      <c r="A132" s="20" t="str">
        <f>IF($G132="","",INDEX('Liste des élèves'!$A$4:$A$1363,$G132))</f>
        <v/>
      </c>
      <c r="B132" s="20" t="str">
        <f>IF($G132="","",INDEX('Liste des élèves'!$D$4:$D$1363,$G132))</f>
        <v/>
      </c>
      <c r="C132" s="21" t="str">
        <f>IF($G132="","",INDEX('Liste des élèves'!$E$4:$E$1363,$G132))</f>
        <v/>
      </c>
      <c r="D132" s="20" t="str">
        <f>IF($G132="","",INDEX('Liste des élèves'!$I$4:$I$1363,$G132))</f>
        <v/>
      </c>
      <c r="E132" s="20" t="str">
        <f>IF($G132="","",INDEX('Liste des élèves'!$J$4:$J$1363,$G132))</f>
        <v/>
      </c>
      <c r="F132" s="51" t="str">
        <f>IF($G132="","",INDEX('Liste des élèves'!$P$4:$P$1363,$G132)+INDEX('Liste des élèves'!$T$4:$T$1363,$G132))</f>
        <v/>
      </c>
      <c r="G132" s="49" t="str">
        <f>IF(G131="","",IFERROR(G131+MATCH("En retard",INDEX('Liste des élèves'!$Q$4:$Q$1363,G131+1):'Liste des élèves'!$Q$1363,0),""))</f>
        <v/>
      </c>
    </row>
    <row r="133">
      <c r="A133" s="20" t="str">
        <f>IF($G133="","",INDEX('Liste des élèves'!$A$4:$A$1363,$G133))</f>
        <v/>
      </c>
      <c r="B133" s="20" t="str">
        <f>IF($G133="","",INDEX('Liste des élèves'!$D$4:$D$1363,$G133))</f>
        <v/>
      </c>
      <c r="C133" s="21" t="str">
        <f>IF($G133="","",INDEX('Liste des élèves'!$E$4:$E$1363,$G133))</f>
        <v/>
      </c>
      <c r="D133" s="20" t="str">
        <f>IF($G133="","",INDEX('Liste des élèves'!$I$4:$I$1363,$G133))</f>
        <v/>
      </c>
      <c r="E133" s="20" t="str">
        <f>IF($G133="","",INDEX('Liste des élèves'!$J$4:$J$1363,$G133))</f>
        <v/>
      </c>
      <c r="F133" s="51" t="str">
        <f>IF($G133="","",INDEX('Liste des élèves'!$P$4:$P$1363,$G133)+INDEX('Liste des élèves'!$T$4:$T$1363,$G133))</f>
        <v/>
      </c>
      <c r="G133" s="49" t="str">
        <f>IF(G132="","",IFERROR(G132+MATCH("En retard",INDEX('Liste des élèves'!$Q$4:$Q$1363,G132+1):'Liste des élèves'!$Q$1363,0),""))</f>
        <v/>
      </c>
    </row>
    <row r="134">
      <c r="A134" s="20" t="str">
        <f>IF($G134="","",INDEX('Liste des élèves'!$A$4:$A$1363,$G134))</f>
        <v/>
      </c>
      <c r="B134" s="20" t="str">
        <f>IF($G134="","",INDEX('Liste des élèves'!$D$4:$D$1363,$G134))</f>
        <v/>
      </c>
      <c r="C134" s="21" t="str">
        <f>IF($G134="","",INDEX('Liste des élèves'!$E$4:$E$1363,$G134))</f>
        <v/>
      </c>
      <c r="D134" s="20" t="str">
        <f>IF($G134="","",INDEX('Liste des élèves'!$I$4:$I$1363,$G134))</f>
        <v/>
      </c>
      <c r="E134" s="20" t="str">
        <f>IF($G134="","",INDEX('Liste des élèves'!$J$4:$J$1363,$G134))</f>
        <v/>
      </c>
      <c r="F134" s="51" t="str">
        <f>IF($G134="","",INDEX('Liste des élèves'!$P$4:$P$1363,$G134)+INDEX('Liste des élèves'!$T$4:$T$1363,$G134))</f>
        <v/>
      </c>
      <c r="G134" s="49" t="str">
        <f>IF(G133="","",IFERROR(G133+MATCH("En retard",INDEX('Liste des élèves'!$Q$4:$Q$1363,G133+1):'Liste des élèves'!$Q$1363,0),""))</f>
        <v/>
      </c>
    </row>
    <row r="135">
      <c r="A135" s="20" t="str">
        <f>IF($G135="","",INDEX('Liste des élèves'!$A$4:$A$1363,$G135))</f>
        <v/>
      </c>
      <c r="B135" s="20" t="str">
        <f>IF($G135="","",INDEX('Liste des élèves'!$D$4:$D$1363,$G135))</f>
        <v/>
      </c>
      <c r="C135" s="21" t="str">
        <f>IF($G135="","",INDEX('Liste des élèves'!$E$4:$E$1363,$G135))</f>
        <v/>
      </c>
      <c r="D135" s="20" t="str">
        <f>IF($G135="","",INDEX('Liste des élèves'!$I$4:$I$1363,$G135))</f>
        <v/>
      </c>
      <c r="E135" s="20" t="str">
        <f>IF($G135="","",INDEX('Liste des élèves'!$J$4:$J$1363,$G135))</f>
        <v/>
      </c>
      <c r="F135" s="51" t="str">
        <f>IF($G135="","",INDEX('Liste des élèves'!$P$4:$P$1363,$G135)+INDEX('Liste des élèves'!$T$4:$T$1363,$G135))</f>
        <v/>
      </c>
      <c r="G135" s="49" t="str">
        <f>IF(G134="","",IFERROR(G134+MATCH("En retard",INDEX('Liste des élèves'!$Q$4:$Q$1363,G134+1):'Liste des élèves'!$Q$1363,0),""))</f>
        <v/>
      </c>
    </row>
    <row r="136">
      <c r="A136" s="20" t="str">
        <f>IF($G136="","",INDEX('Liste des élèves'!$A$4:$A$1363,$G136))</f>
        <v/>
      </c>
      <c r="B136" s="20" t="str">
        <f>IF($G136="","",INDEX('Liste des élèves'!$D$4:$D$1363,$G136))</f>
        <v/>
      </c>
      <c r="C136" s="21" t="str">
        <f>IF($G136="","",INDEX('Liste des élèves'!$E$4:$E$1363,$G136))</f>
        <v/>
      </c>
      <c r="D136" s="20" t="str">
        <f>IF($G136="","",INDEX('Liste des élèves'!$I$4:$I$1363,$G136))</f>
        <v/>
      </c>
      <c r="E136" s="20" t="str">
        <f>IF($G136="","",INDEX('Liste des élèves'!$J$4:$J$1363,$G136))</f>
        <v/>
      </c>
      <c r="F136" s="51" t="str">
        <f>IF($G136="","",INDEX('Liste des élèves'!$P$4:$P$1363,$G136)+INDEX('Liste des élèves'!$T$4:$T$1363,$G136))</f>
        <v/>
      </c>
      <c r="G136" s="49" t="str">
        <f>IF(G135="","",IFERROR(G135+MATCH("En retard",INDEX('Liste des élèves'!$Q$4:$Q$1363,G135+1):'Liste des élèves'!$Q$1363,0),""))</f>
        <v/>
      </c>
    </row>
    <row r="137">
      <c r="A137" s="20" t="str">
        <f>IF($G137="","",INDEX('Liste des élèves'!$A$4:$A$1363,$G137))</f>
        <v/>
      </c>
      <c r="B137" s="20" t="str">
        <f>IF($G137="","",INDEX('Liste des élèves'!$D$4:$D$1363,$G137))</f>
        <v/>
      </c>
      <c r="C137" s="21" t="str">
        <f>IF($G137="","",INDEX('Liste des élèves'!$E$4:$E$1363,$G137))</f>
        <v/>
      </c>
      <c r="D137" s="20" t="str">
        <f>IF($G137="","",INDEX('Liste des élèves'!$I$4:$I$1363,$G137))</f>
        <v/>
      </c>
      <c r="E137" s="20" t="str">
        <f>IF($G137="","",INDEX('Liste des élèves'!$J$4:$J$1363,$G137))</f>
        <v/>
      </c>
      <c r="F137" s="51" t="str">
        <f>IF($G137="","",INDEX('Liste des élèves'!$P$4:$P$1363,$G137)+INDEX('Liste des élèves'!$T$4:$T$1363,$G137))</f>
        <v/>
      </c>
      <c r="G137" s="49" t="str">
        <f>IF(G136="","",IFERROR(G136+MATCH("En retard",INDEX('Liste des élèves'!$Q$4:$Q$1363,G136+1):'Liste des élèves'!$Q$1363,0),""))</f>
        <v/>
      </c>
    </row>
    <row r="138">
      <c r="A138" s="20" t="str">
        <f>IF($G138="","",INDEX('Liste des élèves'!$A$4:$A$1363,$G138))</f>
        <v/>
      </c>
      <c r="B138" s="20" t="str">
        <f>IF($G138="","",INDEX('Liste des élèves'!$D$4:$D$1363,$G138))</f>
        <v/>
      </c>
      <c r="C138" s="21" t="str">
        <f>IF($G138="","",INDEX('Liste des élèves'!$E$4:$E$1363,$G138))</f>
        <v/>
      </c>
      <c r="D138" s="20" t="str">
        <f>IF($G138="","",INDEX('Liste des élèves'!$I$4:$I$1363,$G138))</f>
        <v/>
      </c>
      <c r="E138" s="20" t="str">
        <f>IF($G138="","",INDEX('Liste des élèves'!$J$4:$J$1363,$G138))</f>
        <v/>
      </c>
      <c r="F138" s="51" t="str">
        <f>IF($G138="","",INDEX('Liste des élèves'!$P$4:$P$1363,$G138)+INDEX('Liste des élèves'!$T$4:$T$1363,$G138))</f>
        <v/>
      </c>
      <c r="G138" s="49" t="str">
        <f>IF(G137="","",IFERROR(G137+MATCH("En retard",INDEX('Liste des élèves'!$Q$4:$Q$1363,G137+1):'Liste des élèves'!$Q$1363,0),""))</f>
        <v/>
      </c>
    </row>
    <row r="139">
      <c r="A139" s="20" t="str">
        <f>IF($G139="","",INDEX('Liste des élèves'!$A$4:$A$1363,$G139))</f>
        <v/>
      </c>
      <c r="B139" s="20" t="str">
        <f>IF($G139="","",INDEX('Liste des élèves'!$D$4:$D$1363,$G139))</f>
        <v/>
      </c>
      <c r="C139" s="21" t="str">
        <f>IF($G139="","",INDEX('Liste des élèves'!$E$4:$E$1363,$G139))</f>
        <v/>
      </c>
      <c r="D139" s="20" t="str">
        <f>IF($G139="","",INDEX('Liste des élèves'!$I$4:$I$1363,$G139))</f>
        <v/>
      </c>
      <c r="E139" s="20" t="str">
        <f>IF($G139="","",INDEX('Liste des élèves'!$J$4:$J$1363,$G139))</f>
        <v/>
      </c>
      <c r="F139" s="51" t="str">
        <f>IF($G139="","",INDEX('Liste des élèves'!$P$4:$P$1363,$G139)+INDEX('Liste des élèves'!$T$4:$T$1363,$G139))</f>
        <v/>
      </c>
      <c r="G139" s="49" t="str">
        <f>IF(G138="","",IFERROR(G138+MATCH("En retard",INDEX('Liste des élèves'!$Q$4:$Q$1363,G138+1):'Liste des élèves'!$Q$1363,0),""))</f>
        <v/>
      </c>
    </row>
    <row r="140">
      <c r="A140" s="20" t="str">
        <f>IF($G140="","",INDEX('Liste des élèves'!$A$4:$A$1363,$G140))</f>
        <v/>
      </c>
      <c r="B140" s="20" t="str">
        <f>IF($G140="","",INDEX('Liste des élèves'!$D$4:$D$1363,$G140))</f>
        <v/>
      </c>
      <c r="C140" s="21" t="str">
        <f>IF($G140="","",INDEX('Liste des élèves'!$E$4:$E$1363,$G140))</f>
        <v/>
      </c>
      <c r="D140" s="20" t="str">
        <f>IF($G140="","",INDEX('Liste des élèves'!$I$4:$I$1363,$G140))</f>
        <v/>
      </c>
      <c r="E140" s="20" t="str">
        <f>IF($G140="","",INDEX('Liste des élèves'!$J$4:$J$1363,$G140))</f>
        <v/>
      </c>
      <c r="F140" s="51" t="str">
        <f>IF($G140="","",INDEX('Liste des élèves'!$P$4:$P$1363,$G140)+INDEX('Liste des élèves'!$T$4:$T$1363,$G140))</f>
        <v/>
      </c>
      <c r="G140" s="49" t="str">
        <f>IF(G139="","",IFERROR(G139+MATCH("En retard",INDEX('Liste des élèves'!$Q$4:$Q$1363,G139+1):'Liste des élèves'!$Q$1363,0),""))</f>
        <v/>
      </c>
    </row>
    <row r="141">
      <c r="A141" s="20" t="str">
        <f>IF($G141="","",INDEX('Liste des élèves'!$A$4:$A$1363,$G141))</f>
        <v/>
      </c>
      <c r="B141" s="20" t="str">
        <f>IF($G141="","",INDEX('Liste des élèves'!$D$4:$D$1363,$G141))</f>
        <v/>
      </c>
      <c r="C141" s="21" t="str">
        <f>IF($G141="","",INDEX('Liste des élèves'!$E$4:$E$1363,$G141))</f>
        <v/>
      </c>
      <c r="D141" s="20" t="str">
        <f>IF($G141="","",INDEX('Liste des élèves'!$I$4:$I$1363,$G141))</f>
        <v/>
      </c>
      <c r="E141" s="20" t="str">
        <f>IF($G141="","",INDEX('Liste des élèves'!$J$4:$J$1363,$G141))</f>
        <v/>
      </c>
      <c r="F141" s="51" t="str">
        <f>IF($G141="","",INDEX('Liste des élèves'!$P$4:$P$1363,$G141)+INDEX('Liste des élèves'!$T$4:$T$1363,$G141))</f>
        <v/>
      </c>
      <c r="G141" s="49" t="str">
        <f>IF(G140="","",IFERROR(G140+MATCH("En retard",INDEX('Liste des élèves'!$Q$4:$Q$1363,G140+1):'Liste des élèves'!$Q$1363,0),""))</f>
        <v/>
      </c>
    </row>
    <row r="142">
      <c r="A142" s="20" t="str">
        <f>IF($G142="","",INDEX('Liste des élèves'!$A$4:$A$1363,$G142))</f>
        <v/>
      </c>
      <c r="B142" s="20" t="str">
        <f>IF($G142="","",INDEX('Liste des élèves'!$D$4:$D$1363,$G142))</f>
        <v/>
      </c>
      <c r="C142" s="21" t="str">
        <f>IF($G142="","",INDEX('Liste des élèves'!$E$4:$E$1363,$G142))</f>
        <v/>
      </c>
      <c r="D142" s="20" t="str">
        <f>IF($G142="","",INDEX('Liste des élèves'!$I$4:$I$1363,$G142))</f>
        <v/>
      </c>
      <c r="E142" s="20" t="str">
        <f>IF($G142="","",INDEX('Liste des élèves'!$J$4:$J$1363,$G142))</f>
        <v/>
      </c>
      <c r="F142" s="51" t="str">
        <f>IF($G142="","",INDEX('Liste des élèves'!$P$4:$P$1363,$G142)+INDEX('Liste des élèves'!$T$4:$T$1363,$G142))</f>
        <v/>
      </c>
      <c r="G142" s="49" t="str">
        <f>IF(G141="","",IFERROR(G141+MATCH("En retard",INDEX('Liste des élèves'!$Q$4:$Q$1363,G141+1):'Liste des élèves'!$Q$1363,0),""))</f>
        <v/>
      </c>
    </row>
    <row r="143">
      <c r="A143" s="20" t="str">
        <f>IF($G143="","",INDEX('Liste des élèves'!$A$4:$A$1363,$G143))</f>
        <v/>
      </c>
      <c r="B143" s="20" t="str">
        <f>IF($G143="","",INDEX('Liste des élèves'!$D$4:$D$1363,$G143))</f>
        <v/>
      </c>
      <c r="C143" s="21" t="str">
        <f>IF($G143="","",INDEX('Liste des élèves'!$E$4:$E$1363,$G143))</f>
        <v/>
      </c>
      <c r="D143" s="20" t="str">
        <f>IF($G143="","",INDEX('Liste des élèves'!$I$4:$I$1363,$G143))</f>
        <v/>
      </c>
      <c r="E143" s="20" t="str">
        <f>IF($G143="","",INDEX('Liste des élèves'!$J$4:$J$1363,$G143))</f>
        <v/>
      </c>
      <c r="F143" s="51" t="str">
        <f>IF($G143="","",INDEX('Liste des élèves'!$P$4:$P$1363,$G143)+INDEX('Liste des élèves'!$T$4:$T$1363,$G143))</f>
        <v/>
      </c>
      <c r="G143" s="49" t="str">
        <f>IF(G142="","",IFERROR(G142+MATCH("En retard",INDEX('Liste des élèves'!$Q$4:$Q$1363,G142+1):'Liste des élèves'!$Q$1363,0),""))</f>
        <v/>
      </c>
    </row>
    <row r="144">
      <c r="A144" s="20" t="str">
        <f>IF($G144="","",INDEX('Liste des élèves'!$A$4:$A$1363,$G144))</f>
        <v/>
      </c>
      <c r="B144" s="20" t="str">
        <f>IF($G144="","",INDEX('Liste des élèves'!$D$4:$D$1363,$G144))</f>
        <v/>
      </c>
      <c r="C144" s="21" t="str">
        <f>IF($G144="","",INDEX('Liste des élèves'!$E$4:$E$1363,$G144))</f>
        <v/>
      </c>
      <c r="D144" s="20" t="str">
        <f>IF($G144="","",INDEX('Liste des élèves'!$I$4:$I$1363,$G144))</f>
        <v/>
      </c>
      <c r="E144" s="20" t="str">
        <f>IF($G144="","",INDEX('Liste des élèves'!$J$4:$J$1363,$G144))</f>
        <v/>
      </c>
      <c r="F144" s="51" t="str">
        <f>IF($G144="","",INDEX('Liste des élèves'!$P$4:$P$1363,$G144)+INDEX('Liste des élèves'!$T$4:$T$1363,$G144))</f>
        <v/>
      </c>
      <c r="G144" s="49" t="str">
        <f>IF(G143="","",IFERROR(G143+MATCH("En retard",INDEX('Liste des élèves'!$Q$4:$Q$1363,G143+1):'Liste des élèves'!$Q$1363,0),""))</f>
        <v/>
      </c>
    </row>
    <row r="145">
      <c r="A145" s="20" t="str">
        <f>IF($G145="","",INDEX('Liste des élèves'!$A$4:$A$1363,$G145))</f>
        <v/>
      </c>
      <c r="B145" s="20" t="str">
        <f>IF($G145="","",INDEX('Liste des élèves'!$D$4:$D$1363,$G145))</f>
        <v/>
      </c>
      <c r="C145" s="21" t="str">
        <f>IF($G145="","",INDEX('Liste des élèves'!$E$4:$E$1363,$G145))</f>
        <v/>
      </c>
      <c r="D145" s="20" t="str">
        <f>IF($G145="","",INDEX('Liste des élèves'!$I$4:$I$1363,$G145))</f>
        <v/>
      </c>
      <c r="E145" s="20" t="str">
        <f>IF($G145="","",INDEX('Liste des élèves'!$J$4:$J$1363,$G145))</f>
        <v/>
      </c>
      <c r="F145" s="51" t="str">
        <f>IF($G145="","",INDEX('Liste des élèves'!$P$4:$P$1363,$G145)+INDEX('Liste des élèves'!$T$4:$T$1363,$G145))</f>
        <v/>
      </c>
      <c r="G145" s="49" t="str">
        <f>IF(G144="","",IFERROR(G144+MATCH("En retard",INDEX('Liste des élèves'!$Q$4:$Q$1363,G144+1):'Liste des élèves'!$Q$1363,0),""))</f>
        <v/>
      </c>
    </row>
    <row r="146">
      <c r="A146" s="20" t="str">
        <f>IF($G146="","",INDEX('Liste des élèves'!$A$4:$A$1363,$G146))</f>
        <v/>
      </c>
      <c r="B146" s="20" t="str">
        <f>IF($G146="","",INDEX('Liste des élèves'!$D$4:$D$1363,$G146))</f>
        <v/>
      </c>
      <c r="C146" s="21" t="str">
        <f>IF($G146="","",INDEX('Liste des élèves'!$E$4:$E$1363,$G146))</f>
        <v/>
      </c>
      <c r="D146" s="20" t="str">
        <f>IF($G146="","",INDEX('Liste des élèves'!$I$4:$I$1363,$G146))</f>
        <v/>
      </c>
      <c r="E146" s="20" t="str">
        <f>IF($G146="","",INDEX('Liste des élèves'!$J$4:$J$1363,$G146))</f>
        <v/>
      </c>
      <c r="F146" s="51" t="str">
        <f>IF($G146="","",INDEX('Liste des élèves'!$P$4:$P$1363,$G146)+INDEX('Liste des élèves'!$T$4:$T$1363,$G146))</f>
        <v/>
      </c>
      <c r="G146" s="49" t="str">
        <f>IF(G145="","",IFERROR(G145+MATCH("En retard",INDEX('Liste des élèves'!$Q$4:$Q$1363,G145+1):'Liste des élèves'!$Q$1363,0),""))</f>
        <v/>
      </c>
    </row>
    <row r="147">
      <c r="A147" s="20" t="str">
        <f>IF($G147="","",INDEX('Liste des élèves'!$A$4:$A$1363,$G147))</f>
        <v/>
      </c>
      <c r="B147" s="20" t="str">
        <f>IF($G147="","",INDEX('Liste des élèves'!$D$4:$D$1363,$G147))</f>
        <v/>
      </c>
      <c r="C147" s="21" t="str">
        <f>IF($G147="","",INDEX('Liste des élèves'!$E$4:$E$1363,$G147))</f>
        <v/>
      </c>
      <c r="D147" s="20" t="str">
        <f>IF($G147="","",INDEX('Liste des élèves'!$I$4:$I$1363,$G147))</f>
        <v/>
      </c>
      <c r="E147" s="20" t="str">
        <f>IF($G147="","",INDEX('Liste des élèves'!$J$4:$J$1363,$G147))</f>
        <v/>
      </c>
      <c r="F147" s="51" t="str">
        <f>IF($G147="","",INDEX('Liste des élèves'!$P$4:$P$1363,$G147)+INDEX('Liste des élèves'!$T$4:$T$1363,$G147))</f>
        <v/>
      </c>
      <c r="G147" s="49" t="str">
        <f>IF(G146="","",IFERROR(G146+MATCH("En retard",INDEX('Liste des élèves'!$Q$4:$Q$1363,G146+1):'Liste des élèves'!$Q$1363,0),""))</f>
        <v/>
      </c>
    </row>
    <row r="148">
      <c r="A148" s="20" t="str">
        <f>IF($G148="","",INDEX('Liste des élèves'!$A$4:$A$1363,$G148))</f>
        <v/>
      </c>
      <c r="B148" s="20" t="str">
        <f>IF($G148="","",INDEX('Liste des élèves'!$D$4:$D$1363,$G148))</f>
        <v/>
      </c>
      <c r="C148" s="21" t="str">
        <f>IF($G148="","",INDEX('Liste des élèves'!$E$4:$E$1363,$G148))</f>
        <v/>
      </c>
      <c r="D148" s="20" t="str">
        <f>IF($G148="","",INDEX('Liste des élèves'!$I$4:$I$1363,$G148))</f>
        <v/>
      </c>
      <c r="E148" s="20" t="str">
        <f>IF($G148="","",INDEX('Liste des élèves'!$J$4:$J$1363,$G148))</f>
        <v/>
      </c>
      <c r="F148" s="51" t="str">
        <f>IF($G148="","",INDEX('Liste des élèves'!$P$4:$P$1363,$G148)+INDEX('Liste des élèves'!$T$4:$T$1363,$G148))</f>
        <v/>
      </c>
      <c r="G148" s="49" t="str">
        <f>IF(G147="","",IFERROR(G147+MATCH("En retard",INDEX('Liste des élèves'!$Q$4:$Q$1363,G147+1):'Liste des élèves'!$Q$1363,0),""))</f>
        <v/>
      </c>
    </row>
    <row r="149">
      <c r="A149" s="20" t="str">
        <f>IF($G149="","",INDEX('Liste des élèves'!$A$4:$A$1363,$G149))</f>
        <v/>
      </c>
      <c r="B149" s="20" t="str">
        <f>IF($G149="","",INDEX('Liste des élèves'!$D$4:$D$1363,$G149))</f>
        <v/>
      </c>
      <c r="C149" s="21" t="str">
        <f>IF($G149="","",INDEX('Liste des élèves'!$E$4:$E$1363,$G149))</f>
        <v/>
      </c>
      <c r="D149" s="20" t="str">
        <f>IF($G149="","",INDEX('Liste des élèves'!$I$4:$I$1363,$G149))</f>
        <v/>
      </c>
      <c r="E149" s="20" t="str">
        <f>IF($G149="","",INDEX('Liste des élèves'!$J$4:$J$1363,$G149))</f>
        <v/>
      </c>
      <c r="F149" s="51" t="str">
        <f>IF($G149="","",INDEX('Liste des élèves'!$P$4:$P$1363,$G149)+INDEX('Liste des élèves'!$T$4:$T$1363,$G149))</f>
        <v/>
      </c>
      <c r="G149" s="49" t="str">
        <f>IF(G148="","",IFERROR(G148+MATCH("En retard",INDEX('Liste des élèves'!$Q$4:$Q$1363,G148+1):'Liste des élèves'!$Q$1363,0),""))</f>
        <v/>
      </c>
    </row>
    <row r="150">
      <c r="A150" s="20" t="str">
        <f>IF($G150="","",INDEX('Liste des élèves'!$A$4:$A$1363,$G150))</f>
        <v/>
      </c>
      <c r="B150" s="20" t="str">
        <f>IF($G150="","",INDEX('Liste des élèves'!$D$4:$D$1363,$G150))</f>
        <v/>
      </c>
      <c r="C150" s="21" t="str">
        <f>IF($G150="","",INDEX('Liste des élèves'!$E$4:$E$1363,$G150))</f>
        <v/>
      </c>
      <c r="D150" s="20" t="str">
        <f>IF($G150="","",INDEX('Liste des élèves'!$I$4:$I$1363,$G150))</f>
        <v/>
      </c>
      <c r="E150" s="20" t="str">
        <f>IF($G150="","",INDEX('Liste des élèves'!$J$4:$J$1363,$G150))</f>
        <v/>
      </c>
      <c r="F150" s="51" t="str">
        <f>IF($G150="","",INDEX('Liste des élèves'!$P$4:$P$1363,$G150)+INDEX('Liste des élèves'!$T$4:$T$1363,$G150))</f>
        <v/>
      </c>
      <c r="G150" s="49" t="str">
        <f>IF(G149="","",IFERROR(G149+MATCH("En retard",INDEX('Liste des élèves'!$Q$4:$Q$1363,G149+1):'Liste des élèves'!$Q$1363,0),""))</f>
        <v/>
      </c>
    </row>
    <row r="151">
      <c r="A151" s="20" t="str">
        <f>IF($G151="","",INDEX('Liste des élèves'!$A$4:$A$1363,$G151))</f>
        <v/>
      </c>
      <c r="B151" s="20" t="str">
        <f>IF($G151="","",INDEX('Liste des élèves'!$D$4:$D$1363,$G151))</f>
        <v/>
      </c>
      <c r="C151" s="21" t="str">
        <f>IF($G151="","",INDEX('Liste des élèves'!$E$4:$E$1363,$G151))</f>
        <v/>
      </c>
      <c r="D151" s="20" t="str">
        <f>IF($G151="","",INDEX('Liste des élèves'!$I$4:$I$1363,$G151))</f>
        <v/>
      </c>
      <c r="E151" s="20" t="str">
        <f>IF($G151="","",INDEX('Liste des élèves'!$J$4:$J$1363,$G151))</f>
        <v/>
      </c>
      <c r="F151" s="51" t="str">
        <f>IF($G151="","",INDEX('Liste des élèves'!$P$4:$P$1363,$G151)+INDEX('Liste des élèves'!$T$4:$T$1363,$G151))</f>
        <v/>
      </c>
      <c r="G151" s="49" t="str">
        <f>IF(G150="","",IFERROR(G150+MATCH("En retard",INDEX('Liste des élèves'!$Q$4:$Q$1363,G150+1):'Liste des élèves'!$Q$1363,0),""))</f>
        <v/>
      </c>
    </row>
    <row r="152">
      <c r="A152" s="20" t="str">
        <f>IF($G152="","",INDEX('Liste des élèves'!$A$4:$A$1363,$G152))</f>
        <v/>
      </c>
      <c r="B152" s="20" t="str">
        <f>IF($G152="","",INDEX('Liste des élèves'!$D$4:$D$1363,$G152))</f>
        <v/>
      </c>
      <c r="C152" s="21" t="str">
        <f>IF($G152="","",INDEX('Liste des élèves'!$E$4:$E$1363,$G152))</f>
        <v/>
      </c>
      <c r="D152" s="20" t="str">
        <f>IF($G152="","",INDEX('Liste des élèves'!$I$4:$I$1363,$G152))</f>
        <v/>
      </c>
      <c r="E152" s="20" t="str">
        <f>IF($G152="","",INDEX('Liste des élèves'!$J$4:$J$1363,$G152))</f>
        <v/>
      </c>
      <c r="F152" s="51" t="str">
        <f>IF($G152="","",INDEX('Liste des élèves'!$P$4:$P$1363,$G152)+INDEX('Liste des élèves'!$T$4:$T$1363,$G152))</f>
        <v/>
      </c>
      <c r="G152" s="49" t="str">
        <f>IF(G151="","",IFERROR(G151+MATCH("En retard",INDEX('Liste des élèves'!$Q$4:$Q$1363,G151+1):'Liste des élèves'!$Q$1363,0),""))</f>
        <v/>
      </c>
    </row>
    <row r="153">
      <c r="A153" s="20" t="str">
        <f>IF($G153="","",INDEX('Liste des élèves'!$A$4:$A$1363,$G153))</f>
        <v/>
      </c>
      <c r="B153" s="20" t="str">
        <f>IF($G153="","",INDEX('Liste des élèves'!$D$4:$D$1363,$G153))</f>
        <v/>
      </c>
      <c r="C153" s="21" t="str">
        <f>IF($G153="","",INDEX('Liste des élèves'!$E$4:$E$1363,$G153))</f>
        <v/>
      </c>
      <c r="D153" s="20" t="str">
        <f>IF($G153="","",INDEX('Liste des élèves'!$I$4:$I$1363,$G153))</f>
        <v/>
      </c>
      <c r="E153" s="20" t="str">
        <f>IF($G153="","",INDEX('Liste des élèves'!$J$4:$J$1363,$G153))</f>
        <v/>
      </c>
      <c r="F153" s="51" t="str">
        <f>IF($G153="","",INDEX('Liste des élèves'!$P$4:$P$1363,$G153)+INDEX('Liste des élèves'!$T$4:$T$1363,$G153))</f>
        <v/>
      </c>
      <c r="G153" s="49" t="str">
        <f>IF(G152="","",IFERROR(G152+MATCH("En retard",INDEX('Liste des élèves'!$Q$4:$Q$1363,G152+1):'Liste des élèves'!$Q$1363,0),""))</f>
        <v/>
      </c>
    </row>
    <row r="154">
      <c r="A154" s="20" t="str">
        <f>IF($G154="","",INDEX('Liste des élèves'!$A$4:$A$1363,$G154))</f>
        <v/>
      </c>
      <c r="B154" s="20" t="str">
        <f>IF($G154="","",INDEX('Liste des élèves'!$D$4:$D$1363,$G154))</f>
        <v/>
      </c>
      <c r="C154" s="21" t="str">
        <f>IF($G154="","",INDEX('Liste des élèves'!$E$4:$E$1363,$G154))</f>
        <v/>
      </c>
      <c r="D154" s="20" t="str">
        <f>IF($G154="","",INDEX('Liste des élèves'!$I$4:$I$1363,$G154))</f>
        <v/>
      </c>
      <c r="E154" s="20" t="str">
        <f>IF($G154="","",INDEX('Liste des élèves'!$J$4:$J$1363,$G154))</f>
        <v/>
      </c>
      <c r="F154" s="51" t="str">
        <f>IF($G154="","",INDEX('Liste des élèves'!$P$4:$P$1363,$G154)+INDEX('Liste des élèves'!$T$4:$T$1363,$G154))</f>
        <v/>
      </c>
      <c r="G154" s="49" t="str">
        <f>IF(G153="","",IFERROR(G153+MATCH("En retard",INDEX('Liste des élèves'!$Q$4:$Q$1363,G153+1):'Liste des élèves'!$Q$1363,0),""))</f>
        <v/>
      </c>
    </row>
    <row r="155">
      <c r="A155" s="20" t="str">
        <f>IF($G155="","",INDEX('Liste des élèves'!$A$4:$A$1363,$G155))</f>
        <v/>
      </c>
      <c r="B155" s="20" t="str">
        <f>IF($G155="","",INDEX('Liste des élèves'!$D$4:$D$1363,$G155))</f>
        <v/>
      </c>
      <c r="C155" s="21" t="str">
        <f>IF($G155="","",INDEX('Liste des élèves'!$E$4:$E$1363,$G155))</f>
        <v/>
      </c>
      <c r="D155" s="20" t="str">
        <f>IF($G155="","",INDEX('Liste des élèves'!$I$4:$I$1363,$G155))</f>
        <v/>
      </c>
      <c r="E155" s="20" t="str">
        <f>IF($G155="","",INDEX('Liste des élèves'!$J$4:$J$1363,$G155))</f>
        <v/>
      </c>
      <c r="F155" s="51" t="str">
        <f>IF($G155="","",INDEX('Liste des élèves'!$P$4:$P$1363,$G155)+INDEX('Liste des élèves'!$T$4:$T$1363,$G155))</f>
        <v/>
      </c>
      <c r="G155" s="49" t="str">
        <f>IF(G154="","",IFERROR(G154+MATCH("En retard",INDEX('Liste des élèves'!$Q$4:$Q$1363,G154+1):'Liste des élèves'!$Q$1363,0),""))</f>
        <v/>
      </c>
    </row>
    <row r="156">
      <c r="A156" s="20" t="str">
        <f>IF($G156="","",INDEX('Liste des élèves'!$A$4:$A$1363,$G156))</f>
        <v/>
      </c>
      <c r="B156" s="20" t="str">
        <f>IF($G156="","",INDEX('Liste des élèves'!$D$4:$D$1363,$G156))</f>
        <v/>
      </c>
      <c r="C156" s="21" t="str">
        <f>IF($G156="","",INDEX('Liste des élèves'!$E$4:$E$1363,$G156))</f>
        <v/>
      </c>
      <c r="D156" s="20" t="str">
        <f>IF($G156="","",INDEX('Liste des élèves'!$I$4:$I$1363,$G156))</f>
        <v/>
      </c>
      <c r="E156" s="20" t="str">
        <f>IF($G156="","",INDEX('Liste des élèves'!$J$4:$J$1363,$G156))</f>
        <v/>
      </c>
      <c r="F156" s="51" t="str">
        <f>IF($G156="","",INDEX('Liste des élèves'!$P$4:$P$1363,$G156)+INDEX('Liste des élèves'!$T$4:$T$1363,$G156))</f>
        <v/>
      </c>
      <c r="G156" s="49" t="str">
        <f>IF(G155="","",IFERROR(G155+MATCH("En retard",INDEX('Liste des élèves'!$Q$4:$Q$1363,G155+1):'Liste des élèves'!$Q$1363,0),""))</f>
        <v/>
      </c>
    </row>
    <row r="157">
      <c r="A157" s="20" t="str">
        <f>IF($G157="","",INDEX('Liste des élèves'!$A$4:$A$1363,$G157))</f>
        <v/>
      </c>
      <c r="B157" s="20" t="str">
        <f>IF($G157="","",INDEX('Liste des élèves'!$D$4:$D$1363,$G157))</f>
        <v/>
      </c>
      <c r="C157" s="21" t="str">
        <f>IF($G157="","",INDEX('Liste des élèves'!$E$4:$E$1363,$G157))</f>
        <v/>
      </c>
      <c r="D157" s="20" t="str">
        <f>IF($G157="","",INDEX('Liste des élèves'!$I$4:$I$1363,$G157))</f>
        <v/>
      </c>
      <c r="E157" s="20" t="str">
        <f>IF($G157="","",INDEX('Liste des élèves'!$J$4:$J$1363,$G157))</f>
        <v/>
      </c>
      <c r="F157" s="51" t="str">
        <f>IF($G157="","",INDEX('Liste des élèves'!$P$4:$P$1363,$G157)+INDEX('Liste des élèves'!$T$4:$T$1363,$G157))</f>
        <v/>
      </c>
      <c r="G157" s="49" t="str">
        <f>IF(G156="","",IFERROR(G156+MATCH("En retard",INDEX('Liste des élèves'!$Q$4:$Q$1363,G156+1):'Liste des élèves'!$Q$1363,0),""))</f>
        <v/>
      </c>
    </row>
    <row r="158">
      <c r="A158" s="20" t="str">
        <f>IF($G158="","",INDEX('Liste des élèves'!$A$4:$A$1363,$G158))</f>
        <v/>
      </c>
      <c r="B158" s="20" t="str">
        <f>IF($G158="","",INDEX('Liste des élèves'!$D$4:$D$1363,$G158))</f>
        <v/>
      </c>
      <c r="C158" s="21" t="str">
        <f>IF($G158="","",INDEX('Liste des élèves'!$E$4:$E$1363,$G158))</f>
        <v/>
      </c>
      <c r="D158" s="20" t="str">
        <f>IF($G158="","",INDEX('Liste des élèves'!$I$4:$I$1363,$G158))</f>
        <v/>
      </c>
      <c r="E158" s="20" t="str">
        <f>IF($G158="","",INDEX('Liste des élèves'!$J$4:$J$1363,$G158))</f>
        <v/>
      </c>
      <c r="F158" s="51" t="str">
        <f>IF($G158="","",INDEX('Liste des élèves'!$P$4:$P$1363,$G158)+INDEX('Liste des élèves'!$T$4:$T$1363,$G158))</f>
        <v/>
      </c>
      <c r="G158" s="49" t="str">
        <f>IF(G157="","",IFERROR(G157+MATCH("En retard",INDEX('Liste des élèves'!$Q$4:$Q$1363,G157+1):'Liste des élèves'!$Q$1363,0),""))</f>
        <v/>
      </c>
    </row>
    <row r="159">
      <c r="A159" s="20" t="str">
        <f>IF($G159="","",INDEX('Liste des élèves'!$A$4:$A$1363,$G159))</f>
        <v/>
      </c>
      <c r="B159" s="20" t="str">
        <f>IF($G159="","",INDEX('Liste des élèves'!$D$4:$D$1363,$G159))</f>
        <v/>
      </c>
      <c r="C159" s="21" t="str">
        <f>IF($G159="","",INDEX('Liste des élèves'!$E$4:$E$1363,$G159))</f>
        <v/>
      </c>
      <c r="D159" s="20" t="str">
        <f>IF($G159="","",INDEX('Liste des élèves'!$I$4:$I$1363,$G159))</f>
        <v/>
      </c>
      <c r="E159" s="20" t="str">
        <f>IF($G159="","",INDEX('Liste des élèves'!$J$4:$J$1363,$G159))</f>
        <v/>
      </c>
      <c r="F159" s="51" t="str">
        <f>IF($G159="","",INDEX('Liste des élèves'!$P$4:$P$1363,$G159)+INDEX('Liste des élèves'!$T$4:$T$1363,$G159))</f>
        <v/>
      </c>
      <c r="G159" s="49" t="str">
        <f>IF(G158="","",IFERROR(G158+MATCH("En retard",INDEX('Liste des élèves'!$Q$4:$Q$1363,G158+1):'Liste des élèves'!$Q$1363,0),""))</f>
        <v/>
      </c>
    </row>
    <row r="160">
      <c r="A160" s="20" t="str">
        <f>IF($G160="","",INDEX('Liste des élèves'!$A$4:$A$1363,$G160))</f>
        <v/>
      </c>
      <c r="B160" s="20" t="str">
        <f>IF($G160="","",INDEX('Liste des élèves'!$D$4:$D$1363,$G160))</f>
        <v/>
      </c>
      <c r="C160" s="21" t="str">
        <f>IF($G160="","",INDEX('Liste des élèves'!$E$4:$E$1363,$G160))</f>
        <v/>
      </c>
      <c r="D160" s="20" t="str">
        <f>IF($G160="","",INDEX('Liste des élèves'!$I$4:$I$1363,$G160))</f>
        <v/>
      </c>
      <c r="E160" s="20" t="str">
        <f>IF($G160="","",INDEX('Liste des élèves'!$J$4:$J$1363,$G160))</f>
        <v/>
      </c>
      <c r="F160" s="51" t="str">
        <f>IF($G160="","",INDEX('Liste des élèves'!$P$4:$P$1363,$G160)+INDEX('Liste des élèves'!$T$4:$T$1363,$G160))</f>
        <v/>
      </c>
      <c r="G160" s="49" t="str">
        <f>IF(G159="","",IFERROR(G159+MATCH("En retard",INDEX('Liste des élèves'!$Q$4:$Q$1363,G159+1):'Liste des élèves'!$Q$1363,0),""))</f>
        <v/>
      </c>
    </row>
    <row r="161">
      <c r="A161" s="20" t="str">
        <f>IF($G161="","",INDEX('Liste des élèves'!$A$4:$A$1363,$G161))</f>
        <v/>
      </c>
      <c r="B161" s="20" t="str">
        <f>IF($G161="","",INDEX('Liste des élèves'!$D$4:$D$1363,$G161))</f>
        <v/>
      </c>
      <c r="C161" s="21" t="str">
        <f>IF($G161="","",INDEX('Liste des élèves'!$E$4:$E$1363,$G161))</f>
        <v/>
      </c>
      <c r="D161" s="20" t="str">
        <f>IF($G161="","",INDEX('Liste des élèves'!$I$4:$I$1363,$G161))</f>
        <v/>
      </c>
      <c r="E161" s="20" t="str">
        <f>IF($G161="","",INDEX('Liste des élèves'!$J$4:$J$1363,$G161))</f>
        <v/>
      </c>
      <c r="F161" s="51" t="str">
        <f>IF($G161="","",INDEX('Liste des élèves'!$P$4:$P$1363,$G161)+INDEX('Liste des élèves'!$T$4:$T$1363,$G161))</f>
        <v/>
      </c>
      <c r="G161" s="49" t="str">
        <f>IF(G160="","",IFERROR(G160+MATCH("En retard",INDEX('Liste des élèves'!$Q$4:$Q$1363,G160+1):'Liste des élèves'!$Q$1363,0),""))</f>
        <v/>
      </c>
    </row>
    <row r="162">
      <c r="A162" s="20" t="str">
        <f>IF($G162="","",INDEX('Liste des élèves'!$A$4:$A$1363,$G162))</f>
        <v/>
      </c>
      <c r="B162" s="20" t="str">
        <f>IF($G162="","",INDEX('Liste des élèves'!$D$4:$D$1363,$G162))</f>
        <v/>
      </c>
      <c r="C162" s="21" t="str">
        <f>IF($G162="","",INDEX('Liste des élèves'!$E$4:$E$1363,$G162))</f>
        <v/>
      </c>
      <c r="D162" s="20" t="str">
        <f>IF($G162="","",INDEX('Liste des élèves'!$I$4:$I$1363,$G162))</f>
        <v/>
      </c>
      <c r="E162" s="20" t="str">
        <f>IF($G162="","",INDEX('Liste des élèves'!$J$4:$J$1363,$G162))</f>
        <v/>
      </c>
      <c r="F162" s="51" t="str">
        <f>IF($G162="","",INDEX('Liste des élèves'!$P$4:$P$1363,$G162)+INDEX('Liste des élèves'!$T$4:$T$1363,$G162))</f>
        <v/>
      </c>
      <c r="G162" s="49" t="str">
        <f>IF(G161="","",IFERROR(G161+MATCH("En retard",INDEX('Liste des élèves'!$Q$4:$Q$1363,G161+1):'Liste des élèves'!$Q$1363,0),""))</f>
        <v/>
      </c>
    </row>
    <row r="163">
      <c r="A163" s="20" t="str">
        <f>IF($G163="","",INDEX('Liste des élèves'!$A$4:$A$1363,$G163))</f>
        <v/>
      </c>
      <c r="B163" s="20" t="str">
        <f>IF($G163="","",INDEX('Liste des élèves'!$D$4:$D$1363,$G163))</f>
        <v/>
      </c>
      <c r="C163" s="21" t="str">
        <f>IF($G163="","",INDEX('Liste des élèves'!$E$4:$E$1363,$G163))</f>
        <v/>
      </c>
      <c r="D163" s="20" t="str">
        <f>IF($G163="","",INDEX('Liste des élèves'!$I$4:$I$1363,$G163))</f>
        <v/>
      </c>
      <c r="E163" s="20" t="str">
        <f>IF($G163="","",INDEX('Liste des élèves'!$J$4:$J$1363,$G163))</f>
        <v/>
      </c>
      <c r="F163" s="51" t="str">
        <f>IF($G163="","",INDEX('Liste des élèves'!$P$4:$P$1363,$G163)+INDEX('Liste des élèves'!$T$4:$T$1363,$G163))</f>
        <v/>
      </c>
      <c r="G163" s="49" t="str">
        <f>IF(G162="","",IFERROR(G162+MATCH("En retard",INDEX('Liste des élèves'!$Q$4:$Q$1363,G162+1):'Liste des élèves'!$Q$1363,0),""))</f>
        <v/>
      </c>
    </row>
    <row r="164">
      <c r="A164" s="20" t="str">
        <f>IF($G164="","",INDEX('Liste des élèves'!$A$4:$A$1363,$G164))</f>
        <v/>
      </c>
      <c r="B164" s="20" t="str">
        <f>IF($G164="","",INDEX('Liste des élèves'!$D$4:$D$1363,$G164))</f>
        <v/>
      </c>
      <c r="C164" s="21" t="str">
        <f>IF($G164="","",INDEX('Liste des élèves'!$E$4:$E$1363,$G164))</f>
        <v/>
      </c>
      <c r="D164" s="20" t="str">
        <f>IF($G164="","",INDEX('Liste des élèves'!$I$4:$I$1363,$G164))</f>
        <v/>
      </c>
      <c r="E164" s="20" t="str">
        <f>IF($G164="","",INDEX('Liste des élèves'!$J$4:$J$1363,$G164))</f>
        <v/>
      </c>
      <c r="F164" s="51" t="str">
        <f>IF($G164="","",INDEX('Liste des élèves'!$P$4:$P$1363,$G164)+INDEX('Liste des élèves'!$T$4:$T$1363,$G164))</f>
        <v/>
      </c>
      <c r="G164" s="49" t="str">
        <f>IF(G163="","",IFERROR(G163+MATCH("En retard",INDEX('Liste des élèves'!$Q$4:$Q$1363,G163+1):'Liste des élèves'!$Q$1363,0),""))</f>
        <v/>
      </c>
    </row>
    <row r="165">
      <c r="A165" s="20" t="str">
        <f>IF($G165="","",INDEX('Liste des élèves'!$A$4:$A$1363,$G165))</f>
        <v/>
      </c>
      <c r="B165" s="20" t="str">
        <f>IF($G165="","",INDEX('Liste des élèves'!$D$4:$D$1363,$G165))</f>
        <v/>
      </c>
      <c r="C165" s="21" t="str">
        <f>IF($G165="","",INDEX('Liste des élèves'!$E$4:$E$1363,$G165))</f>
        <v/>
      </c>
      <c r="D165" s="20" t="str">
        <f>IF($G165="","",INDEX('Liste des élèves'!$I$4:$I$1363,$G165))</f>
        <v/>
      </c>
      <c r="E165" s="20" t="str">
        <f>IF($G165="","",INDEX('Liste des élèves'!$J$4:$J$1363,$G165))</f>
        <v/>
      </c>
      <c r="F165" s="51" t="str">
        <f>IF($G165="","",INDEX('Liste des élèves'!$P$4:$P$1363,$G165)+INDEX('Liste des élèves'!$T$4:$T$1363,$G165))</f>
        <v/>
      </c>
      <c r="G165" s="49" t="str">
        <f>IF(G164="","",IFERROR(G164+MATCH("En retard",INDEX('Liste des élèves'!$Q$4:$Q$1363,G164+1):'Liste des élèves'!$Q$1363,0),""))</f>
        <v/>
      </c>
    </row>
    <row r="166">
      <c r="A166" s="20" t="str">
        <f>IF($G166="","",INDEX('Liste des élèves'!$A$4:$A$1363,$G166))</f>
        <v/>
      </c>
      <c r="B166" s="20" t="str">
        <f>IF($G166="","",INDEX('Liste des élèves'!$D$4:$D$1363,$G166))</f>
        <v/>
      </c>
      <c r="C166" s="21" t="str">
        <f>IF($G166="","",INDEX('Liste des élèves'!$E$4:$E$1363,$G166))</f>
        <v/>
      </c>
      <c r="D166" s="20" t="str">
        <f>IF($G166="","",INDEX('Liste des élèves'!$I$4:$I$1363,$G166))</f>
        <v/>
      </c>
      <c r="E166" s="20" t="str">
        <f>IF($G166="","",INDEX('Liste des élèves'!$J$4:$J$1363,$G166))</f>
        <v/>
      </c>
      <c r="F166" s="51" t="str">
        <f>IF($G166="","",INDEX('Liste des élèves'!$P$4:$P$1363,$G166)+INDEX('Liste des élèves'!$T$4:$T$1363,$G166))</f>
        <v/>
      </c>
      <c r="G166" s="49" t="str">
        <f>IF(G165="","",IFERROR(G165+MATCH("En retard",INDEX('Liste des élèves'!$Q$4:$Q$1363,G165+1):'Liste des élèves'!$Q$1363,0),""))</f>
        <v/>
      </c>
    </row>
    <row r="167">
      <c r="A167" s="20" t="str">
        <f>IF($G167="","",INDEX('Liste des élèves'!$A$4:$A$1363,$G167))</f>
        <v/>
      </c>
      <c r="B167" s="20" t="str">
        <f>IF($G167="","",INDEX('Liste des élèves'!$D$4:$D$1363,$G167))</f>
        <v/>
      </c>
      <c r="C167" s="21" t="str">
        <f>IF($G167="","",INDEX('Liste des élèves'!$E$4:$E$1363,$G167))</f>
        <v/>
      </c>
      <c r="D167" s="20" t="str">
        <f>IF($G167="","",INDEX('Liste des élèves'!$I$4:$I$1363,$G167))</f>
        <v/>
      </c>
      <c r="E167" s="20" t="str">
        <f>IF($G167="","",INDEX('Liste des élèves'!$J$4:$J$1363,$G167))</f>
        <v/>
      </c>
      <c r="F167" s="51" t="str">
        <f>IF($G167="","",INDEX('Liste des élèves'!$P$4:$P$1363,$G167)+INDEX('Liste des élèves'!$T$4:$T$1363,$G167))</f>
        <v/>
      </c>
      <c r="G167" s="49" t="str">
        <f>IF(G166="","",IFERROR(G166+MATCH("En retard",INDEX('Liste des élèves'!$Q$4:$Q$1363,G166+1):'Liste des élèves'!$Q$1363,0),""))</f>
        <v/>
      </c>
    </row>
    <row r="168">
      <c r="A168" s="20" t="str">
        <f>IF($G168="","",INDEX('Liste des élèves'!$A$4:$A$1363,$G168))</f>
        <v/>
      </c>
      <c r="B168" s="20" t="str">
        <f>IF($G168="","",INDEX('Liste des élèves'!$D$4:$D$1363,$G168))</f>
        <v/>
      </c>
      <c r="C168" s="21" t="str">
        <f>IF($G168="","",INDEX('Liste des élèves'!$E$4:$E$1363,$G168))</f>
        <v/>
      </c>
      <c r="D168" s="20" t="str">
        <f>IF($G168="","",INDEX('Liste des élèves'!$I$4:$I$1363,$G168))</f>
        <v/>
      </c>
      <c r="E168" s="20" t="str">
        <f>IF($G168="","",INDEX('Liste des élèves'!$J$4:$J$1363,$G168))</f>
        <v/>
      </c>
      <c r="F168" s="51" t="str">
        <f>IF($G168="","",INDEX('Liste des élèves'!$P$4:$P$1363,$G168)+INDEX('Liste des élèves'!$T$4:$T$1363,$G168))</f>
        <v/>
      </c>
      <c r="G168" s="49" t="str">
        <f>IF(G167="","",IFERROR(G167+MATCH("En retard",INDEX('Liste des élèves'!$Q$4:$Q$1363,G167+1):'Liste des élèves'!$Q$1363,0),""))</f>
        <v/>
      </c>
    </row>
    <row r="169">
      <c r="A169" s="20" t="str">
        <f>IF($G169="","",INDEX('Liste des élèves'!$A$4:$A$1363,$G169))</f>
        <v/>
      </c>
      <c r="B169" s="20" t="str">
        <f>IF($G169="","",INDEX('Liste des élèves'!$D$4:$D$1363,$G169))</f>
        <v/>
      </c>
      <c r="C169" s="21" t="str">
        <f>IF($G169="","",INDEX('Liste des élèves'!$E$4:$E$1363,$G169))</f>
        <v/>
      </c>
      <c r="D169" s="20" t="str">
        <f>IF($G169="","",INDEX('Liste des élèves'!$I$4:$I$1363,$G169))</f>
        <v/>
      </c>
      <c r="E169" s="20" t="str">
        <f>IF($G169="","",INDEX('Liste des élèves'!$J$4:$J$1363,$G169))</f>
        <v/>
      </c>
      <c r="F169" s="51" t="str">
        <f>IF($G169="","",INDEX('Liste des élèves'!$P$4:$P$1363,$G169)+INDEX('Liste des élèves'!$T$4:$T$1363,$G169))</f>
        <v/>
      </c>
      <c r="G169" s="49" t="str">
        <f>IF(G168="","",IFERROR(G168+MATCH("En retard",INDEX('Liste des élèves'!$Q$4:$Q$1363,G168+1):'Liste des élèves'!$Q$1363,0),""))</f>
        <v/>
      </c>
    </row>
    <row r="170">
      <c r="A170" s="20" t="str">
        <f>IF($G170="","",INDEX('Liste des élèves'!$A$4:$A$1363,$G170))</f>
        <v/>
      </c>
      <c r="B170" s="20" t="str">
        <f>IF($G170="","",INDEX('Liste des élèves'!$D$4:$D$1363,$G170))</f>
        <v/>
      </c>
      <c r="C170" s="21" t="str">
        <f>IF($G170="","",INDEX('Liste des élèves'!$E$4:$E$1363,$G170))</f>
        <v/>
      </c>
      <c r="D170" s="20" t="str">
        <f>IF($G170="","",INDEX('Liste des élèves'!$I$4:$I$1363,$G170))</f>
        <v/>
      </c>
      <c r="E170" s="20" t="str">
        <f>IF($G170="","",INDEX('Liste des élèves'!$J$4:$J$1363,$G170))</f>
        <v/>
      </c>
      <c r="F170" s="51" t="str">
        <f>IF($G170="","",INDEX('Liste des élèves'!$P$4:$P$1363,$G170)+INDEX('Liste des élèves'!$T$4:$T$1363,$G170))</f>
        <v/>
      </c>
      <c r="G170" s="49" t="str">
        <f>IF(G169="","",IFERROR(G169+MATCH("En retard",INDEX('Liste des élèves'!$Q$4:$Q$1363,G169+1):'Liste des élèves'!$Q$1363,0),""))</f>
        <v/>
      </c>
    </row>
    <row r="171">
      <c r="A171" s="20" t="str">
        <f>IF($G171="","",INDEX('Liste des élèves'!$A$4:$A$1363,$G171))</f>
        <v/>
      </c>
      <c r="B171" s="20" t="str">
        <f>IF($G171="","",INDEX('Liste des élèves'!$D$4:$D$1363,$G171))</f>
        <v/>
      </c>
      <c r="C171" s="21" t="str">
        <f>IF($G171="","",INDEX('Liste des élèves'!$E$4:$E$1363,$G171))</f>
        <v/>
      </c>
      <c r="D171" s="20" t="str">
        <f>IF($G171="","",INDEX('Liste des élèves'!$I$4:$I$1363,$G171))</f>
        <v/>
      </c>
      <c r="E171" s="20" t="str">
        <f>IF($G171="","",INDEX('Liste des élèves'!$J$4:$J$1363,$G171))</f>
        <v/>
      </c>
      <c r="F171" s="51" t="str">
        <f>IF($G171="","",INDEX('Liste des élèves'!$P$4:$P$1363,$G171)+INDEX('Liste des élèves'!$T$4:$T$1363,$G171))</f>
        <v/>
      </c>
      <c r="G171" s="49" t="str">
        <f>IF(G170="","",IFERROR(G170+MATCH("En retard",INDEX('Liste des élèves'!$Q$4:$Q$1363,G170+1):'Liste des élèves'!$Q$1363,0),""))</f>
        <v/>
      </c>
    </row>
    <row r="172">
      <c r="A172" s="20" t="str">
        <f>IF($G172="","",INDEX('Liste des élèves'!$A$4:$A$1363,$G172))</f>
        <v/>
      </c>
      <c r="B172" s="20" t="str">
        <f>IF($G172="","",INDEX('Liste des élèves'!$D$4:$D$1363,$G172))</f>
        <v/>
      </c>
      <c r="C172" s="21" t="str">
        <f>IF($G172="","",INDEX('Liste des élèves'!$E$4:$E$1363,$G172))</f>
        <v/>
      </c>
      <c r="D172" s="20" t="str">
        <f>IF($G172="","",INDEX('Liste des élèves'!$I$4:$I$1363,$G172))</f>
        <v/>
      </c>
      <c r="E172" s="20" t="str">
        <f>IF($G172="","",INDEX('Liste des élèves'!$J$4:$J$1363,$G172))</f>
        <v/>
      </c>
      <c r="F172" s="51" t="str">
        <f>IF($G172="","",INDEX('Liste des élèves'!$P$4:$P$1363,$G172)+INDEX('Liste des élèves'!$T$4:$T$1363,$G172))</f>
        <v/>
      </c>
      <c r="G172" s="49" t="str">
        <f>IF(G171="","",IFERROR(G171+MATCH("En retard",INDEX('Liste des élèves'!$Q$4:$Q$1363,G171+1):'Liste des élèves'!$Q$1363,0),""))</f>
        <v/>
      </c>
    </row>
    <row r="173">
      <c r="A173" s="20" t="str">
        <f>IF($G173="","",INDEX('Liste des élèves'!$A$4:$A$1363,$G173))</f>
        <v/>
      </c>
      <c r="B173" s="20" t="str">
        <f>IF($G173="","",INDEX('Liste des élèves'!$D$4:$D$1363,$G173))</f>
        <v/>
      </c>
      <c r="C173" s="21" t="str">
        <f>IF($G173="","",INDEX('Liste des élèves'!$E$4:$E$1363,$G173))</f>
        <v/>
      </c>
      <c r="D173" s="20" t="str">
        <f>IF($G173="","",INDEX('Liste des élèves'!$I$4:$I$1363,$G173))</f>
        <v/>
      </c>
      <c r="E173" s="20" t="str">
        <f>IF($G173="","",INDEX('Liste des élèves'!$J$4:$J$1363,$G173))</f>
        <v/>
      </c>
      <c r="F173" s="51" t="str">
        <f>IF($G173="","",INDEX('Liste des élèves'!$P$4:$P$1363,$G173)+INDEX('Liste des élèves'!$T$4:$T$1363,$G173))</f>
        <v/>
      </c>
      <c r="G173" s="49" t="str">
        <f>IF(G172="","",IFERROR(G172+MATCH("En retard",INDEX('Liste des élèves'!$Q$4:$Q$1363,G172+1):'Liste des élèves'!$Q$1363,0),""))</f>
        <v/>
      </c>
    </row>
    <row r="174">
      <c r="A174" s="20" t="str">
        <f>IF($G174="","",INDEX('Liste des élèves'!$A$4:$A$1363,$G174))</f>
        <v/>
      </c>
      <c r="B174" s="20" t="str">
        <f>IF($G174="","",INDEX('Liste des élèves'!$D$4:$D$1363,$G174))</f>
        <v/>
      </c>
      <c r="C174" s="21" t="str">
        <f>IF($G174="","",INDEX('Liste des élèves'!$E$4:$E$1363,$G174))</f>
        <v/>
      </c>
      <c r="D174" s="20" t="str">
        <f>IF($G174="","",INDEX('Liste des élèves'!$I$4:$I$1363,$G174))</f>
        <v/>
      </c>
      <c r="E174" s="20" t="str">
        <f>IF($G174="","",INDEX('Liste des élèves'!$J$4:$J$1363,$G174))</f>
        <v/>
      </c>
      <c r="F174" s="51" t="str">
        <f>IF($G174="","",INDEX('Liste des élèves'!$P$4:$P$1363,$G174)+INDEX('Liste des élèves'!$T$4:$T$1363,$G174))</f>
        <v/>
      </c>
      <c r="G174" s="49" t="str">
        <f>IF(G173="","",IFERROR(G173+MATCH("En retard",INDEX('Liste des élèves'!$Q$4:$Q$1363,G173+1):'Liste des élèves'!$Q$1363,0),""))</f>
        <v/>
      </c>
    </row>
    <row r="175">
      <c r="A175" s="20" t="str">
        <f>IF($G175="","",INDEX('Liste des élèves'!$A$4:$A$1363,$G175))</f>
        <v/>
      </c>
      <c r="B175" s="20" t="str">
        <f>IF($G175="","",INDEX('Liste des élèves'!$D$4:$D$1363,$G175))</f>
        <v/>
      </c>
      <c r="C175" s="21" t="str">
        <f>IF($G175="","",INDEX('Liste des élèves'!$E$4:$E$1363,$G175))</f>
        <v/>
      </c>
      <c r="D175" s="20" t="str">
        <f>IF($G175="","",INDEX('Liste des élèves'!$I$4:$I$1363,$G175))</f>
        <v/>
      </c>
      <c r="E175" s="20" t="str">
        <f>IF($G175="","",INDEX('Liste des élèves'!$J$4:$J$1363,$G175))</f>
        <v/>
      </c>
      <c r="F175" s="51" t="str">
        <f>IF($G175="","",INDEX('Liste des élèves'!$P$4:$P$1363,$G175)+INDEX('Liste des élèves'!$T$4:$T$1363,$G175))</f>
        <v/>
      </c>
      <c r="G175" s="49" t="str">
        <f>IF(G174="","",IFERROR(G174+MATCH("En retard",INDEX('Liste des élèves'!$Q$4:$Q$1363,G174+1):'Liste des élèves'!$Q$1363,0),""))</f>
        <v/>
      </c>
    </row>
    <row r="176">
      <c r="A176" s="20" t="str">
        <f>IF($G176="","",INDEX('Liste des élèves'!$A$4:$A$1363,$G176))</f>
        <v/>
      </c>
      <c r="B176" s="20" t="str">
        <f>IF($G176="","",INDEX('Liste des élèves'!$D$4:$D$1363,$G176))</f>
        <v/>
      </c>
      <c r="C176" s="21" t="str">
        <f>IF($G176="","",INDEX('Liste des élèves'!$E$4:$E$1363,$G176))</f>
        <v/>
      </c>
      <c r="D176" s="20" t="str">
        <f>IF($G176="","",INDEX('Liste des élèves'!$I$4:$I$1363,$G176))</f>
        <v/>
      </c>
      <c r="E176" s="20" t="str">
        <f>IF($G176="","",INDEX('Liste des élèves'!$J$4:$J$1363,$G176))</f>
        <v/>
      </c>
      <c r="F176" s="51" t="str">
        <f>IF($G176="","",INDEX('Liste des élèves'!$P$4:$P$1363,$G176)+INDEX('Liste des élèves'!$T$4:$T$1363,$G176))</f>
        <v/>
      </c>
      <c r="G176" s="49" t="str">
        <f>IF(G175="","",IFERROR(G175+MATCH("En retard",INDEX('Liste des élèves'!$Q$4:$Q$1363,G175+1):'Liste des élèves'!$Q$1363,0),""))</f>
        <v/>
      </c>
    </row>
    <row r="177">
      <c r="A177" s="20" t="str">
        <f>IF($G177="","",INDEX('Liste des élèves'!$A$4:$A$1363,$G177))</f>
        <v/>
      </c>
      <c r="B177" s="20" t="str">
        <f>IF($G177="","",INDEX('Liste des élèves'!$D$4:$D$1363,$G177))</f>
        <v/>
      </c>
      <c r="C177" s="21" t="str">
        <f>IF($G177="","",INDEX('Liste des élèves'!$E$4:$E$1363,$G177))</f>
        <v/>
      </c>
      <c r="D177" s="20" t="str">
        <f>IF($G177="","",INDEX('Liste des élèves'!$I$4:$I$1363,$G177))</f>
        <v/>
      </c>
      <c r="E177" s="20" t="str">
        <f>IF($G177="","",INDEX('Liste des élèves'!$J$4:$J$1363,$G177))</f>
        <v/>
      </c>
      <c r="F177" s="51" t="str">
        <f>IF($G177="","",INDEX('Liste des élèves'!$P$4:$P$1363,$G177)+INDEX('Liste des élèves'!$T$4:$T$1363,$G177))</f>
        <v/>
      </c>
      <c r="G177" s="49" t="str">
        <f>IF(G176="","",IFERROR(G176+MATCH("En retard",INDEX('Liste des élèves'!$Q$4:$Q$1363,G176+1):'Liste des élèves'!$Q$1363,0),""))</f>
        <v/>
      </c>
    </row>
    <row r="178">
      <c r="A178" s="20" t="str">
        <f>IF($G178="","",INDEX('Liste des élèves'!$A$4:$A$1363,$G178))</f>
        <v/>
      </c>
      <c r="B178" s="20" t="str">
        <f>IF($G178="","",INDEX('Liste des élèves'!$D$4:$D$1363,$G178))</f>
        <v/>
      </c>
      <c r="C178" s="21" t="str">
        <f>IF($G178="","",INDEX('Liste des élèves'!$E$4:$E$1363,$G178))</f>
        <v/>
      </c>
      <c r="D178" s="20" t="str">
        <f>IF($G178="","",INDEX('Liste des élèves'!$I$4:$I$1363,$G178))</f>
        <v/>
      </c>
      <c r="E178" s="20" t="str">
        <f>IF($G178="","",INDEX('Liste des élèves'!$J$4:$J$1363,$G178))</f>
        <v/>
      </c>
      <c r="F178" s="51" t="str">
        <f>IF($G178="","",INDEX('Liste des élèves'!$P$4:$P$1363,$G178)+INDEX('Liste des élèves'!$T$4:$T$1363,$G178))</f>
        <v/>
      </c>
      <c r="G178" s="49" t="str">
        <f>IF(G177="","",IFERROR(G177+MATCH("En retard",INDEX('Liste des élèves'!$Q$4:$Q$1363,G177+1):'Liste des élèves'!$Q$1363,0),""))</f>
        <v/>
      </c>
    </row>
    <row r="179">
      <c r="A179" s="20" t="str">
        <f>IF($G179="","",INDEX('Liste des élèves'!$A$4:$A$1363,$G179))</f>
        <v/>
      </c>
      <c r="B179" s="20" t="str">
        <f>IF($G179="","",INDEX('Liste des élèves'!$D$4:$D$1363,$G179))</f>
        <v/>
      </c>
      <c r="C179" s="21" t="str">
        <f>IF($G179="","",INDEX('Liste des élèves'!$E$4:$E$1363,$G179))</f>
        <v/>
      </c>
      <c r="D179" s="20" t="str">
        <f>IF($G179="","",INDEX('Liste des élèves'!$I$4:$I$1363,$G179))</f>
        <v/>
      </c>
      <c r="E179" s="20" t="str">
        <f>IF($G179="","",INDEX('Liste des élèves'!$J$4:$J$1363,$G179))</f>
        <v/>
      </c>
      <c r="F179" s="51" t="str">
        <f>IF($G179="","",INDEX('Liste des élèves'!$P$4:$P$1363,$G179)+INDEX('Liste des élèves'!$T$4:$T$1363,$G179))</f>
        <v/>
      </c>
      <c r="G179" s="49" t="str">
        <f>IF(G178="","",IFERROR(G178+MATCH("En retard",INDEX('Liste des élèves'!$Q$4:$Q$1363,G178+1):'Liste des élèves'!$Q$1363,0),""))</f>
        <v/>
      </c>
    </row>
    <row r="180">
      <c r="A180" s="20" t="str">
        <f>IF($G180="","",INDEX('Liste des élèves'!$A$4:$A$1363,$G180))</f>
        <v/>
      </c>
      <c r="B180" s="20" t="str">
        <f>IF($G180="","",INDEX('Liste des élèves'!$D$4:$D$1363,$G180))</f>
        <v/>
      </c>
      <c r="C180" s="21" t="str">
        <f>IF($G180="","",INDEX('Liste des élèves'!$E$4:$E$1363,$G180))</f>
        <v/>
      </c>
      <c r="D180" s="20" t="str">
        <f>IF($G180="","",INDEX('Liste des élèves'!$I$4:$I$1363,$G180))</f>
        <v/>
      </c>
      <c r="E180" s="20" t="str">
        <f>IF($G180="","",INDEX('Liste des élèves'!$J$4:$J$1363,$G180))</f>
        <v/>
      </c>
      <c r="F180" s="51" t="str">
        <f>IF($G180="","",INDEX('Liste des élèves'!$P$4:$P$1363,$G180)+INDEX('Liste des élèves'!$T$4:$T$1363,$G180))</f>
        <v/>
      </c>
      <c r="G180" s="49" t="str">
        <f>IF(G179="","",IFERROR(G179+MATCH("En retard",INDEX('Liste des élèves'!$Q$4:$Q$1363,G179+1):'Liste des élèves'!$Q$1363,0),""))</f>
        <v/>
      </c>
    </row>
    <row r="181">
      <c r="A181" s="20" t="str">
        <f>IF($G181="","",INDEX('Liste des élèves'!$A$4:$A$1363,$G181))</f>
        <v/>
      </c>
      <c r="B181" s="20" t="str">
        <f>IF($G181="","",INDEX('Liste des élèves'!$D$4:$D$1363,$G181))</f>
        <v/>
      </c>
      <c r="C181" s="21" t="str">
        <f>IF($G181="","",INDEX('Liste des élèves'!$E$4:$E$1363,$G181))</f>
        <v/>
      </c>
      <c r="D181" s="20" t="str">
        <f>IF($G181="","",INDEX('Liste des élèves'!$I$4:$I$1363,$G181))</f>
        <v/>
      </c>
      <c r="E181" s="20" t="str">
        <f>IF($G181="","",INDEX('Liste des élèves'!$J$4:$J$1363,$G181))</f>
        <v/>
      </c>
      <c r="F181" s="51" t="str">
        <f>IF($G181="","",INDEX('Liste des élèves'!$P$4:$P$1363,$G181)+INDEX('Liste des élèves'!$T$4:$T$1363,$G181))</f>
        <v/>
      </c>
      <c r="G181" s="49" t="str">
        <f>IF(G180="","",IFERROR(G180+MATCH("En retard",INDEX('Liste des élèves'!$Q$4:$Q$1363,G180+1):'Liste des élèves'!$Q$1363,0),""))</f>
        <v/>
      </c>
    </row>
    <row r="182">
      <c r="A182" s="20" t="str">
        <f>IF($G182="","",INDEX('Liste des élèves'!$A$4:$A$1363,$G182))</f>
        <v/>
      </c>
      <c r="B182" s="20" t="str">
        <f>IF($G182="","",INDEX('Liste des élèves'!$D$4:$D$1363,$G182))</f>
        <v/>
      </c>
      <c r="C182" s="21" t="str">
        <f>IF($G182="","",INDEX('Liste des élèves'!$E$4:$E$1363,$G182))</f>
        <v/>
      </c>
      <c r="D182" s="20" t="str">
        <f>IF($G182="","",INDEX('Liste des élèves'!$I$4:$I$1363,$G182))</f>
        <v/>
      </c>
      <c r="E182" s="20" t="str">
        <f>IF($G182="","",INDEX('Liste des élèves'!$J$4:$J$1363,$G182))</f>
        <v/>
      </c>
      <c r="F182" s="51" t="str">
        <f>IF($G182="","",INDEX('Liste des élèves'!$P$4:$P$1363,$G182)+INDEX('Liste des élèves'!$T$4:$T$1363,$G182))</f>
        <v/>
      </c>
      <c r="G182" s="49" t="str">
        <f>IF(G181="","",IFERROR(G181+MATCH("En retard",INDEX('Liste des élèves'!$Q$4:$Q$1363,G181+1):'Liste des élèves'!$Q$1363,0),""))</f>
        <v/>
      </c>
    </row>
    <row r="183">
      <c r="A183" s="20" t="str">
        <f>IF($G183="","",INDEX('Liste des élèves'!$A$4:$A$1363,$G183))</f>
        <v/>
      </c>
      <c r="B183" s="20" t="str">
        <f>IF($G183="","",INDEX('Liste des élèves'!$D$4:$D$1363,$G183))</f>
        <v/>
      </c>
      <c r="C183" s="21" t="str">
        <f>IF($G183="","",INDEX('Liste des élèves'!$E$4:$E$1363,$G183))</f>
        <v/>
      </c>
      <c r="D183" s="20" t="str">
        <f>IF($G183="","",INDEX('Liste des élèves'!$I$4:$I$1363,$G183))</f>
        <v/>
      </c>
      <c r="E183" s="20" t="str">
        <f>IF($G183="","",INDEX('Liste des élèves'!$J$4:$J$1363,$G183))</f>
        <v/>
      </c>
      <c r="F183" s="51" t="str">
        <f>IF($G183="","",INDEX('Liste des élèves'!$P$4:$P$1363,$G183)+INDEX('Liste des élèves'!$T$4:$T$1363,$G183))</f>
        <v/>
      </c>
      <c r="G183" s="49" t="str">
        <f>IF(G182="","",IFERROR(G182+MATCH("En retard",INDEX('Liste des élèves'!$Q$4:$Q$1363,G182+1):'Liste des élèves'!$Q$1363,0),""))</f>
        <v/>
      </c>
    </row>
    <row r="184">
      <c r="A184" s="20" t="str">
        <f>IF($G184="","",INDEX('Liste des élèves'!$A$4:$A$1363,$G184))</f>
        <v/>
      </c>
      <c r="B184" s="20" t="str">
        <f>IF($G184="","",INDEX('Liste des élèves'!$D$4:$D$1363,$G184))</f>
        <v/>
      </c>
      <c r="C184" s="21" t="str">
        <f>IF($G184="","",INDEX('Liste des élèves'!$E$4:$E$1363,$G184))</f>
        <v/>
      </c>
      <c r="D184" s="20" t="str">
        <f>IF($G184="","",INDEX('Liste des élèves'!$I$4:$I$1363,$G184))</f>
        <v/>
      </c>
      <c r="E184" s="20" t="str">
        <f>IF($G184="","",INDEX('Liste des élèves'!$J$4:$J$1363,$G184))</f>
        <v/>
      </c>
      <c r="F184" s="51" t="str">
        <f>IF($G184="","",INDEX('Liste des élèves'!$P$4:$P$1363,$G184)+INDEX('Liste des élèves'!$T$4:$T$1363,$G184))</f>
        <v/>
      </c>
      <c r="G184" s="49" t="str">
        <f>IF(G183="","",IFERROR(G183+MATCH("En retard",INDEX('Liste des élèves'!$Q$4:$Q$1363,G183+1):'Liste des élèves'!$Q$1363,0),""))</f>
        <v/>
      </c>
    </row>
    <row r="185">
      <c r="A185" s="20" t="str">
        <f>IF($G185="","",INDEX('Liste des élèves'!$A$4:$A$1363,$G185))</f>
        <v/>
      </c>
      <c r="B185" s="20" t="str">
        <f>IF($G185="","",INDEX('Liste des élèves'!$D$4:$D$1363,$G185))</f>
        <v/>
      </c>
      <c r="C185" s="21" t="str">
        <f>IF($G185="","",INDEX('Liste des élèves'!$E$4:$E$1363,$G185))</f>
        <v/>
      </c>
      <c r="D185" s="20" t="str">
        <f>IF($G185="","",INDEX('Liste des élèves'!$I$4:$I$1363,$G185))</f>
        <v/>
      </c>
      <c r="E185" s="20" t="str">
        <f>IF($G185="","",INDEX('Liste des élèves'!$J$4:$J$1363,$G185))</f>
        <v/>
      </c>
      <c r="F185" s="51" t="str">
        <f>IF($G185="","",INDEX('Liste des élèves'!$P$4:$P$1363,$G185)+INDEX('Liste des élèves'!$T$4:$T$1363,$G185))</f>
        <v/>
      </c>
      <c r="G185" s="49" t="str">
        <f>IF(G184="","",IFERROR(G184+MATCH("En retard",INDEX('Liste des élèves'!$Q$4:$Q$1363,G184+1):'Liste des élèves'!$Q$1363,0),""))</f>
        <v/>
      </c>
    </row>
    <row r="186">
      <c r="A186" s="20" t="str">
        <f>IF($G186="","",INDEX('Liste des élèves'!$A$4:$A$1363,$G186))</f>
        <v/>
      </c>
      <c r="B186" s="20" t="str">
        <f>IF($G186="","",INDEX('Liste des élèves'!$D$4:$D$1363,$G186))</f>
        <v/>
      </c>
      <c r="C186" s="21" t="str">
        <f>IF($G186="","",INDEX('Liste des élèves'!$E$4:$E$1363,$G186))</f>
        <v/>
      </c>
      <c r="D186" s="20" t="str">
        <f>IF($G186="","",INDEX('Liste des élèves'!$I$4:$I$1363,$G186))</f>
        <v/>
      </c>
      <c r="E186" s="20" t="str">
        <f>IF($G186="","",INDEX('Liste des élèves'!$J$4:$J$1363,$G186))</f>
        <v/>
      </c>
      <c r="F186" s="51" t="str">
        <f>IF($G186="","",INDEX('Liste des élèves'!$P$4:$P$1363,$G186)+INDEX('Liste des élèves'!$T$4:$T$1363,$G186))</f>
        <v/>
      </c>
      <c r="G186" s="49" t="str">
        <f>IF(G185="","",IFERROR(G185+MATCH("En retard",INDEX('Liste des élèves'!$Q$4:$Q$1363,G185+1):'Liste des élèves'!$Q$1363,0),""))</f>
        <v/>
      </c>
    </row>
    <row r="187">
      <c r="A187" s="20" t="str">
        <f>IF($G187="","",INDEX('Liste des élèves'!$A$4:$A$1363,$G187))</f>
        <v/>
      </c>
      <c r="B187" s="20" t="str">
        <f>IF($G187="","",INDEX('Liste des élèves'!$D$4:$D$1363,$G187))</f>
        <v/>
      </c>
      <c r="C187" s="21" t="str">
        <f>IF($G187="","",INDEX('Liste des élèves'!$E$4:$E$1363,$G187))</f>
        <v/>
      </c>
      <c r="D187" s="20" t="str">
        <f>IF($G187="","",INDEX('Liste des élèves'!$I$4:$I$1363,$G187))</f>
        <v/>
      </c>
      <c r="E187" s="20" t="str">
        <f>IF($G187="","",INDEX('Liste des élèves'!$J$4:$J$1363,$G187))</f>
        <v/>
      </c>
      <c r="F187" s="51" t="str">
        <f>IF($G187="","",INDEX('Liste des élèves'!$P$4:$P$1363,$G187)+INDEX('Liste des élèves'!$T$4:$T$1363,$G187))</f>
        <v/>
      </c>
      <c r="G187" s="49" t="str">
        <f>IF(G186="","",IFERROR(G186+MATCH("En retard",INDEX('Liste des élèves'!$Q$4:$Q$1363,G186+1):'Liste des élèves'!$Q$1363,0),""))</f>
        <v/>
      </c>
    </row>
    <row r="188">
      <c r="A188" s="20" t="str">
        <f>IF($G188="","",INDEX('Liste des élèves'!$A$4:$A$1363,$G188))</f>
        <v/>
      </c>
      <c r="B188" s="20" t="str">
        <f>IF($G188="","",INDEX('Liste des élèves'!$D$4:$D$1363,$G188))</f>
        <v/>
      </c>
      <c r="C188" s="21" t="str">
        <f>IF($G188="","",INDEX('Liste des élèves'!$E$4:$E$1363,$G188))</f>
        <v/>
      </c>
      <c r="D188" s="20" t="str">
        <f>IF($G188="","",INDEX('Liste des élèves'!$I$4:$I$1363,$G188))</f>
        <v/>
      </c>
      <c r="E188" s="20" t="str">
        <f>IF($G188="","",INDEX('Liste des élèves'!$J$4:$J$1363,$G188))</f>
        <v/>
      </c>
      <c r="F188" s="51" t="str">
        <f>IF($G188="","",INDEX('Liste des élèves'!$P$4:$P$1363,$G188)+INDEX('Liste des élèves'!$T$4:$T$1363,$G188))</f>
        <v/>
      </c>
      <c r="G188" s="49" t="str">
        <f>IF(G187="","",IFERROR(G187+MATCH("En retard",INDEX('Liste des élèves'!$Q$4:$Q$1363,G187+1):'Liste des élèves'!$Q$1363,0),""))</f>
        <v/>
      </c>
    </row>
    <row r="189">
      <c r="A189" s="20" t="str">
        <f>IF($G189="","",INDEX('Liste des élèves'!$A$4:$A$1363,$G189))</f>
        <v/>
      </c>
      <c r="B189" s="20" t="str">
        <f>IF($G189="","",INDEX('Liste des élèves'!$D$4:$D$1363,$G189))</f>
        <v/>
      </c>
      <c r="C189" s="21" t="str">
        <f>IF($G189="","",INDEX('Liste des élèves'!$E$4:$E$1363,$G189))</f>
        <v/>
      </c>
      <c r="D189" s="20" t="str">
        <f>IF($G189="","",INDEX('Liste des élèves'!$I$4:$I$1363,$G189))</f>
        <v/>
      </c>
      <c r="E189" s="20" t="str">
        <f>IF($G189="","",INDEX('Liste des élèves'!$J$4:$J$1363,$G189))</f>
        <v/>
      </c>
      <c r="F189" s="51" t="str">
        <f>IF($G189="","",INDEX('Liste des élèves'!$P$4:$P$1363,$G189)+INDEX('Liste des élèves'!$T$4:$T$1363,$G189))</f>
        <v/>
      </c>
      <c r="G189" s="49" t="str">
        <f>IF(G188="","",IFERROR(G188+MATCH("En retard",INDEX('Liste des élèves'!$Q$4:$Q$1363,G188+1):'Liste des élèves'!$Q$1363,0),""))</f>
        <v/>
      </c>
    </row>
    <row r="190">
      <c r="A190" s="20" t="str">
        <f>IF($G190="","",INDEX('Liste des élèves'!$A$4:$A$1363,$G190))</f>
        <v/>
      </c>
      <c r="B190" s="20" t="str">
        <f>IF($G190="","",INDEX('Liste des élèves'!$D$4:$D$1363,$G190))</f>
        <v/>
      </c>
      <c r="C190" s="21" t="str">
        <f>IF($G190="","",INDEX('Liste des élèves'!$E$4:$E$1363,$G190))</f>
        <v/>
      </c>
      <c r="D190" s="20" t="str">
        <f>IF($G190="","",INDEX('Liste des élèves'!$I$4:$I$1363,$G190))</f>
        <v/>
      </c>
      <c r="E190" s="20" t="str">
        <f>IF($G190="","",INDEX('Liste des élèves'!$J$4:$J$1363,$G190))</f>
        <v/>
      </c>
      <c r="F190" s="51" t="str">
        <f>IF($G190="","",INDEX('Liste des élèves'!$P$4:$P$1363,$G190)+INDEX('Liste des élèves'!$T$4:$T$1363,$G190))</f>
        <v/>
      </c>
      <c r="G190" s="49" t="str">
        <f>IF(G189="","",IFERROR(G189+MATCH("En retard",INDEX('Liste des élèves'!$Q$4:$Q$1363,G189+1):'Liste des élèves'!$Q$1363,0),""))</f>
        <v/>
      </c>
    </row>
    <row r="191">
      <c r="A191" s="20" t="str">
        <f>IF($G191="","",INDEX('Liste des élèves'!$A$4:$A$1363,$G191))</f>
        <v/>
      </c>
      <c r="B191" s="20" t="str">
        <f>IF($G191="","",INDEX('Liste des élèves'!$D$4:$D$1363,$G191))</f>
        <v/>
      </c>
      <c r="C191" s="21" t="str">
        <f>IF($G191="","",INDEX('Liste des élèves'!$E$4:$E$1363,$G191))</f>
        <v/>
      </c>
      <c r="D191" s="20" t="str">
        <f>IF($G191="","",INDEX('Liste des élèves'!$I$4:$I$1363,$G191))</f>
        <v/>
      </c>
      <c r="E191" s="20" t="str">
        <f>IF($G191="","",INDEX('Liste des élèves'!$J$4:$J$1363,$G191))</f>
        <v/>
      </c>
      <c r="F191" s="51" t="str">
        <f>IF($G191="","",INDEX('Liste des élèves'!$P$4:$P$1363,$G191)+INDEX('Liste des élèves'!$T$4:$T$1363,$G191))</f>
        <v/>
      </c>
      <c r="G191" s="49" t="str">
        <f>IF(G190="","",IFERROR(G190+MATCH("En retard",INDEX('Liste des élèves'!$Q$4:$Q$1363,G190+1):'Liste des élèves'!$Q$1363,0),""))</f>
        <v/>
      </c>
    </row>
    <row r="192">
      <c r="A192" s="20" t="str">
        <f>IF($G192="","",INDEX('Liste des élèves'!$A$4:$A$1363,$G192))</f>
        <v/>
      </c>
      <c r="B192" s="20" t="str">
        <f>IF($G192="","",INDEX('Liste des élèves'!$D$4:$D$1363,$G192))</f>
        <v/>
      </c>
      <c r="C192" s="21" t="str">
        <f>IF($G192="","",INDEX('Liste des élèves'!$E$4:$E$1363,$G192))</f>
        <v/>
      </c>
      <c r="D192" s="20" t="str">
        <f>IF($G192="","",INDEX('Liste des élèves'!$I$4:$I$1363,$G192))</f>
        <v/>
      </c>
      <c r="E192" s="20" t="str">
        <f>IF($G192="","",INDEX('Liste des élèves'!$J$4:$J$1363,$G192))</f>
        <v/>
      </c>
      <c r="F192" s="51" t="str">
        <f>IF($G192="","",INDEX('Liste des élèves'!$P$4:$P$1363,$G192)+INDEX('Liste des élèves'!$T$4:$T$1363,$G192))</f>
        <v/>
      </c>
      <c r="G192" s="49" t="str">
        <f>IF(G191="","",IFERROR(G191+MATCH("En retard",INDEX('Liste des élèves'!$Q$4:$Q$1363,G191+1):'Liste des élèves'!$Q$1363,0),""))</f>
        <v/>
      </c>
    </row>
    <row r="193">
      <c r="A193" s="20" t="str">
        <f>IF($G193="","",INDEX('Liste des élèves'!$A$4:$A$1363,$G193))</f>
        <v/>
      </c>
      <c r="B193" s="20" t="str">
        <f>IF($G193="","",INDEX('Liste des élèves'!$D$4:$D$1363,$G193))</f>
        <v/>
      </c>
      <c r="C193" s="21" t="str">
        <f>IF($G193="","",INDEX('Liste des élèves'!$E$4:$E$1363,$G193))</f>
        <v/>
      </c>
      <c r="D193" s="20" t="str">
        <f>IF($G193="","",INDEX('Liste des élèves'!$I$4:$I$1363,$G193))</f>
        <v/>
      </c>
      <c r="E193" s="20" t="str">
        <f>IF($G193="","",INDEX('Liste des élèves'!$J$4:$J$1363,$G193))</f>
        <v/>
      </c>
      <c r="F193" s="51" t="str">
        <f>IF($G193="","",INDEX('Liste des élèves'!$P$4:$P$1363,$G193)+INDEX('Liste des élèves'!$T$4:$T$1363,$G193))</f>
        <v/>
      </c>
      <c r="G193" s="49" t="str">
        <f>IF(G192="","",IFERROR(G192+MATCH("En retard",INDEX('Liste des élèves'!$Q$4:$Q$1363,G192+1):'Liste des élèves'!$Q$1363,0),""))</f>
        <v/>
      </c>
    </row>
    <row r="194">
      <c r="A194" s="20" t="str">
        <f>IF($G194="","",INDEX('Liste des élèves'!$A$4:$A$1363,$G194))</f>
        <v/>
      </c>
      <c r="B194" s="20" t="str">
        <f>IF($G194="","",INDEX('Liste des élèves'!$D$4:$D$1363,$G194))</f>
        <v/>
      </c>
      <c r="C194" s="21" t="str">
        <f>IF($G194="","",INDEX('Liste des élèves'!$E$4:$E$1363,$G194))</f>
        <v/>
      </c>
      <c r="D194" s="20" t="str">
        <f>IF($G194="","",INDEX('Liste des élèves'!$I$4:$I$1363,$G194))</f>
        <v/>
      </c>
      <c r="E194" s="20" t="str">
        <f>IF($G194="","",INDEX('Liste des élèves'!$J$4:$J$1363,$G194))</f>
        <v/>
      </c>
      <c r="F194" s="51" t="str">
        <f>IF($G194="","",INDEX('Liste des élèves'!$P$4:$P$1363,$G194)+INDEX('Liste des élèves'!$T$4:$T$1363,$G194))</f>
        <v/>
      </c>
      <c r="G194" s="49" t="str">
        <f>IF(G193="","",IFERROR(G193+MATCH("En retard",INDEX('Liste des élèves'!$Q$4:$Q$1363,G193+1):'Liste des élèves'!$Q$1363,0),""))</f>
        <v/>
      </c>
    </row>
    <row r="195">
      <c r="A195" s="20" t="str">
        <f>IF($G195="","",INDEX('Liste des élèves'!$A$4:$A$1363,$G195))</f>
        <v/>
      </c>
      <c r="B195" s="20" t="str">
        <f>IF($G195="","",INDEX('Liste des élèves'!$D$4:$D$1363,$G195))</f>
        <v/>
      </c>
      <c r="C195" s="21" t="str">
        <f>IF($G195="","",INDEX('Liste des élèves'!$E$4:$E$1363,$G195))</f>
        <v/>
      </c>
      <c r="D195" s="20" t="str">
        <f>IF($G195="","",INDEX('Liste des élèves'!$I$4:$I$1363,$G195))</f>
        <v/>
      </c>
      <c r="E195" s="20" t="str">
        <f>IF($G195="","",INDEX('Liste des élèves'!$J$4:$J$1363,$G195))</f>
        <v/>
      </c>
      <c r="F195" s="51" t="str">
        <f>IF($G195="","",INDEX('Liste des élèves'!$P$4:$P$1363,$G195)+INDEX('Liste des élèves'!$T$4:$T$1363,$G195))</f>
        <v/>
      </c>
      <c r="G195" s="49" t="str">
        <f>IF(G194="","",IFERROR(G194+MATCH("En retard",INDEX('Liste des élèves'!$Q$4:$Q$1363,G194+1):'Liste des élèves'!$Q$1363,0),""))</f>
        <v/>
      </c>
    </row>
    <row r="196">
      <c r="A196" s="20" t="str">
        <f>IF($G196="","",INDEX('Liste des élèves'!$A$4:$A$1363,$G196))</f>
        <v/>
      </c>
      <c r="B196" s="20" t="str">
        <f>IF($G196="","",INDEX('Liste des élèves'!$D$4:$D$1363,$G196))</f>
        <v/>
      </c>
      <c r="C196" s="21" t="str">
        <f>IF($G196="","",INDEX('Liste des élèves'!$E$4:$E$1363,$G196))</f>
        <v/>
      </c>
      <c r="D196" s="20" t="str">
        <f>IF($G196="","",INDEX('Liste des élèves'!$I$4:$I$1363,$G196))</f>
        <v/>
      </c>
      <c r="E196" s="20" t="str">
        <f>IF($G196="","",INDEX('Liste des élèves'!$J$4:$J$1363,$G196))</f>
        <v/>
      </c>
      <c r="F196" s="51" t="str">
        <f>IF($G196="","",INDEX('Liste des élèves'!$P$4:$P$1363,$G196)+INDEX('Liste des élèves'!$T$4:$T$1363,$G196))</f>
        <v/>
      </c>
      <c r="G196" s="49" t="str">
        <f>IF(G195="","",IFERROR(G195+MATCH("En retard",INDEX('Liste des élèves'!$Q$4:$Q$1363,G195+1):'Liste des élèves'!$Q$1363,0),""))</f>
        <v/>
      </c>
    </row>
    <row r="197">
      <c r="A197" s="20" t="str">
        <f>IF($G197="","",INDEX('Liste des élèves'!$A$4:$A$1363,$G197))</f>
        <v/>
      </c>
      <c r="B197" s="20" t="str">
        <f>IF($G197="","",INDEX('Liste des élèves'!$D$4:$D$1363,$G197))</f>
        <v/>
      </c>
      <c r="C197" s="21" t="str">
        <f>IF($G197="","",INDEX('Liste des élèves'!$E$4:$E$1363,$G197))</f>
        <v/>
      </c>
      <c r="D197" s="20" t="str">
        <f>IF($G197="","",INDEX('Liste des élèves'!$I$4:$I$1363,$G197))</f>
        <v/>
      </c>
      <c r="E197" s="20" t="str">
        <f>IF($G197="","",INDEX('Liste des élèves'!$J$4:$J$1363,$G197))</f>
        <v/>
      </c>
      <c r="F197" s="51" t="str">
        <f>IF($G197="","",INDEX('Liste des élèves'!$P$4:$P$1363,$G197)+INDEX('Liste des élèves'!$T$4:$T$1363,$G197))</f>
        <v/>
      </c>
      <c r="G197" s="49" t="str">
        <f>IF(G196="","",IFERROR(G196+MATCH("En retard",INDEX('Liste des élèves'!$Q$4:$Q$1363,G196+1):'Liste des élèves'!$Q$1363,0),""))</f>
        <v/>
      </c>
    </row>
    <row r="198">
      <c r="A198" s="20" t="str">
        <f>IF($G198="","",INDEX('Liste des élèves'!$A$4:$A$1363,$G198))</f>
        <v/>
      </c>
      <c r="B198" s="20" t="str">
        <f>IF($G198="","",INDEX('Liste des élèves'!$D$4:$D$1363,$G198))</f>
        <v/>
      </c>
      <c r="C198" s="21" t="str">
        <f>IF($G198="","",INDEX('Liste des élèves'!$E$4:$E$1363,$G198))</f>
        <v/>
      </c>
      <c r="D198" s="20" t="str">
        <f>IF($G198="","",INDEX('Liste des élèves'!$I$4:$I$1363,$G198))</f>
        <v/>
      </c>
      <c r="E198" s="20" t="str">
        <f>IF($G198="","",INDEX('Liste des élèves'!$J$4:$J$1363,$G198))</f>
        <v/>
      </c>
      <c r="F198" s="51" t="str">
        <f>IF($G198="","",INDEX('Liste des élèves'!$P$4:$P$1363,$G198)+INDEX('Liste des élèves'!$T$4:$T$1363,$G198))</f>
        <v/>
      </c>
      <c r="G198" s="49" t="str">
        <f>IF(G197="","",IFERROR(G197+MATCH("En retard",INDEX('Liste des élèves'!$Q$4:$Q$1363,G197+1):'Liste des élèves'!$Q$1363,0),""))</f>
        <v/>
      </c>
    </row>
    <row r="199">
      <c r="A199" s="20" t="str">
        <f>IF($G199="","",INDEX('Liste des élèves'!$A$4:$A$1363,$G199))</f>
        <v/>
      </c>
      <c r="B199" s="20" t="str">
        <f>IF($G199="","",INDEX('Liste des élèves'!$D$4:$D$1363,$G199))</f>
        <v/>
      </c>
      <c r="C199" s="21" t="str">
        <f>IF($G199="","",INDEX('Liste des élèves'!$E$4:$E$1363,$G199))</f>
        <v/>
      </c>
      <c r="D199" s="20" t="str">
        <f>IF($G199="","",INDEX('Liste des élèves'!$I$4:$I$1363,$G199))</f>
        <v/>
      </c>
      <c r="E199" s="20" t="str">
        <f>IF($G199="","",INDEX('Liste des élèves'!$J$4:$J$1363,$G199))</f>
        <v/>
      </c>
      <c r="F199" s="51" t="str">
        <f>IF($G199="","",INDEX('Liste des élèves'!$P$4:$P$1363,$G199)+INDEX('Liste des élèves'!$T$4:$T$1363,$G199))</f>
        <v/>
      </c>
      <c r="G199" s="49" t="str">
        <f>IF(G198="","",IFERROR(G198+MATCH("En retard",INDEX('Liste des élèves'!$Q$4:$Q$1363,G198+1):'Liste des élèves'!$Q$1363,0),""))</f>
        <v/>
      </c>
    </row>
    <row r="200">
      <c r="A200" s="20" t="str">
        <f>IF($G200="","",INDEX('Liste des élèves'!$A$4:$A$1363,$G200))</f>
        <v/>
      </c>
      <c r="B200" s="20" t="str">
        <f>IF($G200="","",INDEX('Liste des élèves'!$D$4:$D$1363,$G200))</f>
        <v/>
      </c>
      <c r="C200" s="21" t="str">
        <f>IF($G200="","",INDEX('Liste des élèves'!$E$4:$E$1363,$G200))</f>
        <v/>
      </c>
      <c r="D200" s="20" t="str">
        <f>IF($G200="","",INDEX('Liste des élèves'!$I$4:$I$1363,$G200))</f>
        <v/>
      </c>
      <c r="E200" s="20" t="str">
        <f>IF($G200="","",INDEX('Liste des élèves'!$J$4:$J$1363,$G200))</f>
        <v/>
      </c>
      <c r="F200" s="51" t="str">
        <f>IF($G200="","",INDEX('Liste des élèves'!$P$4:$P$1363,$G200)+INDEX('Liste des élèves'!$T$4:$T$1363,$G200))</f>
        <v/>
      </c>
      <c r="G200" s="49" t="str">
        <f>IF(G199="","",IFERROR(G199+MATCH("En retard",INDEX('Liste des élèves'!$Q$4:$Q$1363,G199+1):'Liste des élèves'!$Q$1363,0),""))</f>
        <v/>
      </c>
    </row>
    <row r="201">
      <c r="A201" s="20" t="str">
        <f>IF($G201="","",INDEX('Liste des élèves'!$A$4:$A$1363,$G201))</f>
        <v/>
      </c>
      <c r="B201" s="20" t="str">
        <f>IF($G201="","",INDEX('Liste des élèves'!$D$4:$D$1363,$G201))</f>
        <v/>
      </c>
      <c r="C201" s="21" t="str">
        <f>IF($G201="","",INDEX('Liste des élèves'!$E$4:$E$1363,$G201))</f>
        <v/>
      </c>
      <c r="D201" s="20" t="str">
        <f>IF($G201="","",INDEX('Liste des élèves'!$I$4:$I$1363,$G201))</f>
        <v/>
      </c>
      <c r="E201" s="20" t="str">
        <f>IF($G201="","",INDEX('Liste des élèves'!$J$4:$J$1363,$G201))</f>
        <v/>
      </c>
      <c r="F201" s="51" t="str">
        <f>IF($G201="","",INDEX('Liste des élèves'!$P$4:$P$1363,$G201)+INDEX('Liste des élèves'!$T$4:$T$1363,$G201))</f>
        <v/>
      </c>
      <c r="G201" s="49" t="str">
        <f>IF(G200="","",IFERROR(G200+MATCH("En retard",INDEX('Liste des élèves'!$Q$4:$Q$1363,G200+1):'Liste des élèves'!$Q$1363,0),""))</f>
        <v/>
      </c>
    </row>
    <row r="202">
      <c r="A202" s="20" t="str">
        <f>IF($G202="","",INDEX('Liste des élèves'!$A$4:$A$1363,$G202))</f>
        <v/>
      </c>
      <c r="B202" s="20" t="str">
        <f>IF($G202="","",INDEX('Liste des élèves'!$D$4:$D$1363,$G202))</f>
        <v/>
      </c>
      <c r="C202" s="21" t="str">
        <f>IF($G202="","",INDEX('Liste des élèves'!$E$4:$E$1363,$G202))</f>
        <v/>
      </c>
      <c r="D202" s="20" t="str">
        <f>IF($G202="","",INDEX('Liste des élèves'!$I$4:$I$1363,$G202))</f>
        <v/>
      </c>
      <c r="E202" s="20" t="str">
        <f>IF($G202="","",INDEX('Liste des élèves'!$J$4:$J$1363,$G202))</f>
        <v/>
      </c>
      <c r="F202" s="51" t="str">
        <f>IF($G202="","",INDEX('Liste des élèves'!$P$4:$P$1363,$G202)+INDEX('Liste des élèves'!$T$4:$T$1363,$G202))</f>
        <v/>
      </c>
      <c r="G202" s="49" t="str">
        <f>IF(G201="","",IFERROR(G201+MATCH("En retard",INDEX('Liste des élèves'!$Q$4:$Q$1363,G201+1):'Liste des élèves'!$Q$1363,0),""))</f>
        <v/>
      </c>
    </row>
    <row r="203">
      <c r="A203" s="20" t="str">
        <f>IF($G203="","",INDEX('Liste des élèves'!$A$4:$A$1363,$G203))</f>
        <v/>
      </c>
      <c r="B203" s="20" t="str">
        <f>IF($G203="","",INDEX('Liste des élèves'!$D$4:$D$1363,$G203))</f>
        <v/>
      </c>
      <c r="C203" s="21" t="str">
        <f>IF($G203="","",INDEX('Liste des élèves'!$E$4:$E$1363,$G203))</f>
        <v/>
      </c>
      <c r="D203" s="20" t="str">
        <f>IF($G203="","",INDEX('Liste des élèves'!$I$4:$I$1363,$G203))</f>
        <v/>
      </c>
      <c r="E203" s="20" t="str">
        <f>IF($G203="","",INDEX('Liste des élèves'!$J$4:$J$1363,$G203))</f>
        <v/>
      </c>
      <c r="F203" s="51" t="str">
        <f>IF($G203="","",INDEX('Liste des élèves'!$P$4:$P$1363,$G203)+INDEX('Liste des élèves'!$T$4:$T$1363,$G203))</f>
        <v/>
      </c>
      <c r="G203" s="49" t="str">
        <f>IF(G202="","",IFERROR(G202+MATCH("En retard",INDEX('Liste des élèves'!$Q$4:$Q$1363,G202+1):'Liste des élèves'!$Q$1363,0),""))</f>
        <v/>
      </c>
    </row>
    <row r="204">
      <c r="A204" s="20" t="str">
        <f>IF($G204="","",INDEX('Liste des élèves'!$A$4:$A$1363,$G204))</f>
        <v/>
      </c>
      <c r="B204" s="20" t="str">
        <f>IF($G204="","",INDEX('Liste des élèves'!$D$4:$D$1363,$G204))</f>
        <v/>
      </c>
      <c r="C204" s="21" t="str">
        <f>IF($G204="","",INDEX('Liste des élèves'!$E$4:$E$1363,$G204))</f>
        <v/>
      </c>
      <c r="D204" s="20" t="str">
        <f>IF($G204="","",INDEX('Liste des élèves'!$I$4:$I$1363,$G204))</f>
        <v/>
      </c>
      <c r="E204" s="20" t="str">
        <f>IF($G204="","",INDEX('Liste des élèves'!$J$4:$J$1363,$G204))</f>
        <v/>
      </c>
      <c r="F204" s="51" t="str">
        <f>IF($G204="","",INDEX('Liste des élèves'!$P$4:$P$1363,$G204)+INDEX('Liste des élèves'!$T$4:$T$1363,$G204))</f>
        <v/>
      </c>
      <c r="G204" s="49" t="str">
        <f>IF(G203="","",IFERROR(G203+MATCH("En retard",INDEX('Liste des élèves'!$Q$4:$Q$1363,G203+1):'Liste des élèves'!$Q$1363,0),""))</f>
        <v/>
      </c>
    </row>
    <row r="205">
      <c r="A205" s="20" t="str">
        <f>IF($G205="","",INDEX('Liste des élèves'!$A$4:$A$1363,$G205))</f>
        <v/>
      </c>
      <c r="B205" s="20" t="str">
        <f>IF($G205="","",INDEX('Liste des élèves'!$D$4:$D$1363,$G205))</f>
        <v/>
      </c>
      <c r="C205" s="21" t="str">
        <f>IF($G205="","",INDEX('Liste des élèves'!$E$4:$E$1363,$G205))</f>
        <v/>
      </c>
      <c r="D205" s="20" t="str">
        <f>IF($G205="","",INDEX('Liste des élèves'!$I$4:$I$1363,$G205))</f>
        <v/>
      </c>
      <c r="E205" s="20" t="str">
        <f>IF($G205="","",INDEX('Liste des élèves'!$J$4:$J$1363,$G205))</f>
        <v/>
      </c>
      <c r="F205" s="51" t="str">
        <f>IF($G205="","",INDEX('Liste des élèves'!$P$4:$P$1363,$G205)+INDEX('Liste des élèves'!$T$4:$T$1363,$G205))</f>
        <v/>
      </c>
      <c r="G205" s="49" t="str">
        <f>IF(G204="","",IFERROR(G204+MATCH("En retard",INDEX('Liste des élèves'!$Q$4:$Q$1363,G204+1):'Liste des élèves'!$Q$1363,0),""))</f>
        <v/>
      </c>
    </row>
    <row r="206">
      <c r="A206" s="20" t="str">
        <f>IF($G206="","",INDEX('Liste des élèves'!$A$4:$A$1363,$G206))</f>
        <v/>
      </c>
      <c r="B206" s="20" t="str">
        <f>IF($G206="","",INDEX('Liste des élèves'!$D$4:$D$1363,$G206))</f>
        <v/>
      </c>
      <c r="C206" s="21" t="str">
        <f>IF($G206="","",INDEX('Liste des élèves'!$E$4:$E$1363,$G206))</f>
        <v/>
      </c>
      <c r="D206" s="20" t="str">
        <f>IF($G206="","",INDEX('Liste des élèves'!$I$4:$I$1363,$G206))</f>
        <v/>
      </c>
      <c r="E206" s="20" t="str">
        <f>IF($G206="","",INDEX('Liste des élèves'!$J$4:$J$1363,$G206))</f>
        <v/>
      </c>
      <c r="F206" s="51" t="str">
        <f>IF($G206="","",INDEX('Liste des élèves'!$P$4:$P$1363,$G206)+INDEX('Liste des élèves'!$T$4:$T$1363,$G206))</f>
        <v/>
      </c>
      <c r="G206" s="49" t="str">
        <f>IF(G205="","",IFERROR(G205+MATCH("En retard",INDEX('Liste des élèves'!$Q$4:$Q$1363,G205+1):'Liste des élèves'!$Q$1363,0),""))</f>
        <v/>
      </c>
    </row>
    <row r="207">
      <c r="A207" s="20" t="str">
        <f>IF($G207="","",INDEX('Liste des élèves'!$A$4:$A$1363,$G207))</f>
        <v/>
      </c>
      <c r="B207" s="20" t="str">
        <f>IF($G207="","",INDEX('Liste des élèves'!$D$4:$D$1363,$G207))</f>
        <v/>
      </c>
      <c r="C207" s="21" t="str">
        <f>IF($G207="","",INDEX('Liste des élèves'!$E$4:$E$1363,$G207))</f>
        <v/>
      </c>
      <c r="D207" s="20" t="str">
        <f>IF($G207="","",INDEX('Liste des élèves'!$I$4:$I$1363,$G207))</f>
        <v/>
      </c>
      <c r="E207" s="20" t="str">
        <f>IF($G207="","",INDEX('Liste des élèves'!$J$4:$J$1363,$G207))</f>
        <v/>
      </c>
      <c r="F207" s="51" t="str">
        <f>IF($G207="","",INDEX('Liste des élèves'!$P$4:$P$1363,$G207)+INDEX('Liste des élèves'!$T$4:$T$1363,$G207))</f>
        <v/>
      </c>
      <c r="G207" s="49" t="str">
        <f>IF(G206="","",IFERROR(G206+MATCH("En retard",INDEX('Liste des élèves'!$Q$4:$Q$1363,G206+1):'Liste des élèves'!$Q$1363,0),""))</f>
        <v/>
      </c>
    </row>
    <row r="208">
      <c r="A208" s="20" t="str">
        <f>IF($G208="","",INDEX('Liste des élèves'!$A$4:$A$1363,$G208))</f>
        <v/>
      </c>
      <c r="B208" s="20" t="str">
        <f>IF($G208="","",INDEX('Liste des élèves'!$D$4:$D$1363,$G208))</f>
        <v/>
      </c>
      <c r="C208" s="21" t="str">
        <f>IF($G208="","",INDEX('Liste des élèves'!$E$4:$E$1363,$G208))</f>
        <v/>
      </c>
      <c r="D208" s="20" t="str">
        <f>IF($G208="","",INDEX('Liste des élèves'!$I$4:$I$1363,$G208))</f>
        <v/>
      </c>
      <c r="E208" s="20" t="str">
        <f>IF($G208="","",INDEX('Liste des élèves'!$J$4:$J$1363,$G208))</f>
        <v/>
      </c>
      <c r="F208" s="51" t="str">
        <f>IF($G208="","",INDEX('Liste des élèves'!$P$4:$P$1363,$G208)+INDEX('Liste des élèves'!$T$4:$T$1363,$G208))</f>
        <v/>
      </c>
      <c r="G208" s="49" t="str">
        <f>IF(G207="","",IFERROR(G207+MATCH("En retard",INDEX('Liste des élèves'!$Q$4:$Q$1363,G207+1):'Liste des élèves'!$Q$1363,0),""))</f>
        <v/>
      </c>
    </row>
    <row r="209">
      <c r="A209" s="20" t="str">
        <f>IF($G209="","",INDEX('Liste des élèves'!$A$4:$A$1363,$G209))</f>
        <v/>
      </c>
      <c r="B209" s="20" t="str">
        <f>IF($G209="","",INDEX('Liste des élèves'!$D$4:$D$1363,$G209))</f>
        <v/>
      </c>
      <c r="C209" s="21" t="str">
        <f>IF($G209="","",INDEX('Liste des élèves'!$E$4:$E$1363,$G209))</f>
        <v/>
      </c>
      <c r="D209" s="20" t="str">
        <f>IF($G209="","",INDEX('Liste des élèves'!$I$4:$I$1363,$G209))</f>
        <v/>
      </c>
      <c r="E209" s="20" t="str">
        <f>IF($G209="","",INDEX('Liste des élèves'!$J$4:$J$1363,$G209))</f>
        <v/>
      </c>
      <c r="F209" s="51" t="str">
        <f>IF($G209="","",INDEX('Liste des élèves'!$P$4:$P$1363,$G209)+INDEX('Liste des élèves'!$T$4:$T$1363,$G209))</f>
        <v/>
      </c>
      <c r="G209" s="49" t="str">
        <f>IF(G208="","",IFERROR(G208+MATCH("En retard",INDEX('Liste des élèves'!$Q$4:$Q$1363,G208+1):'Liste des élèves'!$Q$1363,0),""))</f>
        <v/>
      </c>
    </row>
    <row r="210">
      <c r="A210" s="20" t="str">
        <f>IF($G210="","",INDEX('Liste des élèves'!$A$4:$A$1363,$G210))</f>
        <v/>
      </c>
      <c r="B210" s="20" t="str">
        <f>IF($G210="","",INDEX('Liste des élèves'!$D$4:$D$1363,$G210))</f>
        <v/>
      </c>
      <c r="C210" s="21" t="str">
        <f>IF($G210="","",INDEX('Liste des élèves'!$E$4:$E$1363,$G210))</f>
        <v/>
      </c>
      <c r="D210" s="20" t="str">
        <f>IF($G210="","",INDEX('Liste des élèves'!$I$4:$I$1363,$G210))</f>
        <v/>
      </c>
      <c r="E210" s="20" t="str">
        <f>IF($G210="","",INDEX('Liste des élèves'!$J$4:$J$1363,$G210))</f>
        <v/>
      </c>
      <c r="F210" s="51" t="str">
        <f>IF($G210="","",INDEX('Liste des élèves'!$P$4:$P$1363,$G210)+INDEX('Liste des élèves'!$T$4:$T$1363,$G210))</f>
        <v/>
      </c>
      <c r="G210" s="49" t="str">
        <f>IF(G209="","",IFERROR(G209+MATCH("En retard",INDEX('Liste des élèves'!$Q$4:$Q$1363,G209+1):'Liste des élèves'!$Q$1363,0),""))</f>
        <v/>
      </c>
    </row>
    <row r="211">
      <c r="A211" s="20" t="str">
        <f>IF($G211="","",INDEX('Liste des élèves'!$A$4:$A$1363,$G211))</f>
        <v/>
      </c>
      <c r="B211" s="20" t="str">
        <f>IF($G211="","",INDEX('Liste des élèves'!$D$4:$D$1363,$G211))</f>
        <v/>
      </c>
      <c r="C211" s="21" t="str">
        <f>IF($G211="","",INDEX('Liste des élèves'!$E$4:$E$1363,$G211))</f>
        <v/>
      </c>
      <c r="D211" s="20" t="str">
        <f>IF($G211="","",INDEX('Liste des élèves'!$I$4:$I$1363,$G211))</f>
        <v/>
      </c>
      <c r="E211" s="20" t="str">
        <f>IF($G211="","",INDEX('Liste des élèves'!$J$4:$J$1363,$G211))</f>
        <v/>
      </c>
      <c r="F211" s="51" t="str">
        <f>IF($G211="","",INDEX('Liste des élèves'!$P$4:$P$1363,$G211)+INDEX('Liste des élèves'!$T$4:$T$1363,$G211))</f>
        <v/>
      </c>
      <c r="G211" s="49" t="str">
        <f>IF(G210="","",IFERROR(G210+MATCH("En retard",INDEX('Liste des élèves'!$Q$4:$Q$1363,G210+1):'Liste des élèves'!$Q$1363,0),""))</f>
        <v/>
      </c>
    </row>
    <row r="212">
      <c r="A212" s="20" t="str">
        <f>IF($G212="","",INDEX('Liste des élèves'!$A$4:$A$1363,$G212))</f>
        <v/>
      </c>
      <c r="B212" s="20" t="str">
        <f>IF($G212="","",INDEX('Liste des élèves'!$D$4:$D$1363,$G212))</f>
        <v/>
      </c>
      <c r="C212" s="21" t="str">
        <f>IF($G212="","",INDEX('Liste des élèves'!$E$4:$E$1363,$G212))</f>
        <v/>
      </c>
      <c r="D212" s="20" t="str">
        <f>IF($G212="","",INDEX('Liste des élèves'!$I$4:$I$1363,$G212))</f>
        <v/>
      </c>
      <c r="E212" s="20" t="str">
        <f>IF($G212="","",INDEX('Liste des élèves'!$J$4:$J$1363,$G212))</f>
        <v/>
      </c>
      <c r="F212" s="51" t="str">
        <f>IF($G212="","",INDEX('Liste des élèves'!$P$4:$P$1363,$G212)+INDEX('Liste des élèves'!$T$4:$T$1363,$G212))</f>
        <v/>
      </c>
      <c r="G212" s="49" t="str">
        <f>IF(G211="","",IFERROR(G211+MATCH("En retard",INDEX('Liste des élèves'!$Q$4:$Q$1363,G211+1):'Liste des élèves'!$Q$1363,0),""))</f>
        <v/>
      </c>
    </row>
    <row r="213">
      <c r="A213" s="20" t="str">
        <f>IF($G213="","",INDEX('Liste des élèves'!$A$4:$A$1363,$G213))</f>
        <v/>
      </c>
      <c r="B213" s="20" t="str">
        <f>IF($G213="","",INDEX('Liste des élèves'!$D$4:$D$1363,$G213))</f>
        <v/>
      </c>
      <c r="C213" s="21" t="str">
        <f>IF($G213="","",INDEX('Liste des élèves'!$E$4:$E$1363,$G213))</f>
        <v/>
      </c>
      <c r="D213" s="20" t="str">
        <f>IF($G213="","",INDEX('Liste des élèves'!$I$4:$I$1363,$G213))</f>
        <v/>
      </c>
      <c r="E213" s="20" t="str">
        <f>IF($G213="","",INDEX('Liste des élèves'!$J$4:$J$1363,$G213))</f>
        <v/>
      </c>
      <c r="F213" s="51" t="str">
        <f>IF($G213="","",INDEX('Liste des élèves'!$P$4:$P$1363,$G213)+INDEX('Liste des élèves'!$T$4:$T$1363,$G213))</f>
        <v/>
      </c>
      <c r="G213" s="49" t="str">
        <f>IF(G212="","",IFERROR(G212+MATCH("En retard",INDEX('Liste des élèves'!$Q$4:$Q$1363,G212+1):'Liste des élèves'!$Q$1363,0),""))</f>
        <v/>
      </c>
    </row>
    <row r="214">
      <c r="A214" s="20" t="str">
        <f>IF($G214="","",INDEX('Liste des élèves'!$A$4:$A$1363,$G214))</f>
        <v/>
      </c>
      <c r="B214" s="20" t="str">
        <f>IF($G214="","",INDEX('Liste des élèves'!$D$4:$D$1363,$G214))</f>
        <v/>
      </c>
      <c r="C214" s="21" t="str">
        <f>IF($G214="","",INDEX('Liste des élèves'!$E$4:$E$1363,$G214))</f>
        <v/>
      </c>
      <c r="D214" s="20" t="str">
        <f>IF($G214="","",INDEX('Liste des élèves'!$I$4:$I$1363,$G214))</f>
        <v/>
      </c>
      <c r="E214" s="20" t="str">
        <f>IF($G214="","",INDEX('Liste des élèves'!$J$4:$J$1363,$G214))</f>
        <v/>
      </c>
      <c r="F214" s="51" t="str">
        <f>IF($G214="","",INDEX('Liste des élèves'!$P$4:$P$1363,$G214)+INDEX('Liste des élèves'!$T$4:$T$1363,$G214))</f>
        <v/>
      </c>
      <c r="G214" s="49" t="str">
        <f>IF(G213="","",IFERROR(G213+MATCH("En retard",INDEX('Liste des élèves'!$Q$4:$Q$1363,G213+1):'Liste des élèves'!$Q$1363,0),""))</f>
        <v/>
      </c>
    </row>
    <row r="215">
      <c r="A215" s="20" t="str">
        <f>IF($G215="","",INDEX('Liste des élèves'!$A$4:$A$1363,$G215))</f>
        <v/>
      </c>
      <c r="B215" s="20" t="str">
        <f>IF($G215="","",INDEX('Liste des élèves'!$D$4:$D$1363,$G215))</f>
        <v/>
      </c>
      <c r="C215" s="21" t="str">
        <f>IF($G215="","",INDEX('Liste des élèves'!$E$4:$E$1363,$G215))</f>
        <v/>
      </c>
      <c r="D215" s="20" t="str">
        <f>IF($G215="","",INDEX('Liste des élèves'!$I$4:$I$1363,$G215))</f>
        <v/>
      </c>
      <c r="E215" s="20" t="str">
        <f>IF($G215="","",INDEX('Liste des élèves'!$J$4:$J$1363,$G215))</f>
        <v/>
      </c>
      <c r="F215" s="51" t="str">
        <f>IF($G215="","",INDEX('Liste des élèves'!$P$4:$P$1363,$G215)+INDEX('Liste des élèves'!$T$4:$T$1363,$G215))</f>
        <v/>
      </c>
      <c r="G215" s="49" t="str">
        <f>IF(G214="","",IFERROR(G214+MATCH("En retard",INDEX('Liste des élèves'!$Q$4:$Q$1363,G214+1):'Liste des élèves'!$Q$1363,0),""))</f>
        <v/>
      </c>
    </row>
    <row r="216">
      <c r="A216" s="20" t="str">
        <f>IF($G216="","",INDEX('Liste des élèves'!$A$4:$A$1363,$G216))</f>
        <v/>
      </c>
      <c r="B216" s="20" t="str">
        <f>IF($G216="","",INDEX('Liste des élèves'!$D$4:$D$1363,$G216))</f>
        <v/>
      </c>
      <c r="C216" s="21" t="str">
        <f>IF($G216="","",INDEX('Liste des élèves'!$E$4:$E$1363,$G216))</f>
        <v/>
      </c>
      <c r="D216" s="20" t="str">
        <f>IF($G216="","",INDEX('Liste des élèves'!$I$4:$I$1363,$G216))</f>
        <v/>
      </c>
      <c r="E216" s="20" t="str">
        <f>IF($G216="","",INDEX('Liste des élèves'!$J$4:$J$1363,$G216))</f>
        <v/>
      </c>
      <c r="F216" s="51" t="str">
        <f>IF($G216="","",INDEX('Liste des élèves'!$P$4:$P$1363,$G216)+INDEX('Liste des élèves'!$T$4:$T$1363,$G216))</f>
        <v/>
      </c>
      <c r="G216" s="49" t="str">
        <f>IF(G215="","",IFERROR(G215+MATCH("En retard",INDEX('Liste des élèves'!$Q$4:$Q$1363,G215+1):'Liste des élèves'!$Q$1363,0),""))</f>
        <v/>
      </c>
    </row>
    <row r="217">
      <c r="A217" s="20" t="str">
        <f>IF($G217="","",INDEX('Liste des élèves'!$A$4:$A$1363,$G217))</f>
        <v/>
      </c>
      <c r="B217" s="20" t="str">
        <f>IF($G217="","",INDEX('Liste des élèves'!$D$4:$D$1363,$G217))</f>
        <v/>
      </c>
      <c r="C217" s="21" t="str">
        <f>IF($G217="","",INDEX('Liste des élèves'!$E$4:$E$1363,$G217))</f>
        <v/>
      </c>
      <c r="D217" s="20" t="str">
        <f>IF($G217="","",INDEX('Liste des élèves'!$I$4:$I$1363,$G217))</f>
        <v/>
      </c>
      <c r="E217" s="20" t="str">
        <f>IF($G217="","",INDEX('Liste des élèves'!$J$4:$J$1363,$G217))</f>
        <v/>
      </c>
      <c r="F217" s="51" t="str">
        <f>IF($G217="","",INDEX('Liste des élèves'!$P$4:$P$1363,$G217)+INDEX('Liste des élèves'!$T$4:$T$1363,$G217))</f>
        <v/>
      </c>
      <c r="G217" s="49" t="str">
        <f>IF(G216="","",IFERROR(G216+MATCH("En retard",INDEX('Liste des élèves'!$Q$4:$Q$1363,G216+1):'Liste des élèves'!$Q$1363,0),""))</f>
        <v/>
      </c>
    </row>
    <row r="218">
      <c r="A218" s="20" t="str">
        <f>IF($G218="","",INDEX('Liste des élèves'!$A$4:$A$1363,$G218))</f>
        <v/>
      </c>
      <c r="B218" s="20" t="str">
        <f>IF($G218="","",INDEX('Liste des élèves'!$D$4:$D$1363,$G218))</f>
        <v/>
      </c>
      <c r="C218" s="21" t="str">
        <f>IF($G218="","",INDEX('Liste des élèves'!$E$4:$E$1363,$G218))</f>
        <v/>
      </c>
      <c r="D218" s="20" t="str">
        <f>IF($G218="","",INDEX('Liste des élèves'!$I$4:$I$1363,$G218))</f>
        <v/>
      </c>
      <c r="E218" s="20" t="str">
        <f>IF($G218="","",INDEX('Liste des élèves'!$J$4:$J$1363,$G218))</f>
        <v/>
      </c>
      <c r="F218" s="51" t="str">
        <f>IF($G218="","",INDEX('Liste des élèves'!$P$4:$P$1363,$G218)+INDEX('Liste des élèves'!$T$4:$T$1363,$G218))</f>
        <v/>
      </c>
      <c r="G218" s="49" t="str">
        <f>IF(G217="","",IFERROR(G217+MATCH("En retard",INDEX('Liste des élèves'!$Q$4:$Q$1363,G217+1):'Liste des élèves'!$Q$1363,0),""))</f>
        <v/>
      </c>
    </row>
    <row r="219">
      <c r="A219" s="20" t="str">
        <f>IF($G219="","",INDEX('Liste des élèves'!$A$4:$A$1363,$G219))</f>
        <v/>
      </c>
      <c r="B219" s="20" t="str">
        <f>IF($G219="","",INDEX('Liste des élèves'!$D$4:$D$1363,$G219))</f>
        <v/>
      </c>
      <c r="C219" s="21" t="str">
        <f>IF($G219="","",INDEX('Liste des élèves'!$E$4:$E$1363,$G219))</f>
        <v/>
      </c>
      <c r="D219" s="20" t="str">
        <f>IF($G219="","",INDEX('Liste des élèves'!$I$4:$I$1363,$G219))</f>
        <v/>
      </c>
      <c r="E219" s="20" t="str">
        <f>IF($G219="","",INDEX('Liste des élèves'!$J$4:$J$1363,$G219))</f>
        <v/>
      </c>
      <c r="F219" s="51" t="str">
        <f>IF($G219="","",INDEX('Liste des élèves'!$P$4:$P$1363,$G219)+INDEX('Liste des élèves'!$T$4:$T$1363,$G219))</f>
        <v/>
      </c>
      <c r="G219" s="49" t="str">
        <f>IF(G218="","",IFERROR(G218+MATCH("En retard",INDEX('Liste des élèves'!$Q$4:$Q$1363,G218+1):'Liste des élèves'!$Q$1363,0),""))</f>
        <v/>
      </c>
    </row>
    <row r="220">
      <c r="A220" s="20" t="str">
        <f>IF($G220="","",INDEX('Liste des élèves'!$A$4:$A$1363,$G220))</f>
        <v/>
      </c>
      <c r="B220" s="20" t="str">
        <f>IF($G220="","",INDEX('Liste des élèves'!$D$4:$D$1363,$G220))</f>
        <v/>
      </c>
      <c r="C220" s="21" t="str">
        <f>IF($G220="","",INDEX('Liste des élèves'!$E$4:$E$1363,$G220))</f>
        <v/>
      </c>
      <c r="D220" s="20" t="str">
        <f>IF($G220="","",INDEX('Liste des élèves'!$I$4:$I$1363,$G220))</f>
        <v/>
      </c>
      <c r="E220" s="20" t="str">
        <f>IF($G220="","",INDEX('Liste des élèves'!$J$4:$J$1363,$G220))</f>
        <v/>
      </c>
      <c r="F220" s="51" t="str">
        <f>IF($G220="","",INDEX('Liste des élèves'!$P$4:$P$1363,$G220)+INDEX('Liste des élèves'!$T$4:$T$1363,$G220))</f>
        <v/>
      </c>
      <c r="G220" s="49" t="str">
        <f>IF(G219="","",IFERROR(G219+MATCH("En retard",INDEX('Liste des élèves'!$Q$4:$Q$1363,G219+1):'Liste des élèves'!$Q$1363,0),""))</f>
        <v/>
      </c>
    </row>
    <row r="221">
      <c r="A221" s="20" t="str">
        <f>IF($G221="","",INDEX('Liste des élèves'!$A$4:$A$1363,$G221))</f>
        <v/>
      </c>
      <c r="B221" s="20" t="str">
        <f>IF($G221="","",INDEX('Liste des élèves'!$D$4:$D$1363,$G221))</f>
        <v/>
      </c>
      <c r="C221" s="21" t="str">
        <f>IF($G221="","",INDEX('Liste des élèves'!$E$4:$E$1363,$G221))</f>
        <v/>
      </c>
      <c r="D221" s="20" t="str">
        <f>IF($G221="","",INDEX('Liste des élèves'!$I$4:$I$1363,$G221))</f>
        <v/>
      </c>
      <c r="E221" s="20" t="str">
        <f>IF($G221="","",INDEX('Liste des élèves'!$J$4:$J$1363,$G221))</f>
        <v/>
      </c>
      <c r="F221" s="51" t="str">
        <f>IF($G221="","",INDEX('Liste des élèves'!$P$4:$P$1363,$G221)+INDEX('Liste des élèves'!$T$4:$T$1363,$G221))</f>
        <v/>
      </c>
      <c r="G221" s="49" t="str">
        <f>IF(G220="","",IFERROR(G220+MATCH("En retard",INDEX('Liste des élèves'!$Q$4:$Q$1363,G220+1):'Liste des élèves'!$Q$1363,0),""))</f>
        <v/>
      </c>
    </row>
    <row r="222">
      <c r="A222" s="20" t="str">
        <f>IF($G222="","",INDEX('Liste des élèves'!$A$4:$A$1363,$G222))</f>
        <v/>
      </c>
      <c r="B222" s="20" t="str">
        <f>IF($G222="","",INDEX('Liste des élèves'!$D$4:$D$1363,$G222))</f>
        <v/>
      </c>
      <c r="C222" s="21" t="str">
        <f>IF($G222="","",INDEX('Liste des élèves'!$E$4:$E$1363,$G222))</f>
        <v/>
      </c>
      <c r="D222" s="20" t="str">
        <f>IF($G222="","",INDEX('Liste des élèves'!$I$4:$I$1363,$G222))</f>
        <v/>
      </c>
      <c r="E222" s="20" t="str">
        <f>IF($G222="","",INDEX('Liste des élèves'!$J$4:$J$1363,$G222))</f>
        <v/>
      </c>
      <c r="F222" s="51" t="str">
        <f>IF($G222="","",INDEX('Liste des élèves'!$P$4:$P$1363,$G222)+INDEX('Liste des élèves'!$T$4:$T$1363,$G222))</f>
        <v/>
      </c>
      <c r="G222" s="49" t="str">
        <f>IF(G221="","",IFERROR(G221+MATCH("En retard",INDEX('Liste des élèves'!$Q$4:$Q$1363,G221+1):'Liste des élèves'!$Q$1363,0),""))</f>
        <v/>
      </c>
    </row>
    <row r="223">
      <c r="A223" s="20" t="str">
        <f>IF($G223="","",INDEX('Liste des élèves'!$A$4:$A$1363,$G223))</f>
        <v/>
      </c>
      <c r="B223" s="20" t="str">
        <f>IF($G223="","",INDEX('Liste des élèves'!$D$4:$D$1363,$G223))</f>
        <v/>
      </c>
      <c r="C223" s="21" t="str">
        <f>IF($G223="","",INDEX('Liste des élèves'!$E$4:$E$1363,$G223))</f>
        <v/>
      </c>
      <c r="D223" s="20" t="str">
        <f>IF($G223="","",INDEX('Liste des élèves'!$I$4:$I$1363,$G223))</f>
        <v/>
      </c>
      <c r="E223" s="20" t="str">
        <f>IF($G223="","",INDEX('Liste des élèves'!$J$4:$J$1363,$G223))</f>
        <v/>
      </c>
      <c r="F223" s="51" t="str">
        <f>IF($G223="","",INDEX('Liste des élèves'!$P$4:$P$1363,$G223)+INDEX('Liste des élèves'!$T$4:$T$1363,$G223))</f>
        <v/>
      </c>
      <c r="G223" s="49" t="str">
        <f>IF(G222="","",IFERROR(G222+MATCH("En retard",INDEX('Liste des élèves'!$Q$4:$Q$1363,G222+1):'Liste des élèves'!$Q$1363,0),""))</f>
        <v/>
      </c>
    </row>
    <row r="224">
      <c r="A224" s="20" t="str">
        <f>IF($G224="","",INDEX('Liste des élèves'!$A$4:$A$1363,$G224))</f>
        <v/>
      </c>
      <c r="B224" s="20" t="str">
        <f>IF($G224="","",INDEX('Liste des élèves'!$D$4:$D$1363,$G224))</f>
        <v/>
      </c>
      <c r="C224" s="21" t="str">
        <f>IF($G224="","",INDEX('Liste des élèves'!$E$4:$E$1363,$G224))</f>
        <v/>
      </c>
      <c r="D224" s="20" t="str">
        <f>IF($G224="","",INDEX('Liste des élèves'!$I$4:$I$1363,$G224))</f>
        <v/>
      </c>
      <c r="E224" s="20" t="str">
        <f>IF($G224="","",INDEX('Liste des élèves'!$J$4:$J$1363,$G224))</f>
        <v/>
      </c>
      <c r="F224" s="51" t="str">
        <f>IF($G224="","",INDEX('Liste des élèves'!$P$4:$P$1363,$G224)+INDEX('Liste des élèves'!$T$4:$T$1363,$G224))</f>
        <v/>
      </c>
      <c r="G224" s="49" t="str">
        <f>IF(G223="","",IFERROR(G223+MATCH("En retard",INDEX('Liste des élèves'!$Q$4:$Q$1363,G223+1):'Liste des élèves'!$Q$1363,0),""))</f>
        <v/>
      </c>
    </row>
    <row r="225">
      <c r="A225" s="20" t="str">
        <f>IF($G225="","",INDEX('Liste des élèves'!$A$4:$A$1363,$G225))</f>
        <v/>
      </c>
      <c r="B225" s="20" t="str">
        <f>IF($G225="","",INDEX('Liste des élèves'!$D$4:$D$1363,$G225))</f>
        <v/>
      </c>
      <c r="C225" s="21" t="str">
        <f>IF($G225="","",INDEX('Liste des élèves'!$E$4:$E$1363,$G225))</f>
        <v/>
      </c>
      <c r="D225" s="20" t="str">
        <f>IF($G225="","",INDEX('Liste des élèves'!$I$4:$I$1363,$G225))</f>
        <v/>
      </c>
      <c r="E225" s="20" t="str">
        <f>IF($G225="","",INDEX('Liste des élèves'!$J$4:$J$1363,$G225))</f>
        <v/>
      </c>
      <c r="F225" s="51" t="str">
        <f>IF($G225="","",INDEX('Liste des élèves'!$P$4:$P$1363,$G225)+INDEX('Liste des élèves'!$T$4:$T$1363,$G225))</f>
        <v/>
      </c>
      <c r="G225" s="49" t="str">
        <f>IF(G224="","",IFERROR(G224+MATCH("En retard",INDEX('Liste des élèves'!$Q$4:$Q$1363,G224+1):'Liste des élèves'!$Q$1363,0),""))</f>
        <v/>
      </c>
    </row>
    <row r="226">
      <c r="A226" s="20" t="str">
        <f>IF($G226="","",INDEX('Liste des élèves'!$A$4:$A$1363,$G226))</f>
        <v/>
      </c>
      <c r="B226" s="20" t="str">
        <f>IF($G226="","",INDEX('Liste des élèves'!$D$4:$D$1363,$G226))</f>
        <v/>
      </c>
      <c r="C226" s="21" t="str">
        <f>IF($G226="","",INDEX('Liste des élèves'!$E$4:$E$1363,$G226))</f>
        <v/>
      </c>
      <c r="D226" s="20" t="str">
        <f>IF($G226="","",INDEX('Liste des élèves'!$I$4:$I$1363,$G226))</f>
        <v/>
      </c>
      <c r="E226" s="20" t="str">
        <f>IF($G226="","",INDEX('Liste des élèves'!$J$4:$J$1363,$G226))</f>
        <v/>
      </c>
      <c r="F226" s="51" t="str">
        <f>IF($G226="","",INDEX('Liste des élèves'!$P$4:$P$1363,$G226)+INDEX('Liste des élèves'!$T$4:$T$1363,$G226))</f>
        <v/>
      </c>
      <c r="G226" s="49" t="str">
        <f>IF(G225="","",IFERROR(G225+MATCH("En retard",INDEX('Liste des élèves'!$Q$4:$Q$1363,G225+1):'Liste des élèves'!$Q$1363,0),""))</f>
        <v/>
      </c>
    </row>
    <row r="227">
      <c r="A227" s="20" t="str">
        <f>IF($G227="","",INDEX('Liste des élèves'!$A$4:$A$1363,$G227))</f>
        <v/>
      </c>
      <c r="B227" s="20" t="str">
        <f>IF($G227="","",INDEX('Liste des élèves'!$D$4:$D$1363,$G227))</f>
        <v/>
      </c>
      <c r="C227" s="21" t="str">
        <f>IF($G227="","",INDEX('Liste des élèves'!$E$4:$E$1363,$G227))</f>
        <v/>
      </c>
      <c r="D227" s="20" t="str">
        <f>IF($G227="","",INDEX('Liste des élèves'!$I$4:$I$1363,$G227))</f>
        <v/>
      </c>
      <c r="E227" s="20" t="str">
        <f>IF($G227="","",INDEX('Liste des élèves'!$J$4:$J$1363,$G227))</f>
        <v/>
      </c>
      <c r="F227" s="51" t="str">
        <f>IF($G227="","",INDEX('Liste des élèves'!$P$4:$P$1363,$G227)+INDEX('Liste des élèves'!$T$4:$T$1363,$G227))</f>
        <v/>
      </c>
      <c r="G227" s="49" t="str">
        <f>IF(G226="","",IFERROR(G226+MATCH("En retard",INDEX('Liste des élèves'!$Q$4:$Q$1363,G226+1):'Liste des élèves'!$Q$1363,0),""))</f>
        <v/>
      </c>
    </row>
    <row r="228">
      <c r="A228" s="20" t="str">
        <f>IF($G228="","",INDEX('Liste des élèves'!$A$4:$A$1363,$G228))</f>
        <v/>
      </c>
      <c r="B228" s="20" t="str">
        <f>IF($G228="","",INDEX('Liste des élèves'!$D$4:$D$1363,$G228))</f>
        <v/>
      </c>
      <c r="C228" s="21" t="str">
        <f>IF($G228="","",INDEX('Liste des élèves'!$E$4:$E$1363,$G228))</f>
        <v/>
      </c>
      <c r="D228" s="20" t="str">
        <f>IF($G228="","",INDEX('Liste des élèves'!$I$4:$I$1363,$G228))</f>
        <v/>
      </c>
      <c r="E228" s="20" t="str">
        <f>IF($G228="","",INDEX('Liste des élèves'!$J$4:$J$1363,$G228))</f>
        <v/>
      </c>
      <c r="F228" s="51" t="str">
        <f>IF($G228="","",INDEX('Liste des élèves'!$P$4:$P$1363,$G228)+INDEX('Liste des élèves'!$T$4:$T$1363,$G228))</f>
        <v/>
      </c>
      <c r="G228" s="49" t="str">
        <f>IF(G227="","",IFERROR(G227+MATCH("En retard",INDEX('Liste des élèves'!$Q$4:$Q$1363,G227+1):'Liste des élèves'!$Q$1363,0),""))</f>
        <v/>
      </c>
    </row>
    <row r="229">
      <c r="A229" s="20" t="str">
        <f>IF($G229="","",INDEX('Liste des élèves'!$A$4:$A$1363,$G229))</f>
        <v/>
      </c>
      <c r="B229" s="20" t="str">
        <f>IF($G229="","",INDEX('Liste des élèves'!$D$4:$D$1363,$G229))</f>
        <v/>
      </c>
      <c r="C229" s="21" t="str">
        <f>IF($G229="","",INDEX('Liste des élèves'!$E$4:$E$1363,$G229))</f>
        <v/>
      </c>
      <c r="D229" s="20" t="str">
        <f>IF($G229="","",INDEX('Liste des élèves'!$I$4:$I$1363,$G229))</f>
        <v/>
      </c>
      <c r="E229" s="20" t="str">
        <f>IF($G229="","",INDEX('Liste des élèves'!$J$4:$J$1363,$G229))</f>
        <v/>
      </c>
      <c r="F229" s="51" t="str">
        <f>IF($G229="","",INDEX('Liste des élèves'!$P$4:$P$1363,$G229)+INDEX('Liste des élèves'!$T$4:$T$1363,$G229))</f>
        <v/>
      </c>
      <c r="G229" s="49" t="str">
        <f>IF(G228="","",IFERROR(G228+MATCH("En retard",INDEX('Liste des élèves'!$Q$4:$Q$1363,G228+1):'Liste des élèves'!$Q$1363,0),""))</f>
        <v/>
      </c>
    </row>
    <row r="230">
      <c r="A230" s="20" t="str">
        <f>IF($G230="","",INDEX('Liste des élèves'!$A$4:$A$1363,$G230))</f>
        <v/>
      </c>
      <c r="B230" s="20" t="str">
        <f>IF($G230="","",INDEX('Liste des élèves'!$D$4:$D$1363,$G230))</f>
        <v/>
      </c>
      <c r="C230" s="21" t="str">
        <f>IF($G230="","",INDEX('Liste des élèves'!$E$4:$E$1363,$G230))</f>
        <v/>
      </c>
      <c r="D230" s="20" t="str">
        <f>IF($G230="","",INDEX('Liste des élèves'!$I$4:$I$1363,$G230))</f>
        <v/>
      </c>
      <c r="E230" s="20" t="str">
        <f>IF($G230="","",INDEX('Liste des élèves'!$J$4:$J$1363,$G230))</f>
        <v/>
      </c>
      <c r="F230" s="51" t="str">
        <f>IF($G230="","",INDEX('Liste des élèves'!$P$4:$P$1363,$G230)+INDEX('Liste des élèves'!$T$4:$T$1363,$G230))</f>
        <v/>
      </c>
      <c r="G230" s="49" t="str">
        <f>IF(G229="","",IFERROR(G229+MATCH("En retard",INDEX('Liste des élèves'!$Q$4:$Q$1363,G229+1):'Liste des élèves'!$Q$1363,0),""))</f>
        <v/>
      </c>
    </row>
    <row r="231">
      <c r="A231" s="20" t="str">
        <f>IF($G231="","",INDEX('Liste des élèves'!$A$4:$A$1363,$G231))</f>
        <v/>
      </c>
      <c r="B231" s="20" t="str">
        <f>IF($G231="","",INDEX('Liste des élèves'!$D$4:$D$1363,$G231))</f>
        <v/>
      </c>
      <c r="C231" s="21" t="str">
        <f>IF($G231="","",INDEX('Liste des élèves'!$E$4:$E$1363,$G231))</f>
        <v/>
      </c>
      <c r="D231" s="20" t="str">
        <f>IF($G231="","",INDEX('Liste des élèves'!$I$4:$I$1363,$G231))</f>
        <v/>
      </c>
      <c r="E231" s="20" t="str">
        <f>IF($G231="","",INDEX('Liste des élèves'!$J$4:$J$1363,$G231))</f>
        <v/>
      </c>
      <c r="F231" s="51" t="str">
        <f>IF($G231="","",INDEX('Liste des élèves'!$P$4:$P$1363,$G231)+INDEX('Liste des élèves'!$T$4:$T$1363,$G231))</f>
        <v/>
      </c>
      <c r="G231" s="49" t="str">
        <f>IF(G230="","",IFERROR(G230+MATCH("En retard",INDEX('Liste des élèves'!$Q$4:$Q$1363,G230+1):'Liste des élèves'!$Q$1363,0),""))</f>
        <v/>
      </c>
    </row>
    <row r="232">
      <c r="A232" s="20" t="str">
        <f>IF($G232="","",INDEX('Liste des élèves'!$A$4:$A$1363,$G232))</f>
        <v/>
      </c>
      <c r="B232" s="20" t="str">
        <f>IF($G232="","",INDEX('Liste des élèves'!$D$4:$D$1363,$G232))</f>
        <v/>
      </c>
      <c r="C232" s="21" t="str">
        <f>IF($G232="","",INDEX('Liste des élèves'!$E$4:$E$1363,$G232))</f>
        <v/>
      </c>
      <c r="D232" s="20" t="str">
        <f>IF($G232="","",INDEX('Liste des élèves'!$I$4:$I$1363,$G232))</f>
        <v/>
      </c>
      <c r="E232" s="20" t="str">
        <f>IF($G232="","",INDEX('Liste des élèves'!$J$4:$J$1363,$G232))</f>
        <v/>
      </c>
      <c r="F232" s="51" t="str">
        <f>IF($G232="","",INDEX('Liste des élèves'!$P$4:$P$1363,$G232)+INDEX('Liste des élèves'!$T$4:$T$1363,$G232))</f>
        <v/>
      </c>
      <c r="G232" s="49" t="str">
        <f>IF(G231="","",IFERROR(G231+MATCH("En retard",INDEX('Liste des élèves'!$Q$4:$Q$1363,G231+1):'Liste des élèves'!$Q$1363,0),""))</f>
        <v/>
      </c>
    </row>
    <row r="233">
      <c r="A233" s="20" t="str">
        <f>IF($G233="","",INDEX('Liste des élèves'!$A$4:$A$1363,$G233))</f>
        <v/>
      </c>
      <c r="B233" s="20" t="str">
        <f>IF($G233="","",INDEX('Liste des élèves'!$D$4:$D$1363,$G233))</f>
        <v/>
      </c>
      <c r="C233" s="21" t="str">
        <f>IF($G233="","",INDEX('Liste des élèves'!$E$4:$E$1363,$G233))</f>
        <v/>
      </c>
      <c r="D233" s="20" t="str">
        <f>IF($G233="","",INDEX('Liste des élèves'!$I$4:$I$1363,$G233))</f>
        <v/>
      </c>
      <c r="E233" s="20" t="str">
        <f>IF($G233="","",INDEX('Liste des élèves'!$J$4:$J$1363,$G233))</f>
        <v/>
      </c>
      <c r="F233" s="51" t="str">
        <f>IF($G233="","",INDEX('Liste des élèves'!$P$4:$P$1363,$G233)+INDEX('Liste des élèves'!$T$4:$T$1363,$G233))</f>
        <v/>
      </c>
      <c r="G233" s="49" t="str">
        <f>IF(G232="","",IFERROR(G232+MATCH("En retard",INDEX('Liste des élèves'!$Q$4:$Q$1363,G232+1):'Liste des élèves'!$Q$1363,0),""))</f>
        <v/>
      </c>
    </row>
    <row r="234">
      <c r="A234" s="20" t="str">
        <f>IF($G234="","",INDEX('Liste des élèves'!$A$4:$A$1363,$G234))</f>
        <v/>
      </c>
      <c r="B234" s="20" t="str">
        <f>IF($G234="","",INDEX('Liste des élèves'!$D$4:$D$1363,$G234))</f>
        <v/>
      </c>
      <c r="C234" s="21" t="str">
        <f>IF($G234="","",INDEX('Liste des élèves'!$E$4:$E$1363,$G234))</f>
        <v/>
      </c>
      <c r="D234" s="20" t="str">
        <f>IF($G234="","",INDEX('Liste des élèves'!$I$4:$I$1363,$G234))</f>
        <v/>
      </c>
      <c r="E234" s="20" t="str">
        <f>IF($G234="","",INDEX('Liste des élèves'!$J$4:$J$1363,$G234))</f>
        <v/>
      </c>
      <c r="F234" s="51" t="str">
        <f>IF($G234="","",INDEX('Liste des élèves'!$P$4:$P$1363,$G234)+INDEX('Liste des élèves'!$T$4:$T$1363,$G234))</f>
        <v/>
      </c>
      <c r="G234" s="49" t="str">
        <f>IF(G233="","",IFERROR(G233+MATCH("En retard",INDEX('Liste des élèves'!$Q$4:$Q$1363,G233+1):'Liste des élèves'!$Q$1363,0),""))</f>
        <v/>
      </c>
    </row>
    <row r="235">
      <c r="A235" s="20" t="str">
        <f>IF($G235="","",INDEX('Liste des élèves'!$A$4:$A$1363,$G235))</f>
        <v/>
      </c>
      <c r="B235" s="20" t="str">
        <f>IF($G235="","",INDEX('Liste des élèves'!$D$4:$D$1363,$G235))</f>
        <v/>
      </c>
      <c r="C235" s="21" t="str">
        <f>IF($G235="","",INDEX('Liste des élèves'!$E$4:$E$1363,$G235))</f>
        <v/>
      </c>
      <c r="D235" s="20" t="str">
        <f>IF($G235="","",INDEX('Liste des élèves'!$I$4:$I$1363,$G235))</f>
        <v/>
      </c>
      <c r="E235" s="20" t="str">
        <f>IF($G235="","",INDEX('Liste des élèves'!$J$4:$J$1363,$G235))</f>
        <v/>
      </c>
      <c r="F235" s="51" t="str">
        <f>IF($G235="","",INDEX('Liste des élèves'!$P$4:$P$1363,$G235)+INDEX('Liste des élèves'!$T$4:$T$1363,$G235))</f>
        <v/>
      </c>
      <c r="G235" s="49" t="str">
        <f>IF(G234="","",IFERROR(G234+MATCH("En retard",INDEX('Liste des élèves'!$Q$4:$Q$1363,G234+1):'Liste des élèves'!$Q$1363,0),""))</f>
        <v/>
      </c>
    </row>
    <row r="236">
      <c r="A236" s="20" t="str">
        <f>IF($G236="","",INDEX('Liste des élèves'!$A$4:$A$1363,$G236))</f>
        <v/>
      </c>
      <c r="B236" s="20" t="str">
        <f>IF($G236="","",INDEX('Liste des élèves'!$D$4:$D$1363,$G236))</f>
        <v/>
      </c>
      <c r="C236" s="21" t="str">
        <f>IF($G236="","",INDEX('Liste des élèves'!$E$4:$E$1363,$G236))</f>
        <v/>
      </c>
      <c r="D236" s="20" t="str">
        <f>IF($G236="","",INDEX('Liste des élèves'!$I$4:$I$1363,$G236))</f>
        <v/>
      </c>
      <c r="E236" s="20" t="str">
        <f>IF($G236="","",INDEX('Liste des élèves'!$J$4:$J$1363,$G236))</f>
        <v/>
      </c>
      <c r="F236" s="51" t="str">
        <f>IF($G236="","",INDEX('Liste des élèves'!$P$4:$P$1363,$G236)+INDEX('Liste des élèves'!$T$4:$T$1363,$G236))</f>
        <v/>
      </c>
      <c r="G236" s="49" t="str">
        <f>IF(G235="","",IFERROR(G235+MATCH("En retard",INDEX('Liste des élèves'!$Q$4:$Q$1363,G235+1):'Liste des élèves'!$Q$1363,0),""))</f>
        <v/>
      </c>
    </row>
    <row r="237">
      <c r="A237" s="20" t="str">
        <f>IF($G237="","",INDEX('Liste des élèves'!$A$4:$A$1363,$G237))</f>
        <v/>
      </c>
      <c r="B237" s="20" t="str">
        <f>IF($G237="","",INDEX('Liste des élèves'!$D$4:$D$1363,$G237))</f>
        <v/>
      </c>
      <c r="C237" s="21" t="str">
        <f>IF($G237="","",INDEX('Liste des élèves'!$E$4:$E$1363,$G237))</f>
        <v/>
      </c>
      <c r="D237" s="20" t="str">
        <f>IF($G237="","",INDEX('Liste des élèves'!$I$4:$I$1363,$G237))</f>
        <v/>
      </c>
      <c r="E237" s="20" t="str">
        <f>IF($G237="","",INDEX('Liste des élèves'!$J$4:$J$1363,$G237))</f>
        <v/>
      </c>
      <c r="F237" s="51" t="str">
        <f>IF($G237="","",INDEX('Liste des élèves'!$P$4:$P$1363,$G237)+INDEX('Liste des élèves'!$T$4:$T$1363,$G237))</f>
        <v/>
      </c>
      <c r="G237" s="49" t="str">
        <f>IF(G236="","",IFERROR(G236+MATCH("En retard",INDEX('Liste des élèves'!$Q$4:$Q$1363,G236+1):'Liste des élèves'!$Q$1363,0),""))</f>
        <v/>
      </c>
    </row>
    <row r="238">
      <c r="A238" s="20" t="str">
        <f>IF($G238="","",INDEX('Liste des élèves'!$A$4:$A$1363,$G238))</f>
        <v/>
      </c>
      <c r="B238" s="20" t="str">
        <f>IF($G238="","",INDEX('Liste des élèves'!$D$4:$D$1363,$G238))</f>
        <v/>
      </c>
      <c r="C238" s="21" t="str">
        <f>IF($G238="","",INDEX('Liste des élèves'!$E$4:$E$1363,$G238))</f>
        <v/>
      </c>
      <c r="D238" s="20" t="str">
        <f>IF($G238="","",INDEX('Liste des élèves'!$I$4:$I$1363,$G238))</f>
        <v/>
      </c>
      <c r="E238" s="20" t="str">
        <f>IF($G238="","",INDEX('Liste des élèves'!$J$4:$J$1363,$G238))</f>
        <v/>
      </c>
      <c r="F238" s="51" t="str">
        <f>IF($G238="","",INDEX('Liste des élèves'!$P$4:$P$1363,$G238)+INDEX('Liste des élèves'!$T$4:$T$1363,$G238))</f>
        <v/>
      </c>
      <c r="G238" s="49" t="str">
        <f>IF(G237="","",IFERROR(G237+MATCH("En retard",INDEX('Liste des élèves'!$Q$4:$Q$1363,G237+1):'Liste des élèves'!$Q$1363,0),""))</f>
        <v/>
      </c>
    </row>
    <row r="239">
      <c r="A239" s="20" t="str">
        <f>IF($G239="","",INDEX('Liste des élèves'!$A$4:$A$1363,$G239))</f>
        <v/>
      </c>
      <c r="B239" s="20" t="str">
        <f>IF($G239="","",INDEX('Liste des élèves'!$D$4:$D$1363,$G239))</f>
        <v/>
      </c>
      <c r="C239" s="21" t="str">
        <f>IF($G239="","",INDEX('Liste des élèves'!$E$4:$E$1363,$G239))</f>
        <v/>
      </c>
      <c r="D239" s="20" t="str">
        <f>IF($G239="","",INDEX('Liste des élèves'!$I$4:$I$1363,$G239))</f>
        <v/>
      </c>
      <c r="E239" s="20" t="str">
        <f>IF($G239="","",INDEX('Liste des élèves'!$J$4:$J$1363,$G239))</f>
        <v/>
      </c>
      <c r="F239" s="51" t="str">
        <f>IF($G239="","",INDEX('Liste des élèves'!$P$4:$P$1363,$G239)+INDEX('Liste des élèves'!$T$4:$T$1363,$G239))</f>
        <v/>
      </c>
      <c r="G239" s="49" t="str">
        <f>IF(G238="","",IFERROR(G238+MATCH("En retard",INDEX('Liste des élèves'!$Q$4:$Q$1363,G238+1):'Liste des élèves'!$Q$1363,0),""))</f>
        <v/>
      </c>
    </row>
    <row r="240">
      <c r="A240" s="20" t="str">
        <f>IF($G240="","",INDEX('Liste des élèves'!$A$4:$A$1363,$G240))</f>
        <v/>
      </c>
      <c r="B240" s="20" t="str">
        <f>IF($G240="","",INDEX('Liste des élèves'!$D$4:$D$1363,$G240))</f>
        <v/>
      </c>
      <c r="C240" s="21" t="str">
        <f>IF($G240="","",INDEX('Liste des élèves'!$E$4:$E$1363,$G240))</f>
        <v/>
      </c>
      <c r="D240" s="20" t="str">
        <f>IF($G240="","",INDEX('Liste des élèves'!$I$4:$I$1363,$G240))</f>
        <v/>
      </c>
      <c r="E240" s="20" t="str">
        <f>IF($G240="","",INDEX('Liste des élèves'!$J$4:$J$1363,$G240))</f>
        <v/>
      </c>
      <c r="F240" s="51" t="str">
        <f>IF($G240="","",INDEX('Liste des élèves'!$P$4:$P$1363,$G240)+INDEX('Liste des élèves'!$T$4:$T$1363,$G240))</f>
        <v/>
      </c>
      <c r="G240" s="49" t="str">
        <f>IF(G239="","",IFERROR(G239+MATCH("En retard",INDEX('Liste des élèves'!$Q$4:$Q$1363,G239+1):'Liste des élèves'!$Q$1363,0),""))</f>
        <v/>
      </c>
    </row>
    <row r="241">
      <c r="A241" s="20" t="str">
        <f>IF($G241="","",INDEX('Liste des élèves'!$A$4:$A$1363,$G241))</f>
        <v/>
      </c>
      <c r="B241" s="20" t="str">
        <f>IF($G241="","",INDEX('Liste des élèves'!$D$4:$D$1363,$G241))</f>
        <v/>
      </c>
      <c r="C241" s="21" t="str">
        <f>IF($G241="","",INDEX('Liste des élèves'!$E$4:$E$1363,$G241))</f>
        <v/>
      </c>
      <c r="D241" s="20" t="str">
        <f>IF($G241="","",INDEX('Liste des élèves'!$I$4:$I$1363,$G241))</f>
        <v/>
      </c>
      <c r="E241" s="20" t="str">
        <f>IF($G241="","",INDEX('Liste des élèves'!$J$4:$J$1363,$G241))</f>
        <v/>
      </c>
      <c r="F241" s="51" t="str">
        <f>IF($G241="","",INDEX('Liste des élèves'!$P$4:$P$1363,$G241)+INDEX('Liste des élèves'!$T$4:$T$1363,$G241))</f>
        <v/>
      </c>
      <c r="G241" s="49" t="str">
        <f>IF(G240="","",IFERROR(G240+MATCH("En retard",INDEX('Liste des élèves'!$Q$4:$Q$1363,G240+1):'Liste des élèves'!$Q$1363,0),""))</f>
        <v/>
      </c>
    </row>
    <row r="242">
      <c r="A242" s="20" t="str">
        <f>IF($G242="","",INDEX('Liste des élèves'!$A$4:$A$1363,$G242))</f>
        <v/>
      </c>
      <c r="B242" s="20" t="str">
        <f>IF($G242="","",INDEX('Liste des élèves'!$D$4:$D$1363,$G242))</f>
        <v/>
      </c>
      <c r="C242" s="21" t="str">
        <f>IF($G242="","",INDEX('Liste des élèves'!$E$4:$E$1363,$G242))</f>
        <v/>
      </c>
      <c r="D242" s="20" t="str">
        <f>IF($G242="","",INDEX('Liste des élèves'!$I$4:$I$1363,$G242))</f>
        <v/>
      </c>
      <c r="E242" s="20" t="str">
        <f>IF($G242="","",INDEX('Liste des élèves'!$J$4:$J$1363,$G242))</f>
        <v/>
      </c>
      <c r="F242" s="51" t="str">
        <f>IF($G242="","",INDEX('Liste des élèves'!$P$4:$P$1363,$G242)+INDEX('Liste des élèves'!$T$4:$T$1363,$G242))</f>
        <v/>
      </c>
      <c r="G242" s="49" t="str">
        <f>IF(G241="","",IFERROR(G241+MATCH("En retard",INDEX('Liste des élèves'!$Q$4:$Q$1363,G241+1):'Liste des élèves'!$Q$1363,0),""))</f>
        <v/>
      </c>
    </row>
    <row r="243">
      <c r="A243" s="20" t="str">
        <f>IF($G243="","",INDEX('Liste des élèves'!$A$4:$A$1363,$G243))</f>
        <v/>
      </c>
      <c r="B243" s="20" t="str">
        <f>IF($G243="","",INDEX('Liste des élèves'!$D$4:$D$1363,$G243))</f>
        <v/>
      </c>
      <c r="C243" s="21" t="str">
        <f>IF($G243="","",INDEX('Liste des élèves'!$E$4:$E$1363,$G243))</f>
        <v/>
      </c>
      <c r="D243" s="20" t="str">
        <f>IF($G243="","",INDEX('Liste des élèves'!$I$4:$I$1363,$G243))</f>
        <v/>
      </c>
      <c r="E243" s="20" t="str">
        <f>IF($G243="","",INDEX('Liste des élèves'!$J$4:$J$1363,$G243))</f>
        <v/>
      </c>
      <c r="F243" s="51" t="str">
        <f>IF($G243="","",INDEX('Liste des élèves'!$P$4:$P$1363,$G243)+INDEX('Liste des élèves'!$T$4:$T$1363,$G243))</f>
        <v/>
      </c>
      <c r="G243" s="49" t="str">
        <f>IF(G242="","",IFERROR(G242+MATCH("En retard",INDEX('Liste des élèves'!$Q$4:$Q$1363,G242+1):'Liste des élèves'!$Q$1363,0),""))</f>
        <v/>
      </c>
    </row>
    <row r="244">
      <c r="A244" s="20" t="str">
        <f>IF($G244="","",INDEX('Liste des élèves'!$A$4:$A$1363,$G244))</f>
        <v/>
      </c>
      <c r="B244" s="20" t="str">
        <f>IF($G244="","",INDEX('Liste des élèves'!$D$4:$D$1363,$G244))</f>
        <v/>
      </c>
      <c r="C244" s="21" t="str">
        <f>IF($G244="","",INDEX('Liste des élèves'!$E$4:$E$1363,$G244))</f>
        <v/>
      </c>
      <c r="D244" s="20" t="str">
        <f>IF($G244="","",INDEX('Liste des élèves'!$I$4:$I$1363,$G244))</f>
        <v/>
      </c>
      <c r="E244" s="20" t="str">
        <f>IF($G244="","",INDEX('Liste des élèves'!$J$4:$J$1363,$G244))</f>
        <v/>
      </c>
      <c r="F244" s="51" t="str">
        <f>IF($G244="","",INDEX('Liste des élèves'!$P$4:$P$1363,$G244)+INDEX('Liste des élèves'!$T$4:$T$1363,$G244))</f>
        <v/>
      </c>
      <c r="G244" s="49" t="str">
        <f>IF(G243="","",IFERROR(G243+MATCH("En retard",INDEX('Liste des élèves'!$Q$4:$Q$1363,G243+1):'Liste des élèves'!$Q$1363,0),""))</f>
        <v/>
      </c>
    </row>
    <row r="245">
      <c r="A245" s="20" t="str">
        <f>IF($G245="","",INDEX('Liste des élèves'!$A$4:$A$1363,$G245))</f>
        <v/>
      </c>
      <c r="B245" s="20" t="str">
        <f>IF($G245="","",INDEX('Liste des élèves'!$D$4:$D$1363,$G245))</f>
        <v/>
      </c>
      <c r="C245" s="21" t="str">
        <f>IF($G245="","",INDEX('Liste des élèves'!$E$4:$E$1363,$G245))</f>
        <v/>
      </c>
      <c r="D245" s="20" t="str">
        <f>IF($G245="","",INDEX('Liste des élèves'!$I$4:$I$1363,$G245))</f>
        <v/>
      </c>
      <c r="E245" s="20" t="str">
        <f>IF($G245="","",INDEX('Liste des élèves'!$J$4:$J$1363,$G245))</f>
        <v/>
      </c>
      <c r="F245" s="51" t="str">
        <f>IF($G245="","",INDEX('Liste des élèves'!$P$4:$P$1363,$G245)+INDEX('Liste des élèves'!$T$4:$T$1363,$G245))</f>
        <v/>
      </c>
      <c r="G245" s="49" t="str">
        <f>IF(G244="","",IFERROR(G244+MATCH("En retard",INDEX('Liste des élèves'!$Q$4:$Q$1363,G244+1):'Liste des élèves'!$Q$1363,0),""))</f>
        <v/>
      </c>
    </row>
    <row r="246">
      <c r="A246" s="20" t="str">
        <f>IF($G246="","",INDEX('Liste des élèves'!$A$4:$A$1363,$G246))</f>
        <v/>
      </c>
      <c r="B246" s="20" t="str">
        <f>IF($G246="","",INDEX('Liste des élèves'!$D$4:$D$1363,$G246))</f>
        <v/>
      </c>
      <c r="C246" s="21" t="str">
        <f>IF($G246="","",INDEX('Liste des élèves'!$E$4:$E$1363,$G246))</f>
        <v/>
      </c>
      <c r="D246" s="20" t="str">
        <f>IF($G246="","",INDEX('Liste des élèves'!$I$4:$I$1363,$G246))</f>
        <v/>
      </c>
      <c r="E246" s="20" t="str">
        <f>IF($G246="","",INDEX('Liste des élèves'!$J$4:$J$1363,$G246))</f>
        <v/>
      </c>
      <c r="F246" s="51" t="str">
        <f>IF($G246="","",INDEX('Liste des élèves'!$P$4:$P$1363,$G246)+INDEX('Liste des élèves'!$T$4:$T$1363,$G246))</f>
        <v/>
      </c>
      <c r="G246" s="49" t="str">
        <f>IF(G245="","",IFERROR(G245+MATCH("En retard",INDEX('Liste des élèves'!$Q$4:$Q$1363,G245+1):'Liste des élèves'!$Q$1363,0),""))</f>
        <v/>
      </c>
    </row>
    <row r="247">
      <c r="A247" s="20" t="str">
        <f>IF($G247="","",INDEX('Liste des élèves'!$A$4:$A$1363,$G247))</f>
        <v/>
      </c>
      <c r="B247" s="20" t="str">
        <f>IF($G247="","",INDEX('Liste des élèves'!$D$4:$D$1363,$G247))</f>
        <v/>
      </c>
      <c r="C247" s="21" t="str">
        <f>IF($G247="","",INDEX('Liste des élèves'!$E$4:$E$1363,$G247))</f>
        <v/>
      </c>
      <c r="D247" s="20" t="str">
        <f>IF($G247="","",INDEX('Liste des élèves'!$I$4:$I$1363,$G247))</f>
        <v/>
      </c>
      <c r="E247" s="20" t="str">
        <f>IF($G247="","",INDEX('Liste des élèves'!$J$4:$J$1363,$G247))</f>
        <v/>
      </c>
      <c r="F247" s="51" t="str">
        <f>IF($G247="","",INDEX('Liste des élèves'!$P$4:$P$1363,$G247)+INDEX('Liste des élèves'!$T$4:$T$1363,$G247))</f>
        <v/>
      </c>
      <c r="G247" s="49" t="str">
        <f>IF(G246="","",IFERROR(G246+MATCH("En retard",INDEX('Liste des élèves'!$Q$4:$Q$1363,G246+1):'Liste des élèves'!$Q$1363,0),""))</f>
        <v/>
      </c>
    </row>
    <row r="248">
      <c r="A248" s="20" t="str">
        <f>IF($G248="","",INDEX('Liste des élèves'!$A$4:$A$1363,$G248))</f>
        <v/>
      </c>
      <c r="B248" s="20" t="str">
        <f>IF($G248="","",INDEX('Liste des élèves'!$D$4:$D$1363,$G248))</f>
        <v/>
      </c>
      <c r="C248" s="21" t="str">
        <f>IF($G248="","",INDEX('Liste des élèves'!$E$4:$E$1363,$G248))</f>
        <v/>
      </c>
      <c r="D248" s="20" t="str">
        <f>IF($G248="","",INDEX('Liste des élèves'!$I$4:$I$1363,$G248))</f>
        <v/>
      </c>
      <c r="E248" s="20" t="str">
        <f>IF($G248="","",INDEX('Liste des élèves'!$J$4:$J$1363,$G248))</f>
        <v/>
      </c>
      <c r="F248" s="51" t="str">
        <f>IF($G248="","",INDEX('Liste des élèves'!$P$4:$P$1363,$G248)+INDEX('Liste des élèves'!$T$4:$T$1363,$G248))</f>
        <v/>
      </c>
      <c r="G248" s="49" t="str">
        <f>IF(G247="","",IFERROR(G247+MATCH("En retard",INDEX('Liste des élèves'!$Q$4:$Q$1363,G247+1):'Liste des élèves'!$Q$1363,0),""))</f>
        <v/>
      </c>
    </row>
    <row r="249">
      <c r="A249" s="20" t="str">
        <f>IF($G249="","",INDEX('Liste des élèves'!$A$4:$A$1363,$G249))</f>
        <v/>
      </c>
      <c r="B249" s="20" t="str">
        <f>IF($G249="","",INDEX('Liste des élèves'!$D$4:$D$1363,$G249))</f>
        <v/>
      </c>
      <c r="C249" s="21" t="str">
        <f>IF($G249="","",INDEX('Liste des élèves'!$E$4:$E$1363,$G249))</f>
        <v/>
      </c>
      <c r="D249" s="20" t="str">
        <f>IF($G249="","",INDEX('Liste des élèves'!$I$4:$I$1363,$G249))</f>
        <v/>
      </c>
      <c r="E249" s="20" t="str">
        <f>IF($G249="","",INDEX('Liste des élèves'!$J$4:$J$1363,$G249))</f>
        <v/>
      </c>
      <c r="F249" s="51" t="str">
        <f>IF($G249="","",INDEX('Liste des élèves'!$P$4:$P$1363,$G249)+INDEX('Liste des élèves'!$T$4:$T$1363,$G249))</f>
        <v/>
      </c>
      <c r="G249" s="49" t="str">
        <f>IF(G248="","",IFERROR(G248+MATCH("En retard",INDEX('Liste des élèves'!$Q$4:$Q$1363,G248+1):'Liste des élèves'!$Q$1363,0),""))</f>
        <v/>
      </c>
    </row>
    <row r="250">
      <c r="A250" s="20" t="str">
        <f>IF($G250="","",INDEX('Liste des élèves'!$A$4:$A$1363,$G250))</f>
        <v/>
      </c>
      <c r="B250" s="20" t="str">
        <f>IF($G250="","",INDEX('Liste des élèves'!$D$4:$D$1363,$G250))</f>
        <v/>
      </c>
      <c r="C250" s="21" t="str">
        <f>IF($G250="","",INDEX('Liste des élèves'!$E$4:$E$1363,$G250))</f>
        <v/>
      </c>
      <c r="D250" s="20" t="str">
        <f>IF($G250="","",INDEX('Liste des élèves'!$I$4:$I$1363,$G250))</f>
        <v/>
      </c>
      <c r="E250" s="20" t="str">
        <f>IF($G250="","",INDEX('Liste des élèves'!$J$4:$J$1363,$G250))</f>
        <v/>
      </c>
      <c r="F250" s="51" t="str">
        <f>IF($G250="","",INDEX('Liste des élèves'!$P$4:$P$1363,$G250)+INDEX('Liste des élèves'!$T$4:$T$1363,$G250))</f>
        <v/>
      </c>
      <c r="G250" s="49" t="str">
        <f>IF(G249="","",IFERROR(G249+MATCH("En retard",INDEX('Liste des élèves'!$Q$4:$Q$1363,G249+1):'Liste des élèves'!$Q$1363,0),""))</f>
        <v/>
      </c>
    </row>
    <row r="251">
      <c r="A251" s="20" t="str">
        <f>IF($G251="","",INDEX('Liste des élèves'!$A$4:$A$1363,$G251))</f>
        <v/>
      </c>
      <c r="B251" s="20" t="str">
        <f>IF($G251="","",INDEX('Liste des élèves'!$D$4:$D$1363,$G251))</f>
        <v/>
      </c>
      <c r="C251" s="21" t="str">
        <f>IF($G251="","",INDEX('Liste des élèves'!$E$4:$E$1363,$G251))</f>
        <v/>
      </c>
      <c r="D251" s="20" t="str">
        <f>IF($G251="","",INDEX('Liste des élèves'!$I$4:$I$1363,$G251))</f>
        <v/>
      </c>
      <c r="E251" s="20" t="str">
        <f>IF($G251="","",INDEX('Liste des élèves'!$J$4:$J$1363,$G251))</f>
        <v/>
      </c>
      <c r="F251" s="51" t="str">
        <f>IF($G251="","",INDEX('Liste des élèves'!$P$4:$P$1363,$G251)+INDEX('Liste des élèves'!$T$4:$T$1363,$G251))</f>
        <v/>
      </c>
      <c r="G251" s="49" t="str">
        <f>IF(G250="","",IFERROR(G250+MATCH("En retard",INDEX('Liste des élèves'!$Q$4:$Q$1363,G250+1):'Liste des élèves'!$Q$1363,0),""))</f>
        <v/>
      </c>
    </row>
    <row r="252">
      <c r="A252" s="20" t="str">
        <f>IF($G252="","",INDEX('Liste des élèves'!$A$4:$A$1363,$G252))</f>
        <v/>
      </c>
      <c r="B252" s="20" t="str">
        <f>IF($G252="","",INDEX('Liste des élèves'!$D$4:$D$1363,$G252))</f>
        <v/>
      </c>
      <c r="C252" s="21" t="str">
        <f>IF($G252="","",INDEX('Liste des élèves'!$E$4:$E$1363,$G252))</f>
        <v/>
      </c>
      <c r="D252" s="20" t="str">
        <f>IF($G252="","",INDEX('Liste des élèves'!$I$4:$I$1363,$G252))</f>
        <v/>
      </c>
      <c r="E252" s="20" t="str">
        <f>IF($G252="","",INDEX('Liste des élèves'!$J$4:$J$1363,$G252))</f>
        <v/>
      </c>
      <c r="F252" s="51" t="str">
        <f>IF($G252="","",INDEX('Liste des élèves'!$P$4:$P$1363,$G252)+INDEX('Liste des élèves'!$T$4:$T$1363,$G252))</f>
        <v/>
      </c>
      <c r="G252" s="49" t="str">
        <f>IF(G251="","",IFERROR(G251+MATCH("En retard",INDEX('Liste des élèves'!$Q$4:$Q$1363,G251+1):'Liste des élèves'!$Q$1363,0),""))</f>
        <v/>
      </c>
    </row>
    <row r="253">
      <c r="A253" s="20" t="str">
        <f>IF($G253="","",INDEX('Liste des élèves'!$A$4:$A$1363,$G253))</f>
        <v/>
      </c>
      <c r="B253" s="20" t="str">
        <f>IF($G253="","",INDEX('Liste des élèves'!$D$4:$D$1363,$G253))</f>
        <v/>
      </c>
      <c r="C253" s="21" t="str">
        <f>IF($G253="","",INDEX('Liste des élèves'!$E$4:$E$1363,$G253))</f>
        <v/>
      </c>
      <c r="D253" s="20" t="str">
        <f>IF($G253="","",INDEX('Liste des élèves'!$I$4:$I$1363,$G253))</f>
        <v/>
      </c>
      <c r="E253" s="20" t="str">
        <f>IF($G253="","",INDEX('Liste des élèves'!$J$4:$J$1363,$G253))</f>
        <v/>
      </c>
      <c r="F253" s="51" t="str">
        <f>IF($G253="","",INDEX('Liste des élèves'!$P$4:$P$1363,$G253)+INDEX('Liste des élèves'!$T$4:$T$1363,$G253))</f>
        <v/>
      </c>
      <c r="G253" s="49" t="str">
        <f>IF(G252="","",IFERROR(G252+MATCH("En retard",INDEX('Liste des élèves'!$Q$4:$Q$1363,G252+1):'Liste des élèves'!$Q$1363,0),""))</f>
        <v/>
      </c>
    </row>
    <row r="254">
      <c r="A254" s="20" t="str">
        <f>IF($G254="","",INDEX('Liste des élèves'!$A$4:$A$1363,$G254))</f>
        <v/>
      </c>
      <c r="B254" s="20" t="str">
        <f>IF($G254="","",INDEX('Liste des élèves'!$D$4:$D$1363,$G254))</f>
        <v/>
      </c>
      <c r="C254" s="21" t="str">
        <f>IF($G254="","",INDEX('Liste des élèves'!$E$4:$E$1363,$G254))</f>
        <v/>
      </c>
      <c r="D254" s="20" t="str">
        <f>IF($G254="","",INDEX('Liste des élèves'!$I$4:$I$1363,$G254))</f>
        <v/>
      </c>
      <c r="E254" s="20" t="str">
        <f>IF($G254="","",INDEX('Liste des élèves'!$J$4:$J$1363,$G254))</f>
        <v/>
      </c>
      <c r="F254" s="51" t="str">
        <f>IF($G254="","",INDEX('Liste des élèves'!$P$4:$P$1363,$G254)+INDEX('Liste des élèves'!$T$4:$T$1363,$G254))</f>
        <v/>
      </c>
      <c r="G254" s="49" t="str">
        <f>IF(G253="","",IFERROR(G253+MATCH("En retard",INDEX('Liste des élèves'!$Q$4:$Q$1363,G253+1):'Liste des élèves'!$Q$1363,0),""))</f>
        <v/>
      </c>
    </row>
    <row r="255">
      <c r="A255" s="20" t="str">
        <f>IF($G255="","",INDEX('Liste des élèves'!$A$4:$A$1363,$G255))</f>
        <v/>
      </c>
      <c r="B255" s="20" t="str">
        <f>IF($G255="","",INDEX('Liste des élèves'!$D$4:$D$1363,$G255))</f>
        <v/>
      </c>
      <c r="C255" s="21" t="str">
        <f>IF($G255="","",INDEX('Liste des élèves'!$E$4:$E$1363,$G255))</f>
        <v/>
      </c>
      <c r="D255" s="20" t="str">
        <f>IF($G255="","",INDEX('Liste des élèves'!$I$4:$I$1363,$G255))</f>
        <v/>
      </c>
      <c r="E255" s="20" t="str">
        <f>IF($G255="","",INDEX('Liste des élèves'!$J$4:$J$1363,$G255))</f>
        <v/>
      </c>
      <c r="F255" s="51" t="str">
        <f>IF($G255="","",INDEX('Liste des élèves'!$P$4:$P$1363,$G255)+INDEX('Liste des élèves'!$T$4:$T$1363,$G255))</f>
        <v/>
      </c>
      <c r="G255" s="49" t="str">
        <f>IF(G254="","",IFERROR(G254+MATCH("En retard",INDEX('Liste des élèves'!$Q$4:$Q$1363,G254+1):'Liste des élèves'!$Q$1363,0),""))</f>
        <v/>
      </c>
    </row>
    <row r="256">
      <c r="A256" s="20" t="str">
        <f>IF($G256="","",INDEX('Liste des élèves'!$A$4:$A$1363,$G256))</f>
        <v/>
      </c>
      <c r="B256" s="20" t="str">
        <f>IF($G256="","",INDEX('Liste des élèves'!$D$4:$D$1363,$G256))</f>
        <v/>
      </c>
      <c r="C256" s="21" t="str">
        <f>IF($G256="","",INDEX('Liste des élèves'!$E$4:$E$1363,$G256))</f>
        <v/>
      </c>
      <c r="D256" s="20" t="str">
        <f>IF($G256="","",INDEX('Liste des élèves'!$I$4:$I$1363,$G256))</f>
        <v/>
      </c>
      <c r="E256" s="20" t="str">
        <f>IF($G256="","",INDEX('Liste des élèves'!$J$4:$J$1363,$G256))</f>
        <v/>
      </c>
      <c r="F256" s="51" t="str">
        <f>IF($G256="","",INDEX('Liste des élèves'!$P$4:$P$1363,$G256)+INDEX('Liste des élèves'!$T$4:$T$1363,$G256))</f>
        <v/>
      </c>
      <c r="G256" s="49" t="str">
        <f>IF(G255="","",IFERROR(G255+MATCH("En retard",INDEX('Liste des élèves'!$Q$4:$Q$1363,G255+1):'Liste des élèves'!$Q$1363,0),""))</f>
        <v/>
      </c>
    </row>
    <row r="257">
      <c r="A257" s="20" t="str">
        <f>IF($G257="","",INDEX('Liste des élèves'!$A$4:$A$1363,$G257))</f>
        <v/>
      </c>
      <c r="B257" s="20" t="str">
        <f>IF($G257="","",INDEX('Liste des élèves'!$D$4:$D$1363,$G257))</f>
        <v/>
      </c>
      <c r="C257" s="21" t="str">
        <f>IF($G257="","",INDEX('Liste des élèves'!$E$4:$E$1363,$G257))</f>
        <v/>
      </c>
      <c r="D257" s="20" t="str">
        <f>IF($G257="","",INDEX('Liste des élèves'!$I$4:$I$1363,$G257))</f>
        <v/>
      </c>
      <c r="E257" s="20" t="str">
        <f>IF($G257="","",INDEX('Liste des élèves'!$J$4:$J$1363,$G257))</f>
        <v/>
      </c>
      <c r="F257" s="51" t="str">
        <f>IF($G257="","",INDEX('Liste des élèves'!$P$4:$P$1363,$G257)+INDEX('Liste des élèves'!$T$4:$T$1363,$G257))</f>
        <v/>
      </c>
      <c r="G257" s="49" t="str">
        <f>IF(G256="","",IFERROR(G256+MATCH("En retard",INDEX('Liste des élèves'!$Q$4:$Q$1363,G256+1):'Liste des élèves'!$Q$1363,0),""))</f>
        <v/>
      </c>
    </row>
    <row r="258">
      <c r="A258" s="20" t="str">
        <f>IF($G258="","",INDEX('Liste des élèves'!$A$4:$A$1363,$G258))</f>
        <v/>
      </c>
      <c r="B258" s="20" t="str">
        <f>IF($G258="","",INDEX('Liste des élèves'!$D$4:$D$1363,$G258))</f>
        <v/>
      </c>
      <c r="C258" s="21" t="str">
        <f>IF($G258="","",INDEX('Liste des élèves'!$E$4:$E$1363,$G258))</f>
        <v/>
      </c>
      <c r="D258" s="20" t="str">
        <f>IF($G258="","",INDEX('Liste des élèves'!$I$4:$I$1363,$G258))</f>
        <v/>
      </c>
      <c r="E258" s="20" t="str">
        <f>IF($G258="","",INDEX('Liste des élèves'!$J$4:$J$1363,$G258))</f>
        <v/>
      </c>
      <c r="F258" s="51" t="str">
        <f>IF($G258="","",INDEX('Liste des élèves'!$P$4:$P$1363,$G258)+INDEX('Liste des élèves'!$T$4:$T$1363,$G258))</f>
        <v/>
      </c>
      <c r="G258" s="49" t="str">
        <f>IF(G257="","",IFERROR(G257+MATCH("En retard",INDEX('Liste des élèves'!$Q$4:$Q$1363,G257+1):'Liste des élèves'!$Q$1363,0),""))</f>
        <v/>
      </c>
    </row>
    <row r="259">
      <c r="A259" s="20" t="str">
        <f>IF($G259="","",INDEX('Liste des élèves'!$A$4:$A$1363,$G259))</f>
        <v/>
      </c>
      <c r="B259" s="20" t="str">
        <f>IF($G259="","",INDEX('Liste des élèves'!$D$4:$D$1363,$G259))</f>
        <v/>
      </c>
      <c r="C259" s="21" t="str">
        <f>IF($G259="","",INDEX('Liste des élèves'!$E$4:$E$1363,$G259))</f>
        <v/>
      </c>
      <c r="D259" s="20" t="str">
        <f>IF($G259="","",INDEX('Liste des élèves'!$I$4:$I$1363,$G259))</f>
        <v/>
      </c>
      <c r="E259" s="20" t="str">
        <f>IF($G259="","",INDEX('Liste des élèves'!$J$4:$J$1363,$G259))</f>
        <v/>
      </c>
      <c r="F259" s="51" t="str">
        <f>IF($G259="","",INDEX('Liste des élèves'!$P$4:$P$1363,$G259)+INDEX('Liste des élèves'!$T$4:$T$1363,$G259))</f>
        <v/>
      </c>
      <c r="G259" s="49" t="str">
        <f>IF(G258="","",IFERROR(G258+MATCH("En retard",INDEX('Liste des élèves'!$Q$4:$Q$1363,G258+1):'Liste des élèves'!$Q$1363,0),""))</f>
        <v/>
      </c>
    </row>
    <row r="260">
      <c r="A260" s="20" t="str">
        <f>IF($G260="","",INDEX('Liste des élèves'!$A$4:$A$1363,$G260))</f>
        <v/>
      </c>
      <c r="B260" s="20" t="str">
        <f>IF($G260="","",INDEX('Liste des élèves'!$D$4:$D$1363,$G260))</f>
        <v/>
      </c>
      <c r="C260" s="21" t="str">
        <f>IF($G260="","",INDEX('Liste des élèves'!$E$4:$E$1363,$G260))</f>
        <v/>
      </c>
      <c r="D260" s="20" t="str">
        <f>IF($G260="","",INDEX('Liste des élèves'!$I$4:$I$1363,$G260))</f>
        <v/>
      </c>
      <c r="E260" s="20" t="str">
        <f>IF($G260="","",INDEX('Liste des élèves'!$J$4:$J$1363,$G260))</f>
        <v/>
      </c>
      <c r="F260" s="51" t="str">
        <f>IF($G260="","",INDEX('Liste des élèves'!$P$4:$P$1363,$G260)+INDEX('Liste des élèves'!$T$4:$T$1363,$G260))</f>
        <v/>
      </c>
      <c r="G260" s="49" t="str">
        <f>IF(G259="","",IFERROR(G259+MATCH("En retard",INDEX('Liste des élèves'!$Q$4:$Q$1363,G259+1):'Liste des élèves'!$Q$1363,0),""))</f>
        <v/>
      </c>
    </row>
    <row r="261">
      <c r="A261" s="20" t="str">
        <f>IF($G261="","",INDEX('Liste des élèves'!$A$4:$A$1363,$G261))</f>
        <v/>
      </c>
      <c r="B261" s="20" t="str">
        <f>IF($G261="","",INDEX('Liste des élèves'!$D$4:$D$1363,$G261))</f>
        <v/>
      </c>
      <c r="C261" s="21" t="str">
        <f>IF($G261="","",INDEX('Liste des élèves'!$E$4:$E$1363,$G261))</f>
        <v/>
      </c>
      <c r="D261" s="20" t="str">
        <f>IF($G261="","",INDEX('Liste des élèves'!$I$4:$I$1363,$G261))</f>
        <v/>
      </c>
      <c r="E261" s="20" t="str">
        <f>IF($G261="","",INDEX('Liste des élèves'!$J$4:$J$1363,$G261))</f>
        <v/>
      </c>
      <c r="F261" s="51" t="str">
        <f>IF($G261="","",INDEX('Liste des élèves'!$P$4:$P$1363,$G261)+INDEX('Liste des élèves'!$T$4:$T$1363,$G261))</f>
        <v/>
      </c>
      <c r="G261" s="49" t="str">
        <f>IF(G260="","",IFERROR(G260+MATCH("En retard",INDEX('Liste des élèves'!$Q$4:$Q$1363,G260+1):'Liste des élèves'!$Q$1363,0),""))</f>
        <v/>
      </c>
    </row>
    <row r="262">
      <c r="A262" s="20" t="str">
        <f>IF($G262="","",INDEX('Liste des élèves'!$A$4:$A$1363,$G262))</f>
        <v/>
      </c>
      <c r="B262" s="20" t="str">
        <f>IF($G262="","",INDEX('Liste des élèves'!$D$4:$D$1363,$G262))</f>
        <v/>
      </c>
      <c r="C262" s="21" t="str">
        <f>IF($G262="","",INDEX('Liste des élèves'!$E$4:$E$1363,$G262))</f>
        <v/>
      </c>
      <c r="D262" s="20" t="str">
        <f>IF($G262="","",INDEX('Liste des élèves'!$I$4:$I$1363,$G262))</f>
        <v/>
      </c>
      <c r="E262" s="20" t="str">
        <f>IF($G262="","",INDEX('Liste des élèves'!$J$4:$J$1363,$G262))</f>
        <v/>
      </c>
      <c r="F262" s="51" t="str">
        <f>IF($G262="","",INDEX('Liste des élèves'!$P$4:$P$1363,$G262)+INDEX('Liste des élèves'!$T$4:$T$1363,$G262))</f>
        <v/>
      </c>
      <c r="G262" s="49" t="str">
        <f>IF(G261="","",IFERROR(G261+MATCH("En retard",INDEX('Liste des élèves'!$Q$4:$Q$1363,G261+1):'Liste des élèves'!$Q$1363,0),""))</f>
        <v/>
      </c>
    </row>
    <row r="263">
      <c r="A263" s="20" t="str">
        <f>IF($G263="","",INDEX('Liste des élèves'!$A$4:$A$1363,$G263))</f>
        <v/>
      </c>
      <c r="B263" s="20" t="str">
        <f>IF($G263="","",INDEX('Liste des élèves'!$D$4:$D$1363,$G263))</f>
        <v/>
      </c>
      <c r="C263" s="21" t="str">
        <f>IF($G263="","",INDEX('Liste des élèves'!$E$4:$E$1363,$G263))</f>
        <v/>
      </c>
      <c r="D263" s="20" t="str">
        <f>IF($G263="","",INDEX('Liste des élèves'!$I$4:$I$1363,$G263))</f>
        <v/>
      </c>
      <c r="E263" s="20" t="str">
        <f>IF($G263="","",INDEX('Liste des élèves'!$J$4:$J$1363,$G263))</f>
        <v/>
      </c>
      <c r="F263" s="51" t="str">
        <f>IF($G263="","",INDEX('Liste des élèves'!$P$4:$P$1363,$G263)+INDEX('Liste des élèves'!$T$4:$T$1363,$G263))</f>
        <v/>
      </c>
      <c r="G263" s="49" t="str">
        <f>IF(G262="","",IFERROR(G262+MATCH("En retard",INDEX('Liste des élèves'!$Q$4:$Q$1363,G262+1):'Liste des élèves'!$Q$1363,0),""))</f>
        <v/>
      </c>
    </row>
    <row r="264">
      <c r="A264" s="20" t="str">
        <f>IF($G264="","",INDEX('Liste des élèves'!$A$4:$A$1363,$G264))</f>
        <v/>
      </c>
      <c r="B264" s="20" t="str">
        <f>IF($G264="","",INDEX('Liste des élèves'!$D$4:$D$1363,$G264))</f>
        <v/>
      </c>
      <c r="C264" s="21" t="str">
        <f>IF($G264="","",INDEX('Liste des élèves'!$E$4:$E$1363,$G264))</f>
        <v/>
      </c>
      <c r="D264" s="20" t="str">
        <f>IF($G264="","",INDEX('Liste des élèves'!$I$4:$I$1363,$G264))</f>
        <v/>
      </c>
      <c r="E264" s="20" t="str">
        <f>IF($G264="","",INDEX('Liste des élèves'!$J$4:$J$1363,$G264))</f>
        <v/>
      </c>
      <c r="F264" s="51" t="str">
        <f>IF($G264="","",INDEX('Liste des élèves'!$P$4:$P$1363,$G264)+INDEX('Liste des élèves'!$T$4:$T$1363,$G264))</f>
        <v/>
      </c>
      <c r="G264" s="49" t="str">
        <f>IF(G263="","",IFERROR(G263+MATCH("En retard",INDEX('Liste des élèves'!$Q$4:$Q$1363,G263+1):'Liste des élèves'!$Q$1363,0),""))</f>
        <v/>
      </c>
    </row>
    <row r="265">
      <c r="A265" s="20" t="str">
        <f>IF($G265="","",INDEX('Liste des élèves'!$A$4:$A$1363,$G265))</f>
        <v/>
      </c>
      <c r="B265" s="20" t="str">
        <f>IF($G265="","",INDEX('Liste des élèves'!$D$4:$D$1363,$G265))</f>
        <v/>
      </c>
      <c r="C265" s="21" t="str">
        <f>IF($G265="","",INDEX('Liste des élèves'!$E$4:$E$1363,$G265))</f>
        <v/>
      </c>
      <c r="D265" s="20" t="str">
        <f>IF($G265="","",INDEX('Liste des élèves'!$I$4:$I$1363,$G265))</f>
        <v/>
      </c>
      <c r="E265" s="20" t="str">
        <f>IF($G265="","",INDEX('Liste des élèves'!$J$4:$J$1363,$G265))</f>
        <v/>
      </c>
      <c r="F265" s="51" t="str">
        <f>IF($G265="","",INDEX('Liste des élèves'!$P$4:$P$1363,$G265)+INDEX('Liste des élèves'!$T$4:$T$1363,$G265))</f>
        <v/>
      </c>
      <c r="G265" s="49" t="str">
        <f>IF(G264="","",IFERROR(G264+MATCH("En retard",INDEX('Liste des élèves'!$Q$4:$Q$1363,G264+1):'Liste des élèves'!$Q$1363,0),""))</f>
        <v/>
      </c>
    </row>
    <row r="266">
      <c r="A266" s="20" t="str">
        <f>IF($G266="","",INDEX('Liste des élèves'!$A$4:$A$1363,$G266))</f>
        <v/>
      </c>
      <c r="B266" s="20" t="str">
        <f>IF($G266="","",INDEX('Liste des élèves'!$D$4:$D$1363,$G266))</f>
        <v/>
      </c>
      <c r="C266" s="21" t="str">
        <f>IF($G266="","",INDEX('Liste des élèves'!$E$4:$E$1363,$G266))</f>
        <v/>
      </c>
      <c r="D266" s="20" t="str">
        <f>IF($G266="","",INDEX('Liste des élèves'!$I$4:$I$1363,$G266))</f>
        <v/>
      </c>
      <c r="E266" s="20" t="str">
        <f>IF($G266="","",INDEX('Liste des élèves'!$J$4:$J$1363,$G266))</f>
        <v/>
      </c>
      <c r="F266" s="51" t="str">
        <f>IF($G266="","",INDEX('Liste des élèves'!$P$4:$P$1363,$G266)+INDEX('Liste des élèves'!$T$4:$T$1363,$G266))</f>
        <v/>
      </c>
      <c r="G266" s="49" t="str">
        <f>IF(G265="","",IFERROR(G265+MATCH("En retard",INDEX('Liste des élèves'!$Q$4:$Q$1363,G265+1):'Liste des élèves'!$Q$1363,0),""))</f>
        <v/>
      </c>
    </row>
    <row r="267">
      <c r="A267" s="20" t="str">
        <f>IF($G267="","",INDEX('Liste des élèves'!$A$4:$A$1363,$G267))</f>
        <v/>
      </c>
      <c r="B267" s="20" t="str">
        <f>IF($G267="","",INDEX('Liste des élèves'!$D$4:$D$1363,$G267))</f>
        <v/>
      </c>
      <c r="C267" s="21" t="str">
        <f>IF($G267="","",INDEX('Liste des élèves'!$E$4:$E$1363,$G267))</f>
        <v/>
      </c>
      <c r="D267" s="20" t="str">
        <f>IF($G267="","",INDEX('Liste des élèves'!$I$4:$I$1363,$G267))</f>
        <v/>
      </c>
      <c r="E267" s="20" t="str">
        <f>IF($G267="","",INDEX('Liste des élèves'!$J$4:$J$1363,$G267))</f>
        <v/>
      </c>
      <c r="F267" s="51" t="str">
        <f>IF($G267="","",INDEX('Liste des élèves'!$P$4:$P$1363,$G267)+INDEX('Liste des élèves'!$T$4:$T$1363,$G267))</f>
        <v/>
      </c>
      <c r="G267" s="49" t="str">
        <f>IF(G266="","",IFERROR(G266+MATCH("En retard",INDEX('Liste des élèves'!$Q$4:$Q$1363,G266+1):'Liste des élèves'!$Q$1363,0),""))</f>
        <v/>
      </c>
    </row>
    <row r="268">
      <c r="A268" s="20" t="str">
        <f>IF($G268="","",INDEX('Liste des élèves'!$A$4:$A$1363,$G268))</f>
        <v/>
      </c>
      <c r="B268" s="20" t="str">
        <f>IF($G268="","",INDEX('Liste des élèves'!$D$4:$D$1363,$G268))</f>
        <v/>
      </c>
      <c r="C268" s="21" t="str">
        <f>IF($G268="","",INDEX('Liste des élèves'!$E$4:$E$1363,$G268))</f>
        <v/>
      </c>
      <c r="D268" s="20" t="str">
        <f>IF($G268="","",INDEX('Liste des élèves'!$I$4:$I$1363,$G268))</f>
        <v/>
      </c>
      <c r="E268" s="20" t="str">
        <f>IF($G268="","",INDEX('Liste des élèves'!$J$4:$J$1363,$G268))</f>
        <v/>
      </c>
      <c r="F268" s="51" t="str">
        <f>IF($G268="","",INDEX('Liste des élèves'!$P$4:$P$1363,$G268)+INDEX('Liste des élèves'!$T$4:$T$1363,$G268))</f>
        <v/>
      </c>
      <c r="G268" s="49" t="str">
        <f>IF(G267="","",IFERROR(G267+MATCH("En retard",INDEX('Liste des élèves'!$Q$4:$Q$1363,G267+1):'Liste des élèves'!$Q$1363,0),""))</f>
        <v/>
      </c>
    </row>
    <row r="269">
      <c r="A269" s="20" t="str">
        <f>IF($G269="","",INDEX('Liste des élèves'!$A$4:$A$1363,$G269))</f>
        <v/>
      </c>
      <c r="B269" s="20" t="str">
        <f>IF($G269="","",INDEX('Liste des élèves'!$D$4:$D$1363,$G269))</f>
        <v/>
      </c>
      <c r="C269" s="21" t="str">
        <f>IF($G269="","",INDEX('Liste des élèves'!$E$4:$E$1363,$G269))</f>
        <v/>
      </c>
      <c r="D269" s="20" t="str">
        <f>IF($G269="","",INDEX('Liste des élèves'!$I$4:$I$1363,$G269))</f>
        <v/>
      </c>
      <c r="E269" s="20" t="str">
        <f>IF($G269="","",INDEX('Liste des élèves'!$J$4:$J$1363,$G269))</f>
        <v/>
      </c>
      <c r="F269" s="51" t="str">
        <f>IF($G269="","",INDEX('Liste des élèves'!$P$4:$P$1363,$G269)+INDEX('Liste des élèves'!$T$4:$T$1363,$G269))</f>
        <v/>
      </c>
      <c r="G269" s="49" t="str">
        <f>IF(G268="","",IFERROR(G268+MATCH("En retard",INDEX('Liste des élèves'!$Q$4:$Q$1363,G268+1):'Liste des élèves'!$Q$1363,0),""))</f>
        <v/>
      </c>
    </row>
    <row r="270">
      <c r="A270" s="20" t="str">
        <f>IF($G270="","",INDEX('Liste des élèves'!$A$4:$A$1363,$G270))</f>
        <v/>
      </c>
      <c r="B270" s="20" t="str">
        <f>IF($G270="","",INDEX('Liste des élèves'!$D$4:$D$1363,$G270))</f>
        <v/>
      </c>
      <c r="C270" s="21" t="str">
        <f>IF($G270="","",INDEX('Liste des élèves'!$E$4:$E$1363,$G270))</f>
        <v/>
      </c>
      <c r="D270" s="20" t="str">
        <f>IF($G270="","",INDEX('Liste des élèves'!$I$4:$I$1363,$G270))</f>
        <v/>
      </c>
      <c r="E270" s="20" t="str">
        <f>IF($G270="","",INDEX('Liste des élèves'!$J$4:$J$1363,$G270))</f>
        <v/>
      </c>
      <c r="F270" s="51" t="str">
        <f>IF($G270="","",INDEX('Liste des élèves'!$P$4:$P$1363,$G270)+INDEX('Liste des élèves'!$T$4:$T$1363,$G270))</f>
        <v/>
      </c>
      <c r="G270" s="49" t="str">
        <f>IF(G269="","",IFERROR(G269+MATCH("En retard",INDEX('Liste des élèves'!$Q$4:$Q$1363,G269+1):'Liste des élèves'!$Q$1363,0),""))</f>
        <v/>
      </c>
    </row>
    <row r="271">
      <c r="A271" s="20" t="str">
        <f>IF($G271="","",INDEX('Liste des élèves'!$A$4:$A$1363,$G271))</f>
        <v/>
      </c>
      <c r="B271" s="20" t="str">
        <f>IF($G271="","",INDEX('Liste des élèves'!$D$4:$D$1363,$G271))</f>
        <v/>
      </c>
      <c r="C271" s="21" t="str">
        <f>IF($G271="","",INDEX('Liste des élèves'!$E$4:$E$1363,$G271))</f>
        <v/>
      </c>
      <c r="D271" s="20" t="str">
        <f>IF($G271="","",INDEX('Liste des élèves'!$I$4:$I$1363,$G271))</f>
        <v/>
      </c>
      <c r="E271" s="20" t="str">
        <f>IF($G271="","",INDEX('Liste des élèves'!$J$4:$J$1363,$G271))</f>
        <v/>
      </c>
      <c r="F271" s="51" t="str">
        <f>IF($G271="","",INDEX('Liste des élèves'!$P$4:$P$1363,$G271)+INDEX('Liste des élèves'!$T$4:$T$1363,$G271))</f>
        <v/>
      </c>
      <c r="G271" s="49" t="str">
        <f>IF(G270="","",IFERROR(G270+MATCH("En retard",INDEX('Liste des élèves'!$Q$4:$Q$1363,G270+1):'Liste des élèves'!$Q$1363,0),""))</f>
        <v/>
      </c>
    </row>
    <row r="272">
      <c r="A272" s="20" t="str">
        <f>IF($G272="","",INDEX('Liste des élèves'!$A$4:$A$1363,$G272))</f>
        <v/>
      </c>
      <c r="B272" s="20" t="str">
        <f>IF($G272="","",INDEX('Liste des élèves'!$D$4:$D$1363,$G272))</f>
        <v/>
      </c>
      <c r="C272" s="21" t="str">
        <f>IF($G272="","",INDEX('Liste des élèves'!$E$4:$E$1363,$G272))</f>
        <v/>
      </c>
      <c r="D272" s="20" t="str">
        <f>IF($G272="","",INDEX('Liste des élèves'!$I$4:$I$1363,$G272))</f>
        <v/>
      </c>
      <c r="E272" s="20" t="str">
        <f>IF($G272="","",INDEX('Liste des élèves'!$J$4:$J$1363,$G272))</f>
        <v/>
      </c>
      <c r="F272" s="51" t="str">
        <f>IF($G272="","",INDEX('Liste des élèves'!$P$4:$P$1363,$G272)+INDEX('Liste des élèves'!$T$4:$T$1363,$G272))</f>
        <v/>
      </c>
      <c r="G272" s="49" t="str">
        <f>IF(G271="","",IFERROR(G271+MATCH("En retard",INDEX('Liste des élèves'!$Q$4:$Q$1363,G271+1):'Liste des élèves'!$Q$1363,0),""))</f>
        <v/>
      </c>
    </row>
    <row r="273">
      <c r="A273" s="20" t="str">
        <f>IF($G273="","",INDEX('Liste des élèves'!$A$4:$A$1363,$G273))</f>
        <v/>
      </c>
      <c r="B273" s="20" t="str">
        <f>IF($G273="","",INDEX('Liste des élèves'!$D$4:$D$1363,$G273))</f>
        <v/>
      </c>
      <c r="C273" s="21" t="str">
        <f>IF($G273="","",INDEX('Liste des élèves'!$E$4:$E$1363,$G273))</f>
        <v/>
      </c>
      <c r="D273" s="20" t="str">
        <f>IF($G273="","",INDEX('Liste des élèves'!$I$4:$I$1363,$G273))</f>
        <v/>
      </c>
      <c r="E273" s="20" t="str">
        <f>IF($G273="","",INDEX('Liste des élèves'!$J$4:$J$1363,$G273))</f>
        <v/>
      </c>
      <c r="F273" s="51" t="str">
        <f>IF($G273="","",INDEX('Liste des élèves'!$P$4:$P$1363,$G273)+INDEX('Liste des élèves'!$T$4:$T$1363,$G273))</f>
        <v/>
      </c>
      <c r="G273" s="49" t="str">
        <f>IF(G272="","",IFERROR(G272+MATCH("En retard",INDEX('Liste des élèves'!$Q$4:$Q$1363,G272+1):'Liste des élèves'!$Q$1363,0),""))</f>
        <v/>
      </c>
    </row>
    <row r="274">
      <c r="A274" s="20" t="str">
        <f>IF($G274="","",INDEX('Liste des élèves'!$A$4:$A$1363,$G274))</f>
        <v/>
      </c>
      <c r="B274" s="20" t="str">
        <f>IF($G274="","",INDEX('Liste des élèves'!$D$4:$D$1363,$G274))</f>
        <v/>
      </c>
      <c r="C274" s="21" t="str">
        <f>IF($G274="","",INDEX('Liste des élèves'!$E$4:$E$1363,$G274))</f>
        <v/>
      </c>
      <c r="D274" s="20" t="str">
        <f>IF($G274="","",INDEX('Liste des élèves'!$I$4:$I$1363,$G274))</f>
        <v/>
      </c>
      <c r="E274" s="20" t="str">
        <f>IF($G274="","",INDEX('Liste des élèves'!$J$4:$J$1363,$G274))</f>
        <v/>
      </c>
      <c r="F274" s="51" t="str">
        <f>IF($G274="","",INDEX('Liste des élèves'!$P$4:$P$1363,$G274)+INDEX('Liste des élèves'!$T$4:$T$1363,$G274))</f>
        <v/>
      </c>
      <c r="G274" s="49" t="str">
        <f>IF(G273="","",IFERROR(G273+MATCH("En retard",INDEX('Liste des élèves'!$Q$4:$Q$1363,G273+1):'Liste des élèves'!$Q$1363,0),""))</f>
        <v/>
      </c>
    </row>
    <row r="275">
      <c r="A275" s="20" t="str">
        <f>IF($G275="","",INDEX('Liste des élèves'!$A$4:$A$1363,$G275))</f>
        <v/>
      </c>
      <c r="B275" s="20" t="str">
        <f>IF($G275="","",INDEX('Liste des élèves'!$D$4:$D$1363,$G275))</f>
        <v/>
      </c>
      <c r="C275" s="21" t="str">
        <f>IF($G275="","",INDEX('Liste des élèves'!$E$4:$E$1363,$G275))</f>
        <v/>
      </c>
      <c r="D275" s="20" t="str">
        <f>IF($G275="","",INDEX('Liste des élèves'!$I$4:$I$1363,$G275))</f>
        <v/>
      </c>
      <c r="E275" s="20" t="str">
        <f>IF($G275="","",INDEX('Liste des élèves'!$J$4:$J$1363,$G275))</f>
        <v/>
      </c>
      <c r="F275" s="51" t="str">
        <f>IF($G275="","",INDEX('Liste des élèves'!$P$4:$P$1363,$G275)+INDEX('Liste des élèves'!$T$4:$T$1363,$G275))</f>
        <v/>
      </c>
      <c r="G275" s="49" t="str">
        <f>IF(G274="","",IFERROR(G274+MATCH("En retard",INDEX('Liste des élèves'!$Q$4:$Q$1363,G274+1):'Liste des élèves'!$Q$1363,0),""))</f>
        <v/>
      </c>
    </row>
    <row r="276">
      <c r="A276" s="20" t="str">
        <f>IF($G276="","",INDEX('Liste des élèves'!$A$4:$A$1363,$G276))</f>
        <v/>
      </c>
      <c r="B276" s="20" t="str">
        <f>IF($G276="","",INDEX('Liste des élèves'!$D$4:$D$1363,$G276))</f>
        <v/>
      </c>
      <c r="C276" s="21" t="str">
        <f>IF($G276="","",INDEX('Liste des élèves'!$E$4:$E$1363,$G276))</f>
        <v/>
      </c>
      <c r="D276" s="20" t="str">
        <f>IF($G276="","",INDEX('Liste des élèves'!$I$4:$I$1363,$G276))</f>
        <v/>
      </c>
      <c r="E276" s="20" t="str">
        <f>IF($G276="","",INDEX('Liste des élèves'!$J$4:$J$1363,$G276))</f>
        <v/>
      </c>
      <c r="F276" s="51" t="str">
        <f>IF($G276="","",INDEX('Liste des élèves'!$P$4:$P$1363,$G276)+INDEX('Liste des élèves'!$T$4:$T$1363,$G276))</f>
        <v/>
      </c>
      <c r="G276" s="49" t="str">
        <f>IF(G275="","",IFERROR(G275+MATCH("En retard",INDEX('Liste des élèves'!$Q$4:$Q$1363,G275+1):'Liste des élèves'!$Q$1363,0),""))</f>
        <v/>
      </c>
    </row>
    <row r="277">
      <c r="A277" s="20" t="str">
        <f>IF($G277="","",INDEX('Liste des élèves'!$A$4:$A$1363,$G277))</f>
        <v/>
      </c>
      <c r="B277" s="20" t="str">
        <f>IF($G277="","",INDEX('Liste des élèves'!$D$4:$D$1363,$G277))</f>
        <v/>
      </c>
      <c r="C277" s="21" t="str">
        <f>IF($G277="","",INDEX('Liste des élèves'!$E$4:$E$1363,$G277))</f>
        <v/>
      </c>
      <c r="D277" s="20" t="str">
        <f>IF($G277="","",INDEX('Liste des élèves'!$I$4:$I$1363,$G277))</f>
        <v/>
      </c>
      <c r="E277" s="20" t="str">
        <f>IF($G277="","",INDEX('Liste des élèves'!$J$4:$J$1363,$G277))</f>
        <v/>
      </c>
      <c r="F277" s="51" t="str">
        <f>IF($G277="","",INDEX('Liste des élèves'!$P$4:$P$1363,$G277)+INDEX('Liste des élèves'!$T$4:$T$1363,$G277))</f>
        <v/>
      </c>
      <c r="G277" s="49" t="str">
        <f>IF(G276="","",IFERROR(G276+MATCH("En retard",INDEX('Liste des élèves'!$Q$4:$Q$1363,G276+1):'Liste des élèves'!$Q$1363,0),""))</f>
        <v/>
      </c>
    </row>
    <row r="278">
      <c r="A278" s="20" t="str">
        <f>IF($G278="","",INDEX('Liste des élèves'!$A$4:$A$1363,$G278))</f>
        <v/>
      </c>
      <c r="B278" s="20" t="str">
        <f>IF($G278="","",INDEX('Liste des élèves'!$D$4:$D$1363,$G278))</f>
        <v/>
      </c>
      <c r="C278" s="21" t="str">
        <f>IF($G278="","",INDEX('Liste des élèves'!$E$4:$E$1363,$G278))</f>
        <v/>
      </c>
      <c r="D278" s="20" t="str">
        <f>IF($G278="","",INDEX('Liste des élèves'!$I$4:$I$1363,$G278))</f>
        <v/>
      </c>
      <c r="E278" s="20" t="str">
        <f>IF($G278="","",INDEX('Liste des élèves'!$J$4:$J$1363,$G278))</f>
        <v/>
      </c>
      <c r="F278" s="51" t="str">
        <f>IF($G278="","",INDEX('Liste des élèves'!$P$4:$P$1363,$G278)+INDEX('Liste des élèves'!$T$4:$T$1363,$G278))</f>
        <v/>
      </c>
      <c r="G278" s="49" t="str">
        <f>IF(G277="","",IFERROR(G277+MATCH("En retard",INDEX('Liste des élèves'!$Q$4:$Q$1363,G277+1):'Liste des élèves'!$Q$1363,0),""))</f>
        <v/>
      </c>
    </row>
    <row r="279">
      <c r="A279" s="20" t="str">
        <f>IF($G279="","",INDEX('Liste des élèves'!$A$4:$A$1363,$G279))</f>
        <v/>
      </c>
      <c r="B279" s="20" t="str">
        <f>IF($G279="","",INDEX('Liste des élèves'!$D$4:$D$1363,$G279))</f>
        <v/>
      </c>
      <c r="C279" s="21" t="str">
        <f>IF($G279="","",INDEX('Liste des élèves'!$E$4:$E$1363,$G279))</f>
        <v/>
      </c>
      <c r="D279" s="20" t="str">
        <f>IF($G279="","",INDEX('Liste des élèves'!$I$4:$I$1363,$G279))</f>
        <v/>
      </c>
      <c r="E279" s="20" t="str">
        <f>IF($G279="","",INDEX('Liste des élèves'!$J$4:$J$1363,$G279))</f>
        <v/>
      </c>
      <c r="F279" s="51" t="str">
        <f>IF($G279="","",INDEX('Liste des élèves'!$P$4:$P$1363,$G279)+INDEX('Liste des élèves'!$T$4:$T$1363,$G279))</f>
        <v/>
      </c>
      <c r="G279" s="49" t="str">
        <f>IF(G278="","",IFERROR(G278+MATCH("En retard",INDEX('Liste des élèves'!$Q$4:$Q$1363,G278+1):'Liste des élèves'!$Q$1363,0),""))</f>
        <v/>
      </c>
    </row>
    <row r="280">
      <c r="A280" s="20" t="str">
        <f>IF($G280="","",INDEX('Liste des élèves'!$A$4:$A$1363,$G280))</f>
        <v/>
      </c>
      <c r="B280" s="20" t="str">
        <f>IF($G280="","",INDEX('Liste des élèves'!$D$4:$D$1363,$G280))</f>
        <v/>
      </c>
      <c r="C280" s="21" t="str">
        <f>IF($G280="","",INDEX('Liste des élèves'!$E$4:$E$1363,$G280))</f>
        <v/>
      </c>
      <c r="D280" s="20" t="str">
        <f>IF($G280="","",INDEX('Liste des élèves'!$I$4:$I$1363,$G280))</f>
        <v/>
      </c>
      <c r="E280" s="20" t="str">
        <f>IF($G280="","",INDEX('Liste des élèves'!$J$4:$J$1363,$G280))</f>
        <v/>
      </c>
      <c r="F280" s="51" t="str">
        <f>IF($G280="","",INDEX('Liste des élèves'!$P$4:$P$1363,$G280)+INDEX('Liste des élèves'!$T$4:$T$1363,$G280))</f>
        <v/>
      </c>
      <c r="G280" s="49" t="str">
        <f>IF(G279="","",IFERROR(G279+MATCH("En retard",INDEX('Liste des élèves'!$Q$4:$Q$1363,G279+1):'Liste des élèves'!$Q$1363,0),""))</f>
        <v/>
      </c>
    </row>
    <row r="281">
      <c r="A281" s="20" t="str">
        <f>IF($G281="","",INDEX('Liste des élèves'!$A$4:$A$1363,$G281))</f>
        <v/>
      </c>
      <c r="B281" s="20" t="str">
        <f>IF($G281="","",INDEX('Liste des élèves'!$D$4:$D$1363,$G281))</f>
        <v/>
      </c>
      <c r="C281" s="21" t="str">
        <f>IF($G281="","",INDEX('Liste des élèves'!$E$4:$E$1363,$G281))</f>
        <v/>
      </c>
      <c r="D281" s="20" t="str">
        <f>IF($G281="","",INDEX('Liste des élèves'!$I$4:$I$1363,$G281))</f>
        <v/>
      </c>
      <c r="E281" s="20" t="str">
        <f>IF($G281="","",INDEX('Liste des élèves'!$J$4:$J$1363,$G281))</f>
        <v/>
      </c>
      <c r="F281" s="51" t="str">
        <f>IF($G281="","",INDEX('Liste des élèves'!$P$4:$P$1363,$G281)+INDEX('Liste des élèves'!$T$4:$T$1363,$G281))</f>
        <v/>
      </c>
      <c r="G281" s="49" t="str">
        <f>IF(G280="","",IFERROR(G280+MATCH("En retard",INDEX('Liste des élèves'!$Q$4:$Q$1363,G280+1):'Liste des élèves'!$Q$1363,0),""))</f>
        <v/>
      </c>
    </row>
    <row r="282">
      <c r="A282" s="20" t="str">
        <f>IF($G282="","",INDEX('Liste des élèves'!$A$4:$A$1363,$G282))</f>
        <v/>
      </c>
      <c r="B282" s="20" t="str">
        <f>IF($G282="","",INDEX('Liste des élèves'!$D$4:$D$1363,$G282))</f>
        <v/>
      </c>
      <c r="C282" s="21" t="str">
        <f>IF($G282="","",INDEX('Liste des élèves'!$E$4:$E$1363,$G282))</f>
        <v/>
      </c>
      <c r="D282" s="20" t="str">
        <f>IF($G282="","",INDEX('Liste des élèves'!$I$4:$I$1363,$G282))</f>
        <v/>
      </c>
      <c r="E282" s="20" t="str">
        <f>IF($G282="","",INDEX('Liste des élèves'!$J$4:$J$1363,$G282))</f>
        <v/>
      </c>
      <c r="F282" s="51" t="str">
        <f>IF($G282="","",INDEX('Liste des élèves'!$P$4:$P$1363,$G282)+INDEX('Liste des élèves'!$T$4:$T$1363,$G282))</f>
        <v/>
      </c>
      <c r="G282" s="49" t="str">
        <f>IF(G281="","",IFERROR(G281+MATCH("En retard",INDEX('Liste des élèves'!$Q$4:$Q$1363,G281+1):'Liste des élèves'!$Q$1363,0),""))</f>
        <v/>
      </c>
    </row>
    <row r="283">
      <c r="A283" s="20" t="str">
        <f>IF($G283="","",INDEX('Liste des élèves'!$A$4:$A$1363,$G283))</f>
        <v/>
      </c>
      <c r="B283" s="20" t="str">
        <f>IF($G283="","",INDEX('Liste des élèves'!$D$4:$D$1363,$G283))</f>
        <v/>
      </c>
      <c r="C283" s="21" t="str">
        <f>IF($G283="","",INDEX('Liste des élèves'!$E$4:$E$1363,$G283))</f>
        <v/>
      </c>
      <c r="D283" s="20" t="str">
        <f>IF($G283="","",INDEX('Liste des élèves'!$I$4:$I$1363,$G283))</f>
        <v/>
      </c>
      <c r="E283" s="20" t="str">
        <f>IF($G283="","",INDEX('Liste des élèves'!$J$4:$J$1363,$G283))</f>
        <v/>
      </c>
      <c r="F283" s="51" t="str">
        <f>IF($G283="","",INDEX('Liste des élèves'!$P$4:$P$1363,$G283)+INDEX('Liste des élèves'!$T$4:$T$1363,$G283))</f>
        <v/>
      </c>
      <c r="G283" s="49" t="str">
        <f>IF(G282="","",IFERROR(G282+MATCH("En retard",INDEX('Liste des élèves'!$Q$4:$Q$1363,G282+1):'Liste des élèves'!$Q$1363,0),""))</f>
        <v/>
      </c>
    </row>
    <row r="284">
      <c r="A284" s="20" t="str">
        <f>IF($G284="","",INDEX('Liste des élèves'!$A$4:$A$1363,$G284))</f>
        <v/>
      </c>
      <c r="B284" s="20" t="str">
        <f>IF($G284="","",INDEX('Liste des élèves'!$D$4:$D$1363,$G284))</f>
        <v/>
      </c>
      <c r="C284" s="21" t="str">
        <f>IF($G284="","",INDEX('Liste des élèves'!$E$4:$E$1363,$G284))</f>
        <v/>
      </c>
      <c r="D284" s="20" t="str">
        <f>IF($G284="","",INDEX('Liste des élèves'!$I$4:$I$1363,$G284))</f>
        <v/>
      </c>
      <c r="E284" s="20" t="str">
        <f>IF($G284="","",INDEX('Liste des élèves'!$J$4:$J$1363,$G284))</f>
        <v/>
      </c>
      <c r="F284" s="51" t="str">
        <f>IF($G284="","",INDEX('Liste des élèves'!$P$4:$P$1363,$G284)+INDEX('Liste des élèves'!$T$4:$T$1363,$G284))</f>
        <v/>
      </c>
      <c r="G284" s="49" t="str">
        <f>IF(G283="","",IFERROR(G283+MATCH("En retard",INDEX('Liste des élèves'!$Q$4:$Q$1363,G283+1):'Liste des élèves'!$Q$1363,0),""))</f>
        <v/>
      </c>
    </row>
    <row r="285">
      <c r="A285" s="20" t="str">
        <f>IF($G285="","",INDEX('Liste des élèves'!$A$4:$A$1363,$G285))</f>
        <v/>
      </c>
      <c r="B285" s="20" t="str">
        <f>IF($G285="","",INDEX('Liste des élèves'!$D$4:$D$1363,$G285))</f>
        <v/>
      </c>
      <c r="C285" s="21" t="str">
        <f>IF($G285="","",INDEX('Liste des élèves'!$E$4:$E$1363,$G285))</f>
        <v/>
      </c>
      <c r="D285" s="20" t="str">
        <f>IF($G285="","",INDEX('Liste des élèves'!$I$4:$I$1363,$G285))</f>
        <v/>
      </c>
      <c r="E285" s="20" t="str">
        <f>IF($G285="","",INDEX('Liste des élèves'!$J$4:$J$1363,$G285))</f>
        <v/>
      </c>
      <c r="F285" s="51" t="str">
        <f>IF($G285="","",INDEX('Liste des élèves'!$P$4:$P$1363,$G285)+INDEX('Liste des élèves'!$T$4:$T$1363,$G285))</f>
        <v/>
      </c>
      <c r="G285" s="49" t="str">
        <f>IF(G284="","",IFERROR(G284+MATCH("En retard",INDEX('Liste des élèves'!$Q$4:$Q$1363,G284+1):'Liste des élèves'!$Q$1363,0),""))</f>
        <v/>
      </c>
    </row>
    <row r="286">
      <c r="A286" s="20" t="str">
        <f>IF($G286="","",INDEX('Liste des élèves'!$A$4:$A$1363,$G286))</f>
        <v/>
      </c>
      <c r="B286" s="20" t="str">
        <f>IF($G286="","",INDEX('Liste des élèves'!$D$4:$D$1363,$G286))</f>
        <v/>
      </c>
      <c r="C286" s="21" t="str">
        <f>IF($G286="","",INDEX('Liste des élèves'!$E$4:$E$1363,$G286))</f>
        <v/>
      </c>
      <c r="D286" s="20" t="str">
        <f>IF($G286="","",INDEX('Liste des élèves'!$I$4:$I$1363,$G286))</f>
        <v/>
      </c>
      <c r="E286" s="20" t="str">
        <f>IF($G286="","",INDEX('Liste des élèves'!$J$4:$J$1363,$G286))</f>
        <v/>
      </c>
      <c r="F286" s="51" t="str">
        <f>IF($G286="","",INDEX('Liste des élèves'!$P$4:$P$1363,$G286)+INDEX('Liste des élèves'!$T$4:$T$1363,$G286))</f>
        <v/>
      </c>
      <c r="G286" s="49" t="str">
        <f>IF(G285="","",IFERROR(G285+MATCH("En retard",INDEX('Liste des élèves'!$Q$4:$Q$1363,G285+1):'Liste des élèves'!$Q$1363,0),""))</f>
        <v/>
      </c>
    </row>
    <row r="287">
      <c r="A287" s="20" t="str">
        <f>IF($G287="","",INDEX('Liste des élèves'!$A$4:$A$1363,$G287))</f>
        <v/>
      </c>
      <c r="B287" s="20" t="str">
        <f>IF($G287="","",INDEX('Liste des élèves'!$D$4:$D$1363,$G287))</f>
        <v/>
      </c>
      <c r="C287" s="21" t="str">
        <f>IF($G287="","",INDEX('Liste des élèves'!$E$4:$E$1363,$G287))</f>
        <v/>
      </c>
      <c r="D287" s="20" t="str">
        <f>IF($G287="","",INDEX('Liste des élèves'!$I$4:$I$1363,$G287))</f>
        <v/>
      </c>
      <c r="E287" s="20" t="str">
        <f>IF($G287="","",INDEX('Liste des élèves'!$J$4:$J$1363,$G287))</f>
        <v/>
      </c>
      <c r="F287" s="51" t="str">
        <f>IF($G287="","",INDEX('Liste des élèves'!$P$4:$P$1363,$G287)+INDEX('Liste des élèves'!$T$4:$T$1363,$G287))</f>
        <v/>
      </c>
      <c r="G287" s="49" t="str">
        <f>IF(G286="","",IFERROR(G286+MATCH("En retard",INDEX('Liste des élèves'!$Q$4:$Q$1363,G286+1):'Liste des élèves'!$Q$1363,0),""))</f>
        <v/>
      </c>
    </row>
    <row r="288">
      <c r="A288" s="20" t="str">
        <f>IF($G288="","",INDEX('Liste des élèves'!$A$4:$A$1363,$G288))</f>
        <v/>
      </c>
      <c r="B288" s="20" t="str">
        <f>IF($G288="","",INDEX('Liste des élèves'!$D$4:$D$1363,$G288))</f>
        <v/>
      </c>
      <c r="C288" s="21" t="str">
        <f>IF($G288="","",INDEX('Liste des élèves'!$E$4:$E$1363,$G288))</f>
        <v/>
      </c>
      <c r="D288" s="20" t="str">
        <f>IF($G288="","",INDEX('Liste des élèves'!$I$4:$I$1363,$G288))</f>
        <v/>
      </c>
      <c r="E288" s="20" t="str">
        <f>IF($G288="","",INDEX('Liste des élèves'!$J$4:$J$1363,$G288))</f>
        <v/>
      </c>
      <c r="F288" s="51" t="str">
        <f>IF($G288="","",INDEX('Liste des élèves'!$P$4:$P$1363,$G288)+INDEX('Liste des élèves'!$T$4:$T$1363,$G288))</f>
        <v/>
      </c>
      <c r="G288" s="49" t="str">
        <f>IF(G287="","",IFERROR(G287+MATCH("En retard",INDEX('Liste des élèves'!$Q$4:$Q$1363,G287+1):'Liste des élèves'!$Q$1363,0),""))</f>
        <v/>
      </c>
    </row>
    <row r="289">
      <c r="A289" s="20" t="str">
        <f>IF($G289="","",INDEX('Liste des élèves'!$A$4:$A$1363,$G289))</f>
        <v/>
      </c>
      <c r="B289" s="20" t="str">
        <f>IF($G289="","",INDEX('Liste des élèves'!$D$4:$D$1363,$G289))</f>
        <v/>
      </c>
      <c r="C289" s="21" t="str">
        <f>IF($G289="","",INDEX('Liste des élèves'!$E$4:$E$1363,$G289))</f>
        <v/>
      </c>
      <c r="D289" s="20" t="str">
        <f>IF($G289="","",INDEX('Liste des élèves'!$I$4:$I$1363,$G289))</f>
        <v/>
      </c>
      <c r="E289" s="20" t="str">
        <f>IF($G289="","",INDEX('Liste des élèves'!$J$4:$J$1363,$G289))</f>
        <v/>
      </c>
      <c r="F289" s="51" t="str">
        <f>IF($G289="","",INDEX('Liste des élèves'!$P$4:$P$1363,$G289)+INDEX('Liste des élèves'!$T$4:$T$1363,$G289))</f>
        <v/>
      </c>
      <c r="G289" s="49" t="str">
        <f>IF(G288="","",IFERROR(G288+MATCH("En retard",INDEX('Liste des élèves'!$Q$4:$Q$1363,G288+1):'Liste des élèves'!$Q$1363,0),""))</f>
        <v/>
      </c>
    </row>
    <row r="290">
      <c r="A290" s="20" t="str">
        <f>IF($G290="","",INDEX('Liste des élèves'!$A$4:$A$1363,$G290))</f>
        <v/>
      </c>
      <c r="B290" s="20" t="str">
        <f>IF($G290="","",INDEX('Liste des élèves'!$D$4:$D$1363,$G290))</f>
        <v/>
      </c>
      <c r="C290" s="21" t="str">
        <f>IF($G290="","",INDEX('Liste des élèves'!$E$4:$E$1363,$G290))</f>
        <v/>
      </c>
      <c r="D290" s="20" t="str">
        <f>IF($G290="","",INDEX('Liste des élèves'!$I$4:$I$1363,$G290))</f>
        <v/>
      </c>
      <c r="E290" s="20" t="str">
        <f>IF($G290="","",INDEX('Liste des élèves'!$J$4:$J$1363,$G290))</f>
        <v/>
      </c>
      <c r="F290" s="51" t="str">
        <f>IF($G290="","",INDEX('Liste des élèves'!$P$4:$P$1363,$G290)+INDEX('Liste des élèves'!$T$4:$T$1363,$G290))</f>
        <v/>
      </c>
      <c r="G290" s="49" t="str">
        <f>IF(G289="","",IFERROR(G289+MATCH("En retard",INDEX('Liste des élèves'!$Q$4:$Q$1363,G289+1):'Liste des élèves'!$Q$1363,0),""))</f>
        <v/>
      </c>
    </row>
    <row r="291">
      <c r="A291" s="20" t="str">
        <f>IF($G291="","",INDEX('Liste des élèves'!$A$4:$A$1363,$G291))</f>
        <v/>
      </c>
      <c r="B291" s="20" t="str">
        <f>IF($G291="","",INDEX('Liste des élèves'!$D$4:$D$1363,$G291))</f>
        <v/>
      </c>
      <c r="C291" s="21" t="str">
        <f>IF($G291="","",INDEX('Liste des élèves'!$E$4:$E$1363,$G291))</f>
        <v/>
      </c>
      <c r="D291" s="20" t="str">
        <f>IF($G291="","",INDEX('Liste des élèves'!$I$4:$I$1363,$G291))</f>
        <v/>
      </c>
      <c r="E291" s="20" t="str">
        <f>IF($G291="","",INDEX('Liste des élèves'!$J$4:$J$1363,$G291))</f>
        <v/>
      </c>
      <c r="F291" s="51" t="str">
        <f>IF($G291="","",INDEX('Liste des élèves'!$P$4:$P$1363,$G291)+INDEX('Liste des élèves'!$T$4:$T$1363,$G291))</f>
        <v/>
      </c>
      <c r="G291" s="49" t="str">
        <f>IF(G290="","",IFERROR(G290+MATCH("En retard",INDEX('Liste des élèves'!$Q$4:$Q$1363,G290+1):'Liste des élèves'!$Q$1363,0),""))</f>
        <v/>
      </c>
    </row>
    <row r="292">
      <c r="A292" s="20" t="str">
        <f>IF($G292="","",INDEX('Liste des élèves'!$A$4:$A$1363,$G292))</f>
        <v/>
      </c>
      <c r="B292" s="20" t="str">
        <f>IF($G292="","",INDEX('Liste des élèves'!$D$4:$D$1363,$G292))</f>
        <v/>
      </c>
      <c r="C292" s="21" t="str">
        <f>IF($G292="","",INDEX('Liste des élèves'!$E$4:$E$1363,$G292))</f>
        <v/>
      </c>
      <c r="D292" s="20" t="str">
        <f>IF($G292="","",INDEX('Liste des élèves'!$I$4:$I$1363,$G292))</f>
        <v/>
      </c>
      <c r="E292" s="20" t="str">
        <f>IF($G292="","",INDEX('Liste des élèves'!$J$4:$J$1363,$G292))</f>
        <v/>
      </c>
      <c r="F292" s="51" t="str">
        <f>IF($G292="","",INDEX('Liste des élèves'!$P$4:$P$1363,$G292)+INDEX('Liste des élèves'!$T$4:$T$1363,$G292))</f>
        <v/>
      </c>
      <c r="G292" s="49" t="str">
        <f>IF(G291="","",IFERROR(G291+MATCH("En retard",INDEX('Liste des élèves'!$Q$4:$Q$1363,G291+1):'Liste des élèves'!$Q$1363,0),""))</f>
        <v/>
      </c>
    </row>
    <row r="293">
      <c r="A293" s="20" t="str">
        <f>IF($G293="","",INDEX('Liste des élèves'!$A$4:$A$1363,$G293))</f>
        <v/>
      </c>
      <c r="B293" s="20" t="str">
        <f>IF($G293="","",INDEX('Liste des élèves'!$D$4:$D$1363,$G293))</f>
        <v/>
      </c>
      <c r="C293" s="21" t="str">
        <f>IF($G293="","",INDEX('Liste des élèves'!$E$4:$E$1363,$G293))</f>
        <v/>
      </c>
      <c r="D293" s="20" t="str">
        <f>IF($G293="","",INDEX('Liste des élèves'!$I$4:$I$1363,$G293))</f>
        <v/>
      </c>
      <c r="E293" s="20" t="str">
        <f>IF($G293="","",INDEX('Liste des élèves'!$J$4:$J$1363,$G293))</f>
        <v/>
      </c>
      <c r="F293" s="51" t="str">
        <f>IF($G293="","",INDEX('Liste des élèves'!$P$4:$P$1363,$G293)+INDEX('Liste des élèves'!$T$4:$T$1363,$G293))</f>
        <v/>
      </c>
      <c r="G293" s="49" t="str">
        <f>IF(G292="","",IFERROR(G292+MATCH("En retard",INDEX('Liste des élèves'!$Q$4:$Q$1363,G292+1):'Liste des élèves'!$Q$1363,0),""))</f>
        <v/>
      </c>
    </row>
    <row r="294">
      <c r="A294" s="20" t="str">
        <f>IF($G294="","",INDEX('Liste des élèves'!$A$4:$A$1363,$G294))</f>
        <v/>
      </c>
      <c r="B294" s="20" t="str">
        <f>IF($G294="","",INDEX('Liste des élèves'!$D$4:$D$1363,$G294))</f>
        <v/>
      </c>
      <c r="C294" s="21" t="str">
        <f>IF($G294="","",INDEX('Liste des élèves'!$E$4:$E$1363,$G294))</f>
        <v/>
      </c>
      <c r="D294" s="20" t="str">
        <f>IF($G294="","",INDEX('Liste des élèves'!$I$4:$I$1363,$G294))</f>
        <v/>
      </c>
      <c r="E294" s="20" t="str">
        <f>IF($G294="","",INDEX('Liste des élèves'!$J$4:$J$1363,$G294))</f>
        <v/>
      </c>
      <c r="F294" s="51" t="str">
        <f>IF($G294="","",INDEX('Liste des élèves'!$P$4:$P$1363,$G294)+INDEX('Liste des élèves'!$T$4:$T$1363,$G294))</f>
        <v/>
      </c>
      <c r="G294" s="49" t="str">
        <f>IF(G293="","",IFERROR(G293+MATCH("En retard",INDEX('Liste des élèves'!$Q$4:$Q$1363,G293+1):'Liste des élèves'!$Q$1363,0),""))</f>
        <v/>
      </c>
    </row>
    <row r="295">
      <c r="A295" s="20" t="str">
        <f>IF($G295="","",INDEX('Liste des élèves'!$A$4:$A$1363,$G295))</f>
        <v/>
      </c>
      <c r="B295" s="20" t="str">
        <f>IF($G295="","",INDEX('Liste des élèves'!$D$4:$D$1363,$G295))</f>
        <v/>
      </c>
      <c r="C295" s="21" t="str">
        <f>IF($G295="","",INDEX('Liste des élèves'!$E$4:$E$1363,$G295))</f>
        <v/>
      </c>
      <c r="D295" s="20" t="str">
        <f>IF($G295="","",INDEX('Liste des élèves'!$I$4:$I$1363,$G295))</f>
        <v/>
      </c>
      <c r="E295" s="20" t="str">
        <f>IF($G295="","",INDEX('Liste des élèves'!$J$4:$J$1363,$G295))</f>
        <v/>
      </c>
      <c r="F295" s="51" t="str">
        <f>IF($G295="","",INDEX('Liste des élèves'!$P$4:$P$1363,$G295)+INDEX('Liste des élèves'!$T$4:$T$1363,$G295))</f>
        <v/>
      </c>
      <c r="G295" s="49" t="str">
        <f>IF(G294="","",IFERROR(G294+MATCH("En retard",INDEX('Liste des élèves'!$Q$4:$Q$1363,G294+1):'Liste des élèves'!$Q$1363,0),""))</f>
        <v/>
      </c>
    </row>
    <row r="296">
      <c r="A296" s="20" t="str">
        <f>IF($G296="","",INDEX('Liste des élèves'!$A$4:$A$1363,$G296))</f>
        <v/>
      </c>
      <c r="B296" s="20" t="str">
        <f>IF($G296="","",INDEX('Liste des élèves'!$D$4:$D$1363,$G296))</f>
        <v/>
      </c>
      <c r="C296" s="21" t="str">
        <f>IF($G296="","",INDEX('Liste des élèves'!$E$4:$E$1363,$G296))</f>
        <v/>
      </c>
      <c r="D296" s="20" t="str">
        <f>IF($G296="","",INDEX('Liste des élèves'!$I$4:$I$1363,$G296))</f>
        <v/>
      </c>
      <c r="E296" s="20" t="str">
        <f>IF($G296="","",INDEX('Liste des élèves'!$J$4:$J$1363,$G296))</f>
        <v/>
      </c>
      <c r="F296" s="51" t="str">
        <f>IF($G296="","",INDEX('Liste des élèves'!$P$4:$P$1363,$G296)+INDEX('Liste des élèves'!$T$4:$T$1363,$G296))</f>
        <v/>
      </c>
      <c r="G296" s="49" t="str">
        <f>IF(G295="","",IFERROR(G295+MATCH("En retard",INDEX('Liste des élèves'!$Q$4:$Q$1363,G295+1):'Liste des élèves'!$Q$1363,0),""))</f>
        <v/>
      </c>
    </row>
    <row r="297">
      <c r="A297" s="20" t="str">
        <f>IF($G297="","",INDEX('Liste des élèves'!$A$4:$A$1363,$G297))</f>
        <v/>
      </c>
      <c r="B297" s="20" t="str">
        <f>IF($G297="","",INDEX('Liste des élèves'!$D$4:$D$1363,$G297))</f>
        <v/>
      </c>
      <c r="C297" s="21" t="str">
        <f>IF($G297="","",INDEX('Liste des élèves'!$E$4:$E$1363,$G297))</f>
        <v/>
      </c>
      <c r="D297" s="20" t="str">
        <f>IF($G297="","",INDEX('Liste des élèves'!$I$4:$I$1363,$G297))</f>
        <v/>
      </c>
      <c r="E297" s="20" t="str">
        <f>IF($G297="","",INDEX('Liste des élèves'!$J$4:$J$1363,$G297))</f>
        <v/>
      </c>
      <c r="F297" s="51" t="str">
        <f>IF($G297="","",INDEX('Liste des élèves'!$P$4:$P$1363,$G297)+INDEX('Liste des élèves'!$T$4:$T$1363,$G297))</f>
        <v/>
      </c>
      <c r="G297" s="49" t="str">
        <f>IF(G296="","",IFERROR(G296+MATCH("En retard",INDEX('Liste des élèves'!$Q$4:$Q$1363,G296+1):'Liste des élèves'!$Q$1363,0),""))</f>
        <v/>
      </c>
    </row>
    <row r="298">
      <c r="A298" s="20" t="str">
        <f>IF($G298="","",INDEX('Liste des élèves'!$A$4:$A$1363,$G298))</f>
        <v/>
      </c>
      <c r="B298" s="20" t="str">
        <f>IF($G298="","",INDEX('Liste des élèves'!$D$4:$D$1363,$G298))</f>
        <v/>
      </c>
      <c r="C298" s="21" t="str">
        <f>IF($G298="","",INDEX('Liste des élèves'!$E$4:$E$1363,$G298))</f>
        <v/>
      </c>
      <c r="D298" s="20" t="str">
        <f>IF($G298="","",INDEX('Liste des élèves'!$I$4:$I$1363,$G298))</f>
        <v/>
      </c>
      <c r="E298" s="20" t="str">
        <f>IF($G298="","",INDEX('Liste des élèves'!$J$4:$J$1363,$G298))</f>
        <v/>
      </c>
      <c r="F298" s="51" t="str">
        <f>IF($G298="","",INDEX('Liste des élèves'!$P$4:$P$1363,$G298)+INDEX('Liste des élèves'!$T$4:$T$1363,$G298))</f>
        <v/>
      </c>
      <c r="G298" s="49" t="str">
        <f>IF(G297="","",IFERROR(G297+MATCH("En retard",INDEX('Liste des élèves'!$Q$4:$Q$1363,G297+1):'Liste des élèves'!$Q$1363,0),""))</f>
        <v/>
      </c>
    </row>
    <row r="299">
      <c r="A299" s="20" t="str">
        <f>IF($G299="","",INDEX('Liste des élèves'!$A$4:$A$1363,$G299))</f>
        <v/>
      </c>
      <c r="B299" s="20" t="str">
        <f>IF($G299="","",INDEX('Liste des élèves'!$D$4:$D$1363,$G299))</f>
        <v/>
      </c>
      <c r="C299" s="21" t="str">
        <f>IF($G299="","",INDEX('Liste des élèves'!$E$4:$E$1363,$G299))</f>
        <v/>
      </c>
      <c r="D299" s="20" t="str">
        <f>IF($G299="","",INDEX('Liste des élèves'!$I$4:$I$1363,$G299))</f>
        <v/>
      </c>
      <c r="E299" s="20" t="str">
        <f>IF($G299="","",INDEX('Liste des élèves'!$J$4:$J$1363,$G299))</f>
        <v/>
      </c>
      <c r="F299" s="51" t="str">
        <f>IF($G299="","",INDEX('Liste des élèves'!$P$4:$P$1363,$G299)+INDEX('Liste des élèves'!$T$4:$T$1363,$G299))</f>
        <v/>
      </c>
      <c r="G299" s="49" t="str">
        <f>IF(G298="","",IFERROR(G298+MATCH("En retard",INDEX('Liste des élèves'!$Q$4:$Q$1363,G298+1):'Liste des élèves'!$Q$1363,0),""))</f>
        <v/>
      </c>
    </row>
    <row r="300">
      <c r="A300" s="20" t="str">
        <f>IF($G300="","",INDEX('Liste des élèves'!$A$4:$A$1363,$G300))</f>
        <v/>
      </c>
      <c r="B300" s="20" t="str">
        <f>IF($G300="","",INDEX('Liste des élèves'!$D$4:$D$1363,$G300))</f>
        <v/>
      </c>
      <c r="C300" s="21" t="str">
        <f>IF($G300="","",INDEX('Liste des élèves'!$E$4:$E$1363,$G300))</f>
        <v/>
      </c>
      <c r="D300" s="20" t="str">
        <f>IF($G300="","",INDEX('Liste des élèves'!$I$4:$I$1363,$G300))</f>
        <v/>
      </c>
      <c r="E300" s="20" t="str">
        <f>IF($G300="","",INDEX('Liste des élèves'!$J$4:$J$1363,$G300))</f>
        <v/>
      </c>
      <c r="F300" s="51" t="str">
        <f>IF($G300="","",INDEX('Liste des élèves'!$P$4:$P$1363,$G300)+INDEX('Liste des élèves'!$T$4:$T$1363,$G300))</f>
        <v/>
      </c>
      <c r="G300" s="49" t="str">
        <f>IF(G299="","",IFERROR(G299+MATCH("En retard",INDEX('Liste des élèves'!$Q$4:$Q$1363,G299+1):'Liste des élèves'!$Q$1363,0),""))</f>
        <v/>
      </c>
    </row>
    <row r="301">
      <c r="A301" s="20" t="str">
        <f>IF($G301="","",INDEX('Liste des élèves'!$A$4:$A$1363,$G301))</f>
        <v/>
      </c>
      <c r="B301" s="20" t="str">
        <f>IF($G301="","",INDEX('Liste des élèves'!$D$4:$D$1363,$G301))</f>
        <v/>
      </c>
      <c r="C301" s="21" t="str">
        <f>IF($G301="","",INDEX('Liste des élèves'!$E$4:$E$1363,$G301))</f>
        <v/>
      </c>
      <c r="D301" s="20" t="str">
        <f>IF($G301="","",INDEX('Liste des élèves'!$I$4:$I$1363,$G301))</f>
        <v/>
      </c>
      <c r="E301" s="20" t="str">
        <f>IF($G301="","",INDEX('Liste des élèves'!$J$4:$J$1363,$G301))</f>
        <v/>
      </c>
      <c r="F301" s="51" t="str">
        <f>IF($G301="","",INDEX('Liste des élèves'!$P$4:$P$1363,$G301)+INDEX('Liste des élèves'!$T$4:$T$1363,$G301))</f>
        <v/>
      </c>
      <c r="G301" s="49" t="str">
        <f>IF(G300="","",IFERROR(G300+MATCH("En retard",INDEX('Liste des élèves'!$Q$4:$Q$1363,G300+1):'Liste des élèves'!$Q$1363,0),""))</f>
        <v/>
      </c>
    </row>
    <row r="302">
      <c r="A302" s="20" t="str">
        <f>IF($G302="","",INDEX('Liste des élèves'!$A$4:$A$1363,$G302))</f>
        <v/>
      </c>
      <c r="B302" s="20" t="str">
        <f>IF($G302="","",INDEX('Liste des élèves'!$D$4:$D$1363,$G302))</f>
        <v/>
      </c>
      <c r="C302" s="21" t="str">
        <f>IF($G302="","",INDEX('Liste des élèves'!$E$4:$E$1363,$G302))</f>
        <v/>
      </c>
      <c r="D302" s="20" t="str">
        <f>IF($G302="","",INDEX('Liste des élèves'!$I$4:$I$1363,$G302))</f>
        <v/>
      </c>
      <c r="E302" s="20" t="str">
        <f>IF($G302="","",INDEX('Liste des élèves'!$J$4:$J$1363,$G302))</f>
        <v/>
      </c>
      <c r="F302" s="51" t="str">
        <f>IF($G302="","",INDEX('Liste des élèves'!$P$4:$P$1363,$G302)+INDEX('Liste des élèves'!$T$4:$T$1363,$G302))</f>
        <v/>
      </c>
      <c r="G302" s="49" t="str">
        <f>IF(G301="","",IFERROR(G301+MATCH("En retard",INDEX('Liste des élèves'!$Q$4:$Q$1363,G301+1):'Liste des élèves'!$Q$1363,0),""))</f>
        <v/>
      </c>
    </row>
    <row r="303">
      <c r="A303" s="20" t="str">
        <f>IF($G303="","",INDEX('Liste des élèves'!$A$4:$A$1363,$G303))</f>
        <v/>
      </c>
      <c r="B303" s="20" t="str">
        <f>IF($G303="","",INDEX('Liste des élèves'!$D$4:$D$1363,$G303))</f>
        <v/>
      </c>
      <c r="C303" s="21" t="str">
        <f>IF($G303="","",INDEX('Liste des élèves'!$E$4:$E$1363,$G303))</f>
        <v/>
      </c>
      <c r="D303" s="20" t="str">
        <f>IF($G303="","",INDEX('Liste des élèves'!$I$4:$I$1363,$G303))</f>
        <v/>
      </c>
      <c r="E303" s="20" t="str">
        <f>IF($G303="","",INDEX('Liste des élèves'!$J$4:$J$1363,$G303))</f>
        <v/>
      </c>
      <c r="F303" s="51" t="str">
        <f>IF($G303="","",INDEX('Liste des élèves'!$P$4:$P$1363,$G303)+INDEX('Liste des élèves'!$T$4:$T$1363,$G303))</f>
        <v/>
      </c>
      <c r="G303" s="49" t="str">
        <f>IF(G302="","",IFERROR(G302+MATCH("En retard",INDEX('Liste des élèves'!$Q$4:$Q$1363,G302+1):'Liste des élèves'!$Q$1363,0),""))</f>
        <v/>
      </c>
    </row>
    <row r="304">
      <c r="A304" s="20" t="str">
        <f>IF($G304="","",INDEX('Liste des élèves'!$A$4:$A$1363,$G304))</f>
        <v/>
      </c>
      <c r="B304" s="20" t="str">
        <f>IF($G304="","",INDEX('Liste des élèves'!$D$4:$D$1363,$G304))</f>
        <v/>
      </c>
      <c r="C304" s="21" t="str">
        <f>IF($G304="","",INDEX('Liste des élèves'!$E$4:$E$1363,$G304))</f>
        <v/>
      </c>
      <c r="D304" s="20" t="str">
        <f>IF($G304="","",INDEX('Liste des élèves'!$I$4:$I$1363,$G304))</f>
        <v/>
      </c>
      <c r="E304" s="20" t="str">
        <f>IF($G304="","",INDEX('Liste des élèves'!$J$4:$J$1363,$G304))</f>
        <v/>
      </c>
      <c r="F304" s="51" t="str">
        <f>IF($G304="","",INDEX('Liste des élèves'!$P$4:$P$1363,$G304)+INDEX('Liste des élèves'!$T$4:$T$1363,$G304))</f>
        <v/>
      </c>
      <c r="G304" s="49" t="str">
        <f>IF(G303="","",IFERROR(G303+MATCH("En retard",INDEX('Liste des élèves'!$Q$4:$Q$1363,G303+1):'Liste des élèves'!$Q$1363,0),""))</f>
        <v/>
      </c>
    </row>
    <row r="305">
      <c r="A305" s="20" t="str">
        <f>IF($G305="","",INDEX('Liste des élèves'!$A$4:$A$1363,$G305))</f>
        <v/>
      </c>
      <c r="B305" s="20" t="str">
        <f>IF($G305="","",INDEX('Liste des élèves'!$D$4:$D$1363,$G305))</f>
        <v/>
      </c>
      <c r="C305" s="21" t="str">
        <f>IF($G305="","",INDEX('Liste des élèves'!$E$4:$E$1363,$G305))</f>
        <v/>
      </c>
      <c r="D305" s="20" t="str">
        <f>IF($G305="","",INDEX('Liste des élèves'!$I$4:$I$1363,$G305))</f>
        <v/>
      </c>
      <c r="E305" s="20" t="str">
        <f>IF($G305="","",INDEX('Liste des élèves'!$J$4:$J$1363,$G305))</f>
        <v/>
      </c>
      <c r="F305" s="51" t="str">
        <f>IF($G305="","",INDEX('Liste des élèves'!$P$4:$P$1363,$G305)+INDEX('Liste des élèves'!$T$4:$T$1363,$G305))</f>
        <v/>
      </c>
      <c r="G305" s="49" t="str">
        <f>IF(G304="","",IFERROR(G304+MATCH("En retard",INDEX('Liste des élèves'!$Q$4:$Q$1363,G304+1):'Liste des élèves'!$Q$1363,0),""))</f>
        <v/>
      </c>
    </row>
    <row r="306">
      <c r="A306" s="20" t="str">
        <f>IF($G306="","",INDEX('Liste des élèves'!$A$4:$A$1363,$G306))</f>
        <v/>
      </c>
      <c r="B306" s="20" t="str">
        <f>IF($G306="","",INDEX('Liste des élèves'!$D$4:$D$1363,$G306))</f>
        <v/>
      </c>
      <c r="C306" s="21" t="str">
        <f>IF($G306="","",INDEX('Liste des élèves'!$E$4:$E$1363,$G306))</f>
        <v/>
      </c>
      <c r="D306" s="20" t="str">
        <f>IF($G306="","",INDEX('Liste des élèves'!$I$4:$I$1363,$G306))</f>
        <v/>
      </c>
      <c r="E306" s="20" t="str">
        <f>IF($G306="","",INDEX('Liste des élèves'!$J$4:$J$1363,$G306))</f>
        <v/>
      </c>
      <c r="F306" s="51" t="str">
        <f>IF($G306="","",INDEX('Liste des élèves'!$P$4:$P$1363,$G306)+INDEX('Liste des élèves'!$T$4:$T$1363,$G306))</f>
        <v/>
      </c>
      <c r="G306" s="49" t="str">
        <f>IF(G305="","",IFERROR(G305+MATCH("En retard",INDEX('Liste des élèves'!$Q$4:$Q$1363,G305+1):'Liste des élèves'!$Q$1363,0),""))</f>
        <v/>
      </c>
    </row>
    <row r="307">
      <c r="A307" s="20" t="str">
        <f>IF($G307="","",INDEX('Liste des élèves'!$A$4:$A$1363,$G307))</f>
        <v/>
      </c>
      <c r="B307" s="20" t="str">
        <f>IF($G307="","",INDEX('Liste des élèves'!$D$4:$D$1363,$G307))</f>
        <v/>
      </c>
      <c r="C307" s="21" t="str">
        <f>IF($G307="","",INDEX('Liste des élèves'!$E$4:$E$1363,$G307))</f>
        <v/>
      </c>
      <c r="D307" s="20" t="str">
        <f>IF($G307="","",INDEX('Liste des élèves'!$I$4:$I$1363,$G307))</f>
        <v/>
      </c>
      <c r="E307" s="20" t="str">
        <f>IF($G307="","",INDEX('Liste des élèves'!$J$4:$J$1363,$G307))</f>
        <v/>
      </c>
      <c r="F307" s="51" t="str">
        <f>IF($G307="","",INDEX('Liste des élèves'!$P$4:$P$1363,$G307)+INDEX('Liste des élèves'!$T$4:$T$1363,$G307))</f>
        <v/>
      </c>
      <c r="G307" s="49" t="str">
        <f>IF(G306="","",IFERROR(G306+MATCH("En retard",INDEX('Liste des élèves'!$Q$4:$Q$1363,G306+1):'Liste des élèves'!$Q$1363,0),""))</f>
        <v/>
      </c>
    </row>
    <row r="308">
      <c r="A308" s="20" t="str">
        <f>IF($G308="","",INDEX('Liste des élèves'!$A$4:$A$1363,$G308))</f>
        <v/>
      </c>
      <c r="B308" s="20" t="str">
        <f>IF($G308="","",INDEX('Liste des élèves'!$D$4:$D$1363,$G308))</f>
        <v/>
      </c>
      <c r="C308" s="21" t="str">
        <f>IF($G308="","",INDEX('Liste des élèves'!$E$4:$E$1363,$G308))</f>
        <v/>
      </c>
      <c r="D308" s="20" t="str">
        <f>IF($G308="","",INDEX('Liste des élèves'!$I$4:$I$1363,$G308))</f>
        <v/>
      </c>
      <c r="E308" s="20" t="str">
        <f>IF($G308="","",INDEX('Liste des élèves'!$J$4:$J$1363,$G308))</f>
        <v/>
      </c>
      <c r="F308" s="51" t="str">
        <f>IF($G308="","",INDEX('Liste des élèves'!$P$4:$P$1363,$G308)+INDEX('Liste des élèves'!$T$4:$T$1363,$G308))</f>
        <v/>
      </c>
      <c r="G308" s="49" t="str">
        <f>IF(G307="","",IFERROR(G307+MATCH("En retard",INDEX('Liste des élèves'!$Q$4:$Q$1363,G307+1):'Liste des élèves'!$Q$1363,0),""))</f>
        <v/>
      </c>
    </row>
    <row r="309">
      <c r="A309" s="20" t="str">
        <f>IF($G309="","",INDEX('Liste des élèves'!$A$4:$A$1363,$G309))</f>
        <v/>
      </c>
      <c r="B309" s="20" t="str">
        <f>IF($G309="","",INDEX('Liste des élèves'!$D$4:$D$1363,$G309))</f>
        <v/>
      </c>
      <c r="C309" s="21" t="str">
        <f>IF($G309="","",INDEX('Liste des élèves'!$E$4:$E$1363,$G309))</f>
        <v/>
      </c>
      <c r="D309" s="20" t="str">
        <f>IF($G309="","",INDEX('Liste des élèves'!$I$4:$I$1363,$G309))</f>
        <v/>
      </c>
      <c r="E309" s="20" t="str">
        <f>IF($G309="","",INDEX('Liste des élèves'!$J$4:$J$1363,$G309))</f>
        <v/>
      </c>
      <c r="F309" s="51" t="str">
        <f>IF($G309="","",INDEX('Liste des élèves'!$P$4:$P$1363,$G309)+INDEX('Liste des élèves'!$T$4:$T$1363,$G309))</f>
        <v/>
      </c>
      <c r="G309" s="49" t="str">
        <f>IF(G308="","",IFERROR(G308+MATCH("En retard",INDEX('Liste des élèves'!$Q$4:$Q$1363,G308+1):'Liste des élèves'!$Q$1363,0),""))</f>
        <v/>
      </c>
    </row>
    <row r="310">
      <c r="A310" s="20" t="str">
        <f>IF($G310="","",INDEX('Liste des élèves'!$A$4:$A$1363,$G310))</f>
        <v/>
      </c>
      <c r="B310" s="20" t="str">
        <f>IF($G310="","",INDEX('Liste des élèves'!$D$4:$D$1363,$G310))</f>
        <v/>
      </c>
      <c r="C310" s="21" t="str">
        <f>IF($G310="","",INDEX('Liste des élèves'!$E$4:$E$1363,$G310))</f>
        <v/>
      </c>
      <c r="D310" s="20" t="str">
        <f>IF($G310="","",INDEX('Liste des élèves'!$I$4:$I$1363,$G310))</f>
        <v/>
      </c>
      <c r="E310" s="20" t="str">
        <f>IF($G310="","",INDEX('Liste des élèves'!$J$4:$J$1363,$G310))</f>
        <v/>
      </c>
      <c r="F310" s="51" t="str">
        <f>IF($G310="","",INDEX('Liste des élèves'!$P$4:$P$1363,$G310)+INDEX('Liste des élèves'!$T$4:$T$1363,$G310))</f>
        <v/>
      </c>
      <c r="G310" s="49" t="str">
        <f>IF(G309="","",IFERROR(G309+MATCH("En retard",INDEX('Liste des élèves'!$Q$4:$Q$1363,G309+1):'Liste des élèves'!$Q$1363,0),""))</f>
        <v/>
      </c>
    </row>
    <row r="311">
      <c r="A311" s="20" t="str">
        <f>IF($G311="","",INDEX('Liste des élèves'!$A$4:$A$1363,$G311))</f>
        <v/>
      </c>
      <c r="B311" s="20" t="str">
        <f>IF($G311="","",INDEX('Liste des élèves'!$D$4:$D$1363,$G311))</f>
        <v/>
      </c>
      <c r="C311" s="21" t="str">
        <f>IF($G311="","",INDEX('Liste des élèves'!$E$4:$E$1363,$G311))</f>
        <v/>
      </c>
      <c r="D311" s="20" t="str">
        <f>IF($G311="","",INDEX('Liste des élèves'!$I$4:$I$1363,$G311))</f>
        <v/>
      </c>
      <c r="E311" s="20" t="str">
        <f>IF($G311="","",INDEX('Liste des élèves'!$J$4:$J$1363,$G311))</f>
        <v/>
      </c>
      <c r="F311" s="51" t="str">
        <f>IF($G311="","",INDEX('Liste des élèves'!$P$4:$P$1363,$G311)+INDEX('Liste des élèves'!$T$4:$T$1363,$G311))</f>
        <v/>
      </c>
      <c r="G311" s="49" t="str">
        <f>IF(G310="","",IFERROR(G310+MATCH("En retard",INDEX('Liste des élèves'!$Q$4:$Q$1363,G310+1):'Liste des élèves'!$Q$1363,0),""))</f>
        <v/>
      </c>
    </row>
    <row r="312">
      <c r="A312" s="20" t="str">
        <f>IF($G312="","",INDEX('Liste des élèves'!$A$4:$A$1363,$G312))</f>
        <v/>
      </c>
      <c r="B312" s="20" t="str">
        <f>IF($G312="","",INDEX('Liste des élèves'!$D$4:$D$1363,$G312))</f>
        <v/>
      </c>
      <c r="C312" s="21" t="str">
        <f>IF($G312="","",INDEX('Liste des élèves'!$E$4:$E$1363,$G312))</f>
        <v/>
      </c>
      <c r="D312" s="20" t="str">
        <f>IF($G312="","",INDEX('Liste des élèves'!$I$4:$I$1363,$G312))</f>
        <v/>
      </c>
      <c r="E312" s="20" t="str">
        <f>IF($G312="","",INDEX('Liste des élèves'!$J$4:$J$1363,$G312))</f>
        <v/>
      </c>
      <c r="F312" s="51" t="str">
        <f>IF($G312="","",INDEX('Liste des élèves'!$P$4:$P$1363,$G312)+INDEX('Liste des élèves'!$T$4:$T$1363,$G312))</f>
        <v/>
      </c>
      <c r="G312" s="49" t="str">
        <f>IF(G311="","",IFERROR(G311+MATCH("En retard",INDEX('Liste des élèves'!$Q$4:$Q$1363,G311+1):'Liste des élèves'!$Q$1363,0),""))</f>
        <v/>
      </c>
    </row>
    <row r="313">
      <c r="A313" s="20" t="str">
        <f>IF($G313="","",INDEX('Liste des élèves'!$A$4:$A$1363,$G313))</f>
        <v/>
      </c>
      <c r="B313" s="20" t="str">
        <f>IF($G313="","",INDEX('Liste des élèves'!$D$4:$D$1363,$G313))</f>
        <v/>
      </c>
      <c r="C313" s="21" t="str">
        <f>IF($G313="","",INDEX('Liste des élèves'!$E$4:$E$1363,$G313))</f>
        <v/>
      </c>
      <c r="D313" s="20" t="str">
        <f>IF($G313="","",INDEX('Liste des élèves'!$I$4:$I$1363,$G313))</f>
        <v/>
      </c>
      <c r="E313" s="20" t="str">
        <f>IF($G313="","",INDEX('Liste des élèves'!$J$4:$J$1363,$G313))</f>
        <v/>
      </c>
      <c r="F313" s="51" t="str">
        <f>IF($G313="","",INDEX('Liste des élèves'!$P$4:$P$1363,$G313)+INDEX('Liste des élèves'!$T$4:$T$1363,$G313))</f>
        <v/>
      </c>
      <c r="G313" s="49" t="str">
        <f>IF(G312="","",IFERROR(G312+MATCH("En retard",INDEX('Liste des élèves'!$Q$4:$Q$1363,G312+1):'Liste des élèves'!$Q$1363,0),""))</f>
        <v/>
      </c>
    </row>
    <row r="314">
      <c r="A314" s="20" t="str">
        <f>IF($G314="","",INDEX('Liste des élèves'!$A$4:$A$1363,$G314))</f>
        <v/>
      </c>
      <c r="B314" s="20" t="str">
        <f>IF($G314="","",INDEX('Liste des élèves'!$D$4:$D$1363,$G314))</f>
        <v/>
      </c>
      <c r="C314" s="21" t="str">
        <f>IF($G314="","",INDEX('Liste des élèves'!$E$4:$E$1363,$G314))</f>
        <v/>
      </c>
      <c r="D314" s="20" t="str">
        <f>IF($G314="","",INDEX('Liste des élèves'!$I$4:$I$1363,$G314))</f>
        <v/>
      </c>
      <c r="E314" s="20" t="str">
        <f>IF($G314="","",INDEX('Liste des élèves'!$J$4:$J$1363,$G314))</f>
        <v/>
      </c>
      <c r="F314" s="51" t="str">
        <f>IF($G314="","",INDEX('Liste des élèves'!$P$4:$P$1363,$G314)+INDEX('Liste des élèves'!$T$4:$T$1363,$G314))</f>
        <v/>
      </c>
      <c r="G314" s="49" t="str">
        <f>IF(G313="","",IFERROR(G313+MATCH("En retard",INDEX('Liste des élèves'!$Q$4:$Q$1363,G313+1):'Liste des élèves'!$Q$1363,0),""))</f>
        <v/>
      </c>
    </row>
    <row r="315">
      <c r="A315" s="20" t="str">
        <f>IF($G315="","",INDEX('Liste des élèves'!$A$4:$A$1363,$G315))</f>
        <v/>
      </c>
      <c r="B315" s="20" t="str">
        <f>IF($G315="","",INDEX('Liste des élèves'!$D$4:$D$1363,$G315))</f>
        <v/>
      </c>
      <c r="C315" s="21" t="str">
        <f>IF($G315="","",INDEX('Liste des élèves'!$E$4:$E$1363,$G315))</f>
        <v/>
      </c>
      <c r="D315" s="20" t="str">
        <f>IF($G315="","",INDEX('Liste des élèves'!$I$4:$I$1363,$G315))</f>
        <v/>
      </c>
      <c r="E315" s="20" t="str">
        <f>IF($G315="","",INDEX('Liste des élèves'!$J$4:$J$1363,$G315))</f>
        <v/>
      </c>
      <c r="F315" s="51" t="str">
        <f>IF($G315="","",INDEX('Liste des élèves'!$P$4:$P$1363,$G315)+INDEX('Liste des élèves'!$T$4:$T$1363,$G315))</f>
        <v/>
      </c>
      <c r="G315" s="49" t="str">
        <f>IF(G314="","",IFERROR(G314+MATCH("En retard",INDEX('Liste des élèves'!$Q$4:$Q$1363,G314+1):'Liste des élèves'!$Q$1363,0),""))</f>
        <v/>
      </c>
    </row>
    <row r="316">
      <c r="A316" s="20" t="str">
        <f>IF($G316="","",INDEX('Liste des élèves'!$A$4:$A$1363,$G316))</f>
        <v/>
      </c>
      <c r="B316" s="20" t="str">
        <f>IF($G316="","",INDEX('Liste des élèves'!$D$4:$D$1363,$G316))</f>
        <v/>
      </c>
      <c r="C316" s="21" t="str">
        <f>IF($G316="","",INDEX('Liste des élèves'!$E$4:$E$1363,$G316))</f>
        <v/>
      </c>
      <c r="D316" s="20" t="str">
        <f>IF($G316="","",INDEX('Liste des élèves'!$I$4:$I$1363,$G316))</f>
        <v/>
      </c>
      <c r="E316" s="20" t="str">
        <f>IF($G316="","",INDEX('Liste des élèves'!$J$4:$J$1363,$G316))</f>
        <v/>
      </c>
      <c r="F316" s="51" t="str">
        <f>IF($G316="","",INDEX('Liste des élèves'!$P$4:$P$1363,$G316)+INDEX('Liste des élèves'!$T$4:$T$1363,$G316))</f>
        <v/>
      </c>
      <c r="G316" s="49" t="str">
        <f>IF(G315="","",IFERROR(G315+MATCH("En retard",INDEX('Liste des élèves'!$Q$4:$Q$1363,G315+1):'Liste des élèves'!$Q$1363,0),""))</f>
        <v/>
      </c>
    </row>
    <row r="317">
      <c r="A317" s="20" t="str">
        <f>IF($G317="","",INDEX('Liste des élèves'!$A$4:$A$1363,$G317))</f>
        <v/>
      </c>
      <c r="B317" s="20" t="str">
        <f>IF($G317="","",INDEX('Liste des élèves'!$D$4:$D$1363,$G317))</f>
        <v/>
      </c>
      <c r="C317" s="21" t="str">
        <f>IF($G317="","",INDEX('Liste des élèves'!$E$4:$E$1363,$G317))</f>
        <v/>
      </c>
      <c r="D317" s="20" t="str">
        <f>IF($G317="","",INDEX('Liste des élèves'!$I$4:$I$1363,$G317))</f>
        <v/>
      </c>
      <c r="E317" s="20" t="str">
        <f>IF($G317="","",INDEX('Liste des élèves'!$J$4:$J$1363,$G317))</f>
        <v/>
      </c>
      <c r="F317" s="51" t="str">
        <f>IF($G317="","",INDEX('Liste des élèves'!$P$4:$P$1363,$G317)+INDEX('Liste des élèves'!$T$4:$T$1363,$G317))</f>
        <v/>
      </c>
      <c r="G317" s="49" t="str">
        <f>IF(G316="","",IFERROR(G316+MATCH("En retard",INDEX('Liste des élèves'!$Q$4:$Q$1363,G316+1):'Liste des élèves'!$Q$1363,0),""))</f>
        <v/>
      </c>
    </row>
    <row r="318">
      <c r="A318" s="20" t="str">
        <f>IF($G318="","",INDEX('Liste des élèves'!$A$4:$A$1363,$G318))</f>
        <v/>
      </c>
      <c r="B318" s="20" t="str">
        <f>IF($G318="","",INDEX('Liste des élèves'!$D$4:$D$1363,$G318))</f>
        <v/>
      </c>
      <c r="C318" s="21" t="str">
        <f>IF($G318="","",INDEX('Liste des élèves'!$E$4:$E$1363,$G318))</f>
        <v/>
      </c>
      <c r="D318" s="20" t="str">
        <f>IF($G318="","",INDEX('Liste des élèves'!$I$4:$I$1363,$G318))</f>
        <v/>
      </c>
      <c r="E318" s="20" t="str">
        <f>IF($G318="","",INDEX('Liste des élèves'!$J$4:$J$1363,$G318))</f>
        <v/>
      </c>
      <c r="F318" s="51" t="str">
        <f>IF($G318="","",INDEX('Liste des élèves'!$P$4:$P$1363,$G318)+INDEX('Liste des élèves'!$T$4:$T$1363,$G318))</f>
        <v/>
      </c>
      <c r="G318" s="49" t="str">
        <f>IF(G317="","",IFERROR(G317+MATCH("En retard",INDEX('Liste des élèves'!$Q$4:$Q$1363,G317+1):'Liste des élèves'!$Q$1363,0),""))</f>
        <v/>
      </c>
    </row>
    <row r="319">
      <c r="A319" s="20" t="str">
        <f>IF($G319="","",INDEX('Liste des élèves'!$A$4:$A$1363,$G319))</f>
        <v/>
      </c>
      <c r="B319" s="20" t="str">
        <f>IF($G319="","",INDEX('Liste des élèves'!$D$4:$D$1363,$G319))</f>
        <v/>
      </c>
      <c r="C319" s="21" t="str">
        <f>IF($G319="","",INDEX('Liste des élèves'!$E$4:$E$1363,$G319))</f>
        <v/>
      </c>
      <c r="D319" s="20" t="str">
        <f>IF($G319="","",INDEX('Liste des élèves'!$I$4:$I$1363,$G319))</f>
        <v/>
      </c>
      <c r="E319" s="20" t="str">
        <f>IF($G319="","",INDEX('Liste des élèves'!$J$4:$J$1363,$G319))</f>
        <v/>
      </c>
      <c r="F319" s="51" t="str">
        <f>IF($G319="","",INDEX('Liste des élèves'!$P$4:$P$1363,$G319)+INDEX('Liste des élèves'!$T$4:$T$1363,$G319))</f>
        <v/>
      </c>
      <c r="G319" s="49" t="str">
        <f>IF(G318="","",IFERROR(G318+MATCH("En retard",INDEX('Liste des élèves'!$Q$4:$Q$1363,G318+1):'Liste des élèves'!$Q$1363,0),""))</f>
        <v/>
      </c>
    </row>
    <row r="320">
      <c r="A320" s="20" t="str">
        <f>IF($G320="","",INDEX('Liste des élèves'!$A$4:$A$1363,$G320))</f>
        <v/>
      </c>
      <c r="B320" s="20" t="str">
        <f>IF($G320="","",INDEX('Liste des élèves'!$D$4:$D$1363,$G320))</f>
        <v/>
      </c>
      <c r="C320" s="21" t="str">
        <f>IF($G320="","",INDEX('Liste des élèves'!$E$4:$E$1363,$G320))</f>
        <v/>
      </c>
      <c r="D320" s="20" t="str">
        <f>IF($G320="","",INDEX('Liste des élèves'!$I$4:$I$1363,$G320))</f>
        <v/>
      </c>
      <c r="E320" s="20" t="str">
        <f>IF($G320="","",INDEX('Liste des élèves'!$J$4:$J$1363,$G320))</f>
        <v/>
      </c>
      <c r="F320" s="51" t="str">
        <f>IF($G320="","",INDEX('Liste des élèves'!$P$4:$P$1363,$G320)+INDEX('Liste des élèves'!$T$4:$T$1363,$G320))</f>
        <v/>
      </c>
      <c r="G320" s="49" t="str">
        <f>IF(G319="","",IFERROR(G319+MATCH("En retard",INDEX('Liste des élèves'!$Q$4:$Q$1363,G319+1):'Liste des élèves'!$Q$1363,0),""))</f>
        <v/>
      </c>
    </row>
    <row r="321">
      <c r="A321" s="20" t="str">
        <f>IF($G321="","",INDEX('Liste des élèves'!$A$4:$A$1363,$G321))</f>
        <v/>
      </c>
      <c r="B321" s="20" t="str">
        <f>IF($G321="","",INDEX('Liste des élèves'!$D$4:$D$1363,$G321))</f>
        <v/>
      </c>
      <c r="C321" s="21" t="str">
        <f>IF($G321="","",INDEX('Liste des élèves'!$E$4:$E$1363,$G321))</f>
        <v/>
      </c>
      <c r="D321" s="20" t="str">
        <f>IF($G321="","",INDEX('Liste des élèves'!$I$4:$I$1363,$G321))</f>
        <v/>
      </c>
      <c r="E321" s="20" t="str">
        <f>IF($G321="","",INDEX('Liste des élèves'!$J$4:$J$1363,$G321))</f>
        <v/>
      </c>
      <c r="F321" s="51" t="str">
        <f>IF($G321="","",INDEX('Liste des élèves'!$P$4:$P$1363,$G321)+INDEX('Liste des élèves'!$T$4:$T$1363,$G321))</f>
        <v/>
      </c>
      <c r="G321" s="49" t="str">
        <f>IF(G320="","",IFERROR(G320+MATCH("En retard",INDEX('Liste des élèves'!$Q$4:$Q$1363,G320+1):'Liste des élèves'!$Q$1363,0),""))</f>
        <v/>
      </c>
    </row>
    <row r="322">
      <c r="A322" s="20" t="str">
        <f>IF($G322="","",INDEX('Liste des élèves'!$A$4:$A$1363,$G322))</f>
        <v/>
      </c>
      <c r="B322" s="20" t="str">
        <f>IF($G322="","",INDEX('Liste des élèves'!$D$4:$D$1363,$G322))</f>
        <v/>
      </c>
      <c r="C322" s="21" t="str">
        <f>IF($G322="","",INDEX('Liste des élèves'!$E$4:$E$1363,$G322))</f>
        <v/>
      </c>
      <c r="D322" s="20" t="str">
        <f>IF($G322="","",INDEX('Liste des élèves'!$I$4:$I$1363,$G322))</f>
        <v/>
      </c>
      <c r="E322" s="20" t="str">
        <f>IF($G322="","",INDEX('Liste des élèves'!$J$4:$J$1363,$G322))</f>
        <v/>
      </c>
      <c r="F322" s="51" t="str">
        <f>IF($G322="","",INDEX('Liste des élèves'!$P$4:$P$1363,$G322)+INDEX('Liste des élèves'!$T$4:$T$1363,$G322))</f>
        <v/>
      </c>
      <c r="G322" s="49" t="str">
        <f>IF(G321="","",IFERROR(G321+MATCH("En retard",INDEX('Liste des élèves'!$Q$4:$Q$1363,G321+1):'Liste des élèves'!$Q$1363,0),""))</f>
        <v/>
      </c>
    </row>
    <row r="323">
      <c r="A323" s="20" t="str">
        <f>IF($G323="","",INDEX('Liste des élèves'!$A$4:$A$1363,$G323))</f>
        <v/>
      </c>
      <c r="B323" s="20" t="str">
        <f>IF($G323="","",INDEX('Liste des élèves'!$D$4:$D$1363,$G323))</f>
        <v/>
      </c>
      <c r="C323" s="21" t="str">
        <f>IF($G323="","",INDEX('Liste des élèves'!$E$4:$E$1363,$G323))</f>
        <v/>
      </c>
      <c r="D323" s="20" t="str">
        <f>IF($G323="","",INDEX('Liste des élèves'!$I$4:$I$1363,$G323))</f>
        <v/>
      </c>
      <c r="E323" s="20" t="str">
        <f>IF($G323="","",INDEX('Liste des élèves'!$J$4:$J$1363,$G323))</f>
        <v/>
      </c>
      <c r="F323" s="51" t="str">
        <f>IF($G323="","",INDEX('Liste des élèves'!$P$4:$P$1363,$G323)+INDEX('Liste des élèves'!$T$4:$T$1363,$G323))</f>
        <v/>
      </c>
      <c r="G323" s="49" t="str">
        <f>IF(G322="","",IFERROR(G322+MATCH("En retard",INDEX('Liste des élèves'!$Q$4:$Q$1363,G322+1):'Liste des élèves'!$Q$1363,0),""))</f>
        <v/>
      </c>
    </row>
    <row r="324">
      <c r="A324" s="20" t="str">
        <f>IF($G324="","",INDEX('Liste des élèves'!$A$4:$A$1363,$G324))</f>
        <v/>
      </c>
      <c r="B324" s="20" t="str">
        <f>IF($G324="","",INDEX('Liste des élèves'!$D$4:$D$1363,$G324))</f>
        <v/>
      </c>
      <c r="C324" s="21" t="str">
        <f>IF($G324="","",INDEX('Liste des élèves'!$E$4:$E$1363,$G324))</f>
        <v/>
      </c>
      <c r="D324" s="20" t="str">
        <f>IF($G324="","",INDEX('Liste des élèves'!$I$4:$I$1363,$G324))</f>
        <v/>
      </c>
      <c r="E324" s="20" t="str">
        <f>IF($G324="","",INDEX('Liste des élèves'!$J$4:$J$1363,$G324))</f>
        <v/>
      </c>
      <c r="F324" s="51" t="str">
        <f>IF($G324="","",INDEX('Liste des élèves'!$P$4:$P$1363,$G324)+INDEX('Liste des élèves'!$T$4:$T$1363,$G324))</f>
        <v/>
      </c>
      <c r="G324" s="49" t="str">
        <f>IF(G323="","",IFERROR(G323+MATCH("En retard",INDEX('Liste des élèves'!$Q$4:$Q$1363,G323+1):'Liste des élèves'!$Q$1363,0),""))</f>
        <v/>
      </c>
    </row>
    <row r="325">
      <c r="A325" s="20" t="str">
        <f>IF($G325="","",INDEX('Liste des élèves'!$A$4:$A$1363,$G325))</f>
        <v/>
      </c>
      <c r="B325" s="20" t="str">
        <f>IF($G325="","",INDEX('Liste des élèves'!$D$4:$D$1363,$G325))</f>
        <v/>
      </c>
      <c r="C325" s="21" t="str">
        <f>IF($G325="","",INDEX('Liste des élèves'!$E$4:$E$1363,$G325))</f>
        <v/>
      </c>
      <c r="D325" s="20" t="str">
        <f>IF($G325="","",INDEX('Liste des élèves'!$I$4:$I$1363,$G325))</f>
        <v/>
      </c>
      <c r="E325" s="20" t="str">
        <f>IF($G325="","",INDEX('Liste des élèves'!$J$4:$J$1363,$G325))</f>
        <v/>
      </c>
      <c r="F325" s="51" t="str">
        <f>IF($G325="","",INDEX('Liste des élèves'!$P$4:$P$1363,$G325)+INDEX('Liste des élèves'!$T$4:$T$1363,$G325))</f>
        <v/>
      </c>
      <c r="G325" s="49" t="str">
        <f>IF(G324="","",IFERROR(G324+MATCH("En retard",INDEX('Liste des élèves'!$Q$4:$Q$1363,G324+1):'Liste des élèves'!$Q$1363,0),""))</f>
        <v/>
      </c>
    </row>
    <row r="326">
      <c r="A326" s="20" t="str">
        <f>IF($G326="","",INDEX('Liste des élèves'!$A$4:$A$1363,$G326))</f>
        <v/>
      </c>
      <c r="B326" s="20" t="str">
        <f>IF($G326="","",INDEX('Liste des élèves'!$D$4:$D$1363,$G326))</f>
        <v/>
      </c>
      <c r="C326" s="21" t="str">
        <f>IF($G326="","",INDEX('Liste des élèves'!$E$4:$E$1363,$G326))</f>
        <v/>
      </c>
      <c r="D326" s="20" t="str">
        <f>IF($G326="","",INDEX('Liste des élèves'!$I$4:$I$1363,$G326))</f>
        <v/>
      </c>
      <c r="E326" s="20" t="str">
        <f>IF($G326="","",INDEX('Liste des élèves'!$J$4:$J$1363,$G326))</f>
        <v/>
      </c>
      <c r="F326" s="51" t="str">
        <f>IF($G326="","",INDEX('Liste des élèves'!$P$4:$P$1363,$G326)+INDEX('Liste des élèves'!$T$4:$T$1363,$G326))</f>
        <v/>
      </c>
      <c r="G326" s="49" t="str">
        <f>IF(G325="","",IFERROR(G325+MATCH("En retard",INDEX('Liste des élèves'!$Q$4:$Q$1363,G325+1):'Liste des élèves'!$Q$1363,0),""))</f>
        <v/>
      </c>
    </row>
    <row r="327">
      <c r="A327" s="20" t="str">
        <f>IF($G327="","",INDEX('Liste des élèves'!$A$4:$A$1363,$G327))</f>
        <v/>
      </c>
      <c r="B327" s="20" t="str">
        <f>IF($G327="","",INDEX('Liste des élèves'!$D$4:$D$1363,$G327))</f>
        <v/>
      </c>
      <c r="C327" s="21" t="str">
        <f>IF($G327="","",INDEX('Liste des élèves'!$E$4:$E$1363,$G327))</f>
        <v/>
      </c>
      <c r="D327" s="20" t="str">
        <f>IF($G327="","",INDEX('Liste des élèves'!$I$4:$I$1363,$G327))</f>
        <v/>
      </c>
      <c r="E327" s="20" t="str">
        <f>IF($G327="","",INDEX('Liste des élèves'!$J$4:$J$1363,$G327))</f>
        <v/>
      </c>
      <c r="F327" s="51" t="str">
        <f>IF($G327="","",INDEX('Liste des élèves'!$P$4:$P$1363,$G327)+INDEX('Liste des élèves'!$T$4:$T$1363,$G327))</f>
        <v/>
      </c>
      <c r="G327" s="49" t="str">
        <f>IF(G326="","",IFERROR(G326+MATCH("En retard",INDEX('Liste des élèves'!$Q$4:$Q$1363,G326+1):'Liste des élèves'!$Q$1363,0),""))</f>
        <v/>
      </c>
    </row>
    <row r="328">
      <c r="A328" s="20" t="str">
        <f>IF($G328="","",INDEX('Liste des élèves'!$A$4:$A$1363,$G328))</f>
        <v/>
      </c>
      <c r="B328" s="20" t="str">
        <f>IF($G328="","",INDEX('Liste des élèves'!$D$4:$D$1363,$G328))</f>
        <v/>
      </c>
      <c r="C328" s="21" t="str">
        <f>IF($G328="","",INDEX('Liste des élèves'!$E$4:$E$1363,$G328))</f>
        <v/>
      </c>
      <c r="D328" s="20" t="str">
        <f>IF($G328="","",INDEX('Liste des élèves'!$I$4:$I$1363,$G328))</f>
        <v/>
      </c>
      <c r="E328" s="20" t="str">
        <f>IF($G328="","",INDEX('Liste des élèves'!$J$4:$J$1363,$G328))</f>
        <v/>
      </c>
      <c r="F328" s="51" t="str">
        <f>IF($G328="","",INDEX('Liste des élèves'!$P$4:$P$1363,$G328)+INDEX('Liste des élèves'!$T$4:$T$1363,$G328))</f>
        <v/>
      </c>
      <c r="G328" s="49" t="str">
        <f>IF(G327="","",IFERROR(G327+MATCH("En retard",INDEX('Liste des élèves'!$Q$4:$Q$1363,G327+1):'Liste des élèves'!$Q$1363,0),""))</f>
        <v/>
      </c>
    </row>
    <row r="329">
      <c r="A329" s="20" t="str">
        <f>IF($G329="","",INDEX('Liste des élèves'!$A$4:$A$1363,$G329))</f>
        <v/>
      </c>
      <c r="B329" s="20" t="str">
        <f>IF($G329="","",INDEX('Liste des élèves'!$D$4:$D$1363,$G329))</f>
        <v/>
      </c>
      <c r="C329" s="21" t="str">
        <f>IF($G329="","",INDEX('Liste des élèves'!$E$4:$E$1363,$G329))</f>
        <v/>
      </c>
      <c r="D329" s="20" t="str">
        <f>IF($G329="","",INDEX('Liste des élèves'!$I$4:$I$1363,$G329))</f>
        <v/>
      </c>
      <c r="E329" s="20" t="str">
        <f>IF($G329="","",INDEX('Liste des élèves'!$J$4:$J$1363,$G329))</f>
        <v/>
      </c>
      <c r="F329" s="51" t="str">
        <f>IF($G329="","",INDEX('Liste des élèves'!$P$4:$P$1363,$G329)+INDEX('Liste des élèves'!$T$4:$T$1363,$G329))</f>
        <v/>
      </c>
      <c r="G329" s="49" t="str">
        <f>IF(G328="","",IFERROR(G328+MATCH("En retard",INDEX('Liste des élèves'!$Q$4:$Q$1363,G328+1):'Liste des élèves'!$Q$1363,0),""))</f>
        <v/>
      </c>
    </row>
    <row r="330">
      <c r="A330" s="20" t="str">
        <f>IF($G330="","",INDEX('Liste des élèves'!$A$4:$A$1363,$G330))</f>
        <v/>
      </c>
      <c r="B330" s="20" t="str">
        <f>IF($G330="","",INDEX('Liste des élèves'!$D$4:$D$1363,$G330))</f>
        <v/>
      </c>
      <c r="C330" s="21" t="str">
        <f>IF($G330="","",INDEX('Liste des élèves'!$E$4:$E$1363,$G330))</f>
        <v/>
      </c>
      <c r="D330" s="20" t="str">
        <f>IF($G330="","",INDEX('Liste des élèves'!$I$4:$I$1363,$G330))</f>
        <v/>
      </c>
      <c r="E330" s="20" t="str">
        <f>IF($G330="","",INDEX('Liste des élèves'!$J$4:$J$1363,$G330))</f>
        <v/>
      </c>
      <c r="F330" s="51" t="str">
        <f>IF($G330="","",INDEX('Liste des élèves'!$P$4:$P$1363,$G330)+INDEX('Liste des élèves'!$T$4:$T$1363,$G330))</f>
        <v/>
      </c>
      <c r="G330" s="49" t="str">
        <f>IF(G329="","",IFERROR(G329+MATCH("En retard",INDEX('Liste des élèves'!$Q$4:$Q$1363,G329+1):'Liste des élèves'!$Q$1363,0),""))</f>
        <v/>
      </c>
    </row>
    <row r="331">
      <c r="A331" s="20" t="str">
        <f>IF($G331="","",INDEX('Liste des élèves'!$A$4:$A$1363,$G331))</f>
        <v/>
      </c>
      <c r="B331" s="20" t="str">
        <f>IF($G331="","",INDEX('Liste des élèves'!$D$4:$D$1363,$G331))</f>
        <v/>
      </c>
      <c r="C331" s="21" t="str">
        <f>IF($G331="","",INDEX('Liste des élèves'!$E$4:$E$1363,$G331))</f>
        <v/>
      </c>
      <c r="D331" s="20" t="str">
        <f>IF($G331="","",INDEX('Liste des élèves'!$I$4:$I$1363,$G331))</f>
        <v/>
      </c>
      <c r="E331" s="20" t="str">
        <f>IF($G331="","",INDEX('Liste des élèves'!$J$4:$J$1363,$G331))</f>
        <v/>
      </c>
      <c r="F331" s="51" t="str">
        <f>IF($G331="","",INDEX('Liste des élèves'!$P$4:$P$1363,$G331)+INDEX('Liste des élèves'!$T$4:$T$1363,$G331))</f>
        <v/>
      </c>
      <c r="G331" s="49" t="str">
        <f>IF(G330="","",IFERROR(G330+MATCH("En retard",INDEX('Liste des élèves'!$Q$4:$Q$1363,G330+1):'Liste des élèves'!$Q$1363,0),""))</f>
        <v/>
      </c>
    </row>
    <row r="332">
      <c r="A332" s="20" t="str">
        <f>IF($G332="","",INDEX('Liste des élèves'!$A$4:$A$1363,$G332))</f>
        <v/>
      </c>
      <c r="B332" s="20" t="str">
        <f>IF($G332="","",INDEX('Liste des élèves'!$D$4:$D$1363,$G332))</f>
        <v/>
      </c>
      <c r="C332" s="21" t="str">
        <f>IF($G332="","",INDEX('Liste des élèves'!$E$4:$E$1363,$G332))</f>
        <v/>
      </c>
      <c r="D332" s="20" t="str">
        <f>IF($G332="","",INDEX('Liste des élèves'!$I$4:$I$1363,$G332))</f>
        <v/>
      </c>
      <c r="E332" s="20" t="str">
        <f>IF($G332="","",INDEX('Liste des élèves'!$J$4:$J$1363,$G332))</f>
        <v/>
      </c>
      <c r="F332" s="51" t="str">
        <f>IF($G332="","",INDEX('Liste des élèves'!$P$4:$P$1363,$G332)+INDEX('Liste des élèves'!$T$4:$T$1363,$G332))</f>
        <v/>
      </c>
      <c r="G332" s="49" t="str">
        <f>IF(G331="","",IFERROR(G331+MATCH("En retard",INDEX('Liste des élèves'!$Q$4:$Q$1363,G331+1):'Liste des élèves'!$Q$1363,0),""))</f>
        <v/>
      </c>
    </row>
    <row r="333">
      <c r="A333" s="20" t="str">
        <f>IF($G333="","",INDEX('Liste des élèves'!$A$4:$A$1363,$G333))</f>
        <v/>
      </c>
      <c r="B333" s="20" t="str">
        <f>IF($G333="","",INDEX('Liste des élèves'!$D$4:$D$1363,$G333))</f>
        <v/>
      </c>
      <c r="C333" s="21" t="str">
        <f>IF($G333="","",INDEX('Liste des élèves'!$E$4:$E$1363,$G333))</f>
        <v/>
      </c>
      <c r="D333" s="20" t="str">
        <f>IF($G333="","",INDEX('Liste des élèves'!$I$4:$I$1363,$G333))</f>
        <v/>
      </c>
      <c r="E333" s="20" t="str">
        <f>IF($G333="","",INDEX('Liste des élèves'!$J$4:$J$1363,$G333))</f>
        <v/>
      </c>
      <c r="F333" s="51" t="str">
        <f>IF($G333="","",INDEX('Liste des élèves'!$P$4:$P$1363,$G333)+INDEX('Liste des élèves'!$T$4:$T$1363,$G333))</f>
        <v/>
      </c>
      <c r="G333" s="49" t="str">
        <f>IF(G332="","",IFERROR(G332+MATCH("En retard",INDEX('Liste des élèves'!$Q$4:$Q$1363,G332+1):'Liste des élèves'!$Q$1363,0),""))</f>
        <v/>
      </c>
    </row>
    <row r="334">
      <c r="A334" s="20" t="str">
        <f>IF($G334="","",INDEX('Liste des élèves'!$A$4:$A$1363,$G334))</f>
        <v/>
      </c>
      <c r="B334" s="20" t="str">
        <f>IF($G334="","",INDEX('Liste des élèves'!$D$4:$D$1363,$G334))</f>
        <v/>
      </c>
      <c r="C334" s="21" t="str">
        <f>IF($G334="","",INDEX('Liste des élèves'!$E$4:$E$1363,$G334))</f>
        <v/>
      </c>
      <c r="D334" s="20" t="str">
        <f>IF($G334="","",INDEX('Liste des élèves'!$I$4:$I$1363,$G334))</f>
        <v/>
      </c>
      <c r="E334" s="20" t="str">
        <f>IF($G334="","",INDEX('Liste des élèves'!$J$4:$J$1363,$G334))</f>
        <v/>
      </c>
      <c r="F334" s="51" t="str">
        <f>IF($G334="","",INDEX('Liste des élèves'!$P$4:$P$1363,$G334)+INDEX('Liste des élèves'!$T$4:$T$1363,$G334))</f>
        <v/>
      </c>
      <c r="G334" s="49" t="str">
        <f>IF(G333="","",IFERROR(G333+MATCH("En retard",INDEX('Liste des élèves'!$Q$4:$Q$1363,G333+1):'Liste des élèves'!$Q$1363,0),""))</f>
        <v/>
      </c>
    </row>
    <row r="335">
      <c r="A335" s="20" t="str">
        <f>IF($G335="","",INDEX('Liste des élèves'!$A$4:$A$1363,$G335))</f>
        <v/>
      </c>
      <c r="B335" s="20" t="str">
        <f>IF($G335="","",INDEX('Liste des élèves'!$D$4:$D$1363,$G335))</f>
        <v/>
      </c>
      <c r="C335" s="21" t="str">
        <f>IF($G335="","",INDEX('Liste des élèves'!$E$4:$E$1363,$G335))</f>
        <v/>
      </c>
      <c r="D335" s="20" t="str">
        <f>IF($G335="","",INDEX('Liste des élèves'!$I$4:$I$1363,$G335))</f>
        <v/>
      </c>
      <c r="E335" s="20" t="str">
        <f>IF($G335="","",INDEX('Liste des élèves'!$J$4:$J$1363,$G335))</f>
        <v/>
      </c>
      <c r="F335" s="51" t="str">
        <f>IF($G335="","",INDEX('Liste des élèves'!$P$4:$P$1363,$G335)+INDEX('Liste des élèves'!$T$4:$T$1363,$G335))</f>
        <v/>
      </c>
      <c r="G335" s="49" t="str">
        <f>IF(G334="","",IFERROR(G334+MATCH("En retard",INDEX('Liste des élèves'!$Q$4:$Q$1363,G334+1):'Liste des élèves'!$Q$1363,0),""))</f>
        <v/>
      </c>
    </row>
    <row r="336">
      <c r="A336" s="20" t="str">
        <f>IF($G336="","",INDEX('Liste des élèves'!$A$4:$A$1363,$G336))</f>
        <v/>
      </c>
      <c r="B336" s="20" t="str">
        <f>IF($G336="","",INDEX('Liste des élèves'!$D$4:$D$1363,$G336))</f>
        <v/>
      </c>
      <c r="C336" s="21" t="str">
        <f>IF($G336="","",INDEX('Liste des élèves'!$E$4:$E$1363,$G336))</f>
        <v/>
      </c>
      <c r="D336" s="20" t="str">
        <f>IF($G336="","",INDEX('Liste des élèves'!$I$4:$I$1363,$G336))</f>
        <v/>
      </c>
      <c r="E336" s="20" t="str">
        <f>IF($G336="","",INDEX('Liste des élèves'!$J$4:$J$1363,$G336))</f>
        <v/>
      </c>
      <c r="F336" s="51" t="str">
        <f>IF($G336="","",INDEX('Liste des élèves'!$P$4:$P$1363,$G336)+INDEX('Liste des élèves'!$T$4:$T$1363,$G336))</f>
        <v/>
      </c>
      <c r="G336" s="49" t="str">
        <f>IF(G335="","",IFERROR(G335+MATCH("En retard",INDEX('Liste des élèves'!$Q$4:$Q$1363,G335+1):'Liste des élèves'!$Q$1363,0),""))</f>
        <v/>
      </c>
    </row>
    <row r="337">
      <c r="A337" s="20" t="str">
        <f>IF($G337="","",INDEX('Liste des élèves'!$A$4:$A$1363,$G337))</f>
        <v/>
      </c>
      <c r="B337" s="20" t="str">
        <f>IF($G337="","",INDEX('Liste des élèves'!$D$4:$D$1363,$G337))</f>
        <v/>
      </c>
      <c r="C337" s="21" t="str">
        <f>IF($G337="","",INDEX('Liste des élèves'!$E$4:$E$1363,$G337))</f>
        <v/>
      </c>
      <c r="D337" s="20" t="str">
        <f>IF($G337="","",INDEX('Liste des élèves'!$I$4:$I$1363,$G337))</f>
        <v/>
      </c>
      <c r="E337" s="20" t="str">
        <f>IF($G337="","",INDEX('Liste des élèves'!$J$4:$J$1363,$G337))</f>
        <v/>
      </c>
      <c r="F337" s="51" t="str">
        <f>IF($G337="","",INDEX('Liste des élèves'!$P$4:$P$1363,$G337)+INDEX('Liste des élèves'!$T$4:$T$1363,$G337))</f>
        <v/>
      </c>
      <c r="G337" s="49" t="str">
        <f>IF(G336="","",IFERROR(G336+MATCH("En retard",INDEX('Liste des élèves'!$Q$4:$Q$1363,G336+1):'Liste des élèves'!$Q$1363,0),""))</f>
        <v/>
      </c>
    </row>
    <row r="338">
      <c r="A338" s="20" t="str">
        <f>IF($G338="","",INDEX('Liste des élèves'!$A$4:$A$1363,$G338))</f>
        <v/>
      </c>
      <c r="B338" s="20" t="str">
        <f>IF($G338="","",INDEX('Liste des élèves'!$D$4:$D$1363,$G338))</f>
        <v/>
      </c>
      <c r="C338" s="21" t="str">
        <f>IF($G338="","",INDEX('Liste des élèves'!$E$4:$E$1363,$G338))</f>
        <v/>
      </c>
      <c r="D338" s="20" t="str">
        <f>IF($G338="","",INDEX('Liste des élèves'!$I$4:$I$1363,$G338))</f>
        <v/>
      </c>
      <c r="E338" s="20" t="str">
        <f>IF($G338="","",INDEX('Liste des élèves'!$J$4:$J$1363,$G338))</f>
        <v/>
      </c>
      <c r="F338" s="51" t="str">
        <f>IF($G338="","",INDEX('Liste des élèves'!$P$4:$P$1363,$G338)+INDEX('Liste des élèves'!$T$4:$T$1363,$G338))</f>
        <v/>
      </c>
      <c r="G338" s="49" t="str">
        <f>IF(G337="","",IFERROR(G337+MATCH("En retard",INDEX('Liste des élèves'!$Q$4:$Q$1363,G337+1):'Liste des élèves'!$Q$1363,0),""))</f>
        <v/>
      </c>
    </row>
    <row r="339">
      <c r="A339" s="20" t="str">
        <f>IF($G339="","",INDEX('Liste des élèves'!$A$4:$A$1363,$G339))</f>
        <v/>
      </c>
      <c r="B339" s="20" t="str">
        <f>IF($G339="","",INDEX('Liste des élèves'!$D$4:$D$1363,$G339))</f>
        <v/>
      </c>
      <c r="C339" s="21" t="str">
        <f>IF($G339="","",INDEX('Liste des élèves'!$E$4:$E$1363,$G339))</f>
        <v/>
      </c>
      <c r="D339" s="20" t="str">
        <f>IF($G339="","",INDEX('Liste des élèves'!$I$4:$I$1363,$G339))</f>
        <v/>
      </c>
      <c r="E339" s="20" t="str">
        <f>IF($G339="","",INDEX('Liste des élèves'!$J$4:$J$1363,$G339))</f>
        <v/>
      </c>
      <c r="F339" s="51" t="str">
        <f>IF($G339="","",INDEX('Liste des élèves'!$P$4:$P$1363,$G339)+INDEX('Liste des élèves'!$T$4:$T$1363,$G339))</f>
        <v/>
      </c>
      <c r="G339" s="49" t="str">
        <f>IF(G338="","",IFERROR(G338+MATCH("En retard",INDEX('Liste des élèves'!$Q$4:$Q$1363,G338+1):'Liste des élèves'!$Q$1363,0),""))</f>
        <v/>
      </c>
    </row>
    <row r="340">
      <c r="A340" s="20" t="str">
        <f>IF($G340="","",INDEX('Liste des élèves'!$A$4:$A$1363,$G340))</f>
        <v/>
      </c>
      <c r="B340" s="20" t="str">
        <f>IF($G340="","",INDEX('Liste des élèves'!$D$4:$D$1363,$G340))</f>
        <v/>
      </c>
      <c r="C340" s="21" t="str">
        <f>IF($G340="","",INDEX('Liste des élèves'!$E$4:$E$1363,$G340))</f>
        <v/>
      </c>
      <c r="D340" s="20" t="str">
        <f>IF($G340="","",INDEX('Liste des élèves'!$I$4:$I$1363,$G340))</f>
        <v/>
      </c>
      <c r="E340" s="20" t="str">
        <f>IF($G340="","",INDEX('Liste des élèves'!$J$4:$J$1363,$G340))</f>
        <v/>
      </c>
      <c r="F340" s="51" t="str">
        <f>IF($G340="","",INDEX('Liste des élèves'!$P$4:$P$1363,$G340)+INDEX('Liste des élèves'!$T$4:$T$1363,$G340))</f>
        <v/>
      </c>
      <c r="G340" s="49" t="str">
        <f>IF(G339="","",IFERROR(G339+MATCH("En retard",INDEX('Liste des élèves'!$Q$4:$Q$1363,G339+1):'Liste des élèves'!$Q$1363,0),""))</f>
        <v/>
      </c>
    </row>
    <row r="341">
      <c r="A341" s="20" t="str">
        <f>IF($G341="","",INDEX('Liste des élèves'!$A$4:$A$1363,$G341))</f>
        <v/>
      </c>
      <c r="B341" s="20" t="str">
        <f>IF($G341="","",INDEX('Liste des élèves'!$D$4:$D$1363,$G341))</f>
        <v/>
      </c>
      <c r="C341" s="21" t="str">
        <f>IF($G341="","",INDEX('Liste des élèves'!$E$4:$E$1363,$G341))</f>
        <v/>
      </c>
      <c r="D341" s="20" t="str">
        <f>IF($G341="","",INDEX('Liste des élèves'!$I$4:$I$1363,$G341))</f>
        <v/>
      </c>
      <c r="E341" s="20" t="str">
        <f>IF($G341="","",INDEX('Liste des élèves'!$J$4:$J$1363,$G341))</f>
        <v/>
      </c>
      <c r="F341" s="51" t="str">
        <f>IF($G341="","",INDEX('Liste des élèves'!$P$4:$P$1363,$G341)+INDEX('Liste des élèves'!$T$4:$T$1363,$G341))</f>
        <v/>
      </c>
      <c r="G341" s="49" t="str">
        <f>IF(G340="","",IFERROR(G340+MATCH("En retard",INDEX('Liste des élèves'!$Q$4:$Q$1363,G340+1):'Liste des élèves'!$Q$1363,0),""))</f>
        <v/>
      </c>
    </row>
    <row r="342">
      <c r="A342" s="20" t="str">
        <f>IF($G342="","",INDEX('Liste des élèves'!$A$4:$A$1363,$G342))</f>
        <v/>
      </c>
      <c r="B342" s="20" t="str">
        <f>IF($G342="","",INDEX('Liste des élèves'!$D$4:$D$1363,$G342))</f>
        <v/>
      </c>
      <c r="C342" s="21" t="str">
        <f>IF($G342="","",INDEX('Liste des élèves'!$E$4:$E$1363,$G342))</f>
        <v/>
      </c>
      <c r="D342" s="20" t="str">
        <f>IF($G342="","",INDEX('Liste des élèves'!$I$4:$I$1363,$G342))</f>
        <v/>
      </c>
      <c r="E342" s="20" t="str">
        <f>IF($G342="","",INDEX('Liste des élèves'!$J$4:$J$1363,$G342))</f>
        <v/>
      </c>
      <c r="F342" s="51" t="str">
        <f>IF($G342="","",INDEX('Liste des élèves'!$P$4:$P$1363,$G342)+INDEX('Liste des élèves'!$T$4:$T$1363,$G342))</f>
        <v/>
      </c>
      <c r="G342" s="49" t="str">
        <f>IF(G341="","",IFERROR(G341+MATCH("En retard",INDEX('Liste des élèves'!$Q$4:$Q$1363,G341+1):'Liste des élèves'!$Q$1363,0),""))</f>
        <v/>
      </c>
    </row>
    <row r="343">
      <c r="A343" s="20" t="str">
        <f>IF($G343="","",INDEX('Liste des élèves'!$A$4:$A$1363,$G343))</f>
        <v/>
      </c>
      <c r="B343" s="20" t="str">
        <f>IF($G343="","",INDEX('Liste des élèves'!$D$4:$D$1363,$G343))</f>
        <v/>
      </c>
      <c r="C343" s="21" t="str">
        <f>IF($G343="","",INDEX('Liste des élèves'!$E$4:$E$1363,$G343))</f>
        <v/>
      </c>
      <c r="D343" s="20" t="str">
        <f>IF($G343="","",INDEX('Liste des élèves'!$I$4:$I$1363,$G343))</f>
        <v/>
      </c>
      <c r="E343" s="20" t="str">
        <f>IF($G343="","",INDEX('Liste des élèves'!$J$4:$J$1363,$G343))</f>
        <v/>
      </c>
      <c r="F343" s="51" t="str">
        <f>IF($G343="","",INDEX('Liste des élèves'!$P$4:$P$1363,$G343)+INDEX('Liste des élèves'!$T$4:$T$1363,$G343))</f>
        <v/>
      </c>
      <c r="G343" s="49" t="str">
        <f>IF(G342="","",IFERROR(G342+MATCH("En retard",INDEX('Liste des élèves'!$Q$4:$Q$1363,G342+1):'Liste des élèves'!$Q$1363,0),""))</f>
        <v/>
      </c>
    </row>
    <row r="344">
      <c r="A344" s="20" t="str">
        <f>IF($G344="","",INDEX('Liste des élèves'!$A$4:$A$1363,$G344))</f>
        <v/>
      </c>
      <c r="B344" s="20" t="str">
        <f>IF($G344="","",INDEX('Liste des élèves'!$D$4:$D$1363,$G344))</f>
        <v/>
      </c>
      <c r="C344" s="21" t="str">
        <f>IF($G344="","",INDEX('Liste des élèves'!$E$4:$E$1363,$G344))</f>
        <v/>
      </c>
      <c r="D344" s="20" t="str">
        <f>IF($G344="","",INDEX('Liste des élèves'!$I$4:$I$1363,$G344))</f>
        <v/>
      </c>
      <c r="E344" s="20" t="str">
        <f>IF($G344="","",INDEX('Liste des élèves'!$J$4:$J$1363,$G344))</f>
        <v/>
      </c>
      <c r="F344" s="51" t="str">
        <f>IF($G344="","",INDEX('Liste des élèves'!$P$4:$P$1363,$G344)+INDEX('Liste des élèves'!$T$4:$T$1363,$G344))</f>
        <v/>
      </c>
      <c r="G344" s="49" t="str">
        <f>IF(G343="","",IFERROR(G343+MATCH("En retard",INDEX('Liste des élèves'!$Q$4:$Q$1363,G343+1):'Liste des élèves'!$Q$1363,0),""))</f>
        <v/>
      </c>
    </row>
    <row r="345">
      <c r="A345" s="20" t="str">
        <f>IF($G345="","",INDEX('Liste des élèves'!$A$4:$A$1363,$G345))</f>
        <v/>
      </c>
      <c r="B345" s="20" t="str">
        <f>IF($G345="","",INDEX('Liste des élèves'!$D$4:$D$1363,$G345))</f>
        <v/>
      </c>
      <c r="C345" s="21" t="str">
        <f>IF($G345="","",INDEX('Liste des élèves'!$E$4:$E$1363,$G345))</f>
        <v/>
      </c>
      <c r="D345" s="20" t="str">
        <f>IF($G345="","",INDEX('Liste des élèves'!$I$4:$I$1363,$G345))</f>
        <v/>
      </c>
      <c r="E345" s="20" t="str">
        <f>IF($G345="","",INDEX('Liste des élèves'!$J$4:$J$1363,$G345))</f>
        <v/>
      </c>
      <c r="F345" s="51" t="str">
        <f>IF($G345="","",INDEX('Liste des élèves'!$P$4:$P$1363,$G345)+INDEX('Liste des élèves'!$T$4:$T$1363,$G345))</f>
        <v/>
      </c>
      <c r="G345" s="49" t="str">
        <f>IF(G344="","",IFERROR(G344+MATCH("En retard",INDEX('Liste des élèves'!$Q$4:$Q$1363,G344+1):'Liste des élèves'!$Q$1363,0),""))</f>
        <v/>
      </c>
    </row>
    <row r="346">
      <c r="A346" s="20" t="str">
        <f>IF($G346="","",INDEX('Liste des élèves'!$A$4:$A$1363,$G346))</f>
        <v/>
      </c>
      <c r="B346" s="20" t="str">
        <f>IF($G346="","",INDEX('Liste des élèves'!$D$4:$D$1363,$G346))</f>
        <v/>
      </c>
      <c r="C346" s="21" t="str">
        <f>IF($G346="","",INDEX('Liste des élèves'!$E$4:$E$1363,$G346))</f>
        <v/>
      </c>
      <c r="D346" s="20" t="str">
        <f>IF($G346="","",INDEX('Liste des élèves'!$I$4:$I$1363,$G346))</f>
        <v/>
      </c>
      <c r="E346" s="20" t="str">
        <f>IF($G346="","",INDEX('Liste des élèves'!$J$4:$J$1363,$G346))</f>
        <v/>
      </c>
      <c r="F346" s="51" t="str">
        <f>IF($G346="","",INDEX('Liste des élèves'!$P$4:$P$1363,$G346)+INDEX('Liste des élèves'!$T$4:$T$1363,$G346))</f>
        <v/>
      </c>
      <c r="G346" s="49" t="str">
        <f>IF(G345="","",IFERROR(G345+MATCH("En retard",INDEX('Liste des élèves'!$Q$4:$Q$1363,G345+1):'Liste des élèves'!$Q$1363,0),""))</f>
        <v/>
      </c>
    </row>
    <row r="347">
      <c r="A347" s="20" t="str">
        <f>IF($G347="","",INDEX('Liste des élèves'!$A$4:$A$1363,$G347))</f>
        <v/>
      </c>
      <c r="B347" s="20" t="str">
        <f>IF($G347="","",INDEX('Liste des élèves'!$D$4:$D$1363,$G347))</f>
        <v/>
      </c>
      <c r="C347" s="21" t="str">
        <f>IF($G347="","",INDEX('Liste des élèves'!$E$4:$E$1363,$G347))</f>
        <v/>
      </c>
      <c r="D347" s="20" t="str">
        <f>IF($G347="","",INDEX('Liste des élèves'!$I$4:$I$1363,$G347))</f>
        <v/>
      </c>
      <c r="E347" s="20" t="str">
        <f>IF($G347="","",INDEX('Liste des élèves'!$J$4:$J$1363,$G347))</f>
        <v/>
      </c>
      <c r="F347" s="51" t="str">
        <f>IF($G347="","",INDEX('Liste des élèves'!$P$4:$P$1363,$G347)+INDEX('Liste des élèves'!$T$4:$T$1363,$G347))</f>
        <v/>
      </c>
      <c r="G347" s="49" t="str">
        <f>IF(G346="","",IFERROR(G346+MATCH("En retard",INDEX('Liste des élèves'!$Q$4:$Q$1363,G346+1):'Liste des élèves'!$Q$1363,0),""))</f>
        <v/>
      </c>
    </row>
    <row r="348">
      <c r="A348" s="20" t="str">
        <f>IF($G348="","",INDEX('Liste des élèves'!$A$4:$A$1363,$G348))</f>
        <v/>
      </c>
      <c r="B348" s="20" t="str">
        <f>IF($G348="","",INDEX('Liste des élèves'!$D$4:$D$1363,$G348))</f>
        <v/>
      </c>
      <c r="C348" s="21" t="str">
        <f>IF($G348="","",INDEX('Liste des élèves'!$E$4:$E$1363,$G348))</f>
        <v/>
      </c>
      <c r="D348" s="20" t="str">
        <f>IF($G348="","",INDEX('Liste des élèves'!$I$4:$I$1363,$G348))</f>
        <v/>
      </c>
      <c r="E348" s="20" t="str">
        <f>IF($G348="","",INDEX('Liste des élèves'!$J$4:$J$1363,$G348))</f>
        <v/>
      </c>
      <c r="F348" s="51" t="str">
        <f>IF($G348="","",INDEX('Liste des élèves'!$P$4:$P$1363,$G348)+INDEX('Liste des élèves'!$T$4:$T$1363,$G348))</f>
        <v/>
      </c>
      <c r="G348" s="49" t="str">
        <f>IF(G347="","",IFERROR(G347+MATCH("En retard",INDEX('Liste des élèves'!$Q$4:$Q$1363,G347+1):'Liste des élèves'!$Q$1363,0),""))</f>
        <v/>
      </c>
    </row>
    <row r="349">
      <c r="A349" s="20" t="str">
        <f>IF($G349="","",INDEX('Liste des élèves'!$A$4:$A$1363,$G349))</f>
        <v/>
      </c>
      <c r="B349" s="20" t="str">
        <f>IF($G349="","",INDEX('Liste des élèves'!$D$4:$D$1363,$G349))</f>
        <v/>
      </c>
      <c r="C349" s="21" t="str">
        <f>IF($G349="","",INDEX('Liste des élèves'!$E$4:$E$1363,$G349))</f>
        <v/>
      </c>
      <c r="D349" s="20" t="str">
        <f>IF($G349="","",INDEX('Liste des élèves'!$I$4:$I$1363,$G349))</f>
        <v/>
      </c>
      <c r="E349" s="20" t="str">
        <f>IF($G349="","",INDEX('Liste des élèves'!$J$4:$J$1363,$G349))</f>
        <v/>
      </c>
      <c r="F349" s="51" t="str">
        <f>IF($G349="","",INDEX('Liste des élèves'!$P$4:$P$1363,$G349)+INDEX('Liste des élèves'!$T$4:$T$1363,$G349))</f>
        <v/>
      </c>
      <c r="G349" s="49" t="str">
        <f>IF(G348="","",IFERROR(G348+MATCH("En retard",INDEX('Liste des élèves'!$Q$4:$Q$1363,G348+1):'Liste des élèves'!$Q$1363,0),""))</f>
        <v/>
      </c>
    </row>
    <row r="350">
      <c r="A350" s="20" t="str">
        <f>IF($G350="","",INDEX('Liste des élèves'!$A$4:$A$1363,$G350))</f>
        <v/>
      </c>
      <c r="B350" s="20" t="str">
        <f>IF($G350="","",INDEX('Liste des élèves'!$D$4:$D$1363,$G350))</f>
        <v/>
      </c>
      <c r="C350" s="21" t="str">
        <f>IF($G350="","",INDEX('Liste des élèves'!$E$4:$E$1363,$G350))</f>
        <v/>
      </c>
      <c r="D350" s="20" t="str">
        <f>IF($G350="","",INDEX('Liste des élèves'!$I$4:$I$1363,$G350))</f>
        <v/>
      </c>
      <c r="E350" s="20" t="str">
        <f>IF($G350="","",INDEX('Liste des élèves'!$J$4:$J$1363,$G350))</f>
        <v/>
      </c>
      <c r="F350" s="51" t="str">
        <f>IF($G350="","",INDEX('Liste des élèves'!$P$4:$P$1363,$G350)+INDEX('Liste des élèves'!$T$4:$T$1363,$G350))</f>
        <v/>
      </c>
      <c r="G350" s="49" t="str">
        <f>IF(G349="","",IFERROR(G349+MATCH("En retard",INDEX('Liste des élèves'!$Q$4:$Q$1363,G349+1):'Liste des élèves'!$Q$1363,0),""))</f>
        <v/>
      </c>
    </row>
    <row r="351">
      <c r="A351" s="20" t="str">
        <f>IF($G351="","",INDEX('Liste des élèves'!$A$4:$A$1363,$G351))</f>
        <v/>
      </c>
      <c r="B351" s="20" t="str">
        <f>IF($G351="","",INDEX('Liste des élèves'!$D$4:$D$1363,$G351))</f>
        <v/>
      </c>
      <c r="C351" s="21" t="str">
        <f>IF($G351="","",INDEX('Liste des élèves'!$E$4:$E$1363,$G351))</f>
        <v/>
      </c>
      <c r="D351" s="20" t="str">
        <f>IF($G351="","",INDEX('Liste des élèves'!$I$4:$I$1363,$G351))</f>
        <v/>
      </c>
      <c r="E351" s="20" t="str">
        <f>IF($G351="","",INDEX('Liste des élèves'!$J$4:$J$1363,$G351))</f>
        <v/>
      </c>
      <c r="F351" s="51" t="str">
        <f>IF($G351="","",INDEX('Liste des élèves'!$P$4:$P$1363,$G351)+INDEX('Liste des élèves'!$T$4:$T$1363,$G351))</f>
        <v/>
      </c>
      <c r="G351" s="49" t="str">
        <f>IF(G350="","",IFERROR(G350+MATCH("En retard",INDEX('Liste des élèves'!$Q$4:$Q$1363,G350+1):'Liste des élèves'!$Q$1363,0),""))</f>
        <v/>
      </c>
    </row>
    <row r="352">
      <c r="A352" s="20" t="str">
        <f>IF($G352="","",INDEX('Liste des élèves'!$A$4:$A$1363,$G352))</f>
        <v/>
      </c>
      <c r="B352" s="20" t="str">
        <f>IF($G352="","",INDEX('Liste des élèves'!$D$4:$D$1363,$G352))</f>
        <v/>
      </c>
      <c r="C352" s="21" t="str">
        <f>IF($G352="","",INDEX('Liste des élèves'!$E$4:$E$1363,$G352))</f>
        <v/>
      </c>
      <c r="D352" s="20" t="str">
        <f>IF($G352="","",INDEX('Liste des élèves'!$I$4:$I$1363,$G352))</f>
        <v/>
      </c>
      <c r="E352" s="20" t="str">
        <f>IF($G352="","",INDEX('Liste des élèves'!$J$4:$J$1363,$G352))</f>
        <v/>
      </c>
      <c r="F352" s="51" t="str">
        <f>IF($G352="","",INDEX('Liste des élèves'!$P$4:$P$1363,$G352)+INDEX('Liste des élèves'!$T$4:$T$1363,$G352))</f>
        <v/>
      </c>
      <c r="G352" s="49" t="str">
        <f>IF(G351="","",IFERROR(G351+MATCH("En retard",INDEX('Liste des élèves'!$Q$4:$Q$1363,G351+1):'Liste des élèves'!$Q$1363,0),""))</f>
        <v/>
      </c>
    </row>
    <row r="353">
      <c r="A353" s="20" t="str">
        <f>IF($G353="","",INDEX('Liste des élèves'!$A$4:$A$1363,$G353))</f>
        <v/>
      </c>
      <c r="B353" s="20" t="str">
        <f>IF($G353="","",INDEX('Liste des élèves'!$D$4:$D$1363,$G353))</f>
        <v/>
      </c>
      <c r="C353" s="21" t="str">
        <f>IF($G353="","",INDEX('Liste des élèves'!$E$4:$E$1363,$G353))</f>
        <v/>
      </c>
      <c r="D353" s="20" t="str">
        <f>IF($G353="","",INDEX('Liste des élèves'!$I$4:$I$1363,$G353))</f>
        <v/>
      </c>
      <c r="E353" s="20" t="str">
        <f>IF($G353="","",INDEX('Liste des élèves'!$J$4:$J$1363,$G353))</f>
        <v/>
      </c>
      <c r="F353" s="51" t="str">
        <f>IF($G353="","",INDEX('Liste des élèves'!$P$4:$P$1363,$G353)+INDEX('Liste des élèves'!$T$4:$T$1363,$G353))</f>
        <v/>
      </c>
      <c r="G353" s="49" t="str">
        <f>IF(G352="","",IFERROR(G352+MATCH("En retard",INDEX('Liste des élèves'!$Q$4:$Q$1363,G352+1):'Liste des élèves'!$Q$1363,0),""))</f>
        <v/>
      </c>
    </row>
    <row r="354">
      <c r="A354" s="20" t="str">
        <f>IF($G354="","",INDEX('Liste des élèves'!$A$4:$A$1363,$G354))</f>
        <v/>
      </c>
      <c r="B354" s="20" t="str">
        <f>IF($G354="","",INDEX('Liste des élèves'!$D$4:$D$1363,$G354))</f>
        <v/>
      </c>
      <c r="C354" s="21" t="str">
        <f>IF($G354="","",INDEX('Liste des élèves'!$E$4:$E$1363,$G354))</f>
        <v/>
      </c>
      <c r="D354" s="20" t="str">
        <f>IF($G354="","",INDEX('Liste des élèves'!$I$4:$I$1363,$G354))</f>
        <v/>
      </c>
      <c r="E354" s="20" t="str">
        <f>IF($G354="","",INDEX('Liste des élèves'!$J$4:$J$1363,$G354))</f>
        <v/>
      </c>
      <c r="F354" s="51" t="str">
        <f>IF($G354="","",INDEX('Liste des élèves'!$P$4:$P$1363,$G354)+INDEX('Liste des élèves'!$T$4:$T$1363,$G354))</f>
        <v/>
      </c>
      <c r="G354" s="49" t="str">
        <f>IF(G353="","",IFERROR(G353+MATCH("En retard",INDEX('Liste des élèves'!$Q$4:$Q$1363,G353+1):'Liste des élèves'!$Q$1363,0),""))</f>
        <v/>
      </c>
    </row>
    <row r="355">
      <c r="A355" s="20" t="str">
        <f>IF($G355="","",INDEX('Liste des élèves'!$A$4:$A$1363,$G355))</f>
        <v/>
      </c>
      <c r="B355" s="20" t="str">
        <f>IF($G355="","",INDEX('Liste des élèves'!$D$4:$D$1363,$G355))</f>
        <v/>
      </c>
      <c r="C355" s="21" t="str">
        <f>IF($G355="","",INDEX('Liste des élèves'!$E$4:$E$1363,$G355))</f>
        <v/>
      </c>
      <c r="D355" s="20" t="str">
        <f>IF($G355="","",INDEX('Liste des élèves'!$I$4:$I$1363,$G355))</f>
        <v/>
      </c>
      <c r="E355" s="20" t="str">
        <f>IF($G355="","",INDEX('Liste des élèves'!$J$4:$J$1363,$G355))</f>
        <v/>
      </c>
      <c r="F355" s="51" t="str">
        <f>IF($G355="","",INDEX('Liste des élèves'!$P$4:$P$1363,$G355)+INDEX('Liste des élèves'!$T$4:$T$1363,$G355))</f>
        <v/>
      </c>
      <c r="G355" s="49" t="str">
        <f>IF(G354="","",IFERROR(G354+MATCH("En retard",INDEX('Liste des élèves'!$Q$4:$Q$1363,G354+1):'Liste des élèves'!$Q$1363,0),""))</f>
        <v/>
      </c>
    </row>
    <row r="356">
      <c r="A356" s="20" t="str">
        <f>IF($G356="","",INDEX('Liste des élèves'!$A$4:$A$1363,$G356))</f>
        <v/>
      </c>
      <c r="B356" s="20" t="str">
        <f>IF($G356="","",INDEX('Liste des élèves'!$D$4:$D$1363,$G356))</f>
        <v/>
      </c>
      <c r="C356" s="21" t="str">
        <f>IF($G356="","",INDEX('Liste des élèves'!$E$4:$E$1363,$G356))</f>
        <v/>
      </c>
      <c r="D356" s="20" t="str">
        <f>IF($G356="","",INDEX('Liste des élèves'!$I$4:$I$1363,$G356))</f>
        <v/>
      </c>
      <c r="E356" s="20" t="str">
        <f>IF($G356="","",INDEX('Liste des élèves'!$J$4:$J$1363,$G356))</f>
        <v/>
      </c>
      <c r="F356" s="51" t="str">
        <f>IF($G356="","",INDEX('Liste des élèves'!$P$4:$P$1363,$G356)+INDEX('Liste des élèves'!$T$4:$T$1363,$G356))</f>
        <v/>
      </c>
      <c r="G356" s="49" t="str">
        <f>IF(G355="","",IFERROR(G355+MATCH("En retard",INDEX('Liste des élèves'!$Q$4:$Q$1363,G355+1):'Liste des élèves'!$Q$1363,0),""))</f>
        <v/>
      </c>
    </row>
    <row r="357">
      <c r="A357" s="20" t="str">
        <f>IF($G357="","",INDEX('Liste des élèves'!$A$4:$A$1363,$G357))</f>
        <v/>
      </c>
      <c r="B357" s="20" t="str">
        <f>IF($G357="","",INDEX('Liste des élèves'!$D$4:$D$1363,$G357))</f>
        <v/>
      </c>
      <c r="C357" s="21" t="str">
        <f>IF($G357="","",INDEX('Liste des élèves'!$E$4:$E$1363,$G357))</f>
        <v/>
      </c>
      <c r="D357" s="20" t="str">
        <f>IF($G357="","",INDEX('Liste des élèves'!$I$4:$I$1363,$G357))</f>
        <v/>
      </c>
      <c r="E357" s="20" t="str">
        <f>IF($G357="","",INDEX('Liste des élèves'!$J$4:$J$1363,$G357))</f>
        <v/>
      </c>
      <c r="F357" s="51" t="str">
        <f>IF($G357="","",INDEX('Liste des élèves'!$P$4:$P$1363,$G357)+INDEX('Liste des élèves'!$T$4:$T$1363,$G357))</f>
        <v/>
      </c>
      <c r="G357" s="49" t="str">
        <f>IF(G356="","",IFERROR(G356+MATCH("En retard",INDEX('Liste des élèves'!$Q$4:$Q$1363,G356+1):'Liste des élèves'!$Q$1363,0),""))</f>
        <v/>
      </c>
    </row>
    <row r="358">
      <c r="A358" s="20" t="str">
        <f>IF($G358="","",INDEX('Liste des élèves'!$A$4:$A$1363,$G358))</f>
        <v/>
      </c>
      <c r="B358" s="20" t="str">
        <f>IF($G358="","",INDEX('Liste des élèves'!$D$4:$D$1363,$G358))</f>
        <v/>
      </c>
      <c r="C358" s="21" t="str">
        <f>IF($G358="","",INDEX('Liste des élèves'!$E$4:$E$1363,$G358))</f>
        <v/>
      </c>
      <c r="D358" s="20" t="str">
        <f>IF($G358="","",INDEX('Liste des élèves'!$I$4:$I$1363,$G358))</f>
        <v/>
      </c>
      <c r="E358" s="20" t="str">
        <f>IF($G358="","",INDEX('Liste des élèves'!$J$4:$J$1363,$G358))</f>
        <v/>
      </c>
      <c r="F358" s="51" t="str">
        <f>IF($G358="","",INDEX('Liste des élèves'!$P$4:$P$1363,$G358)+INDEX('Liste des élèves'!$T$4:$T$1363,$G358))</f>
        <v/>
      </c>
      <c r="G358" s="49" t="str">
        <f>IF(G357="","",IFERROR(G357+MATCH("En retard",INDEX('Liste des élèves'!$Q$4:$Q$1363,G357+1):'Liste des élèves'!$Q$1363,0),""))</f>
        <v/>
      </c>
    </row>
    <row r="359">
      <c r="A359" s="20" t="str">
        <f>IF($G359="","",INDEX('Liste des élèves'!$A$4:$A$1363,$G359))</f>
        <v/>
      </c>
      <c r="B359" s="20" t="str">
        <f>IF($G359="","",INDEX('Liste des élèves'!$D$4:$D$1363,$G359))</f>
        <v/>
      </c>
      <c r="C359" s="21" t="str">
        <f>IF($G359="","",INDEX('Liste des élèves'!$E$4:$E$1363,$G359))</f>
        <v/>
      </c>
      <c r="D359" s="20" t="str">
        <f>IF($G359="","",INDEX('Liste des élèves'!$I$4:$I$1363,$G359))</f>
        <v/>
      </c>
      <c r="E359" s="20" t="str">
        <f>IF($G359="","",INDEX('Liste des élèves'!$J$4:$J$1363,$G359))</f>
        <v/>
      </c>
      <c r="F359" s="51" t="str">
        <f>IF($G359="","",INDEX('Liste des élèves'!$P$4:$P$1363,$G359)+INDEX('Liste des élèves'!$T$4:$T$1363,$G359))</f>
        <v/>
      </c>
      <c r="G359" s="49" t="str">
        <f>IF(G358="","",IFERROR(G358+MATCH("En retard",INDEX('Liste des élèves'!$Q$4:$Q$1363,G358+1):'Liste des élèves'!$Q$1363,0),""))</f>
        <v/>
      </c>
    </row>
    <row r="360">
      <c r="A360" s="20" t="str">
        <f>IF($G360="","",INDEX('Liste des élèves'!$A$4:$A$1363,$G360))</f>
        <v/>
      </c>
      <c r="B360" s="20" t="str">
        <f>IF($G360="","",INDEX('Liste des élèves'!$D$4:$D$1363,$G360))</f>
        <v/>
      </c>
      <c r="C360" s="21" t="str">
        <f>IF($G360="","",INDEX('Liste des élèves'!$E$4:$E$1363,$G360))</f>
        <v/>
      </c>
      <c r="D360" s="20" t="str">
        <f>IF($G360="","",INDEX('Liste des élèves'!$I$4:$I$1363,$G360))</f>
        <v/>
      </c>
      <c r="E360" s="20" t="str">
        <f>IF($G360="","",INDEX('Liste des élèves'!$J$4:$J$1363,$G360))</f>
        <v/>
      </c>
      <c r="F360" s="51" t="str">
        <f>IF($G360="","",INDEX('Liste des élèves'!$P$4:$P$1363,$G360)+INDEX('Liste des élèves'!$T$4:$T$1363,$G360))</f>
        <v/>
      </c>
      <c r="G360" s="49" t="str">
        <f>IF(G359="","",IFERROR(G359+MATCH("En retard",INDEX('Liste des élèves'!$Q$4:$Q$1363,G359+1):'Liste des élèves'!$Q$1363,0),""))</f>
        <v/>
      </c>
    </row>
    <row r="361">
      <c r="A361" s="20" t="str">
        <f>IF($G361="","",INDEX('Liste des élèves'!$A$4:$A$1363,$G361))</f>
        <v/>
      </c>
      <c r="B361" s="20" t="str">
        <f>IF($G361="","",INDEX('Liste des élèves'!$D$4:$D$1363,$G361))</f>
        <v/>
      </c>
      <c r="C361" s="21" t="str">
        <f>IF($G361="","",INDEX('Liste des élèves'!$E$4:$E$1363,$G361))</f>
        <v/>
      </c>
      <c r="D361" s="20" t="str">
        <f>IF($G361="","",INDEX('Liste des élèves'!$I$4:$I$1363,$G361))</f>
        <v/>
      </c>
      <c r="E361" s="20" t="str">
        <f>IF($G361="","",INDEX('Liste des élèves'!$J$4:$J$1363,$G361))</f>
        <v/>
      </c>
      <c r="F361" s="51" t="str">
        <f>IF($G361="","",INDEX('Liste des élèves'!$P$4:$P$1363,$G361)+INDEX('Liste des élèves'!$T$4:$T$1363,$G361))</f>
        <v/>
      </c>
      <c r="G361" s="49" t="str">
        <f>IF(G360="","",IFERROR(G360+MATCH("En retard",INDEX('Liste des élèves'!$Q$4:$Q$1363,G360+1):'Liste des élèves'!$Q$1363,0),""))</f>
        <v/>
      </c>
    </row>
    <row r="362">
      <c r="A362" s="20" t="str">
        <f>IF($G362="","",INDEX('Liste des élèves'!$A$4:$A$1363,$G362))</f>
        <v/>
      </c>
      <c r="B362" s="20" t="str">
        <f>IF($G362="","",INDEX('Liste des élèves'!$D$4:$D$1363,$G362))</f>
        <v/>
      </c>
      <c r="C362" s="21" t="str">
        <f>IF($G362="","",INDEX('Liste des élèves'!$E$4:$E$1363,$G362))</f>
        <v/>
      </c>
      <c r="D362" s="20" t="str">
        <f>IF($G362="","",INDEX('Liste des élèves'!$I$4:$I$1363,$G362))</f>
        <v/>
      </c>
      <c r="E362" s="20" t="str">
        <f>IF($G362="","",INDEX('Liste des élèves'!$J$4:$J$1363,$G362))</f>
        <v/>
      </c>
      <c r="F362" s="51" t="str">
        <f>IF($G362="","",INDEX('Liste des élèves'!$P$4:$P$1363,$G362)+INDEX('Liste des élèves'!$T$4:$T$1363,$G362))</f>
        <v/>
      </c>
      <c r="G362" s="49" t="str">
        <f>IF(G361="","",IFERROR(G361+MATCH("En retard",INDEX('Liste des élèves'!$Q$4:$Q$1363,G361+1):'Liste des élèves'!$Q$1363,0),""))</f>
        <v/>
      </c>
    </row>
    <row r="363">
      <c r="A363" s="20" t="str">
        <f>IF($G363="","",INDEX('Liste des élèves'!$A$4:$A$1363,$G363))</f>
        <v/>
      </c>
      <c r="B363" s="20" t="str">
        <f>IF($G363="","",INDEX('Liste des élèves'!$D$4:$D$1363,$G363))</f>
        <v/>
      </c>
      <c r="C363" s="21" t="str">
        <f>IF($G363="","",INDEX('Liste des élèves'!$E$4:$E$1363,$G363))</f>
        <v/>
      </c>
      <c r="D363" s="20" t="str">
        <f>IF($G363="","",INDEX('Liste des élèves'!$I$4:$I$1363,$G363))</f>
        <v/>
      </c>
      <c r="E363" s="20" t="str">
        <f>IF($G363="","",INDEX('Liste des élèves'!$J$4:$J$1363,$G363))</f>
        <v/>
      </c>
      <c r="F363" s="51" t="str">
        <f>IF($G363="","",INDEX('Liste des élèves'!$P$4:$P$1363,$G363)+INDEX('Liste des élèves'!$T$4:$T$1363,$G363))</f>
        <v/>
      </c>
      <c r="G363" s="49" t="str">
        <f>IF(G362="","",IFERROR(G362+MATCH("En retard",INDEX('Liste des élèves'!$Q$4:$Q$1363,G362+1):'Liste des élèves'!$Q$1363,0),""))</f>
        <v/>
      </c>
    </row>
    <row r="364">
      <c r="A364" s="20" t="str">
        <f>IF($G364="","",INDEX('Liste des élèves'!$A$4:$A$1363,$G364))</f>
        <v/>
      </c>
      <c r="B364" s="20" t="str">
        <f>IF($G364="","",INDEX('Liste des élèves'!$D$4:$D$1363,$G364))</f>
        <v/>
      </c>
      <c r="C364" s="21" t="str">
        <f>IF($G364="","",INDEX('Liste des élèves'!$E$4:$E$1363,$G364))</f>
        <v/>
      </c>
      <c r="D364" s="20" t="str">
        <f>IF($G364="","",INDEX('Liste des élèves'!$I$4:$I$1363,$G364))</f>
        <v/>
      </c>
      <c r="E364" s="20" t="str">
        <f>IF($G364="","",INDEX('Liste des élèves'!$J$4:$J$1363,$G364))</f>
        <v/>
      </c>
      <c r="F364" s="51" t="str">
        <f>IF($G364="","",INDEX('Liste des élèves'!$P$4:$P$1363,$G364)+INDEX('Liste des élèves'!$T$4:$T$1363,$G364))</f>
        <v/>
      </c>
      <c r="G364" s="49" t="str">
        <f>IF(G363="","",IFERROR(G363+MATCH("En retard",INDEX('Liste des élèves'!$Q$4:$Q$1363,G363+1):'Liste des élèves'!$Q$1363,0),""))</f>
        <v/>
      </c>
    </row>
    <row r="365">
      <c r="A365" s="20" t="str">
        <f>IF($G365="","",INDEX('Liste des élèves'!$A$4:$A$1363,$G365))</f>
        <v/>
      </c>
      <c r="B365" s="20" t="str">
        <f>IF($G365="","",INDEX('Liste des élèves'!$D$4:$D$1363,$G365))</f>
        <v/>
      </c>
      <c r="C365" s="21" t="str">
        <f>IF($G365="","",INDEX('Liste des élèves'!$E$4:$E$1363,$G365))</f>
        <v/>
      </c>
      <c r="D365" s="20" t="str">
        <f>IF($G365="","",INDEX('Liste des élèves'!$I$4:$I$1363,$G365))</f>
        <v/>
      </c>
      <c r="E365" s="20" t="str">
        <f>IF($G365="","",INDEX('Liste des élèves'!$J$4:$J$1363,$G365))</f>
        <v/>
      </c>
      <c r="F365" s="51" t="str">
        <f>IF($G365="","",INDEX('Liste des élèves'!$P$4:$P$1363,$G365)+INDEX('Liste des élèves'!$T$4:$T$1363,$G365))</f>
        <v/>
      </c>
      <c r="G365" s="49" t="str">
        <f>IF(G364="","",IFERROR(G364+MATCH("En retard",INDEX('Liste des élèves'!$Q$4:$Q$1363,G364+1):'Liste des élèves'!$Q$1363,0),""))</f>
        <v/>
      </c>
    </row>
    <row r="366">
      <c r="A366" s="20" t="str">
        <f>IF($G366="","",INDEX('Liste des élèves'!$A$4:$A$1363,$G366))</f>
        <v/>
      </c>
      <c r="B366" s="20" t="str">
        <f>IF($G366="","",INDEX('Liste des élèves'!$D$4:$D$1363,$G366))</f>
        <v/>
      </c>
      <c r="C366" s="21" t="str">
        <f>IF($G366="","",INDEX('Liste des élèves'!$E$4:$E$1363,$G366))</f>
        <v/>
      </c>
      <c r="D366" s="20" t="str">
        <f>IF($G366="","",INDEX('Liste des élèves'!$I$4:$I$1363,$G366))</f>
        <v/>
      </c>
      <c r="E366" s="20" t="str">
        <f>IF($G366="","",INDEX('Liste des élèves'!$J$4:$J$1363,$G366))</f>
        <v/>
      </c>
      <c r="F366" s="51" t="str">
        <f>IF($G366="","",INDEX('Liste des élèves'!$P$4:$P$1363,$G366)+INDEX('Liste des élèves'!$T$4:$T$1363,$G366))</f>
        <v/>
      </c>
      <c r="G366" s="49" t="str">
        <f>IF(G365="","",IFERROR(G365+MATCH("En retard",INDEX('Liste des élèves'!$Q$4:$Q$1363,G365+1):'Liste des élèves'!$Q$1363,0),""))</f>
        <v/>
      </c>
    </row>
    <row r="367">
      <c r="A367" s="20" t="str">
        <f>IF($G367="","",INDEX('Liste des élèves'!$A$4:$A$1363,$G367))</f>
        <v/>
      </c>
      <c r="B367" s="20" t="str">
        <f>IF($G367="","",INDEX('Liste des élèves'!$D$4:$D$1363,$G367))</f>
        <v/>
      </c>
      <c r="C367" s="21" t="str">
        <f>IF($G367="","",INDEX('Liste des élèves'!$E$4:$E$1363,$G367))</f>
        <v/>
      </c>
      <c r="D367" s="20" t="str">
        <f>IF($G367="","",INDEX('Liste des élèves'!$I$4:$I$1363,$G367))</f>
        <v/>
      </c>
      <c r="E367" s="20" t="str">
        <f>IF($G367="","",INDEX('Liste des élèves'!$J$4:$J$1363,$G367))</f>
        <v/>
      </c>
      <c r="F367" s="51" t="str">
        <f>IF($G367="","",INDEX('Liste des élèves'!$P$4:$P$1363,$G367)+INDEX('Liste des élèves'!$T$4:$T$1363,$G367))</f>
        <v/>
      </c>
      <c r="G367" s="49" t="str">
        <f>IF(G366="","",IFERROR(G366+MATCH("En retard",INDEX('Liste des élèves'!$Q$4:$Q$1363,G366+1):'Liste des élèves'!$Q$1363,0),""))</f>
        <v/>
      </c>
    </row>
    <row r="368">
      <c r="A368" s="20" t="str">
        <f>IF($G368="","",INDEX('Liste des élèves'!$A$4:$A$1363,$G368))</f>
        <v/>
      </c>
      <c r="B368" s="20" t="str">
        <f>IF($G368="","",INDEX('Liste des élèves'!$D$4:$D$1363,$G368))</f>
        <v/>
      </c>
      <c r="C368" s="21" t="str">
        <f>IF($G368="","",INDEX('Liste des élèves'!$E$4:$E$1363,$G368))</f>
        <v/>
      </c>
      <c r="D368" s="20" t="str">
        <f>IF($G368="","",INDEX('Liste des élèves'!$I$4:$I$1363,$G368))</f>
        <v/>
      </c>
      <c r="E368" s="20" t="str">
        <f>IF($G368="","",INDEX('Liste des élèves'!$J$4:$J$1363,$G368))</f>
        <v/>
      </c>
      <c r="F368" s="51" t="str">
        <f>IF($G368="","",INDEX('Liste des élèves'!$P$4:$P$1363,$G368)+INDEX('Liste des élèves'!$T$4:$T$1363,$G368))</f>
        <v/>
      </c>
      <c r="G368" s="49" t="str">
        <f>IF(G367="","",IFERROR(G367+MATCH("En retard",INDEX('Liste des élèves'!$Q$4:$Q$1363,G367+1):'Liste des élèves'!$Q$1363,0),""))</f>
        <v/>
      </c>
    </row>
    <row r="369">
      <c r="A369" s="20" t="str">
        <f>IF($G369="","",INDEX('Liste des élèves'!$A$4:$A$1363,$G369))</f>
        <v/>
      </c>
      <c r="B369" s="20" t="str">
        <f>IF($G369="","",INDEX('Liste des élèves'!$D$4:$D$1363,$G369))</f>
        <v/>
      </c>
      <c r="C369" s="21" t="str">
        <f>IF($G369="","",INDEX('Liste des élèves'!$E$4:$E$1363,$G369))</f>
        <v/>
      </c>
      <c r="D369" s="20" t="str">
        <f>IF($G369="","",INDEX('Liste des élèves'!$I$4:$I$1363,$G369))</f>
        <v/>
      </c>
      <c r="E369" s="20" t="str">
        <f>IF($G369="","",INDEX('Liste des élèves'!$J$4:$J$1363,$G369))</f>
        <v/>
      </c>
      <c r="F369" s="51" t="str">
        <f>IF($G369="","",INDEX('Liste des élèves'!$P$4:$P$1363,$G369)+INDEX('Liste des élèves'!$T$4:$T$1363,$G369))</f>
        <v/>
      </c>
      <c r="G369" s="49" t="str">
        <f>IF(G368="","",IFERROR(G368+MATCH("En retard",INDEX('Liste des élèves'!$Q$4:$Q$1363,G368+1):'Liste des élèves'!$Q$1363,0),""))</f>
        <v/>
      </c>
    </row>
    <row r="370">
      <c r="A370" s="20" t="str">
        <f>IF($G370="","",INDEX('Liste des élèves'!$A$4:$A$1363,$G370))</f>
        <v/>
      </c>
      <c r="B370" s="20" t="str">
        <f>IF($G370="","",INDEX('Liste des élèves'!$D$4:$D$1363,$G370))</f>
        <v/>
      </c>
      <c r="C370" s="21" t="str">
        <f>IF($G370="","",INDEX('Liste des élèves'!$E$4:$E$1363,$G370))</f>
        <v/>
      </c>
      <c r="D370" s="20" t="str">
        <f>IF($G370="","",INDEX('Liste des élèves'!$I$4:$I$1363,$G370))</f>
        <v/>
      </c>
      <c r="E370" s="20" t="str">
        <f>IF($G370="","",INDEX('Liste des élèves'!$J$4:$J$1363,$G370))</f>
        <v/>
      </c>
      <c r="F370" s="51" t="str">
        <f>IF($G370="","",INDEX('Liste des élèves'!$P$4:$P$1363,$G370)+INDEX('Liste des élèves'!$T$4:$T$1363,$G370))</f>
        <v/>
      </c>
      <c r="G370" s="49" t="str">
        <f>IF(G369="","",IFERROR(G369+MATCH("En retard",INDEX('Liste des élèves'!$Q$4:$Q$1363,G369+1):'Liste des élèves'!$Q$1363,0),""))</f>
        <v/>
      </c>
    </row>
    <row r="371">
      <c r="A371" s="20" t="str">
        <f>IF($G371="","",INDEX('Liste des élèves'!$A$4:$A$1363,$G371))</f>
        <v/>
      </c>
      <c r="B371" s="20" t="str">
        <f>IF($G371="","",INDEX('Liste des élèves'!$D$4:$D$1363,$G371))</f>
        <v/>
      </c>
      <c r="C371" s="21" t="str">
        <f>IF($G371="","",INDEX('Liste des élèves'!$E$4:$E$1363,$G371))</f>
        <v/>
      </c>
      <c r="D371" s="20" t="str">
        <f>IF($G371="","",INDEX('Liste des élèves'!$I$4:$I$1363,$G371))</f>
        <v/>
      </c>
      <c r="E371" s="20" t="str">
        <f>IF($G371="","",INDEX('Liste des élèves'!$J$4:$J$1363,$G371))</f>
        <v/>
      </c>
      <c r="F371" s="51" t="str">
        <f>IF($G371="","",INDEX('Liste des élèves'!$P$4:$P$1363,$G371)+INDEX('Liste des élèves'!$T$4:$T$1363,$G371))</f>
        <v/>
      </c>
      <c r="G371" s="49" t="str">
        <f>IF(G370="","",IFERROR(G370+MATCH("En retard",INDEX('Liste des élèves'!$Q$4:$Q$1363,G370+1):'Liste des élèves'!$Q$1363,0),""))</f>
        <v/>
      </c>
    </row>
    <row r="372">
      <c r="A372" s="20" t="str">
        <f>IF($G372="","",INDEX('Liste des élèves'!$A$4:$A$1363,$G372))</f>
        <v/>
      </c>
      <c r="B372" s="20" t="str">
        <f>IF($G372="","",INDEX('Liste des élèves'!$D$4:$D$1363,$G372))</f>
        <v/>
      </c>
      <c r="C372" s="21" t="str">
        <f>IF($G372="","",INDEX('Liste des élèves'!$E$4:$E$1363,$G372))</f>
        <v/>
      </c>
      <c r="D372" s="20" t="str">
        <f>IF($G372="","",INDEX('Liste des élèves'!$I$4:$I$1363,$G372))</f>
        <v/>
      </c>
      <c r="E372" s="20" t="str">
        <f>IF($G372="","",INDEX('Liste des élèves'!$J$4:$J$1363,$G372))</f>
        <v/>
      </c>
      <c r="F372" s="51" t="str">
        <f>IF($G372="","",INDEX('Liste des élèves'!$P$4:$P$1363,$G372)+INDEX('Liste des élèves'!$T$4:$T$1363,$G372))</f>
        <v/>
      </c>
      <c r="G372" s="49" t="str">
        <f>IF(G371="","",IFERROR(G371+MATCH("En retard",INDEX('Liste des élèves'!$Q$4:$Q$1363,G371+1):'Liste des élèves'!$Q$1363,0),""))</f>
        <v/>
      </c>
    </row>
    <row r="373">
      <c r="A373" s="20" t="str">
        <f>IF($G373="","",INDEX('Liste des élèves'!$A$4:$A$1363,$G373))</f>
        <v/>
      </c>
      <c r="B373" s="20" t="str">
        <f>IF($G373="","",INDEX('Liste des élèves'!$D$4:$D$1363,$G373))</f>
        <v/>
      </c>
      <c r="C373" s="21" t="str">
        <f>IF($G373="","",INDEX('Liste des élèves'!$E$4:$E$1363,$G373))</f>
        <v/>
      </c>
      <c r="D373" s="20" t="str">
        <f>IF($G373="","",INDEX('Liste des élèves'!$I$4:$I$1363,$G373))</f>
        <v/>
      </c>
      <c r="E373" s="20" t="str">
        <f>IF($G373="","",INDEX('Liste des élèves'!$J$4:$J$1363,$G373))</f>
        <v/>
      </c>
      <c r="F373" s="51" t="str">
        <f>IF($G373="","",INDEX('Liste des élèves'!$P$4:$P$1363,$G373)+INDEX('Liste des élèves'!$T$4:$T$1363,$G373))</f>
        <v/>
      </c>
      <c r="G373" s="49" t="str">
        <f>IF(G372="","",IFERROR(G372+MATCH("En retard",INDEX('Liste des élèves'!$Q$4:$Q$1363,G372+1):'Liste des élèves'!$Q$1363,0),""))</f>
        <v/>
      </c>
    </row>
    <row r="374">
      <c r="A374" s="20" t="str">
        <f>IF($G374="","",INDEX('Liste des élèves'!$A$4:$A$1363,$G374))</f>
        <v/>
      </c>
      <c r="B374" s="20" t="str">
        <f>IF($G374="","",INDEX('Liste des élèves'!$D$4:$D$1363,$G374))</f>
        <v/>
      </c>
      <c r="C374" s="21" t="str">
        <f>IF($G374="","",INDEX('Liste des élèves'!$E$4:$E$1363,$G374))</f>
        <v/>
      </c>
      <c r="D374" s="20" t="str">
        <f>IF($G374="","",INDEX('Liste des élèves'!$I$4:$I$1363,$G374))</f>
        <v/>
      </c>
      <c r="E374" s="20" t="str">
        <f>IF($G374="","",INDEX('Liste des élèves'!$J$4:$J$1363,$G374))</f>
        <v/>
      </c>
      <c r="F374" s="51" t="str">
        <f>IF($G374="","",INDEX('Liste des élèves'!$P$4:$P$1363,$G374)+INDEX('Liste des élèves'!$T$4:$T$1363,$G374))</f>
        <v/>
      </c>
      <c r="G374" s="49" t="str">
        <f>IF(G373="","",IFERROR(G373+MATCH("En retard",INDEX('Liste des élèves'!$Q$4:$Q$1363,G373+1):'Liste des élèves'!$Q$1363,0),""))</f>
        <v/>
      </c>
    </row>
    <row r="375">
      <c r="A375" s="20" t="str">
        <f>IF($G375="","",INDEX('Liste des élèves'!$A$4:$A$1363,$G375))</f>
        <v/>
      </c>
      <c r="B375" s="20" t="str">
        <f>IF($G375="","",INDEX('Liste des élèves'!$D$4:$D$1363,$G375))</f>
        <v/>
      </c>
      <c r="C375" s="21" t="str">
        <f>IF($G375="","",INDEX('Liste des élèves'!$E$4:$E$1363,$G375))</f>
        <v/>
      </c>
      <c r="D375" s="20" t="str">
        <f>IF($G375="","",INDEX('Liste des élèves'!$I$4:$I$1363,$G375))</f>
        <v/>
      </c>
      <c r="E375" s="20" t="str">
        <f>IF($G375="","",INDEX('Liste des élèves'!$J$4:$J$1363,$G375))</f>
        <v/>
      </c>
      <c r="F375" s="51" t="str">
        <f>IF($G375="","",INDEX('Liste des élèves'!$P$4:$P$1363,$G375)+INDEX('Liste des élèves'!$T$4:$T$1363,$G375))</f>
        <v/>
      </c>
      <c r="G375" s="49" t="str">
        <f>IF(G374="","",IFERROR(G374+MATCH("En retard",INDEX('Liste des élèves'!$Q$4:$Q$1363,G374+1):'Liste des élèves'!$Q$1363,0),""))</f>
        <v/>
      </c>
    </row>
    <row r="376">
      <c r="A376" s="20" t="str">
        <f>IF($G376="","",INDEX('Liste des élèves'!$A$4:$A$1363,$G376))</f>
        <v/>
      </c>
      <c r="B376" s="20" t="str">
        <f>IF($G376="","",INDEX('Liste des élèves'!$D$4:$D$1363,$G376))</f>
        <v/>
      </c>
      <c r="C376" s="21" t="str">
        <f>IF($G376="","",INDEX('Liste des élèves'!$E$4:$E$1363,$G376))</f>
        <v/>
      </c>
      <c r="D376" s="20" t="str">
        <f>IF($G376="","",INDEX('Liste des élèves'!$I$4:$I$1363,$G376))</f>
        <v/>
      </c>
      <c r="E376" s="20" t="str">
        <f>IF($G376="","",INDEX('Liste des élèves'!$J$4:$J$1363,$G376))</f>
        <v/>
      </c>
      <c r="F376" s="51" t="str">
        <f>IF($G376="","",INDEX('Liste des élèves'!$P$4:$P$1363,$G376)+INDEX('Liste des élèves'!$T$4:$T$1363,$G376))</f>
        <v/>
      </c>
      <c r="G376" s="49" t="str">
        <f>IF(G375="","",IFERROR(G375+MATCH("En retard",INDEX('Liste des élèves'!$Q$4:$Q$1363,G375+1):'Liste des élèves'!$Q$1363,0),""))</f>
        <v/>
      </c>
    </row>
    <row r="377">
      <c r="A377" s="20" t="str">
        <f>IF($G377="","",INDEX('Liste des élèves'!$A$4:$A$1363,$G377))</f>
        <v/>
      </c>
      <c r="B377" s="20" t="str">
        <f>IF($G377="","",INDEX('Liste des élèves'!$D$4:$D$1363,$G377))</f>
        <v/>
      </c>
      <c r="C377" s="21" t="str">
        <f>IF($G377="","",INDEX('Liste des élèves'!$E$4:$E$1363,$G377))</f>
        <v/>
      </c>
      <c r="D377" s="20" t="str">
        <f>IF($G377="","",INDEX('Liste des élèves'!$I$4:$I$1363,$G377))</f>
        <v/>
      </c>
      <c r="E377" s="20" t="str">
        <f>IF($G377="","",INDEX('Liste des élèves'!$J$4:$J$1363,$G377))</f>
        <v/>
      </c>
      <c r="F377" s="51" t="str">
        <f>IF($G377="","",INDEX('Liste des élèves'!$P$4:$P$1363,$G377)+INDEX('Liste des élèves'!$T$4:$T$1363,$G377))</f>
        <v/>
      </c>
      <c r="G377" s="49" t="str">
        <f>IF(G376="","",IFERROR(G376+MATCH("En retard",INDEX('Liste des élèves'!$Q$4:$Q$1363,G376+1):'Liste des élèves'!$Q$1363,0),""))</f>
        <v/>
      </c>
    </row>
    <row r="378">
      <c r="A378" s="20" t="str">
        <f>IF($G378="","",INDEX('Liste des élèves'!$A$4:$A$1363,$G378))</f>
        <v/>
      </c>
      <c r="B378" s="20" t="str">
        <f>IF($G378="","",INDEX('Liste des élèves'!$D$4:$D$1363,$G378))</f>
        <v/>
      </c>
      <c r="C378" s="21" t="str">
        <f>IF($G378="","",INDEX('Liste des élèves'!$E$4:$E$1363,$G378))</f>
        <v/>
      </c>
      <c r="D378" s="20" t="str">
        <f>IF($G378="","",INDEX('Liste des élèves'!$I$4:$I$1363,$G378))</f>
        <v/>
      </c>
      <c r="E378" s="20" t="str">
        <f>IF($G378="","",INDEX('Liste des élèves'!$J$4:$J$1363,$G378))</f>
        <v/>
      </c>
      <c r="F378" s="51" t="str">
        <f>IF($G378="","",INDEX('Liste des élèves'!$P$4:$P$1363,$G378)+INDEX('Liste des élèves'!$T$4:$T$1363,$G378))</f>
        <v/>
      </c>
      <c r="G378" s="49" t="str">
        <f>IF(G377="","",IFERROR(G377+MATCH("En retard",INDEX('Liste des élèves'!$Q$4:$Q$1363,G377+1):'Liste des élèves'!$Q$1363,0),""))</f>
        <v/>
      </c>
    </row>
    <row r="379">
      <c r="A379" s="20" t="str">
        <f>IF($G379="","",INDEX('Liste des élèves'!$A$4:$A$1363,$G379))</f>
        <v/>
      </c>
      <c r="B379" s="20" t="str">
        <f>IF($G379="","",INDEX('Liste des élèves'!$D$4:$D$1363,$G379))</f>
        <v/>
      </c>
      <c r="C379" s="21" t="str">
        <f>IF($G379="","",INDEX('Liste des élèves'!$E$4:$E$1363,$G379))</f>
        <v/>
      </c>
      <c r="D379" s="20" t="str">
        <f>IF($G379="","",INDEX('Liste des élèves'!$I$4:$I$1363,$G379))</f>
        <v/>
      </c>
      <c r="E379" s="20" t="str">
        <f>IF($G379="","",INDEX('Liste des élèves'!$J$4:$J$1363,$G379))</f>
        <v/>
      </c>
      <c r="F379" s="51" t="str">
        <f>IF($G379="","",INDEX('Liste des élèves'!$P$4:$P$1363,$G379)+INDEX('Liste des élèves'!$T$4:$T$1363,$G379))</f>
        <v/>
      </c>
      <c r="G379" s="49" t="str">
        <f>IF(G378="","",IFERROR(G378+MATCH("En retard",INDEX('Liste des élèves'!$Q$4:$Q$1363,G378+1):'Liste des élèves'!$Q$1363,0),""))</f>
        <v/>
      </c>
    </row>
    <row r="380">
      <c r="A380" s="20" t="str">
        <f>IF($G380="","",INDEX('Liste des élèves'!$A$4:$A$1363,$G380))</f>
        <v/>
      </c>
      <c r="B380" s="20" t="str">
        <f>IF($G380="","",INDEX('Liste des élèves'!$D$4:$D$1363,$G380))</f>
        <v/>
      </c>
      <c r="C380" s="21" t="str">
        <f>IF($G380="","",INDEX('Liste des élèves'!$E$4:$E$1363,$G380))</f>
        <v/>
      </c>
      <c r="D380" s="20" t="str">
        <f>IF($G380="","",INDEX('Liste des élèves'!$I$4:$I$1363,$G380))</f>
        <v/>
      </c>
      <c r="E380" s="20" t="str">
        <f>IF($G380="","",INDEX('Liste des élèves'!$J$4:$J$1363,$G380))</f>
        <v/>
      </c>
      <c r="F380" s="51" t="str">
        <f>IF($G380="","",INDEX('Liste des élèves'!$P$4:$P$1363,$G380)+INDEX('Liste des élèves'!$T$4:$T$1363,$G380))</f>
        <v/>
      </c>
      <c r="G380" s="49" t="str">
        <f>IF(G379="","",IFERROR(G379+MATCH("En retard",INDEX('Liste des élèves'!$Q$4:$Q$1363,G379+1):'Liste des élèves'!$Q$1363,0),""))</f>
        <v/>
      </c>
    </row>
    <row r="381">
      <c r="A381" s="20" t="str">
        <f>IF($G381="","",INDEX('Liste des élèves'!$A$4:$A$1363,$G381))</f>
        <v/>
      </c>
      <c r="B381" s="20" t="str">
        <f>IF($G381="","",INDEX('Liste des élèves'!$D$4:$D$1363,$G381))</f>
        <v/>
      </c>
      <c r="C381" s="21" t="str">
        <f>IF($G381="","",INDEX('Liste des élèves'!$E$4:$E$1363,$G381))</f>
        <v/>
      </c>
      <c r="D381" s="20" t="str">
        <f>IF($G381="","",INDEX('Liste des élèves'!$I$4:$I$1363,$G381))</f>
        <v/>
      </c>
      <c r="E381" s="20" t="str">
        <f>IF($G381="","",INDEX('Liste des élèves'!$J$4:$J$1363,$G381))</f>
        <v/>
      </c>
      <c r="F381" s="51" t="str">
        <f>IF($G381="","",INDEX('Liste des élèves'!$P$4:$P$1363,$G381)+INDEX('Liste des élèves'!$T$4:$T$1363,$G381))</f>
        <v/>
      </c>
      <c r="G381" s="49" t="str">
        <f>IF(G380="","",IFERROR(G380+MATCH("En retard",INDEX('Liste des élèves'!$Q$4:$Q$1363,G380+1):'Liste des élèves'!$Q$1363,0),""))</f>
        <v/>
      </c>
    </row>
    <row r="382">
      <c r="A382" s="20" t="str">
        <f>IF($G382="","",INDEX('Liste des élèves'!$A$4:$A$1363,$G382))</f>
        <v/>
      </c>
      <c r="B382" s="20" t="str">
        <f>IF($G382="","",INDEX('Liste des élèves'!$D$4:$D$1363,$G382))</f>
        <v/>
      </c>
      <c r="C382" s="21" t="str">
        <f>IF($G382="","",INDEX('Liste des élèves'!$E$4:$E$1363,$G382))</f>
        <v/>
      </c>
      <c r="D382" s="20" t="str">
        <f>IF($G382="","",INDEX('Liste des élèves'!$I$4:$I$1363,$G382))</f>
        <v/>
      </c>
      <c r="E382" s="20" t="str">
        <f>IF($G382="","",INDEX('Liste des élèves'!$J$4:$J$1363,$G382))</f>
        <v/>
      </c>
      <c r="F382" s="51" t="str">
        <f>IF($G382="","",INDEX('Liste des élèves'!$P$4:$P$1363,$G382)+INDEX('Liste des élèves'!$T$4:$T$1363,$G382))</f>
        <v/>
      </c>
      <c r="G382" s="49" t="str">
        <f>IF(G381="","",IFERROR(G381+MATCH("En retard",INDEX('Liste des élèves'!$Q$4:$Q$1363,G381+1):'Liste des élèves'!$Q$1363,0),""))</f>
        <v/>
      </c>
    </row>
    <row r="383">
      <c r="A383" s="20" t="str">
        <f>IF($G383="","",INDEX('Liste des élèves'!$A$4:$A$1363,$G383))</f>
        <v/>
      </c>
      <c r="B383" s="20" t="str">
        <f>IF($G383="","",INDEX('Liste des élèves'!$D$4:$D$1363,$G383))</f>
        <v/>
      </c>
      <c r="C383" s="21" t="str">
        <f>IF($G383="","",INDEX('Liste des élèves'!$E$4:$E$1363,$G383))</f>
        <v/>
      </c>
      <c r="D383" s="20" t="str">
        <f>IF($G383="","",INDEX('Liste des élèves'!$I$4:$I$1363,$G383))</f>
        <v/>
      </c>
      <c r="E383" s="20" t="str">
        <f>IF($G383="","",INDEX('Liste des élèves'!$J$4:$J$1363,$G383))</f>
        <v/>
      </c>
      <c r="F383" s="51" t="str">
        <f>IF($G383="","",INDEX('Liste des élèves'!$P$4:$P$1363,$G383)+INDEX('Liste des élèves'!$T$4:$T$1363,$G383))</f>
        <v/>
      </c>
      <c r="G383" s="49" t="str">
        <f>IF(G382="","",IFERROR(G382+MATCH("En retard",INDEX('Liste des élèves'!$Q$4:$Q$1363,G382+1):'Liste des élèves'!$Q$1363,0),""))</f>
        <v/>
      </c>
    </row>
    <row r="384">
      <c r="A384" s="20" t="str">
        <f>IF($G384="","",INDEX('Liste des élèves'!$A$4:$A$1363,$G384))</f>
        <v/>
      </c>
      <c r="B384" s="20" t="str">
        <f>IF($G384="","",INDEX('Liste des élèves'!$D$4:$D$1363,$G384))</f>
        <v/>
      </c>
      <c r="C384" s="21" t="str">
        <f>IF($G384="","",INDEX('Liste des élèves'!$E$4:$E$1363,$G384))</f>
        <v/>
      </c>
      <c r="D384" s="20" t="str">
        <f>IF($G384="","",INDEX('Liste des élèves'!$I$4:$I$1363,$G384))</f>
        <v/>
      </c>
      <c r="E384" s="20" t="str">
        <f>IF($G384="","",INDEX('Liste des élèves'!$J$4:$J$1363,$G384))</f>
        <v/>
      </c>
      <c r="F384" s="51" t="str">
        <f>IF($G384="","",INDEX('Liste des élèves'!$P$4:$P$1363,$G384)+INDEX('Liste des élèves'!$T$4:$T$1363,$G384))</f>
        <v/>
      </c>
      <c r="G384" s="49" t="str">
        <f>IF(G383="","",IFERROR(G383+MATCH("En retard",INDEX('Liste des élèves'!$Q$4:$Q$1363,G383+1):'Liste des élèves'!$Q$1363,0),""))</f>
        <v/>
      </c>
    </row>
    <row r="385">
      <c r="A385" s="20" t="str">
        <f>IF($G385="","",INDEX('Liste des élèves'!$A$4:$A$1363,$G385))</f>
        <v/>
      </c>
      <c r="B385" s="20" t="str">
        <f>IF($G385="","",INDEX('Liste des élèves'!$D$4:$D$1363,$G385))</f>
        <v/>
      </c>
      <c r="C385" s="21" t="str">
        <f>IF($G385="","",INDEX('Liste des élèves'!$E$4:$E$1363,$G385))</f>
        <v/>
      </c>
      <c r="D385" s="20" t="str">
        <f>IF($G385="","",INDEX('Liste des élèves'!$I$4:$I$1363,$G385))</f>
        <v/>
      </c>
      <c r="E385" s="20" t="str">
        <f>IF($G385="","",INDEX('Liste des élèves'!$J$4:$J$1363,$G385))</f>
        <v/>
      </c>
      <c r="F385" s="51" t="str">
        <f>IF($G385="","",INDEX('Liste des élèves'!$P$4:$P$1363,$G385)+INDEX('Liste des élèves'!$T$4:$T$1363,$G385))</f>
        <v/>
      </c>
      <c r="G385" s="49" t="str">
        <f>IF(G384="","",IFERROR(G384+MATCH("En retard",INDEX('Liste des élèves'!$Q$4:$Q$1363,G384+1):'Liste des élèves'!$Q$1363,0),""))</f>
        <v/>
      </c>
    </row>
    <row r="386">
      <c r="A386" s="20" t="str">
        <f>IF($G386="","",INDEX('Liste des élèves'!$A$4:$A$1363,$G386))</f>
        <v/>
      </c>
      <c r="B386" s="20" t="str">
        <f>IF($G386="","",INDEX('Liste des élèves'!$D$4:$D$1363,$G386))</f>
        <v/>
      </c>
      <c r="C386" s="21" t="str">
        <f>IF($G386="","",INDEX('Liste des élèves'!$E$4:$E$1363,$G386))</f>
        <v/>
      </c>
      <c r="D386" s="20" t="str">
        <f>IF($G386="","",INDEX('Liste des élèves'!$I$4:$I$1363,$G386))</f>
        <v/>
      </c>
      <c r="E386" s="20" t="str">
        <f>IF($G386="","",INDEX('Liste des élèves'!$J$4:$J$1363,$G386))</f>
        <v/>
      </c>
      <c r="F386" s="51" t="str">
        <f>IF($G386="","",INDEX('Liste des élèves'!$P$4:$P$1363,$G386)+INDEX('Liste des élèves'!$T$4:$T$1363,$G386))</f>
        <v/>
      </c>
      <c r="G386" s="49" t="str">
        <f>IF(G385="","",IFERROR(G385+MATCH("En retard",INDEX('Liste des élèves'!$Q$4:$Q$1363,G385+1):'Liste des élèves'!$Q$1363,0),""))</f>
        <v/>
      </c>
    </row>
    <row r="387">
      <c r="A387" s="20" t="str">
        <f>IF($G387="","",INDEX('Liste des élèves'!$A$4:$A$1363,$G387))</f>
        <v/>
      </c>
      <c r="B387" s="20" t="str">
        <f>IF($G387="","",INDEX('Liste des élèves'!$D$4:$D$1363,$G387))</f>
        <v/>
      </c>
      <c r="C387" s="21" t="str">
        <f>IF($G387="","",INDEX('Liste des élèves'!$E$4:$E$1363,$G387))</f>
        <v/>
      </c>
      <c r="D387" s="20" t="str">
        <f>IF($G387="","",INDEX('Liste des élèves'!$I$4:$I$1363,$G387))</f>
        <v/>
      </c>
      <c r="E387" s="20" t="str">
        <f>IF($G387="","",INDEX('Liste des élèves'!$J$4:$J$1363,$G387))</f>
        <v/>
      </c>
      <c r="F387" s="51" t="str">
        <f>IF($G387="","",INDEX('Liste des élèves'!$P$4:$P$1363,$G387)+INDEX('Liste des élèves'!$T$4:$T$1363,$G387))</f>
        <v/>
      </c>
      <c r="G387" s="49" t="str">
        <f>IF(G386="","",IFERROR(G386+MATCH("En retard",INDEX('Liste des élèves'!$Q$4:$Q$1363,G386+1):'Liste des élèves'!$Q$1363,0),""))</f>
        <v/>
      </c>
    </row>
    <row r="388">
      <c r="A388" s="20" t="str">
        <f>IF($G388="","",INDEX('Liste des élèves'!$A$4:$A$1363,$G388))</f>
        <v/>
      </c>
      <c r="B388" s="20" t="str">
        <f>IF($G388="","",INDEX('Liste des élèves'!$D$4:$D$1363,$G388))</f>
        <v/>
      </c>
      <c r="C388" s="21" t="str">
        <f>IF($G388="","",INDEX('Liste des élèves'!$E$4:$E$1363,$G388))</f>
        <v/>
      </c>
      <c r="D388" s="20" t="str">
        <f>IF($G388="","",INDEX('Liste des élèves'!$I$4:$I$1363,$G388))</f>
        <v/>
      </c>
      <c r="E388" s="20" t="str">
        <f>IF($G388="","",INDEX('Liste des élèves'!$J$4:$J$1363,$G388))</f>
        <v/>
      </c>
      <c r="F388" s="51" t="str">
        <f>IF($G388="","",INDEX('Liste des élèves'!$P$4:$P$1363,$G388)+INDEX('Liste des élèves'!$T$4:$T$1363,$G388))</f>
        <v/>
      </c>
      <c r="G388" s="49" t="str">
        <f>IF(G387="","",IFERROR(G387+MATCH("En retard",INDEX('Liste des élèves'!$Q$4:$Q$1363,G387+1):'Liste des élèves'!$Q$1363,0),""))</f>
        <v/>
      </c>
    </row>
    <row r="389">
      <c r="A389" s="20" t="str">
        <f>IF($G389="","",INDEX('Liste des élèves'!$A$4:$A$1363,$G389))</f>
        <v/>
      </c>
      <c r="B389" s="20" t="str">
        <f>IF($G389="","",INDEX('Liste des élèves'!$D$4:$D$1363,$G389))</f>
        <v/>
      </c>
      <c r="C389" s="21" t="str">
        <f>IF($G389="","",INDEX('Liste des élèves'!$E$4:$E$1363,$G389))</f>
        <v/>
      </c>
      <c r="D389" s="20" t="str">
        <f>IF($G389="","",INDEX('Liste des élèves'!$I$4:$I$1363,$G389))</f>
        <v/>
      </c>
      <c r="E389" s="20" t="str">
        <f>IF($G389="","",INDEX('Liste des élèves'!$J$4:$J$1363,$G389))</f>
        <v/>
      </c>
      <c r="F389" s="51" t="str">
        <f>IF($G389="","",INDEX('Liste des élèves'!$P$4:$P$1363,$G389)+INDEX('Liste des élèves'!$T$4:$T$1363,$G389))</f>
        <v/>
      </c>
      <c r="G389" s="49" t="str">
        <f>IF(G388="","",IFERROR(G388+MATCH("En retard",INDEX('Liste des élèves'!$Q$4:$Q$1363,G388+1):'Liste des élèves'!$Q$1363,0),""))</f>
        <v/>
      </c>
    </row>
    <row r="390">
      <c r="A390" s="20" t="str">
        <f>IF($G390="","",INDEX('Liste des élèves'!$A$4:$A$1363,$G390))</f>
        <v/>
      </c>
      <c r="B390" s="20" t="str">
        <f>IF($G390="","",INDEX('Liste des élèves'!$D$4:$D$1363,$G390))</f>
        <v/>
      </c>
      <c r="C390" s="21" t="str">
        <f>IF($G390="","",INDEX('Liste des élèves'!$E$4:$E$1363,$G390))</f>
        <v/>
      </c>
      <c r="D390" s="20" t="str">
        <f>IF($G390="","",INDEX('Liste des élèves'!$I$4:$I$1363,$G390))</f>
        <v/>
      </c>
      <c r="E390" s="20" t="str">
        <f>IF($G390="","",INDEX('Liste des élèves'!$J$4:$J$1363,$G390))</f>
        <v/>
      </c>
      <c r="F390" s="51" t="str">
        <f>IF($G390="","",INDEX('Liste des élèves'!$P$4:$P$1363,$G390)+INDEX('Liste des élèves'!$T$4:$T$1363,$G390))</f>
        <v/>
      </c>
      <c r="G390" s="49" t="str">
        <f>IF(G389="","",IFERROR(G389+MATCH("En retard",INDEX('Liste des élèves'!$Q$4:$Q$1363,G389+1):'Liste des élèves'!$Q$1363,0),""))</f>
        <v/>
      </c>
    </row>
    <row r="391">
      <c r="A391" s="20" t="str">
        <f>IF($G391="","",INDEX('Liste des élèves'!$A$4:$A$1363,$G391))</f>
        <v/>
      </c>
      <c r="B391" s="20" t="str">
        <f>IF($G391="","",INDEX('Liste des élèves'!$D$4:$D$1363,$G391))</f>
        <v/>
      </c>
      <c r="C391" s="21" t="str">
        <f>IF($G391="","",INDEX('Liste des élèves'!$E$4:$E$1363,$G391))</f>
        <v/>
      </c>
      <c r="D391" s="20" t="str">
        <f>IF($G391="","",INDEX('Liste des élèves'!$I$4:$I$1363,$G391))</f>
        <v/>
      </c>
      <c r="E391" s="20" t="str">
        <f>IF($G391="","",INDEX('Liste des élèves'!$J$4:$J$1363,$G391))</f>
        <v/>
      </c>
      <c r="F391" s="51" t="str">
        <f>IF($G391="","",INDEX('Liste des élèves'!$P$4:$P$1363,$G391)+INDEX('Liste des élèves'!$T$4:$T$1363,$G391))</f>
        <v/>
      </c>
      <c r="G391" s="49" t="str">
        <f>IF(G390="","",IFERROR(G390+MATCH("En retard",INDEX('Liste des élèves'!$Q$4:$Q$1363,G390+1):'Liste des élèves'!$Q$1363,0),""))</f>
        <v/>
      </c>
    </row>
    <row r="392">
      <c r="A392" s="20" t="str">
        <f>IF($G392="","",INDEX('Liste des élèves'!$A$4:$A$1363,$G392))</f>
        <v/>
      </c>
      <c r="B392" s="20" t="str">
        <f>IF($G392="","",INDEX('Liste des élèves'!$D$4:$D$1363,$G392))</f>
        <v/>
      </c>
      <c r="C392" s="21" t="str">
        <f>IF($G392="","",INDEX('Liste des élèves'!$E$4:$E$1363,$G392))</f>
        <v/>
      </c>
      <c r="D392" s="20" t="str">
        <f>IF($G392="","",INDEX('Liste des élèves'!$I$4:$I$1363,$G392))</f>
        <v/>
      </c>
      <c r="E392" s="20" t="str">
        <f>IF($G392="","",INDEX('Liste des élèves'!$J$4:$J$1363,$G392))</f>
        <v/>
      </c>
      <c r="F392" s="51" t="str">
        <f>IF($G392="","",INDEX('Liste des élèves'!$P$4:$P$1363,$G392)+INDEX('Liste des élèves'!$T$4:$T$1363,$G392))</f>
        <v/>
      </c>
      <c r="G392" s="49" t="str">
        <f>IF(G391="","",IFERROR(G391+MATCH("En retard",INDEX('Liste des élèves'!$Q$4:$Q$1363,G391+1):'Liste des élèves'!$Q$1363,0),""))</f>
        <v/>
      </c>
    </row>
    <row r="393">
      <c r="A393" s="20" t="str">
        <f>IF($G393="","",INDEX('Liste des élèves'!$A$4:$A$1363,$G393))</f>
        <v/>
      </c>
      <c r="B393" s="20" t="str">
        <f>IF($G393="","",INDEX('Liste des élèves'!$D$4:$D$1363,$G393))</f>
        <v/>
      </c>
      <c r="C393" s="21" t="str">
        <f>IF($G393="","",INDEX('Liste des élèves'!$E$4:$E$1363,$G393))</f>
        <v/>
      </c>
      <c r="D393" s="20" t="str">
        <f>IF($G393="","",INDEX('Liste des élèves'!$I$4:$I$1363,$G393))</f>
        <v/>
      </c>
      <c r="E393" s="20" t="str">
        <f>IF($G393="","",INDEX('Liste des élèves'!$J$4:$J$1363,$G393))</f>
        <v/>
      </c>
      <c r="F393" s="51" t="str">
        <f>IF($G393="","",INDEX('Liste des élèves'!$P$4:$P$1363,$G393)+INDEX('Liste des élèves'!$T$4:$T$1363,$G393))</f>
        <v/>
      </c>
      <c r="G393" s="49" t="str">
        <f>IF(G392="","",IFERROR(G392+MATCH("En retard",INDEX('Liste des élèves'!$Q$4:$Q$1363,G392+1):'Liste des élèves'!$Q$1363,0),""))</f>
        <v/>
      </c>
    </row>
    <row r="394">
      <c r="A394" s="20" t="str">
        <f>IF($G394="","",INDEX('Liste des élèves'!$A$4:$A$1363,$G394))</f>
        <v/>
      </c>
      <c r="B394" s="20" t="str">
        <f>IF($G394="","",INDEX('Liste des élèves'!$D$4:$D$1363,$G394))</f>
        <v/>
      </c>
      <c r="C394" s="21" t="str">
        <f>IF($G394="","",INDEX('Liste des élèves'!$E$4:$E$1363,$G394))</f>
        <v/>
      </c>
      <c r="D394" s="20" t="str">
        <f>IF($G394="","",INDEX('Liste des élèves'!$I$4:$I$1363,$G394))</f>
        <v/>
      </c>
      <c r="E394" s="20" t="str">
        <f>IF($G394="","",INDEX('Liste des élèves'!$J$4:$J$1363,$G394))</f>
        <v/>
      </c>
      <c r="F394" s="51" t="str">
        <f>IF($G394="","",INDEX('Liste des élèves'!$P$4:$P$1363,$G394)+INDEX('Liste des élèves'!$T$4:$T$1363,$G394))</f>
        <v/>
      </c>
      <c r="G394" s="49" t="str">
        <f>IF(G393="","",IFERROR(G393+MATCH("En retard",INDEX('Liste des élèves'!$Q$4:$Q$1363,G393+1):'Liste des élèves'!$Q$1363,0),""))</f>
        <v/>
      </c>
    </row>
    <row r="395">
      <c r="A395" s="20" t="str">
        <f>IF($G395="","",INDEX('Liste des élèves'!$A$4:$A$1363,$G395))</f>
        <v/>
      </c>
      <c r="B395" s="20" t="str">
        <f>IF($G395="","",INDEX('Liste des élèves'!$D$4:$D$1363,$G395))</f>
        <v/>
      </c>
      <c r="C395" s="21" t="str">
        <f>IF($G395="","",INDEX('Liste des élèves'!$E$4:$E$1363,$G395))</f>
        <v/>
      </c>
      <c r="D395" s="20" t="str">
        <f>IF($G395="","",INDEX('Liste des élèves'!$I$4:$I$1363,$G395))</f>
        <v/>
      </c>
      <c r="E395" s="20" t="str">
        <f>IF($G395="","",INDEX('Liste des élèves'!$J$4:$J$1363,$G395))</f>
        <v/>
      </c>
      <c r="F395" s="51" t="str">
        <f>IF($G395="","",INDEX('Liste des élèves'!$P$4:$P$1363,$G395)+INDEX('Liste des élèves'!$T$4:$T$1363,$G395))</f>
        <v/>
      </c>
      <c r="G395" s="49" t="str">
        <f>IF(G394="","",IFERROR(G394+MATCH("En retard",INDEX('Liste des élèves'!$Q$4:$Q$1363,G394+1):'Liste des élèves'!$Q$1363,0),""))</f>
        <v/>
      </c>
    </row>
    <row r="396">
      <c r="A396" s="20" t="str">
        <f>IF($G396="","",INDEX('Liste des élèves'!$A$4:$A$1363,$G396))</f>
        <v/>
      </c>
      <c r="B396" s="20" t="str">
        <f>IF($G396="","",INDEX('Liste des élèves'!$D$4:$D$1363,$G396))</f>
        <v/>
      </c>
      <c r="C396" s="21" t="str">
        <f>IF($G396="","",INDEX('Liste des élèves'!$E$4:$E$1363,$G396))</f>
        <v/>
      </c>
      <c r="D396" s="20" t="str">
        <f>IF($G396="","",INDEX('Liste des élèves'!$I$4:$I$1363,$G396))</f>
        <v/>
      </c>
      <c r="E396" s="20" t="str">
        <f>IF($G396="","",INDEX('Liste des élèves'!$J$4:$J$1363,$G396))</f>
        <v/>
      </c>
      <c r="F396" s="51" t="str">
        <f>IF($G396="","",INDEX('Liste des élèves'!$P$4:$P$1363,$G396)+INDEX('Liste des élèves'!$T$4:$T$1363,$G396))</f>
        <v/>
      </c>
      <c r="G396" s="49" t="str">
        <f>IF(G395="","",IFERROR(G395+MATCH("En retard",INDEX('Liste des élèves'!$Q$4:$Q$1363,G395+1):'Liste des élèves'!$Q$1363,0),""))</f>
        <v/>
      </c>
    </row>
    <row r="397">
      <c r="A397" s="20" t="str">
        <f>IF($G397="","",INDEX('Liste des élèves'!$A$4:$A$1363,$G397))</f>
        <v/>
      </c>
      <c r="B397" s="20" t="str">
        <f>IF($G397="","",INDEX('Liste des élèves'!$D$4:$D$1363,$G397))</f>
        <v/>
      </c>
      <c r="C397" s="21" t="str">
        <f>IF($G397="","",INDEX('Liste des élèves'!$E$4:$E$1363,$G397))</f>
        <v/>
      </c>
      <c r="D397" s="20" t="str">
        <f>IF($G397="","",INDEX('Liste des élèves'!$I$4:$I$1363,$G397))</f>
        <v/>
      </c>
      <c r="E397" s="20" t="str">
        <f>IF($G397="","",INDEX('Liste des élèves'!$J$4:$J$1363,$G397))</f>
        <v/>
      </c>
      <c r="F397" s="51" t="str">
        <f>IF($G397="","",INDEX('Liste des élèves'!$P$4:$P$1363,$G397)+INDEX('Liste des élèves'!$T$4:$T$1363,$G397))</f>
        <v/>
      </c>
      <c r="G397" s="49" t="str">
        <f>IF(G396="","",IFERROR(G396+MATCH("En retard",INDEX('Liste des élèves'!$Q$4:$Q$1363,G396+1):'Liste des élèves'!$Q$1363,0),""))</f>
        <v/>
      </c>
    </row>
    <row r="398">
      <c r="A398" s="20" t="str">
        <f>IF($G398="","",INDEX('Liste des élèves'!$A$4:$A$1363,$G398))</f>
        <v/>
      </c>
      <c r="B398" s="20" t="str">
        <f>IF($G398="","",INDEX('Liste des élèves'!$D$4:$D$1363,$G398))</f>
        <v/>
      </c>
      <c r="C398" s="21" t="str">
        <f>IF($G398="","",INDEX('Liste des élèves'!$E$4:$E$1363,$G398))</f>
        <v/>
      </c>
      <c r="D398" s="20" t="str">
        <f>IF($G398="","",INDEX('Liste des élèves'!$I$4:$I$1363,$G398))</f>
        <v/>
      </c>
      <c r="E398" s="20" t="str">
        <f>IF($G398="","",INDEX('Liste des élèves'!$J$4:$J$1363,$G398))</f>
        <v/>
      </c>
      <c r="F398" s="51" t="str">
        <f>IF($G398="","",INDEX('Liste des élèves'!$P$4:$P$1363,$G398)+INDEX('Liste des élèves'!$T$4:$T$1363,$G398))</f>
        <v/>
      </c>
      <c r="G398" s="49" t="str">
        <f>IF(G397="","",IFERROR(G397+MATCH("En retard",INDEX('Liste des élèves'!$Q$4:$Q$1363,G397+1):'Liste des élèves'!$Q$1363,0),""))</f>
        <v/>
      </c>
    </row>
    <row r="399">
      <c r="A399" s="20" t="str">
        <f>IF($G399="","",INDEX('Liste des élèves'!$A$4:$A$1363,$G399))</f>
        <v/>
      </c>
      <c r="B399" s="20" t="str">
        <f>IF($G399="","",INDEX('Liste des élèves'!$D$4:$D$1363,$G399))</f>
        <v/>
      </c>
      <c r="C399" s="21" t="str">
        <f>IF($G399="","",INDEX('Liste des élèves'!$E$4:$E$1363,$G399))</f>
        <v/>
      </c>
      <c r="D399" s="20" t="str">
        <f>IF($G399="","",INDEX('Liste des élèves'!$I$4:$I$1363,$G399))</f>
        <v/>
      </c>
      <c r="E399" s="20" t="str">
        <f>IF($G399="","",INDEX('Liste des élèves'!$J$4:$J$1363,$G399))</f>
        <v/>
      </c>
      <c r="F399" s="51" t="str">
        <f>IF($G399="","",INDEX('Liste des élèves'!$P$4:$P$1363,$G399)+INDEX('Liste des élèves'!$T$4:$T$1363,$G399))</f>
        <v/>
      </c>
      <c r="G399" s="49" t="str">
        <f>IF(G398="","",IFERROR(G398+MATCH("En retard",INDEX('Liste des élèves'!$Q$4:$Q$1363,G398+1):'Liste des élèves'!$Q$1363,0),""))</f>
        <v/>
      </c>
    </row>
    <row r="400">
      <c r="A400" s="20" t="str">
        <f>IF($G400="","",INDEX('Liste des élèves'!$A$4:$A$1363,$G400))</f>
        <v/>
      </c>
      <c r="B400" s="20" t="str">
        <f>IF($G400="","",INDEX('Liste des élèves'!$D$4:$D$1363,$G400))</f>
        <v/>
      </c>
      <c r="C400" s="21" t="str">
        <f>IF($G400="","",INDEX('Liste des élèves'!$E$4:$E$1363,$G400))</f>
        <v/>
      </c>
      <c r="D400" s="20" t="str">
        <f>IF($G400="","",INDEX('Liste des élèves'!$I$4:$I$1363,$G400))</f>
        <v/>
      </c>
      <c r="E400" s="20" t="str">
        <f>IF($G400="","",INDEX('Liste des élèves'!$J$4:$J$1363,$G400))</f>
        <v/>
      </c>
      <c r="F400" s="51" t="str">
        <f>IF($G400="","",INDEX('Liste des élèves'!$P$4:$P$1363,$G400)+INDEX('Liste des élèves'!$T$4:$T$1363,$G400))</f>
        <v/>
      </c>
      <c r="G400" s="49" t="str">
        <f>IF(G399="","",IFERROR(G399+MATCH("En retard",INDEX('Liste des élèves'!$Q$4:$Q$1363,G399+1):'Liste des élèves'!$Q$1363,0),""))</f>
        <v/>
      </c>
    </row>
    <row r="401">
      <c r="A401" s="20" t="str">
        <f>IF($G401="","",INDEX('Liste des élèves'!$A$4:$A$1363,$G401))</f>
        <v/>
      </c>
      <c r="B401" s="20" t="str">
        <f>IF($G401="","",INDEX('Liste des élèves'!$D$4:$D$1363,$G401))</f>
        <v/>
      </c>
      <c r="C401" s="21" t="str">
        <f>IF($G401="","",INDEX('Liste des élèves'!$E$4:$E$1363,$G401))</f>
        <v/>
      </c>
      <c r="D401" s="20" t="str">
        <f>IF($G401="","",INDEX('Liste des élèves'!$I$4:$I$1363,$G401))</f>
        <v/>
      </c>
      <c r="E401" s="20" t="str">
        <f>IF($G401="","",INDEX('Liste des élèves'!$J$4:$J$1363,$G401))</f>
        <v/>
      </c>
      <c r="F401" s="51" t="str">
        <f>IF($G401="","",INDEX('Liste des élèves'!$P$4:$P$1363,$G401)+INDEX('Liste des élèves'!$T$4:$T$1363,$G401))</f>
        <v/>
      </c>
      <c r="G401" s="49" t="str">
        <f>IF(G400="","",IFERROR(G400+MATCH("En retard",INDEX('Liste des élèves'!$Q$4:$Q$1363,G400+1):'Liste des élèves'!$Q$1363,0),""))</f>
        <v/>
      </c>
    </row>
    <row r="402">
      <c r="A402" s="20" t="str">
        <f>IF($G402="","",INDEX('Liste des élèves'!$A$4:$A$1363,$G402))</f>
        <v/>
      </c>
      <c r="B402" s="20" t="str">
        <f>IF($G402="","",INDEX('Liste des élèves'!$D$4:$D$1363,$G402))</f>
        <v/>
      </c>
      <c r="C402" s="21" t="str">
        <f>IF($G402="","",INDEX('Liste des élèves'!$E$4:$E$1363,$G402))</f>
        <v/>
      </c>
      <c r="D402" s="20" t="str">
        <f>IF($G402="","",INDEX('Liste des élèves'!$I$4:$I$1363,$G402))</f>
        <v/>
      </c>
      <c r="E402" s="20" t="str">
        <f>IF($G402="","",INDEX('Liste des élèves'!$J$4:$J$1363,$G402))</f>
        <v/>
      </c>
      <c r="F402" s="51" t="str">
        <f>IF($G402="","",INDEX('Liste des élèves'!$P$4:$P$1363,$G402)+INDEX('Liste des élèves'!$T$4:$T$1363,$G402))</f>
        <v/>
      </c>
      <c r="G402" s="49" t="str">
        <f>IF(G401="","",IFERROR(G401+MATCH("En retard",INDEX('Liste des élèves'!$Q$4:$Q$1363,G401+1):'Liste des élèves'!$Q$1363,0),""))</f>
        <v/>
      </c>
    </row>
    <row r="403">
      <c r="A403" s="20" t="str">
        <f>IF($G403="","",INDEX('Liste des élèves'!$A$4:$A$1363,$G403))</f>
        <v/>
      </c>
      <c r="B403" s="20" t="str">
        <f>IF($G403="","",INDEX('Liste des élèves'!$D$4:$D$1363,$G403))</f>
        <v/>
      </c>
      <c r="C403" s="21" t="str">
        <f>IF($G403="","",INDEX('Liste des élèves'!$E$4:$E$1363,$G403))</f>
        <v/>
      </c>
      <c r="D403" s="20" t="str">
        <f>IF($G403="","",INDEX('Liste des élèves'!$I$4:$I$1363,$G403))</f>
        <v/>
      </c>
      <c r="E403" s="20" t="str">
        <f>IF($G403="","",INDEX('Liste des élèves'!$J$4:$J$1363,$G403))</f>
        <v/>
      </c>
      <c r="F403" s="51" t="str">
        <f>IF($G403="","",INDEX('Liste des élèves'!$P$4:$P$1363,$G403)+INDEX('Liste des élèves'!$T$4:$T$1363,$G403))</f>
        <v/>
      </c>
      <c r="G403" s="49" t="str">
        <f>IF(G402="","",IFERROR(G402+MATCH("En retard",INDEX('Liste des élèves'!$Q$4:$Q$1363,G402+1):'Liste des élèves'!$Q$1363,0),""))</f>
        <v/>
      </c>
    </row>
    <row r="404">
      <c r="A404" s="20" t="str">
        <f>IF($G404="","",INDEX('Liste des élèves'!$A$4:$A$1363,$G404))</f>
        <v/>
      </c>
      <c r="B404" s="20" t="str">
        <f>IF($G404="","",INDEX('Liste des élèves'!$D$4:$D$1363,$G404))</f>
        <v/>
      </c>
      <c r="C404" s="21" t="str">
        <f>IF($G404="","",INDEX('Liste des élèves'!$E$4:$E$1363,$G404))</f>
        <v/>
      </c>
      <c r="D404" s="20" t="str">
        <f>IF($G404="","",INDEX('Liste des élèves'!$I$4:$I$1363,$G404))</f>
        <v/>
      </c>
      <c r="E404" s="20" t="str">
        <f>IF($G404="","",INDEX('Liste des élèves'!$J$4:$J$1363,$G404))</f>
        <v/>
      </c>
      <c r="F404" s="51" t="str">
        <f>IF($G404="","",INDEX('Liste des élèves'!$P$4:$P$1363,$G404)+INDEX('Liste des élèves'!$T$4:$T$1363,$G404))</f>
        <v/>
      </c>
      <c r="G404" s="49" t="str">
        <f>IF(G403="","",IFERROR(G403+MATCH("En retard",INDEX('Liste des élèves'!$Q$4:$Q$1363,G403+1):'Liste des élèves'!$Q$1363,0),""))</f>
        <v/>
      </c>
    </row>
    <row r="405">
      <c r="A405" s="20" t="str">
        <f>IF($G405="","",INDEX('Liste des élèves'!$A$4:$A$1363,$G405))</f>
        <v/>
      </c>
      <c r="B405" s="20" t="str">
        <f>IF($G405="","",INDEX('Liste des élèves'!$D$4:$D$1363,$G405))</f>
        <v/>
      </c>
      <c r="C405" s="21" t="str">
        <f>IF($G405="","",INDEX('Liste des élèves'!$E$4:$E$1363,$G405))</f>
        <v/>
      </c>
      <c r="D405" s="20" t="str">
        <f>IF($G405="","",INDEX('Liste des élèves'!$I$4:$I$1363,$G405))</f>
        <v/>
      </c>
      <c r="E405" s="20" t="str">
        <f>IF($G405="","",INDEX('Liste des élèves'!$J$4:$J$1363,$G405))</f>
        <v/>
      </c>
      <c r="F405" s="51" t="str">
        <f>IF($G405="","",INDEX('Liste des élèves'!$P$4:$P$1363,$G405)+INDEX('Liste des élèves'!$T$4:$T$1363,$G405))</f>
        <v/>
      </c>
      <c r="G405" s="49" t="str">
        <f>IF(G404="","",IFERROR(G404+MATCH("En retard",INDEX('Liste des élèves'!$Q$4:$Q$1363,G404+1):'Liste des élèves'!$Q$1363,0),""))</f>
        <v/>
      </c>
    </row>
    <row r="406">
      <c r="A406" s="20" t="str">
        <f>IF($G406="","",INDEX('Liste des élèves'!$A$4:$A$1363,$G406))</f>
        <v/>
      </c>
      <c r="B406" s="20" t="str">
        <f>IF($G406="","",INDEX('Liste des élèves'!$D$4:$D$1363,$G406))</f>
        <v/>
      </c>
      <c r="C406" s="21" t="str">
        <f>IF($G406="","",INDEX('Liste des élèves'!$E$4:$E$1363,$G406))</f>
        <v/>
      </c>
      <c r="D406" s="20" t="str">
        <f>IF($G406="","",INDEX('Liste des élèves'!$I$4:$I$1363,$G406))</f>
        <v/>
      </c>
      <c r="E406" s="20" t="str">
        <f>IF($G406="","",INDEX('Liste des élèves'!$J$4:$J$1363,$G406))</f>
        <v/>
      </c>
      <c r="F406" s="51" t="str">
        <f>IF($G406="","",INDEX('Liste des élèves'!$P$4:$P$1363,$G406)+INDEX('Liste des élèves'!$T$4:$T$1363,$G406))</f>
        <v/>
      </c>
      <c r="G406" s="49" t="str">
        <f>IF(G405="","",IFERROR(G405+MATCH("En retard",INDEX('Liste des élèves'!$Q$4:$Q$1363,G405+1):'Liste des élèves'!$Q$1363,0),""))</f>
        <v/>
      </c>
    </row>
    <row r="407">
      <c r="A407" s="20" t="str">
        <f>IF($G407="","",INDEX('Liste des élèves'!$A$4:$A$1363,$G407))</f>
        <v/>
      </c>
      <c r="B407" s="20" t="str">
        <f>IF($G407="","",INDEX('Liste des élèves'!$D$4:$D$1363,$G407))</f>
        <v/>
      </c>
      <c r="C407" s="21" t="str">
        <f>IF($G407="","",INDEX('Liste des élèves'!$E$4:$E$1363,$G407))</f>
        <v/>
      </c>
      <c r="D407" s="20" t="str">
        <f>IF($G407="","",INDEX('Liste des élèves'!$I$4:$I$1363,$G407))</f>
        <v/>
      </c>
      <c r="E407" s="20" t="str">
        <f>IF($G407="","",INDEX('Liste des élèves'!$J$4:$J$1363,$G407))</f>
        <v/>
      </c>
      <c r="F407" s="51" t="str">
        <f>IF($G407="","",INDEX('Liste des élèves'!$P$4:$P$1363,$G407)+INDEX('Liste des élèves'!$T$4:$T$1363,$G407))</f>
        <v/>
      </c>
      <c r="G407" s="49" t="str">
        <f>IF(G406="","",IFERROR(G406+MATCH("En retard",INDEX('Liste des élèves'!$Q$4:$Q$1363,G406+1):'Liste des élèves'!$Q$1363,0),""))</f>
        <v/>
      </c>
    </row>
    <row r="408">
      <c r="A408" s="20" t="str">
        <f>IF($G408="","",INDEX('Liste des élèves'!$A$4:$A$1363,$G408))</f>
        <v/>
      </c>
      <c r="B408" s="20" t="str">
        <f>IF($G408="","",INDEX('Liste des élèves'!$D$4:$D$1363,$G408))</f>
        <v/>
      </c>
      <c r="C408" s="21" t="str">
        <f>IF($G408="","",INDEX('Liste des élèves'!$E$4:$E$1363,$G408))</f>
        <v/>
      </c>
      <c r="D408" s="20" t="str">
        <f>IF($G408="","",INDEX('Liste des élèves'!$I$4:$I$1363,$G408))</f>
        <v/>
      </c>
      <c r="E408" s="20" t="str">
        <f>IF($G408="","",INDEX('Liste des élèves'!$J$4:$J$1363,$G408))</f>
        <v/>
      </c>
      <c r="F408" s="51" t="str">
        <f>IF($G408="","",INDEX('Liste des élèves'!$P$4:$P$1363,$G408)+INDEX('Liste des élèves'!$T$4:$T$1363,$G408))</f>
        <v/>
      </c>
      <c r="G408" s="49" t="str">
        <f>IF(G407="","",IFERROR(G407+MATCH("En retard",INDEX('Liste des élèves'!$Q$4:$Q$1363,G407+1):'Liste des élèves'!$Q$1363,0),""))</f>
        <v/>
      </c>
    </row>
    <row r="409">
      <c r="A409" s="20" t="str">
        <f>IF($G409="","",INDEX('Liste des élèves'!$A$4:$A$1363,$G409))</f>
        <v/>
      </c>
      <c r="B409" s="20" t="str">
        <f>IF($G409="","",INDEX('Liste des élèves'!$D$4:$D$1363,$G409))</f>
        <v/>
      </c>
      <c r="C409" s="21" t="str">
        <f>IF($G409="","",INDEX('Liste des élèves'!$E$4:$E$1363,$G409))</f>
        <v/>
      </c>
      <c r="D409" s="20" t="str">
        <f>IF($G409="","",INDEX('Liste des élèves'!$I$4:$I$1363,$G409))</f>
        <v/>
      </c>
      <c r="E409" s="20" t="str">
        <f>IF($G409="","",INDEX('Liste des élèves'!$J$4:$J$1363,$G409))</f>
        <v/>
      </c>
      <c r="F409" s="51" t="str">
        <f>IF($G409="","",INDEX('Liste des élèves'!$P$4:$P$1363,$G409)+INDEX('Liste des élèves'!$T$4:$T$1363,$G409))</f>
        <v/>
      </c>
      <c r="G409" s="49" t="str">
        <f>IF(G408="","",IFERROR(G408+MATCH("En retard",INDEX('Liste des élèves'!$Q$4:$Q$1363,G408+1):'Liste des élèves'!$Q$1363,0),""))</f>
        <v/>
      </c>
    </row>
    <row r="410">
      <c r="A410" s="20" t="str">
        <f>IF($G410="","",INDEX('Liste des élèves'!$A$4:$A$1363,$G410))</f>
        <v/>
      </c>
      <c r="B410" s="20" t="str">
        <f>IF($G410="","",INDEX('Liste des élèves'!$D$4:$D$1363,$G410))</f>
        <v/>
      </c>
      <c r="C410" s="21" t="str">
        <f>IF($G410="","",INDEX('Liste des élèves'!$E$4:$E$1363,$G410))</f>
        <v/>
      </c>
      <c r="D410" s="20" t="str">
        <f>IF($G410="","",INDEX('Liste des élèves'!$I$4:$I$1363,$G410))</f>
        <v/>
      </c>
      <c r="E410" s="20" t="str">
        <f>IF($G410="","",INDEX('Liste des élèves'!$J$4:$J$1363,$G410))</f>
        <v/>
      </c>
      <c r="F410" s="51" t="str">
        <f>IF($G410="","",INDEX('Liste des élèves'!$P$4:$P$1363,$G410)+INDEX('Liste des élèves'!$T$4:$T$1363,$G410))</f>
        <v/>
      </c>
      <c r="G410" s="49" t="str">
        <f>IF(G409="","",IFERROR(G409+MATCH("En retard",INDEX('Liste des élèves'!$Q$4:$Q$1363,G409+1):'Liste des élèves'!$Q$1363,0),""))</f>
        <v/>
      </c>
    </row>
    <row r="411">
      <c r="A411" s="20" t="str">
        <f>IF($G411="","",INDEX('Liste des élèves'!$A$4:$A$1363,$G411))</f>
        <v/>
      </c>
      <c r="B411" s="20" t="str">
        <f>IF($G411="","",INDEX('Liste des élèves'!$D$4:$D$1363,$G411))</f>
        <v/>
      </c>
      <c r="C411" s="21" t="str">
        <f>IF($G411="","",INDEX('Liste des élèves'!$E$4:$E$1363,$G411))</f>
        <v/>
      </c>
      <c r="D411" s="20" t="str">
        <f>IF($G411="","",INDEX('Liste des élèves'!$I$4:$I$1363,$G411))</f>
        <v/>
      </c>
      <c r="E411" s="20" t="str">
        <f>IF($G411="","",INDEX('Liste des élèves'!$J$4:$J$1363,$G411))</f>
        <v/>
      </c>
      <c r="F411" s="51" t="str">
        <f>IF($G411="","",INDEX('Liste des élèves'!$P$4:$P$1363,$G411)+INDEX('Liste des élèves'!$T$4:$T$1363,$G411))</f>
        <v/>
      </c>
      <c r="G411" s="49" t="str">
        <f>IF(G410="","",IFERROR(G410+MATCH("En retard",INDEX('Liste des élèves'!$Q$4:$Q$1363,G410+1):'Liste des élèves'!$Q$1363,0),""))</f>
        <v/>
      </c>
    </row>
    <row r="412">
      <c r="A412" s="20" t="str">
        <f>IF($G412="","",INDEX('Liste des élèves'!$A$4:$A$1363,$G412))</f>
        <v/>
      </c>
      <c r="B412" s="20" t="str">
        <f>IF($G412="","",INDEX('Liste des élèves'!$D$4:$D$1363,$G412))</f>
        <v/>
      </c>
      <c r="C412" s="21" t="str">
        <f>IF($G412="","",INDEX('Liste des élèves'!$E$4:$E$1363,$G412))</f>
        <v/>
      </c>
      <c r="D412" s="20" t="str">
        <f>IF($G412="","",INDEX('Liste des élèves'!$I$4:$I$1363,$G412))</f>
        <v/>
      </c>
      <c r="E412" s="20" t="str">
        <f>IF($G412="","",INDEX('Liste des élèves'!$J$4:$J$1363,$G412))</f>
        <v/>
      </c>
      <c r="F412" s="51" t="str">
        <f>IF($G412="","",INDEX('Liste des élèves'!$P$4:$P$1363,$G412)+INDEX('Liste des élèves'!$T$4:$T$1363,$G412))</f>
        <v/>
      </c>
      <c r="G412" s="49" t="str">
        <f>IF(G411="","",IFERROR(G411+MATCH("En retard",INDEX('Liste des élèves'!$Q$4:$Q$1363,G411+1):'Liste des élèves'!$Q$1363,0),""))</f>
        <v/>
      </c>
    </row>
    <row r="413">
      <c r="A413" s="20" t="str">
        <f>IF($G413="","",INDEX('Liste des élèves'!$A$4:$A$1363,$G413))</f>
        <v/>
      </c>
      <c r="B413" s="20" t="str">
        <f>IF($G413="","",INDEX('Liste des élèves'!$D$4:$D$1363,$G413))</f>
        <v/>
      </c>
      <c r="C413" s="21" t="str">
        <f>IF($G413="","",INDEX('Liste des élèves'!$E$4:$E$1363,$G413))</f>
        <v/>
      </c>
      <c r="D413" s="20" t="str">
        <f>IF($G413="","",INDEX('Liste des élèves'!$I$4:$I$1363,$G413))</f>
        <v/>
      </c>
      <c r="E413" s="20" t="str">
        <f>IF($G413="","",INDEX('Liste des élèves'!$J$4:$J$1363,$G413))</f>
        <v/>
      </c>
      <c r="F413" s="51" t="str">
        <f>IF($G413="","",INDEX('Liste des élèves'!$P$4:$P$1363,$G413)+INDEX('Liste des élèves'!$T$4:$T$1363,$G413))</f>
        <v/>
      </c>
      <c r="G413" s="49" t="str">
        <f>IF(G412="","",IFERROR(G412+MATCH("En retard",INDEX('Liste des élèves'!$Q$4:$Q$1363,G412+1):'Liste des élèves'!$Q$1363,0),""))</f>
        <v/>
      </c>
    </row>
    <row r="414">
      <c r="A414" s="20" t="str">
        <f>IF($G414="","",INDEX('Liste des élèves'!$A$4:$A$1363,$G414))</f>
        <v/>
      </c>
      <c r="B414" s="20" t="str">
        <f>IF($G414="","",INDEX('Liste des élèves'!$D$4:$D$1363,$G414))</f>
        <v/>
      </c>
      <c r="C414" s="21" t="str">
        <f>IF($G414="","",INDEX('Liste des élèves'!$E$4:$E$1363,$G414))</f>
        <v/>
      </c>
      <c r="D414" s="20" t="str">
        <f>IF($G414="","",INDEX('Liste des élèves'!$I$4:$I$1363,$G414))</f>
        <v/>
      </c>
      <c r="E414" s="20" t="str">
        <f>IF($G414="","",INDEX('Liste des élèves'!$J$4:$J$1363,$G414))</f>
        <v/>
      </c>
      <c r="F414" s="51" t="str">
        <f>IF($G414="","",INDEX('Liste des élèves'!$P$4:$P$1363,$G414)+INDEX('Liste des élèves'!$T$4:$T$1363,$G414))</f>
        <v/>
      </c>
      <c r="G414" s="49" t="str">
        <f>IF(G413="","",IFERROR(G413+MATCH("En retard",INDEX('Liste des élèves'!$Q$4:$Q$1363,G413+1):'Liste des élèves'!$Q$1363,0),""))</f>
        <v/>
      </c>
    </row>
    <row r="415">
      <c r="A415" s="20" t="str">
        <f>IF($G415="","",INDEX('Liste des élèves'!$A$4:$A$1363,$G415))</f>
        <v/>
      </c>
      <c r="B415" s="20" t="str">
        <f>IF($G415="","",INDEX('Liste des élèves'!$D$4:$D$1363,$G415))</f>
        <v/>
      </c>
      <c r="C415" s="21" t="str">
        <f>IF($G415="","",INDEX('Liste des élèves'!$E$4:$E$1363,$G415))</f>
        <v/>
      </c>
      <c r="D415" s="20" t="str">
        <f>IF($G415="","",INDEX('Liste des élèves'!$I$4:$I$1363,$G415))</f>
        <v/>
      </c>
      <c r="E415" s="20" t="str">
        <f>IF($G415="","",INDEX('Liste des élèves'!$J$4:$J$1363,$G415))</f>
        <v/>
      </c>
      <c r="F415" s="51" t="str">
        <f>IF($G415="","",INDEX('Liste des élèves'!$P$4:$P$1363,$G415)+INDEX('Liste des élèves'!$T$4:$T$1363,$G415))</f>
        <v/>
      </c>
      <c r="G415" s="49" t="str">
        <f>IF(G414="","",IFERROR(G414+MATCH("En retard",INDEX('Liste des élèves'!$Q$4:$Q$1363,G414+1):'Liste des élèves'!$Q$1363,0),""))</f>
        <v/>
      </c>
    </row>
    <row r="416">
      <c r="A416" s="20" t="str">
        <f>IF($G416="","",INDEX('Liste des élèves'!$A$4:$A$1363,$G416))</f>
        <v/>
      </c>
      <c r="B416" s="20" t="str">
        <f>IF($G416="","",INDEX('Liste des élèves'!$D$4:$D$1363,$G416))</f>
        <v/>
      </c>
      <c r="C416" s="21" t="str">
        <f>IF($G416="","",INDEX('Liste des élèves'!$E$4:$E$1363,$G416))</f>
        <v/>
      </c>
      <c r="D416" s="20" t="str">
        <f>IF($G416="","",INDEX('Liste des élèves'!$I$4:$I$1363,$G416))</f>
        <v/>
      </c>
      <c r="E416" s="20" t="str">
        <f>IF($G416="","",INDEX('Liste des élèves'!$J$4:$J$1363,$G416))</f>
        <v/>
      </c>
      <c r="F416" s="51" t="str">
        <f>IF($G416="","",INDEX('Liste des élèves'!$P$4:$P$1363,$G416)+INDEX('Liste des élèves'!$T$4:$T$1363,$G416))</f>
        <v/>
      </c>
      <c r="G416" s="49" t="str">
        <f>IF(G415="","",IFERROR(G415+MATCH("En retard",INDEX('Liste des élèves'!$Q$4:$Q$1363,G415+1):'Liste des élèves'!$Q$1363,0),""))</f>
        <v/>
      </c>
    </row>
    <row r="417">
      <c r="A417" s="20" t="str">
        <f>IF($G417="","",INDEX('Liste des élèves'!$A$4:$A$1363,$G417))</f>
        <v/>
      </c>
      <c r="B417" s="20" t="str">
        <f>IF($G417="","",INDEX('Liste des élèves'!$D$4:$D$1363,$G417))</f>
        <v/>
      </c>
      <c r="C417" s="21" t="str">
        <f>IF($G417="","",INDEX('Liste des élèves'!$E$4:$E$1363,$G417))</f>
        <v/>
      </c>
      <c r="D417" s="20" t="str">
        <f>IF($G417="","",INDEX('Liste des élèves'!$I$4:$I$1363,$G417))</f>
        <v/>
      </c>
      <c r="E417" s="20" t="str">
        <f>IF($G417="","",INDEX('Liste des élèves'!$J$4:$J$1363,$G417))</f>
        <v/>
      </c>
      <c r="F417" s="51" t="str">
        <f>IF($G417="","",INDEX('Liste des élèves'!$P$4:$P$1363,$G417)+INDEX('Liste des élèves'!$T$4:$T$1363,$G417))</f>
        <v/>
      </c>
      <c r="G417" s="49" t="str">
        <f>IF(G416="","",IFERROR(G416+MATCH("En retard",INDEX('Liste des élèves'!$Q$4:$Q$1363,G416+1):'Liste des élèves'!$Q$1363,0),""))</f>
        <v/>
      </c>
    </row>
    <row r="418">
      <c r="A418" s="20" t="str">
        <f>IF($G418="","",INDEX('Liste des élèves'!$A$4:$A$1363,$G418))</f>
        <v/>
      </c>
      <c r="B418" s="20" t="str">
        <f>IF($G418="","",INDEX('Liste des élèves'!$D$4:$D$1363,$G418))</f>
        <v/>
      </c>
      <c r="C418" s="21" t="str">
        <f>IF($G418="","",INDEX('Liste des élèves'!$E$4:$E$1363,$G418))</f>
        <v/>
      </c>
      <c r="D418" s="20" t="str">
        <f>IF($G418="","",INDEX('Liste des élèves'!$I$4:$I$1363,$G418))</f>
        <v/>
      </c>
      <c r="E418" s="20" t="str">
        <f>IF($G418="","",INDEX('Liste des élèves'!$J$4:$J$1363,$G418))</f>
        <v/>
      </c>
      <c r="F418" s="51" t="str">
        <f>IF($G418="","",INDEX('Liste des élèves'!$P$4:$P$1363,$G418)+INDEX('Liste des élèves'!$T$4:$T$1363,$G418))</f>
        <v/>
      </c>
      <c r="G418" s="49" t="str">
        <f>IF(G417="","",IFERROR(G417+MATCH("En retard",INDEX('Liste des élèves'!$Q$4:$Q$1363,G417+1):'Liste des élèves'!$Q$1363,0),""))</f>
        <v/>
      </c>
    </row>
    <row r="419">
      <c r="A419" s="20" t="str">
        <f>IF($G419="","",INDEX('Liste des élèves'!$A$4:$A$1363,$G419))</f>
        <v/>
      </c>
      <c r="B419" s="20" t="str">
        <f>IF($G419="","",INDEX('Liste des élèves'!$D$4:$D$1363,$G419))</f>
        <v/>
      </c>
      <c r="C419" s="21" t="str">
        <f>IF($G419="","",INDEX('Liste des élèves'!$E$4:$E$1363,$G419))</f>
        <v/>
      </c>
      <c r="D419" s="20" t="str">
        <f>IF($G419="","",INDEX('Liste des élèves'!$I$4:$I$1363,$G419))</f>
        <v/>
      </c>
      <c r="E419" s="20" t="str">
        <f>IF($G419="","",INDEX('Liste des élèves'!$J$4:$J$1363,$G419))</f>
        <v/>
      </c>
      <c r="F419" s="51" t="str">
        <f>IF($G419="","",INDEX('Liste des élèves'!$P$4:$P$1363,$G419)+INDEX('Liste des élèves'!$T$4:$T$1363,$G419))</f>
        <v/>
      </c>
      <c r="G419" s="49" t="str">
        <f>IF(G418="","",IFERROR(G418+MATCH("En retard",INDEX('Liste des élèves'!$Q$4:$Q$1363,G418+1):'Liste des élèves'!$Q$1363,0),""))</f>
        <v/>
      </c>
    </row>
    <row r="420">
      <c r="A420" s="20" t="str">
        <f>IF($G420="","",INDEX('Liste des élèves'!$A$4:$A$1363,$G420))</f>
        <v/>
      </c>
      <c r="B420" s="20" t="str">
        <f>IF($G420="","",INDEX('Liste des élèves'!$D$4:$D$1363,$G420))</f>
        <v/>
      </c>
      <c r="C420" s="21" t="str">
        <f>IF($G420="","",INDEX('Liste des élèves'!$E$4:$E$1363,$G420))</f>
        <v/>
      </c>
      <c r="D420" s="20" t="str">
        <f>IF($G420="","",INDEX('Liste des élèves'!$I$4:$I$1363,$G420))</f>
        <v/>
      </c>
      <c r="E420" s="20" t="str">
        <f>IF($G420="","",INDEX('Liste des élèves'!$J$4:$J$1363,$G420))</f>
        <v/>
      </c>
      <c r="F420" s="51" t="str">
        <f>IF($G420="","",INDEX('Liste des élèves'!$P$4:$P$1363,$G420)+INDEX('Liste des élèves'!$T$4:$T$1363,$G420))</f>
        <v/>
      </c>
      <c r="G420" s="49" t="str">
        <f>IF(G419="","",IFERROR(G419+MATCH("En retard",INDEX('Liste des élèves'!$Q$4:$Q$1363,G419+1):'Liste des élèves'!$Q$1363,0),""))</f>
        <v/>
      </c>
    </row>
    <row r="421">
      <c r="A421" s="20" t="str">
        <f>IF($G421="","",INDEX('Liste des élèves'!$A$4:$A$1363,$G421))</f>
        <v/>
      </c>
      <c r="B421" s="20" t="str">
        <f>IF($G421="","",INDEX('Liste des élèves'!$D$4:$D$1363,$G421))</f>
        <v/>
      </c>
      <c r="C421" s="21" t="str">
        <f>IF($G421="","",INDEX('Liste des élèves'!$E$4:$E$1363,$G421))</f>
        <v/>
      </c>
      <c r="D421" s="20" t="str">
        <f>IF($G421="","",INDEX('Liste des élèves'!$I$4:$I$1363,$G421))</f>
        <v/>
      </c>
      <c r="E421" s="20" t="str">
        <f>IF($G421="","",INDEX('Liste des élèves'!$J$4:$J$1363,$G421))</f>
        <v/>
      </c>
      <c r="F421" s="51" t="str">
        <f>IF($G421="","",INDEX('Liste des élèves'!$P$4:$P$1363,$G421)+INDEX('Liste des élèves'!$T$4:$T$1363,$G421))</f>
        <v/>
      </c>
      <c r="G421" s="49" t="str">
        <f>IF(G420="","",IFERROR(G420+MATCH("En retard",INDEX('Liste des élèves'!$Q$4:$Q$1363,G420+1):'Liste des élèves'!$Q$1363,0),""))</f>
        <v/>
      </c>
    </row>
    <row r="422">
      <c r="A422" s="20" t="str">
        <f>IF($G422="","",INDEX('Liste des élèves'!$A$4:$A$1363,$G422))</f>
        <v/>
      </c>
      <c r="B422" s="20" t="str">
        <f>IF($G422="","",INDEX('Liste des élèves'!$D$4:$D$1363,$G422))</f>
        <v/>
      </c>
      <c r="C422" s="21" t="str">
        <f>IF($G422="","",INDEX('Liste des élèves'!$E$4:$E$1363,$G422))</f>
        <v/>
      </c>
      <c r="D422" s="20" t="str">
        <f>IF($G422="","",INDEX('Liste des élèves'!$I$4:$I$1363,$G422))</f>
        <v/>
      </c>
      <c r="E422" s="20" t="str">
        <f>IF($G422="","",INDEX('Liste des élèves'!$J$4:$J$1363,$G422))</f>
        <v/>
      </c>
      <c r="F422" s="51" t="str">
        <f>IF($G422="","",INDEX('Liste des élèves'!$P$4:$P$1363,$G422)+INDEX('Liste des élèves'!$T$4:$T$1363,$G422))</f>
        <v/>
      </c>
      <c r="G422" s="49" t="str">
        <f>IF(G421="","",IFERROR(G421+MATCH("En retard",INDEX('Liste des élèves'!$Q$4:$Q$1363,G421+1):'Liste des élèves'!$Q$1363,0),""))</f>
        <v/>
      </c>
    </row>
    <row r="423">
      <c r="A423" s="20" t="str">
        <f>IF($G423="","",INDEX('Liste des élèves'!$A$4:$A$1363,$G423))</f>
        <v/>
      </c>
      <c r="B423" s="20" t="str">
        <f>IF($G423="","",INDEX('Liste des élèves'!$D$4:$D$1363,$G423))</f>
        <v/>
      </c>
      <c r="C423" s="21" t="str">
        <f>IF($G423="","",INDEX('Liste des élèves'!$E$4:$E$1363,$G423))</f>
        <v/>
      </c>
      <c r="D423" s="20" t="str">
        <f>IF($G423="","",INDEX('Liste des élèves'!$I$4:$I$1363,$G423))</f>
        <v/>
      </c>
      <c r="E423" s="20" t="str">
        <f>IF($G423="","",INDEX('Liste des élèves'!$J$4:$J$1363,$G423))</f>
        <v/>
      </c>
      <c r="F423" s="51" t="str">
        <f>IF($G423="","",INDEX('Liste des élèves'!$P$4:$P$1363,$G423)+INDEX('Liste des élèves'!$T$4:$T$1363,$G423))</f>
        <v/>
      </c>
      <c r="G423" s="49" t="str">
        <f>IF(G422="","",IFERROR(G422+MATCH("En retard",INDEX('Liste des élèves'!$Q$4:$Q$1363,G422+1):'Liste des élèves'!$Q$1363,0),""))</f>
        <v/>
      </c>
    </row>
    <row r="424">
      <c r="A424" s="20" t="str">
        <f>IF($G424="","",INDEX('Liste des élèves'!$A$4:$A$1363,$G424))</f>
        <v/>
      </c>
      <c r="B424" s="20" t="str">
        <f>IF($G424="","",INDEX('Liste des élèves'!$D$4:$D$1363,$G424))</f>
        <v/>
      </c>
      <c r="C424" s="21" t="str">
        <f>IF($G424="","",INDEX('Liste des élèves'!$E$4:$E$1363,$G424))</f>
        <v/>
      </c>
      <c r="D424" s="20" t="str">
        <f>IF($G424="","",INDEX('Liste des élèves'!$I$4:$I$1363,$G424))</f>
        <v/>
      </c>
      <c r="E424" s="20" t="str">
        <f>IF($G424="","",INDEX('Liste des élèves'!$J$4:$J$1363,$G424))</f>
        <v/>
      </c>
      <c r="F424" s="51" t="str">
        <f>IF($G424="","",INDEX('Liste des élèves'!$P$4:$P$1363,$G424)+INDEX('Liste des élèves'!$T$4:$T$1363,$G424))</f>
        <v/>
      </c>
      <c r="G424" s="49" t="str">
        <f>IF(G423="","",IFERROR(G423+MATCH("En retard",INDEX('Liste des élèves'!$Q$4:$Q$1363,G423+1):'Liste des élèves'!$Q$1363,0),""))</f>
        <v/>
      </c>
    </row>
    <row r="425">
      <c r="A425" s="20" t="str">
        <f>IF($G425="","",INDEX('Liste des élèves'!$A$4:$A$1363,$G425))</f>
        <v/>
      </c>
      <c r="B425" s="20" t="str">
        <f>IF($G425="","",INDEX('Liste des élèves'!$D$4:$D$1363,$G425))</f>
        <v/>
      </c>
      <c r="C425" s="21" t="str">
        <f>IF($G425="","",INDEX('Liste des élèves'!$E$4:$E$1363,$G425))</f>
        <v/>
      </c>
      <c r="D425" s="20" t="str">
        <f>IF($G425="","",INDEX('Liste des élèves'!$I$4:$I$1363,$G425))</f>
        <v/>
      </c>
      <c r="E425" s="20" t="str">
        <f>IF($G425="","",INDEX('Liste des élèves'!$J$4:$J$1363,$G425))</f>
        <v/>
      </c>
      <c r="F425" s="51" t="str">
        <f>IF($G425="","",INDEX('Liste des élèves'!$P$4:$P$1363,$G425)+INDEX('Liste des élèves'!$T$4:$T$1363,$G425))</f>
        <v/>
      </c>
      <c r="G425" s="49" t="str">
        <f>IF(G424="","",IFERROR(G424+MATCH("En retard",INDEX('Liste des élèves'!$Q$4:$Q$1363,G424+1):'Liste des élèves'!$Q$1363,0),""))</f>
        <v/>
      </c>
    </row>
    <row r="426">
      <c r="A426" s="20" t="str">
        <f>IF($G426="","",INDEX('Liste des élèves'!$A$4:$A$1363,$G426))</f>
        <v/>
      </c>
      <c r="B426" s="20" t="str">
        <f>IF($G426="","",INDEX('Liste des élèves'!$D$4:$D$1363,$G426))</f>
        <v/>
      </c>
      <c r="C426" s="21" t="str">
        <f>IF($G426="","",INDEX('Liste des élèves'!$E$4:$E$1363,$G426))</f>
        <v/>
      </c>
      <c r="D426" s="20" t="str">
        <f>IF($G426="","",INDEX('Liste des élèves'!$I$4:$I$1363,$G426))</f>
        <v/>
      </c>
      <c r="E426" s="20" t="str">
        <f>IF($G426="","",INDEX('Liste des élèves'!$J$4:$J$1363,$G426))</f>
        <v/>
      </c>
      <c r="F426" s="51" t="str">
        <f>IF($G426="","",INDEX('Liste des élèves'!$P$4:$P$1363,$G426)+INDEX('Liste des élèves'!$T$4:$T$1363,$G426))</f>
        <v/>
      </c>
      <c r="G426" s="49" t="str">
        <f>IF(G425="","",IFERROR(G425+MATCH("En retard",INDEX('Liste des élèves'!$Q$4:$Q$1363,G425+1):'Liste des élèves'!$Q$1363,0),""))</f>
        <v/>
      </c>
    </row>
    <row r="427">
      <c r="A427" s="20" t="str">
        <f>IF($G427="","",INDEX('Liste des élèves'!$A$4:$A$1363,$G427))</f>
        <v/>
      </c>
      <c r="B427" s="20" t="str">
        <f>IF($G427="","",INDEX('Liste des élèves'!$D$4:$D$1363,$G427))</f>
        <v/>
      </c>
      <c r="C427" s="21" t="str">
        <f>IF($G427="","",INDEX('Liste des élèves'!$E$4:$E$1363,$G427))</f>
        <v/>
      </c>
      <c r="D427" s="20" t="str">
        <f>IF($G427="","",INDEX('Liste des élèves'!$I$4:$I$1363,$G427))</f>
        <v/>
      </c>
      <c r="E427" s="20" t="str">
        <f>IF($G427="","",INDEX('Liste des élèves'!$J$4:$J$1363,$G427))</f>
        <v/>
      </c>
      <c r="F427" s="51" t="str">
        <f>IF($G427="","",INDEX('Liste des élèves'!$P$4:$P$1363,$G427)+INDEX('Liste des élèves'!$T$4:$T$1363,$G427))</f>
        <v/>
      </c>
      <c r="G427" s="49" t="str">
        <f>IF(G426="","",IFERROR(G426+MATCH("En retard",INDEX('Liste des élèves'!$Q$4:$Q$1363,G426+1):'Liste des élèves'!$Q$1363,0),""))</f>
        <v/>
      </c>
    </row>
    <row r="428">
      <c r="A428" s="20" t="str">
        <f>IF($G428="","",INDEX('Liste des élèves'!$A$4:$A$1363,$G428))</f>
        <v/>
      </c>
      <c r="B428" s="20" t="str">
        <f>IF($G428="","",INDEX('Liste des élèves'!$D$4:$D$1363,$G428))</f>
        <v/>
      </c>
      <c r="C428" s="21" t="str">
        <f>IF($G428="","",INDEX('Liste des élèves'!$E$4:$E$1363,$G428))</f>
        <v/>
      </c>
      <c r="D428" s="20" t="str">
        <f>IF($G428="","",INDEX('Liste des élèves'!$I$4:$I$1363,$G428))</f>
        <v/>
      </c>
      <c r="E428" s="20" t="str">
        <f>IF($G428="","",INDEX('Liste des élèves'!$J$4:$J$1363,$G428))</f>
        <v/>
      </c>
      <c r="F428" s="51" t="str">
        <f>IF($G428="","",INDEX('Liste des élèves'!$P$4:$P$1363,$G428)+INDEX('Liste des élèves'!$T$4:$T$1363,$G428))</f>
        <v/>
      </c>
      <c r="G428" s="49" t="str">
        <f>IF(G427="","",IFERROR(G427+MATCH("En retard",INDEX('Liste des élèves'!$Q$4:$Q$1363,G427+1):'Liste des élèves'!$Q$1363,0),""))</f>
        <v/>
      </c>
    </row>
    <row r="429">
      <c r="A429" s="20" t="str">
        <f>IF($G429="","",INDEX('Liste des élèves'!$A$4:$A$1363,$G429))</f>
        <v/>
      </c>
      <c r="B429" s="20" t="str">
        <f>IF($G429="","",INDEX('Liste des élèves'!$D$4:$D$1363,$G429))</f>
        <v/>
      </c>
      <c r="C429" s="21" t="str">
        <f>IF($G429="","",INDEX('Liste des élèves'!$E$4:$E$1363,$G429))</f>
        <v/>
      </c>
      <c r="D429" s="20" t="str">
        <f>IF($G429="","",INDEX('Liste des élèves'!$I$4:$I$1363,$G429))</f>
        <v/>
      </c>
      <c r="E429" s="20" t="str">
        <f>IF($G429="","",INDEX('Liste des élèves'!$J$4:$J$1363,$G429))</f>
        <v/>
      </c>
      <c r="F429" s="51" t="str">
        <f>IF($G429="","",INDEX('Liste des élèves'!$P$4:$P$1363,$G429)+INDEX('Liste des élèves'!$T$4:$T$1363,$G429))</f>
        <v/>
      </c>
      <c r="G429" s="49" t="str">
        <f>IF(G428="","",IFERROR(G428+MATCH("En retard",INDEX('Liste des élèves'!$Q$4:$Q$1363,G428+1):'Liste des élèves'!$Q$1363,0),""))</f>
        <v/>
      </c>
    </row>
    <row r="430">
      <c r="A430" s="20" t="str">
        <f>IF($G430="","",INDEX('Liste des élèves'!$A$4:$A$1363,$G430))</f>
        <v/>
      </c>
      <c r="B430" s="20" t="str">
        <f>IF($G430="","",INDEX('Liste des élèves'!$D$4:$D$1363,$G430))</f>
        <v/>
      </c>
      <c r="C430" s="21" t="str">
        <f>IF($G430="","",INDEX('Liste des élèves'!$E$4:$E$1363,$G430))</f>
        <v/>
      </c>
      <c r="D430" s="20" t="str">
        <f>IF($G430="","",INDEX('Liste des élèves'!$I$4:$I$1363,$G430))</f>
        <v/>
      </c>
      <c r="E430" s="20" t="str">
        <f>IF($G430="","",INDEX('Liste des élèves'!$J$4:$J$1363,$G430))</f>
        <v/>
      </c>
      <c r="F430" s="51" t="str">
        <f>IF($G430="","",INDEX('Liste des élèves'!$P$4:$P$1363,$G430)+INDEX('Liste des élèves'!$T$4:$T$1363,$G430))</f>
        <v/>
      </c>
      <c r="G430" s="49" t="str">
        <f>IF(G429="","",IFERROR(G429+MATCH("En retard",INDEX('Liste des élèves'!$Q$4:$Q$1363,G429+1):'Liste des élèves'!$Q$1363,0),""))</f>
        <v/>
      </c>
    </row>
    <row r="431">
      <c r="A431" s="20" t="str">
        <f>IF($G431="","",INDEX('Liste des élèves'!$A$4:$A$1363,$G431))</f>
        <v/>
      </c>
      <c r="B431" s="20" t="str">
        <f>IF($G431="","",INDEX('Liste des élèves'!$D$4:$D$1363,$G431))</f>
        <v/>
      </c>
      <c r="C431" s="21" t="str">
        <f>IF($G431="","",INDEX('Liste des élèves'!$E$4:$E$1363,$G431))</f>
        <v/>
      </c>
      <c r="D431" s="20" t="str">
        <f>IF($G431="","",INDEX('Liste des élèves'!$I$4:$I$1363,$G431))</f>
        <v/>
      </c>
      <c r="E431" s="20" t="str">
        <f>IF($G431="","",INDEX('Liste des élèves'!$J$4:$J$1363,$G431))</f>
        <v/>
      </c>
      <c r="F431" s="51" t="str">
        <f>IF($G431="","",INDEX('Liste des élèves'!$P$4:$P$1363,$G431)+INDEX('Liste des élèves'!$T$4:$T$1363,$G431))</f>
        <v/>
      </c>
      <c r="G431" s="49" t="str">
        <f>IF(G430="","",IFERROR(G430+MATCH("En retard",INDEX('Liste des élèves'!$Q$4:$Q$1363,G430+1):'Liste des élèves'!$Q$1363,0),""))</f>
        <v/>
      </c>
    </row>
    <row r="432">
      <c r="A432" s="20" t="str">
        <f>IF($G432="","",INDEX('Liste des élèves'!$A$4:$A$1363,$G432))</f>
        <v/>
      </c>
      <c r="B432" s="20" t="str">
        <f>IF($G432="","",INDEX('Liste des élèves'!$D$4:$D$1363,$G432))</f>
        <v/>
      </c>
      <c r="C432" s="21" t="str">
        <f>IF($G432="","",INDEX('Liste des élèves'!$E$4:$E$1363,$G432))</f>
        <v/>
      </c>
      <c r="D432" s="20" t="str">
        <f>IF($G432="","",INDEX('Liste des élèves'!$I$4:$I$1363,$G432))</f>
        <v/>
      </c>
      <c r="E432" s="20" t="str">
        <f>IF($G432="","",INDEX('Liste des élèves'!$J$4:$J$1363,$G432))</f>
        <v/>
      </c>
      <c r="F432" s="51" t="str">
        <f>IF($G432="","",INDEX('Liste des élèves'!$P$4:$P$1363,$G432)+INDEX('Liste des élèves'!$T$4:$T$1363,$G432))</f>
        <v/>
      </c>
      <c r="G432" s="49" t="str">
        <f>IF(G431="","",IFERROR(G431+MATCH("En retard",INDEX('Liste des élèves'!$Q$4:$Q$1363,G431+1):'Liste des élèves'!$Q$1363,0),""))</f>
        <v/>
      </c>
    </row>
    <row r="433">
      <c r="A433" s="20" t="str">
        <f>IF($G433="","",INDEX('Liste des élèves'!$A$4:$A$1363,$G433))</f>
        <v/>
      </c>
      <c r="B433" s="20" t="str">
        <f>IF($G433="","",INDEX('Liste des élèves'!$D$4:$D$1363,$G433))</f>
        <v/>
      </c>
      <c r="C433" s="21" t="str">
        <f>IF($G433="","",INDEX('Liste des élèves'!$E$4:$E$1363,$G433))</f>
        <v/>
      </c>
      <c r="D433" s="20" t="str">
        <f>IF($G433="","",INDEX('Liste des élèves'!$I$4:$I$1363,$G433))</f>
        <v/>
      </c>
      <c r="E433" s="20" t="str">
        <f>IF($G433="","",INDEX('Liste des élèves'!$J$4:$J$1363,$G433))</f>
        <v/>
      </c>
      <c r="F433" s="51" t="str">
        <f>IF($G433="","",INDEX('Liste des élèves'!$P$4:$P$1363,$G433)+INDEX('Liste des élèves'!$T$4:$T$1363,$G433))</f>
        <v/>
      </c>
      <c r="G433" s="49" t="str">
        <f>IF(G432="","",IFERROR(G432+MATCH("En retard",INDEX('Liste des élèves'!$Q$4:$Q$1363,G432+1):'Liste des élèves'!$Q$1363,0),""))</f>
        <v/>
      </c>
    </row>
    <row r="434">
      <c r="A434" s="20" t="str">
        <f>IF($G434="","",INDEX('Liste des élèves'!$A$4:$A$1363,$G434))</f>
        <v/>
      </c>
      <c r="B434" s="20" t="str">
        <f>IF($G434="","",INDEX('Liste des élèves'!$D$4:$D$1363,$G434))</f>
        <v/>
      </c>
      <c r="C434" s="21" t="str">
        <f>IF($G434="","",INDEX('Liste des élèves'!$E$4:$E$1363,$G434))</f>
        <v/>
      </c>
      <c r="D434" s="20" t="str">
        <f>IF($G434="","",INDEX('Liste des élèves'!$I$4:$I$1363,$G434))</f>
        <v/>
      </c>
      <c r="E434" s="20" t="str">
        <f>IF($G434="","",INDEX('Liste des élèves'!$J$4:$J$1363,$G434))</f>
        <v/>
      </c>
      <c r="F434" s="51" t="str">
        <f>IF($G434="","",INDEX('Liste des élèves'!$P$4:$P$1363,$G434)+INDEX('Liste des élèves'!$T$4:$T$1363,$G434))</f>
        <v/>
      </c>
      <c r="G434" s="49" t="str">
        <f>IF(G433="","",IFERROR(G433+MATCH("En retard",INDEX('Liste des élèves'!$Q$4:$Q$1363,G433+1):'Liste des élèves'!$Q$1363,0),""))</f>
        <v/>
      </c>
    </row>
    <row r="435">
      <c r="A435" s="20" t="str">
        <f>IF($G435="","",INDEX('Liste des élèves'!$A$4:$A$1363,$G435))</f>
        <v/>
      </c>
      <c r="B435" s="20" t="str">
        <f>IF($G435="","",INDEX('Liste des élèves'!$D$4:$D$1363,$G435))</f>
        <v/>
      </c>
      <c r="C435" s="21" t="str">
        <f>IF($G435="","",INDEX('Liste des élèves'!$E$4:$E$1363,$G435))</f>
        <v/>
      </c>
      <c r="D435" s="20" t="str">
        <f>IF($G435="","",INDEX('Liste des élèves'!$I$4:$I$1363,$G435))</f>
        <v/>
      </c>
      <c r="E435" s="20" t="str">
        <f>IF($G435="","",INDEX('Liste des élèves'!$J$4:$J$1363,$G435))</f>
        <v/>
      </c>
      <c r="F435" s="51" t="str">
        <f>IF($G435="","",INDEX('Liste des élèves'!$P$4:$P$1363,$G435)+INDEX('Liste des élèves'!$T$4:$T$1363,$G435))</f>
        <v/>
      </c>
      <c r="G435" s="49" t="str">
        <f>IF(G434="","",IFERROR(G434+MATCH("En retard",INDEX('Liste des élèves'!$Q$4:$Q$1363,G434+1):'Liste des élèves'!$Q$1363,0),""))</f>
        <v/>
      </c>
    </row>
    <row r="436">
      <c r="A436" s="20" t="str">
        <f>IF($G436="","",INDEX('Liste des élèves'!$A$4:$A$1363,$G436))</f>
        <v/>
      </c>
      <c r="B436" s="20" t="str">
        <f>IF($G436="","",INDEX('Liste des élèves'!$D$4:$D$1363,$G436))</f>
        <v/>
      </c>
      <c r="C436" s="21" t="str">
        <f>IF($G436="","",INDEX('Liste des élèves'!$E$4:$E$1363,$G436))</f>
        <v/>
      </c>
      <c r="D436" s="20" t="str">
        <f>IF($G436="","",INDEX('Liste des élèves'!$I$4:$I$1363,$G436))</f>
        <v/>
      </c>
      <c r="E436" s="20" t="str">
        <f>IF($G436="","",INDEX('Liste des élèves'!$J$4:$J$1363,$G436))</f>
        <v/>
      </c>
      <c r="F436" s="51" t="str">
        <f>IF($G436="","",INDEX('Liste des élèves'!$P$4:$P$1363,$G436)+INDEX('Liste des élèves'!$T$4:$T$1363,$G436))</f>
        <v/>
      </c>
      <c r="G436" s="49" t="str">
        <f>IF(G435="","",IFERROR(G435+MATCH("En retard",INDEX('Liste des élèves'!$Q$4:$Q$1363,G435+1):'Liste des élèves'!$Q$1363,0),""))</f>
        <v/>
      </c>
    </row>
    <row r="437">
      <c r="A437" s="20" t="str">
        <f>IF($G437="","",INDEX('Liste des élèves'!$A$4:$A$1363,$G437))</f>
        <v/>
      </c>
      <c r="B437" s="20" t="str">
        <f>IF($G437="","",INDEX('Liste des élèves'!$D$4:$D$1363,$G437))</f>
        <v/>
      </c>
      <c r="C437" s="21" t="str">
        <f>IF($G437="","",INDEX('Liste des élèves'!$E$4:$E$1363,$G437))</f>
        <v/>
      </c>
      <c r="D437" s="20" t="str">
        <f>IF($G437="","",INDEX('Liste des élèves'!$I$4:$I$1363,$G437))</f>
        <v/>
      </c>
      <c r="E437" s="20" t="str">
        <f>IF($G437="","",INDEX('Liste des élèves'!$J$4:$J$1363,$G437))</f>
        <v/>
      </c>
      <c r="F437" s="51" t="str">
        <f>IF($G437="","",INDEX('Liste des élèves'!$P$4:$P$1363,$G437)+INDEX('Liste des élèves'!$T$4:$T$1363,$G437))</f>
        <v/>
      </c>
      <c r="G437" s="49" t="str">
        <f>IF(G436="","",IFERROR(G436+MATCH("En retard",INDEX('Liste des élèves'!$Q$4:$Q$1363,G436+1):'Liste des élèves'!$Q$1363,0),""))</f>
        <v/>
      </c>
    </row>
    <row r="438">
      <c r="A438" s="20" t="str">
        <f>IF($G438="","",INDEX('Liste des élèves'!$A$4:$A$1363,$G438))</f>
        <v/>
      </c>
      <c r="B438" s="20" t="str">
        <f>IF($G438="","",INDEX('Liste des élèves'!$D$4:$D$1363,$G438))</f>
        <v/>
      </c>
      <c r="C438" s="21" t="str">
        <f>IF($G438="","",INDEX('Liste des élèves'!$E$4:$E$1363,$G438))</f>
        <v/>
      </c>
      <c r="D438" s="20" t="str">
        <f>IF($G438="","",INDEX('Liste des élèves'!$I$4:$I$1363,$G438))</f>
        <v/>
      </c>
      <c r="E438" s="20" t="str">
        <f>IF($G438="","",INDEX('Liste des élèves'!$J$4:$J$1363,$G438))</f>
        <v/>
      </c>
      <c r="F438" s="51" t="str">
        <f>IF($G438="","",INDEX('Liste des élèves'!$P$4:$P$1363,$G438)+INDEX('Liste des élèves'!$T$4:$T$1363,$G438))</f>
        <v/>
      </c>
      <c r="G438" s="49" t="str">
        <f>IF(G437="","",IFERROR(G437+MATCH("En retard",INDEX('Liste des élèves'!$Q$4:$Q$1363,G437+1):'Liste des élèves'!$Q$1363,0),""))</f>
        <v/>
      </c>
    </row>
    <row r="439">
      <c r="A439" s="20" t="str">
        <f>IF($G439="","",INDEX('Liste des élèves'!$A$4:$A$1363,$G439))</f>
        <v/>
      </c>
      <c r="B439" s="20" t="str">
        <f>IF($G439="","",INDEX('Liste des élèves'!$D$4:$D$1363,$G439))</f>
        <v/>
      </c>
      <c r="C439" s="21" t="str">
        <f>IF($G439="","",INDEX('Liste des élèves'!$E$4:$E$1363,$G439))</f>
        <v/>
      </c>
      <c r="D439" s="20" t="str">
        <f>IF($G439="","",INDEX('Liste des élèves'!$I$4:$I$1363,$G439))</f>
        <v/>
      </c>
      <c r="E439" s="20" t="str">
        <f>IF($G439="","",INDEX('Liste des élèves'!$J$4:$J$1363,$G439))</f>
        <v/>
      </c>
      <c r="F439" s="51" t="str">
        <f>IF($G439="","",INDEX('Liste des élèves'!$P$4:$P$1363,$G439)+INDEX('Liste des élèves'!$T$4:$T$1363,$G439))</f>
        <v/>
      </c>
      <c r="G439" s="49" t="str">
        <f>IF(G438="","",IFERROR(G438+MATCH("En retard",INDEX('Liste des élèves'!$Q$4:$Q$1363,G438+1):'Liste des élèves'!$Q$1363,0),""))</f>
        <v/>
      </c>
    </row>
    <row r="440">
      <c r="A440" s="20" t="str">
        <f>IF($G440="","",INDEX('Liste des élèves'!$A$4:$A$1363,$G440))</f>
        <v/>
      </c>
      <c r="B440" s="20" t="str">
        <f>IF($G440="","",INDEX('Liste des élèves'!$D$4:$D$1363,$G440))</f>
        <v/>
      </c>
      <c r="C440" s="21" t="str">
        <f>IF($G440="","",INDEX('Liste des élèves'!$E$4:$E$1363,$G440))</f>
        <v/>
      </c>
      <c r="D440" s="20" t="str">
        <f>IF($G440="","",INDEX('Liste des élèves'!$I$4:$I$1363,$G440))</f>
        <v/>
      </c>
      <c r="E440" s="20" t="str">
        <f>IF($G440="","",INDEX('Liste des élèves'!$J$4:$J$1363,$G440))</f>
        <v/>
      </c>
      <c r="F440" s="51" t="str">
        <f>IF($G440="","",INDEX('Liste des élèves'!$P$4:$P$1363,$G440)+INDEX('Liste des élèves'!$T$4:$T$1363,$G440))</f>
        <v/>
      </c>
      <c r="G440" s="49" t="str">
        <f>IF(G439="","",IFERROR(G439+MATCH("En retard",INDEX('Liste des élèves'!$Q$4:$Q$1363,G439+1):'Liste des élèves'!$Q$1363,0),""))</f>
        <v/>
      </c>
    </row>
    <row r="441">
      <c r="A441" s="20" t="str">
        <f>IF($G441="","",INDEX('Liste des élèves'!$A$4:$A$1363,$G441))</f>
        <v/>
      </c>
      <c r="B441" s="20" t="str">
        <f>IF($G441="","",INDEX('Liste des élèves'!$D$4:$D$1363,$G441))</f>
        <v/>
      </c>
      <c r="C441" s="21" t="str">
        <f>IF($G441="","",INDEX('Liste des élèves'!$E$4:$E$1363,$G441))</f>
        <v/>
      </c>
      <c r="D441" s="20" t="str">
        <f>IF($G441="","",INDEX('Liste des élèves'!$I$4:$I$1363,$G441))</f>
        <v/>
      </c>
      <c r="E441" s="20" t="str">
        <f>IF($G441="","",INDEX('Liste des élèves'!$J$4:$J$1363,$G441))</f>
        <v/>
      </c>
      <c r="F441" s="51" t="str">
        <f>IF($G441="","",INDEX('Liste des élèves'!$P$4:$P$1363,$G441)+INDEX('Liste des élèves'!$T$4:$T$1363,$G441))</f>
        <v/>
      </c>
      <c r="G441" s="49" t="str">
        <f>IF(G440="","",IFERROR(G440+MATCH("En retard",INDEX('Liste des élèves'!$Q$4:$Q$1363,G440+1):'Liste des élèves'!$Q$1363,0),""))</f>
        <v/>
      </c>
    </row>
    <row r="442">
      <c r="A442" s="20" t="str">
        <f>IF($G442="","",INDEX('Liste des élèves'!$A$4:$A$1363,$G442))</f>
        <v/>
      </c>
      <c r="B442" s="20" t="str">
        <f>IF($G442="","",INDEX('Liste des élèves'!$D$4:$D$1363,$G442))</f>
        <v/>
      </c>
      <c r="C442" s="21" t="str">
        <f>IF($G442="","",INDEX('Liste des élèves'!$E$4:$E$1363,$G442))</f>
        <v/>
      </c>
      <c r="D442" s="20" t="str">
        <f>IF($G442="","",INDEX('Liste des élèves'!$I$4:$I$1363,$G442))</f>
        <v/>
      </c>
      <c r="E442" s="20" t="str">
        <f>IF($G442="","",INDEX('Liste des élèves'!$J$4:$J$1363,$G442))</f>
        <v/>
      </c>
      <c r="F442" s="51" t="str">
        <f>IF($G442="","",INDEX('Liste des élèves'!$P$4:$P$1363,$G442)+INDEX('Liste des élèves'!$T$4:$T$1363,$G442))</f>
        <v/>
      </c>
      <c r="G442" s="49" t="str">
        <f>IF(G441="","",IFERROR(G441+MATCH("En retard",INDEX('Liste des élèves'!$Q$4:$Q$1363,G441+1):'Liste des élèves'!$Q$1363,0),""))</f>
        <v/>
      </c>
    </row>
    <row r="443">
      <c r="A443" s="20" t="str">
        <f>IF($G443="","",INDEX('Liste des élèves'!$A$4:$A$1363,$G443))</f>
        <v/>
      </c>
      <c r="B443" s="20" t="str">
        <f>IF($G443="","",INDEX('Liste des élèves'!$D$4:$D$1363,$G443))</f>
        <v/>
      </c>
      <c r="C443" s="21" t="str">
        <f>IF($G443="","",INDEX('Liste des élèves'!$E$4:$E$1363,$G443))</f>
        <v/>
      </c>
      <c r="D443" s="20" t="str">
        <f>IF($G443="","",INDEX('Liste des élèves'!$I$4:$I$1363,$G443))</f>
        <v/>
      </c>
      <c r="E443" s="20" t="str">
        <f>IF($G443="","",INDEX('Liste des élèves'!$J$4:$J$1363,$G443))</f>
        <v/>
      </c>
      <c r="F443" s="51" t="str">
        <f>IF($G443="","",INDEX('Liste des élèves'!$P$4:$P$1363,$G443)+INDEX('Liste des élèves'!$T$4:$T$1363,$G443))</f>
        <v/>
      </c>
      <c r="G443" s="49" t="str">
        <f>IF(G442="","",IFERROR(G442+MATCH("En retard",INDEX('Liste des élèves'!$Q$4:$Q$1363,G442+1):'Liste des élèves'!$Q$1363,0),""))</f>
        <v/>
      </c>
    </row>
    <row r="444">
      <c r="A444" s="20" t="str">
        <f>IF($G444="","",INDEX('Liste des élèves'!$A$4:$A$1363,$G444))</f>
        <v/>
      </c>
      <c r="B444" s="20" t="str">
        <f>IF($G444="","",INDEX('Liste des élèves'!$D$4:$D$1363,$G444))</f>
        <v/>
      </c>
      <c r="C444" s="21" t="str">
        <f>IF($G444="","",INDEX('Liste des élèves'!$E$4:$E$1363,$G444))</f>
        <v/>
      </c>
      <c r="D444" s="20" t="str">
        <f>IF($G444="","",INDEX('Liste des élèves'!$I$4:$I$1363,$G444))</f>
        <v/>
      </c>
      <c r="E444" s="20" t="str">
        <f>IF($G444="","",INDEX('Liste des élèves'!$J$4:$J$1363,$G444))</f>
        <v/>
      </c>
      <c r="F444" s="51" t="str">
        <f>IF($G444="","",INDEX('Liste des élèves'!$P$4:$P$1363,$G444)+INDEX('Liste des élèves'!$T$4:$T$1363,$G444))</f>
        <v/>
      </c>
      <c r="G444" s="49" t="str">
        <f>IF(G443="","",IFERROR(G443+MATCH("En retard",INDEX('Liste des élèves'!$Q$4:$Q$1363,G443+1):'Liste des élèves'!$Q$1363,0),""))</f>
        <v/>
      </c>
    </row>
    <row r="445">
      <c r="A445" s="20" t="str">
        <f>IF($G445="","",INDEX('Liste des élèves'!$A$4:$A$1363,$G445))</f>
        <v/>
      </c>
      <c r="B445" s="20" t="str">
        <f>IF($G445="","",INDEX('Liste des élèves'!$D$4:$D$1363,$G445))</f>
        <v/>
      </c>
      <c r="C445" s="21" t="str">
        <f>IF($G445="","",INDEX('Liste des élèves'!$E$4:$E$1363,$G445))</f>
        <v/>
      </c>
      <c r="D445" s="20" t="str">
        <f>IF($G445="","",INDEX('Liste des élèves'!$I$4:$I$1363,$G445))</f>
        <v/>
      </c>
      <c r="E445" s="20" t="str">
        <f>IF($G445="","",INDEX('Liste des élèves'!$J$4:$J$1363,$G445))</f>
        <v/>
      </c>
      <c r="F445" s="51" t="str">
        <f>IF($G445="","",INDEX('Liste des élèves'!$P$4:$P$1363,$G445)+INDEX('Liste des élèves'!$T$4:$T$1363,$G445))</f>
        <v/>
      </c>
      <c r="G445" s="49" t="str">
        <f>IF(G444="","",IFERROR(G444+MATCH("En retard",INDEX('Liste des élèves'!$Q$4:$Q$1363,G444+1):'Liste des élèves'!$Q$1363,0),""))</f>
        <v/>
      </c>
    </row>
    <row r="446">
      <c r="A446" s="20" t="str">
        <f>IF($G446="","",INDEX('Liste des élèves'!$A$4:$A$1363,$G446))</f>
        <v/>
      </c>
      <c r="B446" s="20" t="str">
        <f>IF($G446="","",INDEX('Liste des élèves'!$D$4:$D$1363,$G446))</f>
        <v/>
      </c>
      <c r="C446" s="21" t="str">
        <f>IF($G446="","",INDEX('Liste des élèves'!$E$4:$E$1363,$G446))</f>
        <v/>
      </c>
      <c r="D446" s="20" t="str">
        <f>IF($G446="","",INDEX('Liste des élèves'!$I$4:$I$1363,$G446))</f>
        <v/>
      </c>
      <c r="E446" s="20" t="str">
        <f>IF($G446="","",INDEX('Liste des élèves'!$J$4:$J$1363,$G446))</f>
        <v/>
      </c>
      <c r="F446" s="51" t="str">
        <f>IF($G446="","",INDEX('Liste des élèves'!$P$4:$P$1363,$G446)+INDEX('Liste des élèves'!$T$4:$T$1363,$G446))</f>
        <v/>
      </c>
      <c r="G446" s="49" t="str">
        <f>IF(G445="","",IFERROR(G445+MATCH("En retard",INDEX('Liste des élèves'!$Q$4:$Q$1363,G445+1):'Liste des élèves'!$Q$1363,0),""))</f>
        <v/>
      </c>
    </row>
    <row r="447">
      <c r="A447" s="20" t="str">
        <f>IF($G447="","",INDEX('Liste des élèves'!$A$4:$A$1363,$G447))</f>
        <v/>
      </c>
      <c r="B447" s="20" t="str">
        <f>IF($G447="","",INDEX('Liste des élèves'!$D$4:$D$1363,$G447))</f>
        <v/>
      </c>
      <c r="C447" s="21" t="str">
        <f>IF($G447="","",INDEX('Liste des élèves'!$E$4:$E$1363,$G447))</f>
        <v/>
      </c>
      <c r="D447" s="20" t="str">
        <f>IF($G447="","",INDEX('Liste des élèves'!$I$4:$I$1363,$G447))</f>
        <v/>
      </c>
      <c r="E447" s="20" t="str">
        <f>IF($G447="","",INDEX('Liste des élèves'!$J$4:$J$1363,$G447))</f>
        <v/>
      </c>
      <c r="F447" s="51" t="str">
        <f>IF($G447="","",INDEX('Liste des élèves'!$P$4:$P$1363,$G447)+INDEX('Liste des élèves'!$T$4:$T$1363,$G447))</f>
        <v/>
      </c>
      <c r="G447" s="49" t="str">
        <f>IF(G446="","",IFERROR(G446+MATCH("En retard",INDEX('Liste des élèves'!$Q$4:$Q$1363,G446+1):'Liste des élèves'!$Q$1363,0),""))</f>
        <v/>
      </c>
    </row>
    <row r="448">
      <c r="A448" s="20" t="str">
        <f>IF($G448="","",INDEX('Liste des élèves'!$A$4:$A$1363,$G448))</f>
        <v/>
      </c>
      <c r="B448" s="20" t="str">
        <f>IF($G448="","",INDEX('Liste des élèves'!$D$4:$D$1363,$G448))</f>
        <v/>
      </c>
      <c r="C448" s="21" t="str">
        <f>IF($G448="","",INDEX('Liste des élèves'!$E$4:$E$1363,$G448))</f>
        <v/>
      </c>
      <c r="D448" s="20" t="str">
        <f>IF($G448="","",INDEX('Liste des élèves'!$I$4:$I$1363,$G448))</f>
        <v/>
      </c>
      <c r="E448" s="20" t="str">
        <f>IF($G448="","",INDEX('Liste des élèves'!$J$4:$J$1363,$G448))</f>
        <v/>
      </c>
      <c r="F448" s="51" t="str">
        <f>IF($G448="","",INDEX('Liste des élèves'!$P$4:$P$1363,$G448)+INDEX('Liste des élèves'!$T$4:$T$1363,$G448))</f>
        <v/>
      </c>
      <c r="G448" s="49" t="str">
        <f>IF(G447="","",IFERROR(G447+MATCH("En retard",INDEX('Liste des élèves'!$Q$4:$Q$1363,G447+1):'Liste des élèves'!$Q$1363,0),""))</f>
        <v/>
      </c>
    </row>
    <row r="449">
      <c r="A449" s="20" t="str">
        <f>IF($G449="","",INDEX('Liste des élèves'!$A$4:$A$1363,$G449))</f>
        <v/>
      </c>
      <c r="B449" s="20" t="str">
        <f>IF($G449="","",INDEX('Liste des élèves'!$D$4:$D$1363,$G449))</f>
        <v/>
      </c>
      <c r="C449" s="21" t="str">
        <f>IF($G449="","",INDEX('Liste des élèves'!$E$4:$E$1363,$G449))</f>
        <v/>
      </c>
      <c r="D449" s="20" t="str">
        <f>IF($G449="","",INDEX('Liste des élèves'!$I$4:$I$1363,$G449))</f>
        <v/>
      </c>
      <c r="E449" s="20" t="str">
        <f>IF($G449="","",INDEX('Liste des élèves'!$J$4:$J$1363,$G449))</f>
        <v/>
      </c>
      <c r="F449" s="51" t="str">
        <f>IF($G449="","",INDEX('Liste des élèves'!$P$4:$P$1363,$G449)+INDEX('Liste des élèves'!$T$4:$T$1363,$G449))</f>
        <v/>
      </c>
      <c r="G449" s="49" t="str">
        <f>IF(G448="","",IFERROR(G448+MATCH("En retard",INDEX('Liste des élèves'!$Q$4:$Q$1363,G448+1):'Liste des élèves'!$Q$1363,0),""))</f>
        <v/>
      </c>
    </row>
    <row r="450">
      <c r="A450" s="20" t="str">
        <f>IF($G450="","",INDEX('Liste des élèves'!$A$4:$A$1363,$G450))</f>
        <v/>
      </c>
      <c r="B450" s="20" t="str">
        <f>IF($G450="","",INDEX('Liste des élèves'!$D$4:$D$1363,$G450))</f>
        <v/>
      </c>
      <c r="C450" s="21" t="str">
        <f>IF($G450="","",INDEX('Liste des élèves'!$E$4:$E$1363,$G450))</f>
        <v/>
      </c>
      <c r="D450" s="20" t="str">
        <f>IF($G450="","",INDEX('Liste des élèves'!$I$4:$I$1363,$G450))</f>
        <v/>
      </c>
      <c r="E450" s="20" t="str">
        <f>IF($G450="","",INDEX('Liste des élèves'!$J$4:$J$1363,$G450))</f>
        <v/>
      </c>
      <c r="F450" s="51" t="str">
        <f>IF($G450="","",INDEX('Liste des élèves'!$P$4:$P$1363,$G450)+INDEX('Liste des élèves'!$T$4:$T$1363,$G450))</f>
        <v/>
      </c>
      <c r="G450" s="49" t="str">
        <f>IF(G449="","",IFERROR(G449+MATCH("En retard",INDEX('Liste des élèves'!$Q$4:$Q$1363,G449+1):'Liste des élèves'!$Q$1363,0),""))</f>
        <v/>
      </c>
    </row>
    <row r="451">
      <c r="A451" s="20" t="str">
        <f>IF($G451="","",INDEX('Liste des élèves'!$A$4:$A$1363,$G451))</f>
        <v/>
      </c>
      <c r="B451" s="20" t="str">
        <f>IF($G451="","",INDEX('Liste des élèves'!$D$4:$D$1363,$G451))</f>
        <v/>
      </c>
      <c r="C451" s="21" t="str">
        <f>IF($G451="","",INDEX('Liste des élèves'!$E$4:$E$1363,$G451))</f>
        <v/>
      </c>
      <c r="D451" s="20" t="str">
        <f>IF($G451="","",INDEX('Liste des élèves'!$I$4:$I$1363,$G451))</f>
        <v/>
      </c>
      <c r="E451" s="20" t="str">
        <f>IF($G451="","",INDEX('Liste des élèves'!$J$4:$J$1363,$G451))</f>
        <v/>
      </c>
      <c r="F451" s="51" t="str">
        <f>IF($G451="","",INDEX('Liste des élèves'!$P$4:$P$1363,$G451)+INDEX('Liste des élèves'!$T$4:$T$1363,$G451))</f>
        <v/>
      </c>
      <c r="G451" s="49" t="str">
        <f>IF(G450="","",IFERROR(G450+MATCH("En retard",INDEX('Liste des élèves'!$Q$4:$Q$1363,G450+1):'Liste des élèves'!$Q$1363,0),""))</f>
        <v/>
      </c>
    </row>
    <row r="452">
      <c r="A452" s="20" t="str">
        <f>IF($G452="","",INDEX('Liste des élèves'!$A$4:$A$1363,$G452))</f>
        <v/>
      </c>
      <c r="B452" s="20" t="str">
        <f>IF($G452="","",INDEX('Liste des élèves'!$D$4:$D$1363,$G452))</f>
        <v/>
      </c>
      <c r="C452" s="21" t="str">
        <f>IF($G452="","",INDEX('Liste des élèves'!$E$4:$E$1363,$G452))</f>
        <v/>
      </c>
      <c r="D452" s="20" t="str">
        <f>IF($G452="","",INDEX('Liste des élèves'!$I$4:$I$1363,$G452))</f>
        <v/>
      </c>
      <c r="E452" s="20" t="str">
        <f>IF($G452="","",INDEX('Liste des élèves'!$J$4:$J$1363,$G452))</f>
        <v/>
      </c>
      <c r="F452" s="51" t="str">
        <f>IF($G452="","",INDEX('Liste des élèves'!$P$4:$P$1363,$G452)+INDEX('Liste des élèves'!$T$4:$T$1363,$G452))</f>
        <v/>
      </c>
      <c r="G452" s="49" t="str">
        <f>IF(G451="","",IFERROR(G451+MATCH("En retard",INDEX('Liste des élèves'!$Q$4:$Q$1363,G451+1):'Liste des élèves'!$Q$1363,0),""))</f>
        <v/>
      </c>
    </row>
    <row r="453">
      <c r="A453" s="20" t="str">
        <f>IF($G453="","",INDEX('Liste des élèves'!$A$4:$A$1363,$G453))</f>
        <v/>
      </c>
      <c r="B453" s="20" t="str">
        <f>IF($G453="","",INDEX('Liste des élèves'!$D$4:$D$1363,$G453))</f>
        <v/>
      </c>
      <c r="C453" s="21" t="str">
        <f>IF($G453="","",INDEX('Liste des élèves'!$E$4:$E$1363,$G453))</f>
        <v/>
      </c>
      <c r="D453" s="20" t="str">
        <f>IF($G453="","",INDEX('Liste des élèves'!$I$4:$I$1363,$G453))</f>
        <v/>
      </c>
      <c r="E453" s="20" t="str">
        <f>IF($G453="","",INDEX('Liste des élèves'!$J$4:$J$1363,$G453))</f>
        <v/>
      </c>
      <c r="F453" s="51" t="str">
        <f>IF($G453="","",INDEX('Liste des élèves'!$P$4:$P$1363,$G453)+INDEX('Liste des élèves'!$T$4:$T$1363,$G453))</f>
        <v/>
      </c>
      <c r="G453" s="49" t="str">
        <f>IF(G452="","",IFERROR(G452+MATCH("En retard",INDEX('Liste des élèves'!$Q$4:$Q$1363,G452+1):'Liste des élèves'!$Q$1363,0),""))</f>
        <v/>
      </c>
    </row>
    <row r="454">
      <c r="A454" s="20" t="str">
        <f>IF($G454="","",INDEX('Liste des élèves'!$A$4:$A$1363,$G454))</f>
        <v/>
      </c>
      <c r="B454" s="20" t="str">
        <f>IF($G454="","",INDEX('Liste des élèves'!$D$4:$D$1363,$G454))</f>
        <v/>
      </c>
      <c r="C454" s="21" t="str">
        <f>IF($G454="","",INDEX('Liste des élèves'!$E$4:$E$1363,$G454))</f>
        <v/>
      </c>
      <c r="D454" s="20" t="str">
        <f>IF($G454="","",INDEX('Liste des élèves'!$I$4:$I$1363,$G454))</f>
        <v/>
      </c>
      <c r="E454" s="20" t="str">
        <f>IF($G454="","",INDEX('Liste des élèves'!$J$4:$J$1363,$G454))</f>
        <v/>
      </c>
      <c r="F454" s="51" t="str">
        <f>IF($G454="","",INDEX('Liste des élèves'!$P$4:$P$1363,$G454)+INDEX('Liste des élèves'!$T$4:$T$1363,$G454))</f>
        <v/>
      </c>
      <c r="G454" s="49" t="str">
        <f>IF(G453="","",IFERROR(G453+MATCH("En retard",INDEX('Liste des élèves'!$Q$4:$Q$1363,G453+1):'Liste des élèves'!$Q$1363,0),""))</f>
        <v/>
      </c>
    </row>
    <row r="455">
      <c r="A455" s="20" t="str">
        <f>IF($G455="","",INDEX('Liste des élèves'!$A$4:$A$1363,$G455))</f>
        <v/>
      </c>
      <c r="B455" s="20" t="str">
        <f>IF($G455="","",INDEX('Liste des élèves'!$D$4:$D$1363,$G455))</f>
        <v/>
      </c>
      <c r="C455" s="21" t="str">
        <f>IF($G455="","",INDEX('Liste des élèves'!$E$4:$E$1363,$G455))</f>
        <v/>
      </c>
      <c r="D455" s="20" t="str">
        <f>IF($G455="","",INDEX('Liste des élèves'!$I$4:$I$1363,$G455))</f>
        <v/>
      </c>
      <c r="E455" s="20" t="str">
        <f>IF($G455="","",INDEX('Liste des élèves'!$J$4:$J$1363,$G455))</f>
        <v/>
      </c>
      <c r="F455" s="51" t="str">
        <f>IF($G455="","",INDEX('Liste des élèves'!$P$4:$P$1363,$G455)+INDEX('Liste des élèves'!$T$4:$T$1363,$G455))</f>
        <v/>
      </c>
      <c r="G455" s="49" t="str">
        <f>IF(G454="","",IFERROR(G454+MATCH("En retard",INDEX('Liste des élèves'!$Q$4:$Q$1363,G454+1):'Liste des élèves'!$Q$1363,0),""))</f>
        <v/>
      </c>
    </row>
    <row r="456">
      <c r="A456" s="20" t="str">
        <f>IF($G456="","",INDEX('Liste des élèves'!$A$4:$A$1363,$G456))</f>
        <v/>
      </c>
      <c r="B456" s="20" t="str">
        <f>IF($G456="","",INDEX('Liste des élèves'!$D$4:$D$1363,$G456))</f>
        <v/>
      </c>
      <c r="C456" s="21" t="str">
        <f>IF($G456="","",INDEX('Liste des élèves'!$E$4:$E$1363,$G456))</f>
        <v/>
      </c>
      <c r="D456" s="20" t="str">
        <f>IF($G456="","",INDEX('Liste des élèves'!$I$4:$I$1363,$G456))</f>
        <v/>
      </c>
      <c r="E456" s="20" t="str">
        <f>IF($G456="","",INDEX('Liste des élèves'!$J$4:$J$1363,$G456))</f>
        <v/>
      </c>
      <c r="F456" s="51" t="str">
        <f>IF($G456="","",INDEX('Liste des élèves'!$P$4:$P$1363,$G456)+INDEX('Liste des élèves'!$T$4:$T$1363,$G456))</f>
        <v/>
      </c>
      <c r="G456" s="49" t="str">
        <f>IF(G455="","",IFERROR(G455+MATCH("En retard",INDEX('Liste des élèves'!$Q$4:$Q$1363,G455+1):'Liste des élèves'!$Q$1363,0),""))</f>
        <v/>
      </c>
    </row>
    <row r="457">
      <c r="A457" s="20" t="str">
        <f>IF($G457="","",INDEX('Liste des élèves'!$A$4:$A$1363,$G457))</f>
        <v/>
      </c>
      <c r="B457" s="20" t="str">
        <f>IF($G457="","",INDEX('Liste des élèves'!$D$4:$D$1363,$G457))</f>
        <v/>
      </c>
      <c r="C457" s="21" t="str">
        <f>IF($G457="","",INDEX('Liste des élèves'!$E$4:$E$1363,$G457))</f>
        <v/>
      </c>
      <c r="D457" s="20" t="str">
        <f>IF($G457="","",INDEX('Liste des élèves'!$I$4:$I$1363,$G457))</f>
        <v/>
      </c>
      <c r="E457" s="20" t="str">
        <f>IF($G457="","",INDEX('Liste des élèves'!$J$4:$J$1363,$G457))</f>
        <v/>
      </c>
      <c r="F457" s="51" t="str">
        <f>IF($G457="","",INDEX('Liste des élèves'!$P$4:$P$1363,$G457)+INDEX('Liste des élèves'!$T$4:$T$1363,$G457))</f>
        <v/>
      </c>
      <c r="G457" s="49" t="str">
        <f>IF(G456="","",IFERROR(G456+MATCH("En retard",INDEX('Liste des élèves'!$Q$4:$Q$1363,G456+1):'Liste des élèves'!$Q$1363,0),""))</f>
        <v/>
      </c>
    </row>
    <row r="458">
      <c r="A458" s="20" t="str">
        <f>IF($G458="","",INDEX('Liste des élèves'!$A$4:$A$1363,$G458))</f>
        <v/>
      </c>
      <c r="B458" s="20" t="str">
        <f>IF($G458="","",INDEX('Liste des élèves'!$D$4:$D$1363,$G458))</f>
        <v/>
      </c>
      <c r="C458" s="21" t="str">
        <f>IF($G458="","",INDEX('Liste des élèves'!$E$4:$E$1363,$G458))</f>
        <v/>
      </c>
      <c r="D458" s="20" t="str">
        <f>IF($G458="","",INDEX('Liste des élèves'!$I$4:$I$1363,$G458))</f>
        <v/>
      </c>
      <c r="E458" s="20" t="str">
        <f>IF($G458="","",INDEX('Liste des élèves'!$J$4:$J$1363,$G458))</f>
        <v/>
      </c>
      <c r="F458" s="51" t="str">
        <f>IF($G458="","",INDEX('Liste des élèves'!$P$4:$P$1363,$G458)+INDEX('Liste des élèves'!$T$4:$T$1363,$G458))</f>
        <v/>
      </c>
      <c r="G458" s="49" t="str">
        <f>IF(G457="","",IFERROR(G457+MATCH("En retard",INDEX('Liste des élèves'!$Q$4:$Q$1363,G457+1):'Liste des élèves'!$Q$1363,0),""))</f>
        <v/>
      </c>
    </row>
    <row r="459">
      <c r="A459" s="20" t="str">
        <f>IF($G459="","",INDEX('Liste des élèves'!$A$4:$A$1363,$G459))</f>
        <v/>
      </c>
      <c r="B459" s="20" t="str">
        <f>IF($G459="","",INDEX('Liste des élèves'!$D$4:$D$1363,$G459))</f>
        <v/>
      </c>
      <c r="C459" s="21" t="str">
        <f>IF($G459="","",INDEX('Liste des élèves'!$E$4:$E$1363,$G459))</f>
        <v/>
      </c>
      <c r="D459" s="20" t="str">
        <f>IF($G459="","",INDEX('Liste des élèves'!$I$4:$I$1363,$G459))</f>
        <v/>
      </c>
      <c r="E459" s="20" t="str">
        <f>IF($G459="","",INDEX('Liste des élèves'!$J$4:$J$1363,$G459))</f>
        <v/>
      </c>
      <c r="F459" s="51" t="str">
        <f>IF($G459="","",INDEX('Liste des élèves'!$P$4:$P$1363,$G459)+INDEX('Liste des élèves'!$T$4:$T$1363,$G459))</f>
        <v/>
      </c>
      <c r="G459" s="49" t="str">
        <f>IF(G458="","",IFERROR(G458+MATCH("En retard",INDEX('Liste des élèves'!$Q$4:$Q$1363,G458+1):'Liste des élèves'!$Q$1363,0),""))</f>
        <v/>
      </c>
    </row>
    <row r="460">
      <c r="A460" s="20" t="str">
        <f>IF($G460="","",INDEX('Liste des élèves'!$A$4:$A$1363,$G460))</f>
        <v/>
      </c>
      <c r="B460" s="20" t="str">
        <f>IF($G460="","",INDEX('Liste des élèves'!$D$4:$D$1363,$G460))</f>
        <v/>
      </c>
      <c r="C460" s="21" t="str">
        <f>IF($G460="","",INDEX('Liste des élèves'!$E$4:$E$1363,$G460))</f>
        <v/>
      </c>
      <c r="D460" s="20" t="str">
        <f>IF($G460="","",INDEX('Liste des élèves'!$I$4:$I$1363,$G460))</f>
        <v/>
      </c>
      <c r="E460" s="20" t="str">
        <f>IF($G460="","",INDEX('Liste des élèves'!$J$4:$J$1363,$G460))</f>
        <v/>
      </c>
      <c r="F460" s="51" t="str">
        <f>IF($G460="","",INDEX('Liste des élèves'!$P$4:$P$1363,$G460)+INDEX('Liste des élèves'!$T$4:$T$1363,$G460))</f>
        <v/>
      </c>
      <c r="G460" s="49" t="str">
        <f>IF(G459="","",IFERROR(G459+MATCH("En retard",INDEX('Liste des élèves'!$Q$4:$Q$1363,G459+1):'Liste des élèves'!$Q$1363,0),""))</f>
        <v/>
      </c>
    </row>
    <row r="461">
      <c r="A461" s="20" t="str">
        <f>IF($G461="","",INDEX('Liste des élèves'!$A$4:$A$1363,$G461))</f>
        <v/>
      </c>
      <c r="B461" s="20" t="str">
        <f>IF($G461="","",INDEX('Liste des élèves'!$D$4:$D$1363,$G461))</f>
        <v/>
      </c>
      <c r="C461" s="21" t="str">
        <f>IF($G461="","",INDEX('Liste des élèves'!$E$4:$E$1363,$G461))</f>
        <v/>
      </c>
      <c r="D461" s="20" t="str">
        <f>IF($G461="","",INDEX('Liste des élèves'!$I$4:$I$1363,$G461))</f>
        <v/>
      </c>
      <c r="E461" s="20" t="str">
        <f>IF($G461="","",INDEX('Liste des élèves'!$J$4:$J$1363,$G461))</f>
        <v/>
      </c>
      <c r="F461" s="51" t="str">
        <f>IF($G461="","",INDEX('Liste des élèves'!$P$4:$P$1363,$G461)+INDEX('Liste des élèves'!$T$4:$T$1363,$G461))</f>
        <v/>
      </c>
      <c r="G461" s="49" t="str">
        <f>IF(G460="","",IFERROR(G460+MATCH("En retard",INDEX('Liste des élèves'!$Q$4:$Q$1363,G460+1):'Liste des élèves'!$Q$1363,0),""))</f>
        <v/>
      </c>
    </row>
    <row r="462">
      <c r="A462" s="20" t="str">
        <f>IF($G462="","",INDEX('Liste des élèves'!$A$4:$A$1363,$G462))</f>
        <v/>
      </c>
      <c r="B462" s="20" t="str">
        <f>IF($G462="","",INDEX('Liste des élèves'!$D$4:$D$1363,$G462))</f>
        <v/>
      </c>
      <c r="C462" s="21" t="str">
        <f>IF($G462="","",INDEX('Liste des élèves'!$E$4:$E$1363,$G462))</f>
        <v/>
      </c>
      <c r="D462" s="20" t="str">
        <f>IF($G462="","",INDEX('Liste des élèves'!$I$4:$I$1363,$G462))</f>
        <v/>
      </c>
      <c r="E462" s="20" t="str">
        <f>IF($G462="","",INDEX('Liste des élèves'!$J$4:$J$1363,$G462))</f>
        <v/>
      </c>
      <c r="F462" s="51" t="str">
        <f>IF($G462="","",INDEX('Liste des élèves'!$P$4:$P$1363,$G462)+INDEX('Liste des élèves'!$T$4:$T$1363,$G462))</f>
        <v/>
      </c>
      <c r="G462" s="49" t="str">
        <f>IF(G461="","",IFERROR(G461+MATCH("En retard",INDEX('Liste des élèves'!$Q$4:$Q$1363,G461+1):'Liste des élèves'!$Q$1363,0),""))</f>
        <v/>
      </c>
    </row>
    <row r="463">
      <c r="A463" s="20" t="str">
        <f>IF($G463="","",INDEX('Liste des élèves'!$A$4:$A$1363,$G463))</f>
        <v/>
      </c>
      <c r="B463" s="20" t="str">
        <f>IF($G463="","",INDEX('Liste des élèves'!$D$4:$D$1363,$G463))</f>
        <v/>
      </c>
      <c r="C463" s="21" t="str">
        <f>IF($G463="","",INDEX('Liste des élèves'!$E$4:$E$1363,$G463))</f>
        <v/>
      </c>
      <c r="D463" s="20" t="str">
        <f>IF($G463="","",INDEX('Liste des élèves'!$I$4:$I$1363,$G463))</f>
        <v/>
      </c>
      <c r="E463" s="20" t="str">
        <f>IF($G463="","",INDEX('Liste des élèves'!$J$4:$J$1363,$G463))</f>
        <v/>
      </c>
      <c r="F463" s="51" t="str">
        <f>IF($G463="","",INDEX('Liste des élèves'!$P$4:$P$1363,$G463)+INDEX('Liste des élèves'!$T$4:$T$1363,$G463))</f>
        <v/>
      </c>
      <c r="G463" s="49" t="str">
        <f>IF(G462="","",IFERROR(G462+MATCH("En retard",INDEX('Liste des élèves'!$Q$4:$Q$1363,G462+1):'Liste des élèves'!$Q$1363,0),""))</f>
        <v/>
      </c>
    </row>
    <row r="464">
      <c r="A464" s="20" t="str">
        <f>IF($G464="","",INDEX('Liste des élèves'!$A$4:$A$1363,$G464))</f>
        <v/>
      </c>
      <c r="B464" s="20" t="str">
        <f>IF($G464="","",INDEX('Liste des élèves'!$D$4:$D$1363,$G464))</f>
        <v/>
      </c>
      <c r="C464" s="21" t="str">
        <f>IF($G464="","",INDEX('Liste des élèves'!$E$4:$E$1363,$G464))</f>
        <v/>
      </c>
      <c r="D464" s="20" t="str">
        <f>IF($G464="","",INDEX('Liste des élèves'!$I$4:$I$1363,$G464))</f>
        <v/>
      </c>
      <c r="E464" s="20" t="str">
        <f>IF($G464="","",INDEX('Liste des élèves'!$J$4:$J$1363,$G464))</f>
        <v/>
      </c>
      <c r="F464" s="51" t="str">
        <f>IF($G464="","",INDEX('Liste des élèves'!$P$4:$P$1363,$G464)+INDEX('Liste des élèves'!$T$4:$T$1363,$G464))</f>
        <v/>
      </c>
      <c r="G464" s="49" t="str">
        <f>IF(G463="","",IFERROR(G463+MATCH("En retard",INDEX('Liste des élèves'!$Q$4:$Q$1363,G463+1):'Liste des élèves'!$Q$1363,0),""))</f>
        <v/>
      </c>
    </row>
    <row r="465">
      <c r="A465" s="20" t="str">
        <f>IF($G465="","",INDEX('Liste des élèves'!$A$4:$A$1363,$G465))</f>
        <v/>
      </c>
      <c r="B465" s="20" t="str">
        <f>IF($G465="","",INDEX('Liste des élèves'!$D$4:$D$1363,$G465))</f>
        <v/>
      </c>
      <c r="C465" s="21" t="str">
        <f>IF($G465="","",INDEX('Liste des élèves'!$E$4:$E$1363,$G465))</f>
        <v/>
      </c>
      <c r="D465" s="20" t="str">
        <f>IF($G465="","",INDEX('Liste des élèves'!$I$4:$I$1363,$G465))</f>
        <v/>
      </c>
      <c r="E465" s="20" t="str">
        <f>IF($G465="","",INDEX('Liste des élèves'!$J$4:$J$1363,$G465))</f>
        <v/>
      </c>
      <c r="F465" s="51" t="str">
        <f>IF($G465="","",INDEX('Liste des élèves'!$P$4:$P$1363,$G465)+INDEX('Liste des élèves'!$T$4:$T$1363,$G465))</f>
        <v/>
      </c>
      <c r="G465" s="49" t="str">
        <f>IF(G464="","",IFERROR(G464+MATCH("En retard",INDEX('Liste des élèves'!$Q$4:$Q$1363,G464+1):'Liste des élèves'!$Q$1363,0),""))</f>
        <v/>
      </c>
    </row>
    <row r="466">
      <c r="A466" s="20" t="str">
        <f>IF($G466="","",INDEX('Liste des élèves'!$A$4:$A$1363,$G466))</f>
        <v/>
      </c>
      <c r="B466" s="20" t="str">
        <f>IF($G466="","",INDEX('Liste des élèves'!$D$4:$D$1363,$G466))</f>
        <v/>
      </c>
      <c r="C466" s="21" t="str">
        <f>IF($G466="","",INDEX('Liste des élèves'!$E$4:$E$1363,$G466))</f>
        <v/>
      </c>
      <c r="D466" s="20" t="str">
        <f>IF($G466="","",INDEX('Liste des élèves'!$I$4:$I$1363,$G466))</f>
        <v/>
      </c>
      <c r="E466" s="20" t="str">
        <f>IF($G466="","",INDEX('Liste des élèves'!$J$4:$J$1363,$G466))</f>
        <v/>
      </c>
      <c r="F466" s="51" t="str">
        <f>IF($G466="","",INDEX('Liste des élèves'!$P$4:$P$1363,$G466)+INDEX('Liste des élèves'!$T$4:$T$1363,$G466))</f>
        <v/>
      </c>
      <c r="G466" s="49" t="str">
        <f>IF(G465="","",IFERROR(G465+MATCH("En retard",INDEX('Liste des élèves'!$Q$4:$Q$1363,G465+1):'Liste des élèves'!$Q$1363,0),""))</f>
        <v/>
      </c>
    </row>
    <row r="467">
      <c r="A467" s="20" t="str">
        <f>IF($G467="","",INDEX('Liste des élèves'!$A$4:$A$1363,$G467))</f>
        <v/>
      </c>
      <c r="B467" s="20" t="str">
        <f>IF($G467="","",INDEX('Liste des élèves'!$D$4:$D$1363,$G467))</f>
        <v/>
      </c>
      <c r="C467" s="21" t="str">
        <f>IF($G467="","",INDEX('Liste des élèves'!$E$4:$E$1363,$G467))</f>
        <v/>
      </c>
      <c r="D467" s="20" t="str">
        <f>IF($G467="","",INDEX('Liste des élèves'!$I$4:$I$1363,$G467))</f>
        <v/>
      </c>
      <c r="E467" s="20" t="str">
        <f>IF($G467="","",INDEX('Liste des élèves'!$J$4:$J$1363,$G467))</f>
        <v/>
      </c>
      <c r="F467" s="51" t="str">
        <f>IF($G467="","",INDEX('Liste des élèves'!$P$4:$P$1363,$G467)+INDEX('Liste des élèves'!$T$4:$T$1363,$G467))</f>
        <v/>
      </c>
      <c r="G467" s="49" t="str">
        <f>IF(G466="","",IFERROR(G466+MATCH("En retard",INDEX('Liste des élèves'!$Q$4:$Q$1363,G466+1):'Liste des élèves'!$Q$1363,0),""))</f>
        <v/>
      </c>
    </row>
    <row r="468">
      <c r="A468" s="20" t="str">
        <f>IF($G468="","",INDEX('Liste des élèves'!$A$4:$A$1363,$G468))</f>
        <v/>
      </c>
      <c r="B468" s="20" t="str">
        <f>IF($G468="","",INDEX('Liste des élèves'!$D$4:$D$1363,$G468))</f>
        <v/>
      </c>
      <c r="C468" s="21" t="str">
        <f>IF($G468="","",INDEX('Liste des élèves'!$E$4:$E$1363,$G468))</f>
        <v/>
      </c>
      <c r="D468" s="20" t="str">
        <f>IF($G468="","",INDEX('Liste des élèves'!$I$4:$I$1363,$G468))</f>
        <v/>
      </c>
      <c r="E468" s="20" t="str">
        <f>IF($G468="","",INDEX('Liste des élèves'!$J$4:$J$1363,$G468))</f>
        <v/>
      </c>
      <c r="F468" s="51" t="str">
        <f>IF($G468="","",INDEX('Liste des élèves'!$P$4:$P$1363,$G468)+INDEX('Liste des élèves'!$T$4:$T$1363,$G468))</f>
        <v/>
      </c>
      <c r="G468" s="49" t="str">
        <f>IF(G467="","",IFERROR(G467+MATCH("En retard",INDEX('Liste des élèves'!$Q$4:$Q$1363,G467+1):'Liste des élèves'!$Q$1363,0),""))</f>
        <v/>
      </c>
    </row>
    <row r="469">
      <c r="A469" s="20" t="str">
        <f>IF($G469="","",INDEX('Liste des élèves'!$A$4:$A$1363,$G469))</f>
        <v/>
      </c>
      <c r="B469" s="20" t="str">
        <f>IF($G469="","",INDEX('Liste des élèves'!$D$4:$D$1363,$G469))</f>
        <v/>
      </c>
      <c r="C469" s="21" t="str">
        <f>IF($G469="","",INDEX('Liste des élèves'!$E$4:$E$1363,$G469))</f>
        <v/>
      </c>
      <c r="D469" s="20" t="str">
        <f>IF($G469="","",INDEX('Liste des élèves'!$I$4:$I$1363,$G469))</f>
        <v/>
      </c>
      <c r="E469" s="20" t="str">
        <f>IF($G469="","",INDEX('Liste des élèves'!$J$4:$J$1363,$G469))</f>
        <v/>
      </c>
      <c r="F469" s="51" t="str">
        <f>IF($G469="","",INDEX('Liste des élèves'!$P$4:$P$1363,$G469)+INDEX('Liste des élèves'!$T$4:$T$1363,$G469))</f>
        <v/>
      </c>
      <c r="G469" s="49" t="str">
        <f>IF(G468="","",IFERROR(G468+MATCH("En retard",INDEX('Liste des élèves'!$Q$4:$Q$1363,G468+1):'Liste des élèves'!$Q$1363,0),""))</f>
        <v/>
      </c>
    </row>
    <row r="470">
      <c r="A470" s="20" t="str">
        <f>IF($G470="","",INDEX('Liste des élèves'!$A$4:$A$1363,$G470))</f>
        <v/>
      </c>
      <c r="B470" s="20" t="str">
        <f>IF($G470="","",INDEX('Liste des élèves'!$D$4:$D$1363,$G470))</f>
        <v/>
      </c>
      <c r="C470" s="21" t="str">
        <f>IF($G470="","",INDEX('Liste des élèves'!$E$4:$E$1363,$G470))</f>
        <v/>
      </c>
      <c r="D470" s="20" t="str">
        <f>IF($G470="","",INDEX('Liste des élèves'!$I$4:$I$1363,$G470))</f>
        <v/>
      </c>
      <c r="E470" s="20" t="str">
        <f>IF($G470="","",INDEX('Liste des élèves'!$J$4:$J$1363,$G470))</f>
        <v/>
      </c>
      <c r="F470" s="51" t="str">
        <f>IF($G470="","",INDEX('Liste des élèves'!$P$4:$P$1363,$G470)+INDEX('Liste des élèves'!$T$4:$T$1363,$G470))</f>
        <v/>
      </c>
      <c r="G470" s="49" t="str">
        <f>IF(G469="","",IFERROR(G469+MATCH("En retard",INDEX('Liste des élèves'!$Q$4:$Q$1363,G469+1):'Liste des élèves'!$Q$1363,0),""))</f>
        <v/>
      </c>
    </row>
    <row r="471">
      <c r="A471" s="20" t="str">
        <f>IF($G471="","",INDEX('Liste des élèves'!$A$4:$A$1363,$G471))</f>
        <v/>
      </c>
      <c r="B471" s="20" t="str">
        <f>IF($G471="","",INDEX('Liste des élèves'!$D$4:$D$1363,$G471))</f>
        <v/>
      </c>
      <c r="C471" s="21" t="str">
        <f>IF($G471="","",INDEX('Liste des élèves'!$E$4:$E$1363,$G471))</f>
        <v/>
      </c>
      <c r="D471" s="20" t="str">
        <f>IF($G471="","",INDEX('Liste des élèves'!$I$4:$I$1363,$G471))</f>
        <v/>
      </c>
      <c r="E471" s="20" t="str">
        <f>IF($G471="","",INDEX('Liste des élèves'!$J$4:$J$1363,$G471))</f>
        <v/>
      </c>
      <c r="F471" s="51" t="str">
        <f>IF($G471="","",INDEX('Liste des élèves'!$P$4:$P$1363,$G471)+INDEX('Liste des élèves'!$T$4:$T$1363,$G471))</f>
        <v/>
      </c>
      <c r="G471" s="49" t="str">
        <f>IF(G470="","",IFERROR(G470+MATCH("En retard",INDEX('Liste des élèves'!$Q$4:$Q$1363,G470+1):'Liste des élèves'!$Q$1363,0),""))</f>
        <v/>
      </c>
    </row>
    <row r="472">
      <c r="A472" s="20" t="str">
        <f>IF($G472="","",INDEX('Liste des élèves'!$A$4:$A$1363,$G472))</f>
        <v/>
      </c>
      <c r="B472" s="20" t="str">
        <f>IF($G472="","",INDEX('Liste des élèves'!$D$4:$D$1363,$G472))</f>
        <v/>
      </c>
      <c r="C472" s="21" t="str">
        <f>IF($G472="","",INDEX('Liste des élèves'!$E$4:$E$1363,$G472))</f>
        <v/>
      </c>
      <c r="D472" s="20" t="str">
        <f>IF($G472="","",INDEX('Liste des élèves'!$I$4:$I$1363,$G472))</f>
        <v/>
      </c>
      <c r="E472" s="20" t="str">
        <f>IF($G472="","",INDEX('Liste des élèves'!$J$4:$J$1363,$G472))</f>
        <v/>
      </c>
      <c r="F472" s="51" t="str">
        <f>IF($G472="","",INDEX('Liste des élèves'!$P$4:$P$1363,$G472)+INDEX('Liste des élèves'!$T$4:$T$1363,$G472))</f>
        <v/>
      </c>
      <c r="G472" s="49" t="str">
        <f>IF(G471="","",IFERROR(G471+MATCH("En retard",INDEX('Liste des élèves'!$Q$4:$Q$1363,G471+1):'Liste des élèves'!$Q$1363,0),""))</f>
        <v/>
      </c>
    </row>
    <row r="473">
      <c r="A473" s="20" t="str">
        <f>IF($G473="","",INDEX('Liste des élèves'!$A$4:$A$1363,$G473))</f>
        <v/>
      </c>
      <c r="B473" s="20" t="str">
        <f>IF($G473="","",INDEX('Liste des élèves'!$D$4:$D$1363,$G473))</f>
        <v/>
      </c>
      <c r="C473" s="21" t="str">
        <f>IF($G473="","",INDEX('Liste des élèves'!$E$4:$E$1363,$G473))</f>
        <v/>
      </c>
      <c r="D473" s="20" t="str">
        <f>IF($G473="","",INDEX('Liste des élèves'!$I$4:$I$1363,$G473))</f>
        <v/>
      </c>
      <c r="E473" s="20" t="str">
        <f>IF($G473="","",INDEX('Liste des élèves'!$J$4:$J$1363,$G473))</f>
        <v/>
      </c>
      <c r="F473" s="51" t="str">
        <f>IF($G473="","",INDEX('Liste des élèves'!$P$4:$P$1363,$G473)+INDEX('Liste des élèves'!$T$4:$T$1363,$G473))</f>
        <v/>
      </c>
      <c r="G473" s="49" t="str">
        <f>IF(G472="","",IFERROR(G472+MATCH("En retard",INDEX('Liste des élèves'!$Q$4:$Q$1363,G472+1):'Liste des élèves'!$Q$1363,0),""))</f>
        <v/>
      </c>
    </row>
    <row r="474">
      <c r="A474" s="20" t="str">
        <f>IF($G474="","",INDEX('Liste des élèves'!$A$4:$A$1363,$G474))</f>
        <v/>
      </c>
      <c r="B474" s="20" t="str">
        <f>IF($G474="","",INDEX('Liste des élèves'!$D$4:$D$1363,$G474))</f>
        <v/>
      </c>
      <c r="C474" s="21" t="str">
        <f>IF($G474="","",INDEX('Liste des élèves'!$E$4:$E$1363,$G474))</f>
        <v/>
      </c>
      <c r="D474" s="20" t="str">
        <f>IF($G474="","",INDEX('Liste des élèves'!$I$4:$I$1363,$G474))</f>
        <v/>
      </c>
      <c r="E474" s="20" t="str">
        <f>IF($G474="","",INDEX('Liste des élèves'!$J$4:$J$1363,$G474))</f>
        <v/>
      </c>
      <c r="F474" s="51" t="str">
        <f>IF($G474="","",INDEX('Liste des élèves'!$P$4:$P$1363,$G474)+INDEX('Liste des élèves'!$T$4:$T$1363,$G474))</f>
        <v/>
      </c>
      <c r="G474" s="49" t="str">
        <f>IF(G473="","",IFERROR(G473+MATCH("En retard",INDEX('Liste des élèves'!$Q$4:$Q$1363,G473+1):'Liste des élèves'!$Q$1363,0),""))</f>
        <v/>
      </c>
    </row>
    <row r="475">
      <c r="A475" s="20" t="str">
        <f>IF($G475="","",INDEX('Liste des élèves'!$A$4:$A$1363,$G475))</f>
        <v/>
      </c>
      <c r="B475" s="20" t="str">
        <f>IF($G475="","",INDEX('Liste des élèves'!$D$4:$D$1363,$G475))</f>
        <v/>
      </c>
      <c r="C475" s="21" t="str">
        <f>IF($G475="","",INDEX('Liste des élèves'!$E$4:$E$1363,$G475))</f>
        <v/>
      </c>
      <c r="D475" s="20" t="str">
        <f>IF($G475="","",INDEX('Liste des élèves'!$I$4:$I$1363,$G475))</f>
        <v/>
      </c>
      <c r="E475" s="20" t="str">
        <f>IF($G475="","",INDEX('Liste des élèves'!$J$4:$J$1363,$G475))</f>
        <v/>
      </c>
      <c r="F475" s="51" t="str">
        <f>IF($G475="","",INDEX('Liste des élèves'!$P$4:$P$1363,$G475)+INDEX('Liste des élèves'!$T$4:$T$1363,$G475))</f>
        <v/>
      </c>
      <c r="G475" s="49" t="str">
        <f>IF(G474="","",IFERROR(G474+MATCH("En retard",INDEX('Liste des élèves'!$Q$4:$Q$1363,G474+1):'Liste des élèves'!$Q$1363,0),""))</f>
        <v/>
      </c>
    </row>
    <row r="476">
      <c r="A476" s="20" t="str">
        <f>IF($G476="","",INDEX('Liste des élèves'!$A$4:$A$1363,$G476))</f>
        <v/>
      </c>
      <c r="B476" s="20" t="str">
        <f>IF($G476="","",INDEX('Liste des élèves'!$D$4:$D$1363,$G476))</f>
        <v/>
      </c>
      <c r="C476" s="21" t="str">
        <f>IF($G476="","",INDEX('Liste des élèves'!$E$4:$E$1363,$G476))</f>
        <v/>
      </c>
      <c r="D476" s="20" t="str">
        <f>IF($G476="","",INDEX('Liste des élèves'!$I$4:$I$1363,$G476))</f>
        <v/>
      </c>
      <c r="E476" s="20" t="str">
        <f>IF($G476="","",INDEX('Liste des élèves'!$J$4:$J$1363,$G476))</f>
        <v/>
      </c>
      <c r="F476" s="51" t="str">
        <f>IF($G476="","",INDEX('Liste des élèves'!$P$4:$P$1363,$G476)+INDEX('Liste des élèves'!$T$4:$T$1363,$G476))</f>
        <v/>
      </c>
      <c r="G476" s="49" t="str">
        <f>IF(G475="","",IFERROR(G475+MATCH("En retard",INDEX('Liste des élèves'!$Q$4:$Q$1363,G475+1):'Liste des élèves'!$Q$1363,0),""))</f>
        <v/>
      </c>
    </row>
    <row r="477">
      <c r="A477" s="20" t="str">
        <f>IF($G477="","",INDEX('Liste des élèves'!$A$4:$A$1363,$G477))</f>
        <v/>
      </c>
      <c r="B477" s="20" t="str">
        <f>IF($G477="","",INDEX('Liste des élèves'!$D$4:$D$1363,$G477))</f>
        <v/>
      </c>
      <c r="C477" s="21" t="str">
        <f>IF($G477="","",INDEX('Liste des élèves'!$E$4:$E$1363,$G477))</f>
        <v/>
      </c>
      <c r="D477" s="20" t="str">
        <f>IF($G477="","",INDEX('Liste des élèves'!$I$4:$I$1363,$G477))</f>
        <v/>
      </c>
      <c r="E477" s="20" t="str">
        <f>IF($G477="","",INDEX('Liste des élèves'!$J$4:$J$1363,$G477))</f>
        <v/>
      </c>
      <c r="F477" s="51" t="str">
        <f>IF($G477="","",INDEX('Liste des élèves'!$P$4:$P$1363,$G477)+INDEX('Liste des élèves'!$T$4:$T$1363,$G477))</f>
        <v/>
      </c>
      <c r="G477" s="49" t="str">
        <f>IF(G476="","",IFERROR(G476+MATCH("En retard",INDEX('Liste des élèves'!$Q$4:$Q$1363,G476+1):'Liste des élèves'!$Q$1363,0),""))</f>
        <v/>
      </c>
    </row>
    <row r="478">
      <c r="A478" s="20" t="str">
        <f>IF($G478="","",INDEX('Liste des élèves'!$A$4:$A$1363,$G478))</f>
        <v/>
      </c>
      <c r="B478" s="20" t="str">
        <f>IF($G478="","",INDEX('Liste des élèves'!$D$4:$D$1363,$G478))</f>
        <v/>
      </c>
      <c r="C478" s="21" t="str">
        <f>IF($G478="","",INDEX('Liste des élèves'!$E$4:$E$1363,$G478))</f>
        <v/>
      </c>
      <c r="D478" s="20" t="str">
        <f>IF($G478="","",INDEX('Liste des élèves'!$I$4:$I$1363,$G478))</f>
        <v/>
      </c>
      <c r="E478" s="20" t="str">
        <f>IF($G478="","",INDEX('Liste des élèves'!$J$4:$J$1363,$G478))</f>
        <v/>
      </c>
      <c r="F478" s="51" t="str">
        <f>IF($G478="","",INDEX('Liste des élèves'!$P$4:$P$1363,$G478)+INDEX('Liste des élèves'!$T$4:$T$1363,$G478))</f>
        <v/>
      </c>
      <c r="G478" s="49" t="str">
        <f>IF(G477="","",IFERROR(G477+MATCH("En retard",INDEX('Liste des élèves'!$Q$4:$Q$1363,G477+1):'Liste des élèves'!$Q$1363,0),""))</f>
        <v/>
      </c>
    </row>
    <row r="479">
      <c r="A479" s="20" t="str">
        <f>IF($G479="","",INDEX('Liste des élèves'!$A$4:$A$1363,$G479))</f>
        <v/>
      </c>
      <c r="B479" s="20" t="str">
        <f>IF($G479="","",INDEX('Liste des élèves'!$D$4:$D$1363,$G479))</f>
        <v/>
      </c>
      <c r="C479" s="21" t="str">
        <f>IF($G479="","",INDEX('Liste des élèves'!$E$4:$E$1363,$G479))</f>
        <v/>
      </c>
      <c r="D479" s="20" t="str">
        <f>IF($G479="","",INDEX('Liste des élèves'!$I$4:$I$1363,$G479))</f>
        <v/>
      </c>
      <c r="E479" s="20" t="str">
        <f>IF($G479="","",INDEX('Liste des élèves'!$J$4:$J$1363,$G479))</f>
        <v/>
      </c>
      <c r="F479" s="51" t="str">
        <f>IF($G479="","",INDEX('Liste des élèves'!$P$4:$P$1363,$G479)+INDEX('Liste des élèves'!$T$4:$T$1363,$G479))</f>
        <v/>
      </c>
      <c r="G479" s="49" t="str">
        <f>IF(G478="","",IFERROR(G478+MATCH("En retard",INDEX('Liste des élèves'!$Q$4:$Q$1363,G478+1):'Liste des élèves'!$Q$1363,0),""))</f>
        <v/>
      </c>
    </row>
    <row r="480">
      <c r="A480" s="20" t="str">
        <f>IF($G480="","",INDEX('Liste des élèves'!$A$4:$A$1363,$G480))</f>
        <v/>
      </c>
      <c r="B480" s="20" t="str">
        <f>IF($G480="","",INDEX('Liste des élèves'!$D$4:$D$1363,$G480))</f>
        <v/>
      </c>
      <c r="C480" s="21" t="str">
        <f>IF($G480="","",INDEX('Liste des élèves'!$E$4:$E$1363,$G480))</f>
        <v/>
      </c>
      <c r="D480" s="20" t="str">
        <f>IF($G480="","",INDEX('Liste des élèves'!$I$4:$I$1363,$G480))</f>
        <v/>
      </c>
      <c r="E480" s="20" t="str">
        <f>IF($G480="","",INDEX('Liste des élèves'!$J$4:$J$1363,$G480))</f>
        <v/>
      </c>
      <c r="F480" s="51" t="str">
        <f>IF($G480="","",INDEX('Liste des élèves'!$P$4:$P$1363,$G480)+INDEX('Liste des élèves'!$T$4:$T$1363,$G480))</f>
        <v/>
      </c>
      <c r="G480" s="49" t="str">
        <f>IF(G479="","",IFERROR(G479+MATCH("En retard",INDEX('Liste des élèves'!$Q$4:$Q$1363,G479+1):'Liste des élèves'!$Q$1363,0),""))</f>
        <v/>
      </c>
    </row>
    <row r="481">
      <c r="A481" s="20" t="str">
        <f>IF($G481="","",INDEX('Liste des élèves'!$A$4:$A$1363,$G481))</f>
        <v/>
      </c>
      <c r="B481" s="20" t="str">
        <f>IF($G481="","",INDEX('Liste des élèves'!$D$4:$D$1363,$G481))</f>
        <v/>
      </c>
      <c r="C481" s="21" t="str">
        <f>IF($G481="","",INDEX('Liste des élèves'!$E$4:$E$1363,$G481))</f>
        <v/>
      </c>
      <c r="D481" s="20" t="str">
        <f>IF($G481="","",INDEX('Liste des élèves'!$I$4:$I$1363,$G481))</f>
        <v/>
      </c>
      <c r="E481" s="20" t="str">
        <f>IF($G481="","",INDEX('Liste des élèves'!$J$4:$J$1363,$G481))</f>
        <v/>
      </c>
      <c r="F481" s="51" t="str">
        <f>IF($G481="","",INDEX('Liste des élèves'!$P$4:$P$1363,$G481)+INDEX('Liste des élèves'!$T$4:$T$1363,$G481))</f>
        <v/>
      </c>
      <c r="G481" s="49" t="str">
        <f>IF(G480="","",IFERROR(G480+MATCH("En retard",INDEX('Liste des élèves'!$Q$4:$Q$1363,G480+1):'Liste des élèves'!$Q$1363,0),""))</f>
        <v/>
      </c>
    </row>
    <row r="482">
      <c r="A482" s="20" t="str">
        <f>IF($G482="","",INDEX('Liste des élèves'!$A$4:$A$1363,$G482))</f>
        <v/>
      </c>
      <c r="B482" s="20" t="str">
        <f>IF($G482="","",INDEX('Liste des élèves'!$D$4:$D$1363,$G482))</f>
        <v/>
      </c>
      <c r="C482" s="21" t="str">
        <f>IF($G482="","",INDEX('Liste des élèves'!$E$4:$E$1363,$G482))</f>
        <v/>
      </c>
      <c r="D482" s="20" t="str">
        <f>IF($G482="","",INDEX('Liste des élèves'!$I$4:$I$1363,$G482))</f>
        <v/>
      </c>
      <c r="E482" s="20" t="str">
        <f>IF($G482="","",INDEX('Liste des élèves'!$J$4:$J$1363,$G482))</f>
        <v/>
      </c>
      <c r="F482" s="51" t="str">
        <f>IF($G482="","",INDEX('Liste des élèves'!$P$4:$P$1363,$G482)+INDEX('Liste des élèves'!$T$4:$T$1363,$G482))</f>
        <v/>
      </c>
      <c r="G482" s="49" t="str">
        <f>IF(G481="","",IFERROR(G481+MATCH("En retard",INDEX('Liste des élèves'!$Q$4:$Q$1363,G481+1):'Liste des élèves'!$Q$1363,0),""))</f>
        <v/>
      </c>
    </row>
    <row r="483">
      <c r="A483" s="20" t="str">
        <f>IF($G483="","",INDEX('Liste des élèves'!$A$4:$A$1363,$G483))</f>
        <v/>
      </c>
      <c r="B483" s="20" t="str">
        <f>IF($G483="","",INDEX('Liste des élèves'!$D$4:$D$1363,$G483))</f>
        <v/>
      </c>
      <c r="C483" s="21" t="str">
        <f>IF($G483="","",INDEX('Liste des élèves'!$E$4:$E$1363,$G483))</f>
        <v/>
      </c>
      <c r="D483" s="20" t="str">
        <f>IF($G483="","",INDEX('Liste des élèves'!$I$4:$I$1363,$G483))</f>
        <v/>
      </c>
      <c r="E483" s="20" t="str">
        <f>IF($G483="","",INDEX('Liste des élèves'!$J$4:$J$1363,$G483))</f>
        <v/>
      </c>
      <c r="F483" s="51" t="str">
        <f>IF($G483="","",INDEX('Liste des élèves'!$P$4:$P$1363,$G483)+INDEX('Liste des élèves'!$T$4:$T$1363,$G483))</f>
        <v/>
      </c>
      <c r="G483" s="49" t="str">
        <f>IF(G482="","",IFERROR(G482+MATCH("En retard",INDEX('Liste des élèves'!$Q$4:$Q$1363,G482+1):'Liste des élèves'!$Q$1363,0),""))</f>
        <v/>
      </c>
    </row>
    <row r="484">
      <c r="A484" s="20" t="str">
        <f>IF($G484="","",INDEX('Liste des élèves'!$A$4:$A$1363,$G484))</f>
        <v/>
      </c>
      <c r="B484" s="20" t="str">
        <f>IF($G484="","",INDEX('Liste des élèves'!$D$4:$D$1363,$G484))</f>
        <v/>
      </c>
      <c r="C484" s="21" t="str">
        <f>IF($G484="","",INDEX('Liste des élèves'!$E$4:$E$1363,$G484))</f>
        <v/>
      </c>
      <c r="D484" s="20" t="str">
        <f>IF($G484="","",INDEX('Liste des élèves'!$I$4:$I$1363,$G484))</f>
        <v/>
      </c>
      <c r="E484" s="20" t="str">
        <f>IF($G484="","",INDEX('Liste des élèves'!$J$4:$J$1363,$G484))</f>
        <v/>
      </c>
      <c r="F484" s="51" t="str">
        <f>IF($G484="","",INDEX('Liste des élèves'!$P$4:$P$1363,$G484)+INDEX('Liste des élèves'!$T$4:$T$1363,$G484))</f>
        <v/>
      </c>
      <c r="G484" s="49" t="str">
        <f>IF(G483="","",IFERROR(G483+MATCH("En retard",INDEX('Liste des élèves'!$Q$4:$Q$1363,G483+1):'Liste des élèves'!$Q$1363,0),""))</f>
        <v/>
      </c>
    </row>
    <row r="485">
      <c r="A485" s="20" t="str">
        <f>IF($G485="","",INDEX('Liste des élèves'!$A$4:$A$1363,$G485))</f>
        <v/>
      </c>
      <c r="B485" s="20" t="str">
        <f>IF($G485="","",INDEX('Liste des élèves'!$D$4:$D$1363,$G485))</f>
        <v/>
      </c>
      <c r="C485" s="21" t="str">
        <f>IF($G485="","",INDEX('Liste des élèves'!$E$4:$E$1363,$G485))</f>
        <v/>
      </c>
      <c r="D485" s="20" t="str">
        <f>IF($G485="","",INDEX('Liste des élèves'!$I$4:$I$1363,$G485))</f>
        <v/>
      </c>
      <c r="E485" s="20" t="str">
        <f>IF($G485="","",INDEX('Liste des élèves'!$J$4:$J$1363,$G485))</f>
        <v/>
      </c>
      <c r="F485" s="51" t="str">
        <f>IF($G485="","",INDEX('Liste des élèves'!$P$4:$P$1363,$G485)+INDEX('Liste des élèves'!$T$4:$T$1363,$G485))</f>
        <v/>
      </c>
      <c r="G485" s="49" t="str">
        <f>IF(G484="","",IFERROR(G484+MATCH("En retard",INDEX('Liste des élèves'!$Q$4:$Q$1363,G484+1):'Liste des élèves'!$Q$1363,0),""))</f>
        <v/>
      </c>
    </row>
    <row r="486">
      <c r="A486" s="20" t="str">
        <f>IF($G486="","",INDEX('Liste des élèves'!$A$4:$A$1363,$G486))</f>
        <v/>
      </c>
      <c r="B486" s="20" t="str">
        <f>IF($G486="","",INDEX('Liste des élèves'!$D$4:$D$1363,$G486))</f>
        <v/>
      </c>
      <c r="C486" s="21" t="str">
        <f>IF($G486="","",INDEX('Liste des élèves'!$E$4:$E$1363,$G486))</f>
        <v/>
      </c>
      <c r="D486" s="20" t="str">
        <f>IF($G486="","",INDEX('Liste des élèves'!$I$4:$I$1363,$G486))</f>
        <v/>
      </c>
      <c r="E486" s="20" t="str">
        <f>IF($G486="","",INDEX('Liste des élèves'!$J$4:$J$1363,$G486))</f>
        <v/>
      </c>
      <c r="F486" s="51" t="str">
        <f>IF($G486="","",INDEX('Liste des élèves'!$P$4:$P$1363,$G486)+INDEX('Liste des élèves'!$T$4:$T$1363,$G486))</f>
        <v/>
      </c>
      <c r="G486" s="49" t="str">
        <f>IF(G485="","",IFERROR(G485+MATCH("En retard",INDEX('Liste des élèves'!$Q$4:$Q$1363,G485+1):'Liste des élèves'!$Q$1363,0),""))</f>
        <v/>
      </c>
    </row>
    <row r="487">
      <c r="A487" s="20" t="str">
        <f>IF($G487="","",INDEX('Liste des élèves'!$A$4:$A$1363,$G487))</f>
        <v/>
      </c>
      <c r="B487" s="20" t="str">
        <f>IF($G487="","",INDEX('Liste des élèves'!$D$4:$D$1363,$G487))</f>
        <v/>
      </c>
      <c r="C487" s="21" t="str">
        <f>IF($G487="","",INDEX('Liste des élèves'!$E$4:$E$1363,$G487))</f>
        <v/>
      </c>
      <c r="D487" s="20" t="str">
        <f>IF($G487="","",INDEX('Liste des élèves'!$I$4:$I$1363,$G487))</f>
        <v/>
      </c>
      <c r="E487" s="20" t="str">
        <f>IF($G487="","",INDEX('Liste des élèves'!$J$4:$J$1363,$G487))</f>
        <v/>
      </c>
      <c r="F487" s="51" t="str">
        <f>IF($G487="","",INDEX('Liste des élèves'!$P$4:$P$1363,$G487)+INDEX('Liste des élèves'!$T$4:$T$1363,$G487))</f>
        <v/>
      </c>
      <c r="G487" s="49" t="str">
        <f>IF(G486="","",IFERROR(G486+MATCH("En retard",INDEX('Liste des élèves'!$Q$4:$Q$1363,G486+1):'Liste des élèves'!$Q$1363,0),""))</f>
        <v/>
      </c>
    </row>
    <row r="488">
      <c r="A488" s="20" t="str">
        <f>IF($G488="","",INDEX('Liste des élèves'!$A$4:$A$1363,$G488))</f>
        <v/>
      </c>
      <c r="B488" s="20" t="str">
        <f>IF($G488="","",INDEX('Liste des élèves'!$D$4:$D$1363,$G488))</f>
        <v/>
      </c>
      <c r="C488" s="21" t="str">
        <f>IF($G488="","",INDEX('Liste des élèves'!$E$4:$E$1363,$G488))</f>
        <v/>
      </c>
      <c r="D488" s="20" t="str">
        <f>IF($G488="","",INDEX('Liste des élèves'!$I$4:$I$1363,$G488))</f>
        <v/>
      </c>
      <c r="E488" s="20" t="str">
        <f>IF($G488="","",INDEX('Liste des élèves'!$J$4:$J$1363,$G488))</f>
        <v/>
      </c>
      <c r="F488" s="51" t="str">
        <f>IF($G488="","",INDEX('Liste des élèves'!$P$4:$P$1363,$G488)+INDEX('Liste des élèves'!$T$4:$T$1363,$G488))</f>
        <v/>
      </c>
      <c r="G488" s="49" t="str">
        <f>IF(G487="","",IFERROR(G487+MATCH("En retard",INDEX('Liste des élèves'!$Q$4:$Q$1363,G487+1):'Liste des élèves'!$Q$1363,0),""))</f>
        <v/>
      </c>
    </row>
    <row r="489">
      <c r="A489" s="20" t="str">
        <f>IF($G489="","",INDEX('Liste des élèves'!$A$4:$A$1363,$G489))</f>
        <v/>
      </c>
      <c r="B489" s="20" t="str">
        <f>IF($G489="","",INDEX('Liste des élèves'!$D$4:$D$1363,$G489))</f>
        <v/>
      </c>
      <c r="C489" s="21" t="str">
        <f>IF($G489="","",INDEX('Liste des élèves'!$E$4:$E$1363,$G489))</f>
        <v/>
      </c>
      <c r="D489" s="20" t="str">
        <f>IF($G489="","",INDEX('Liste des élèves'!$I$4:$I$1363,$G489))</f>
        <v/>
      </c>
      <c r="E489" s="20" t="str">
        <f>IF($G489="","",INDEX('Liste des élèves'!$J$4:$J$1363,$G489))</f>
        <v/>
      </c>
      <c r="F489" s="51" t="str">
        <f>IF($G489="","",INDEX('Liste des élèves'!$P$4:$P$1363,$G489)+INDEX('Liste des élèves'!$T$4:$T$1363,$G489))</f>
        <v/>
      </c>
      <c r="G489" s="49" t="str">
        <f>IF(G488="","",IFERROR(G488+MATCH("En retard",INDEX('Liste des élèves'!$Q$4:$Q$1363,G488+1):'Liste des élèves'!$Q$1363,0),""))</f>
        <v/>
      </c>
    </row>
    <row r="490">
      <c r="A490" s="20" t="str">
        <f>IF($G490="","",INDEX('Liste des élèves'!$A$4:$A$1363,$G490))</f>
        <v/>
      </c>
      <c r="B490" s="20" t="str">
        <f>IF($G490="","",INDEX('Liste des élèves'!$D$4:$D$1363,$G490))</f>
        <v/>
      </c>
      <c r="C490" s="21" t="str">
        <f>IF($G490="","",INDEX('Liste des élèves'!$E$4:$E$1363,$G490))</f>
        <v/>
      </c>
      <c r="D490" s="20" t="str">
        <f>IF($G490="","",INDEX('Liste des élèves'!$I$4:$I$1363,$G490))</f>
        <v/>
      </c>
      <c r="E490" s="20" t="str">
        <f>IF($G490="","",INDEX('Liste des élèves'!$J$4:$J$1363,$G490))</f>
        <v/>
      </c>
      <c r="F490" s="51" t="str">
        <f>IF($G490="","",INDEX('Liste des élèves'!$P$4:$P$1363,$G490)+INDEX('Liste des élèves'!$T$4:$T$1363,$G490))</f>
        <v/>
      </c>
      <c r="G490" s="49" t="str">
        <f>IF(G489="","",IFERROR(G489+MATCH("En retard",INDEX('Liste des élèves'!$Q$4:$Q$1363,G489+1):'Liste des élèves'!$Q$1363,0),""))</f>
        <v/>
      </c>
    </row>
    <row r="491">
      <c r="A491" s="20" t="str">
        <f>IF($G491="","",INDEX('Liste des élèves'!$A$4:$A$1363,$G491))</f>
        <v/>
      </c>
      <c r="B491" s="20" t="str">
        <f>IF($G491="","",INDEX('Liste des élèves'!$D$4:$D$1363,$G491))</f>
        <v/>
      </c>
      <c r="C491" s="21" t="str">
        <f>IF($G491="","",INDEX('Liste des élèves'!$E$4:$E$1363,$G491))</f>
        <v/>
      </c>
      <c r="D491" s="20" t="str">
        <f>IF($G491="","",INDEX('Liste des élèves'!$I$4:$I$1363,$G491))</f>
        <v/>
      </c>
      <c r="E491" s="20" t="str">
        <f>IF($G491="","",INDEX('Liste des élèves'!$J$4:$J$1363,$G491))</f>
        <v/>
      </c>
      <c r="F491" s="51" t="str">
        <f>IF($G491="","",INDEX('Liste des élèves'!$P$4:$P$1363,$G491)+INDEX('Liste des élèves'!$T$4:$T$1363,$G491))</f>
        <v/>
      </c>
      <c r="G491" s="49" t="str">
        <f>IF(G490="","",IFERROR(G490+MATCH("En retard",INDEX('Liste des élèves'!$Q$4:$Q$1363,G490+1):'Liste des élèves'!$Q$1363,0),""))</f>
        <v/>
      </c>
    </row>
    <row r="492">
      <c r="A492" s="20" t="str">
        <f>IF($G492="","",INDEX('Liste des élèves'!$A$4:$A$1363,$G492))</f>
        <v/>
      </c>
      <c r="B492" s="20" t="str">
        <f>IF($G492="","",INDEX('Liste des élèves'!$D$4:$D$1363,$G492))</f>
        <v/>
      </c>
      <c r="C492" s="21" t="str">
        <f>IF($G492="","",INDEX('Liste des élèves'!$E$4:$E$1363,$G492))</f>
        <v/>
      </c>
      <c r="D492" s="20" t="str">
        <f>IF($G492="","",INDEX('Liste des élèves'!$I$4:$I$1363,$G492))</f>
        <v/>
      </c>
      <c r="E492" s="20" t="str">
        <f>IF($G492="","",INDEX('Liste des élèves'!$J$4:$J$1363,$G492))</f>
        <v/>
      </c>
      <c r="F492" s="51" t="str">
        <f>IF($G492="","",INDEX('Liste des élèves'!$P$4:$P$1363,$G492)+INDEX('Liste des élèves'!$T$4:$T$1363,$G492))</f>
        <v/>
      </c>
      <c r="G492" s="49" t="str">
        <f>IF(G491="","",IFERROR(G491+MATCH("En retard",INDEX('Liste des élèves'!$Q$4:$Q$1363,G491+1):'Liste des élèves'!$Q$1363,0),""))</f>
        <v/>
      </c>
    </row>
    <row r="493">
      <c r="A493" s="20" t="str">
        <f>IF($G493="","",INDEX('Liste des élèves'!$A$4:$A$1363,$G493))</f>
        <v/>
      </c>
      <c r="B493" s="20" t="str">
        <f>IF($G493="","",INDEX('Liste des élèves'!$D$4:$D$1363,$G493))</f>
        <v/>
      </c>
      <c r="C493" s="21" t="str">
        <f>IF($G493="","",INDEX('Liste des élèves'!$E$4:$E$1363,$G493))</f>
        <v/>
      </c>
      <c r="D493" s="20" t="str">
        <f>IF($G493="","",INDEX('Liste des élèves'!$I$4:$I$1363,$G493))</f>
        <v/>
      </c>
      <c r="E493" s="20" t="str">
        <f>IF($G493="","",INDEX('Liste des élèves'!$J$4:$J$1363,$G493))</f>
        <v/>
      </c>
      <c r="F493" s="51" t="str">
        <f>IF($G493="","",INDEX('Liste des élèves'!$P$4:$P$1363,$G493)+INDEX('Liste des élèves'!$T$4:$T$1363,$G493))</f>
        <v/>
      </c>
      <c r="G493" s="49" t="str">
        <f>IF(G492="","",IFERROR(G492+MATCH("En retard",INDEX('Liste des élèves'!$Q$4:$Q$1363,G492+1):'Liste des élèves'!$Q$1363,0),""))</f>
        <v/>
      </c>
    </row>
    <row r="494">
      <c r="A494" s="20" t="str">
        <f>IF($G494="","",INDEX('Liste des élèves'!$A$4:$A$1363,$G494))</f>
        <v/>
      </c>
      <c r="B494" s="20" t="str">
        <f>IF($G494="","",INDEX('Liste des élèves'!$D$4:$D$1363,$G494))</f>
        <v/>
      </c>
      <c r="C494" s="21" t="str">
        <f>IF($G494="","",INDEX('Liste des élèves'!$E$4:$E$1363,$G494))</f>
        <v/>
      </c>
      <c r="D494" s="20" t="str">
        <f>IF($G494="","",INDEX('Liste des élèves'!$I$4:$I$1363,$G494))</f>
        <v/>
      </c>
      <c r="E494" s="20" t="str">
        <f>IF($G494="","",INDEX('Liste des élèves'!$J$4:$J$1363,$G494))</f>
        <v/>
      </c>
      <c r="F494" s="51" t="str">
        <f>IF($G494="","",INDEX('Liste des élèves'!$P$4:$P$1363,$G494)+INDEX('Liste des élèves'!$T$4:$T$1363,$G494))</f>
        <v/>
      </c>
      <c r="G494" s="49" t="str">
        <f>IF(G493="","",IFERROR(G493+MATCH("En retard",INDEX('Liste des élèves'!$Q$4:$Q$1363,G493+1):'Liste des élèves'!$Q$1363,0),""))</f>
        <v/>
      </c>
    </row>
    <row r="495">
      <c r="A495" s="20" t="str">
        <f>IF($G495="","",INDEX('Liste des élèves'!$A$4:$A$1363,$G495))</f>
        <v/>
      </c>
      <c r="B495" s="20" t="str">
        <f>IF($G495="","",INDEX('Liste des élèves'!$D$4:$D$1363,$G495))</f>
        <v/>
      </c>
      <c r="C495" s="21" t="str">
        <f>IF($G495="","",INDEX('Liste des élèves'!$E$4:$E$1363,$G495))</f>
        <v/>
      </c>
      <c r="D495" s="20" t="str">
        <f>IF($G495="","",INDEX('Liste des élèves'!$I$4:$I$1363,$G495))</f>
        <v/>
      </c>
      <c r="E495" s="20" t="str">
        <f>IF($G495="","",INDEX('Liste des élèves'!$J$4:$J$1363,$G495))</f>
        <v/>
      </c>
      <c r="F495" s="51" t="str">
        <f>IF($G495="","",INDEX('Liste des élèves'!$P$4:$P$1363,$G495)+INDEX('Liste des élèves'!$T$4:$T$1363,$G495))</f>
        <v/>
      </c>
      <c r="G495" s="49" t="str">
        <f>IF(G494="","",IFERROR(G494+MATCH("En retard",INDEX('Liste des élèves'!$Q$4:$Q$1363,G494+1):'Liste des élèves'!$Q$1363,0),""))</f>
        <v/>
      </c>
    </row>
    <row r="496">
      <c r="A496" s="20" t="str">
        <f>IF($G496="","",INDEX('Liste des élèves'!$A$4:$A$1363,$G496))</f>
        <v/>
      </c>
      <c r="B496" s="20" t="str">
        <f>IF($G496="","",INDEX('Liste des élèves'!$D$4:$D$1363,$G496))</f>
        <v/>
      </c>
      <c r="C496" s="21" t="str">
        <f>IF($G496="","",INDEX('Liste des élèves'!$E$4:$E$1363,$G496))</f>
        <v/>
      </c>
      <c r="D496" s="20" t="str">
        <f>IF($G496="","",INDEX('Liste des élèves'!$I$4:$I$1363,$G496))</f>
        <v/>
      </c>
      <c r="E496" s="20" t="str">
        <f>IF($G496="","",INDEX('Liste des élèves'!$J$4:$J$1363,$G496))</f>
        <v/>
      </c>
      <c r="F496" s="51" t="str">
        <f>IF($G496="","",INDEX('Liste des élèves'!$P$4:$P$1363,$G496)+INDEX('Liste des élèves'!$T$4:$T$1363,$G496))</f>
        <v/>
      </c>
      <c r="G496" s="49" t="str">
        <f>IF(G495="","",IFERROR(G495+MATCH("En retard",INDEX('Liste des élèves'!$Q$4:$Q$1363,G495+1):'Liste des élèves'!$Q$1363,0),""))</f>
        <v/>
      </c>
    </row>
    <row r="497">
      <c r="A497" s="20" t="str">
        <f>IF($G497="","",INDEX('Liste des élèves'!$A$4:$A$1363,$G497))</f>
        <v/>
      </c>
      <c r="B497" s="20" t="str">
        <f>IF($G497="","",INDEX('Liste des élèves'!$D$4:$D$1363,$G497))</f>
        <v/>
      </c>
      <c r="C497" s="21" t="str">
        <f>IF($G497="","",INDEX('Liste des élèves'!$E$4:$E$1363,$G497))</f>
        <v/>
      </c>
      <c r="D497" s="20" t="str">
        <f>IF($G497="","",INDEX('Liste des élèves'!$I$4:$I$1363,$G497))</f>
        <v/>
      </c>
      <c r="E497" s="20" t="str">
        <f>IF($G497="","",INDEX('Liste des élèves'!$J$4:$J$1363,$G497))</f>
        <v/>
      </c>
      <c r="F497" s="51" t="str">
        <f>IF($G497="","",INDEX('Liste des élèves'!$P$4:$P$1363,$G497)+INDEX('Liste des élèves'!$T$4:$T$1363,$G497))</f>
        <v/>
      </c>
      <c r="G497" s="49" t="str">
        <f>IF(G496="","",IFERROR(G496+MATCH("En retard",INDEX('Liste des élèves'!$Q$4:$Q$1363,G496+1):'Liste des élèves'!$Q$1363,0),""))</f>
        <v/>
      </c>
    </row>
    <row r="498">
      <c r="A498" s="20" t="str">
        <f>IF($G498="","",INDEX('Liste des élèves'!$A$4:$A$1363,$G498))</f>
        <v/>
      </c>
      <c r="B498" s="20" t="str">
        <f>IF($G498="","",INDEX('Liste des élèves'!$D$4:$D$1363,$G498))</f>
        <v/>
      </c>
      <c r="C498" s="21" t="str">
        <f>IF($G498="","",INDEX('Liste des élèves'!$E$4:$E$1363,$G498))</f>
        <v/>
      </c>
      <c r="D498" s="20" t="str">
        <f>IF($G498="","",INDEX('Liste des élèves'!$I$4:$I$1363,$G498))</f>
        <v/>
      </c>
      <c r="E498" s="20" t="str">
        <f>IF($G498="","",INDEX('Liste des élèves'!$J$4:$J$1363,$G498))</f>
        <v/>
      </c>
      <c r="F498" s="51" t="str">
        <f>IF($G498="","",INDEX('Liste des élèves'!$P$4:$P$1363,$G498)+INDEX('Liste des élèves'!$T$4:$T$1363,$G498))</f>
        <v/>
      </c>
      <c r="G498" s="49" t="str">
        <f>IF(G497="","",IFERROR(G497+MATCH("En retard",INDEX('Liste des élèves'!$Q$4:$Q$1363,G497+1):'Liste des élèves'!$Q$1363,0),""))</f>
        <v/>
      </c>
    </row>
    <row r="499">
      <c r="A499" s="20" t="str">
        <f>IF($G499="","",INDEX('Liste des élèves'!$A$4:$A$1363,$G499))</f>
        <v/>
      </c>
      <c r="B499" s="20" t="str">
        <f>IF($G499="","",INDEX('Liste des élèves'!$D$4:$D$1363,$G499))</f>
        <v/>
      </c>
      <c r="C499" s="21" t="str">
        <f>IF($G499="","",INDEX('Liste des élèves'!$E$4:$E$1363,$G499))</f>
        <v/>
      </c>
      <c r="D499" s="20" t="str">
        <f>IF($G499="","",INDEX('Liste des élèves'!$I$4:$I$1363,$G499))</f>
        <v/>
      </c>
      <c r="E499" s="20" t="str">
        <f>IF($G499="","",INDEX('Liste des élèves'!$J$4:$J$1363,$G499))</f>
        <v/>
      </c>
      <c r="F499" s="51" t="str">
        <f>IF($G499="","",INDEX('Liste des élèves'!$P$4:$P$1363,$G499)+INDEX('Liste des élèves'!$T$4:$T$1363,$G499))</f>
        <v/>
      </c>
      <c r="G499" s="49" t="str">
        <f>IF(G498="","",IFERROR(G498+MATCH("En retard",INDEX('Liste des élèves'!$Q$4:$Q$1363,G498+1):'Liste des élèves'!$Q$1363,0),""))</f>
        <v/>
      </c>
    </row>
    <row r="500">
      <c r="A500" s="20" t="str">
        <f>IF($G500="","",INDEX('Liste des élèves'!$A$4:$A$1363,$G500))</f>
        <v/>
      </c>
      <c r="B500" s="20" t="str">
        <f>IF($G500="","",INDEX('Liste des élèves'!$D$4:$D$1363,$G500))</f>
        <v/>
      </c>
      <c r="C500" s="21" t="str">
        <f>IF($G500="","",INDEX('Liste des élèves'!$E$4:$E$1363,$G500))</f>
        <v/>
      </c>
      <c r="D500" s="20" t="str">
        <f>IF($G500="","",INDEX('Liste des élèves'!$I$4:$I$1363,$G500))</f>
        <v/>
      </c>
      <c r="E500" s="20" t="str">
        <f>IF($G500="","",INDEX('Liste des élèves'!$J$4:$J$1363,$G500))</f>
        <v/>
      </c>
      <c r="F500" s="51" t="str">
        <f>IF($G500="","",INDEX('Liste des élèves'!$P$4:$P$1363,$G500)+INDEX('Liste des élèves'!$T$4:$T$1363,$G500))</f>
        <v/>
      </c>
      <c r="G500" s="49" t="str">
        <f>IF(G499="","",IFERROR(G499+MATCH("En retard",INDEX('Liste des élèves'!$Q$4:$Q$1363,G499+1):'Liste des élèves'!$Q$1363,0),""))</f>
        <v/>
      </c>
    </row>
    <row r="501">
      <c r="A501" s="20" t="str">
        <f>IF($G501="","",INDEX('Liste des élèves'!$A$4:$A$1363,$G501))</f>
        <v/>
      </c>
      <c r="B501" s="20" t="str">
        <f>IF($G501="","",INDEX('Liste des élèves'!$D$4:$D$1363,$G501))</f>
        <v/>
      </c>
      <c r="C501" s="21" t="str">
        <f>IF($G501="","",INDEX('Liste des élèves'!$E$4:$E$1363,$G501))</f>
        <v/>
      </c>
      <c r="D501" s="20" t="str">
        <f>IF($G501="","",INDEX('Liste des élèves'!$I$4:$I$1363,$G501))</f>
        <v/>
      </c>
      <c r="E501" s="20" t="str">
        <f>IF($G501="","",INDEX('Liste des élèves'!$J$4:$J$1363,$G501))</f>
        <v/>
      </c>
      <c r="F501" s="51" t="str">
        <f>IF($G501="","",INDEX('Liste des élèves'!$P$4:$P$1363,$G501)+INDEX('Liste des élèves'!$T$4:$T$1363,$G501))</f>
        <v/>
      </c>
      <c r="G501" s="49" t="str">
        <f>IF(G500="","",IFERROR(G500+MATCH("En retard",INDEX('Liste des élèves'!$Q$4:$Q$1363,G500+1):'Liste des élèves'!$Q$1363,0),""))</f>
        <v/>
      </c>
    </row>
    <row r="502">
      <c r="A502" s="20" t="str">
        <f>IF($G502="","",INDEX('Liste des élèves'!$A$4:$A$1363,$G502))</f>
        <v/>
      </c>
      <c r="B502" s="20" t="str">
        <f>IF($G502="","",INDEX('Liste des élèves'!$D$4:$D$1363,$G502))</f>
        <v/>
      </c>
      <c r="C502" s="21" t="str">
        <f>IF($G502="","",INDEX('Liste des élèves'!$E$4:$E$1363,$G502))</f>
        <v/>
      </c>
      <c r="D502" s="20" t="str">
        <f>IF($G502="","",INDEX('Liste des élèves'!$I$4:$I$1363,$G502))</f>
        <v/>
      </c>
      <c r="E502" s="20" t="str">
        <f>IF($G502="","",INDEX('Liste des élèves'!$J$4:$J$1363,$G502))</f>
        <v/>
      </c>
      <c r="F502" s="51" t="str">
        <f>IF($G502="","",INDEX('Liste des élèves'!$P$4:$P$1363,$G502)+INDEX('Liste des élèves'!$T$4:$T$1363,$G502))</f>
        <v/>
      </c>
      <c r="G502" s="49" t="str">
        <f>IF(G501="","",IFERROR(G501+MATCH("En retard",INDEX('Liste des élèves'!$Q$4:$Q$1363,G501+1):'Liste des élèves'!$Q$1363,0),""))</f>
        <v/>
      </c>
    </row>
    <row r="503">
      <c r="A503" s="20" t="str">
        <f>IF($G503="","",INDEX('Liste des élèves'!$A$4:$A$1363,$G503))</f>
        <v/>
      </c>
      <c r="B503" s="20" t="str">
        <f>IF($G503="","",INDEX('Liste des élèves'!$D$4:$D$1363,$G503))</f>
        <v/>
      </c>
      <c r="C503" s="21" t="str">
        <f>IF($G503="","",INDEX('Liste des élèves'!$E$4:$E$1363,$G503))</f>
        <v/>
      </c>
      <c r="D503" s="20" t="str">
        <f>IF($G503="","",INDEX('Liste des élèves'!$I$4:$I$1363,$G503))</f>
        <v/>
      </c>
      <c r="E503" s="20" t="str">
        <f>IF($G503="","",INDEX('Liste des élèves'!$J$4:$J$1363,$G503))</f>
        <v/>
      </c>
      <c r="F503" s="51" t="str">
        <f>IF($G503="","",INDEX('Liste des élèves'!$P$4:$P$1363,$G503)+INDEX('Liste des élèves'!$T$4:$T$1363,$G503))</f>
        <v/>
      </c>
      <c r="G503" s="49" t="str">
        <f>IF(G502="","",IFERROR(G502+MATCH("En retard",INDEX('Liste des élèves'!$Q$4:$Q$1363,G502+1):'Liste des élèves'!$Q$1363,0),""))</f>
        <v/>
      </c>
    </row>
    <row r="504">
      <c r="A504" s="20" t="str">
        <f>IF($G504="","",INDEX('Liste des élèves'!$A$4:$A$1363,$G504))</f>
        <v/>
      </c>
      <c r="B504" s="20" t="str">
        <f>IF($G504="","",INDEX('Liste des élèves'!$D$4:$D$1363,$G504))</f>
        <v/>
      </c>
      <c r="C504" s="21" t="str">
        <f>IF($G504="","",INDEX('Liste des élèves'!$E$4:$E$1363,$G504))</f>
        <v/>
      </c>
      <c r="D504" s="20" t="str">
        <f>IF($G504="","",INDEX('Liste des élèves'!$I$4:$I$1363,$G504))</f>
        <v/>
      </c>
      <c r="E504" s="20" t="str">
        <f>IF($G504="","",INDEX('Liste des élèves'!$J$4:$J$1363,$G504))</f>
        <v/>
      </c>
      <c r="F504" s="51" t="str">
        <f>IF($G504="","",INDEX('Liste des élèves'!$P$4:$P$1363,$G504)+INDEX('Liste des élèves'!$T$4:$T$1363,$G504))</f>
        <v/>
      </c>
      <c r="G504" s="49" t="str">
        <f>IF(G503="","",IFERROR(G503+MATCH("En retard",INDEX('Liste des élèves'!$Q$4:$Q$1363,G503+1):'Liste des élèves'!$Q$1363,0),""))</f>
        <v/>
      </c>
    </row>
  </sheetData>
  <mergeCells count="3">
    <mergeCell ref="A1:F1"/>
    <mergeCell ref="A2:F2"/>
    <mergeCell ref="A3:F3"/>
  </mergeCells>
  <conditionalFormatting sqref="F5:F504">
    <cfRule type="cellIs" dxfId="0" priority="4" operator="greaterThan">
      <formula>0</formula>
    </cfRule>
  </conditionalFormatting>
  <pageMargins left="0.75" right="0.75" top="1" bottom="1" header="0.511811023622047" footer="0.511811023622047"/>
  <pageSetup paperSize="9" orientation="portrait" fitToHeight="0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600-000002000000}">
            <xm:f>COUNTIFS('Liste des élèves'!$Q$4:$Q$303,"En retard")&gt;0</xm:f>
            <x14:dxf>
              <fill>
                <patternFill>
                  <bgColor rgb="FFFFF7DE"/>
                </patternFill>
              </fill>
            </x14:dxf>
          </x14:cfRule>
          <x14:cfRule type="expression" priority="3" id="{00000000-000E-0000-0600-000003000000}">
            <xm:f>COUNTIFS('Liste des élèves'!$Q$4:$Q$303,"En retard")=0</xm:f>
            <x14:dxf>
              <fill>
                <patternFill>
                  <bgColor rgb="FFC6EFCE"/>
                </patternFill>
              </fill>
            </x14:dxf>
          </x14:cfRule>
          <xm:sqref>A2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R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7" customWidth="1"/>
    <col min="5" max="5" width="14" customWidth="1"/>
    <col min="6" max="6" width="18" customWidth="1"/>
    <col min="7" max="7" width="16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3" customWidth="1"/>
    <col min="18" max="18" width="16" customWidth="1"/>
  </cols>
  <sheetData>
    <row r="1" ht="27.75" customHeight="1">
      <c r="A1" s="53" t="str">
        <f>"INSCRIPTIONS — "&amp;Paramètres!$A$15</f>
        <v>INSCRIPTIONS — Petite section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ht="18" customHeight="1">
      <c r="A2" s="54" t="str">
        <f>"Année scolaire "&amp;Paramètres!$C$11&amp;"   •   Effectif : "&amp;COUNTIF($B$4:$B$83,"?*")&amp;"   •   Cellules jaunes = montants à saisir ; colonnes grises = calcul automatique"</f>
        <v>Année scolaire 2025-2026   •   Effectif : 0   •   Cellules jaunes = montants à saisir ; colonnes grises = calcul automatique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Sexe</t>
        </is>
      </c>
      <c r="E3" s="3" t="inlineStr">
        <is>
          <t>Date de naissance</t>
        </is>
      </c>
      <c r="F3" s="3" t="inlineStr">
        <is>
          <t>Nom du tuteur</t>
        </is>
      </c>
      <c r="G3" s="3" t="inlineStr">
        <is>
          <t>Téléphone</t>
        </is>
      </c>
      <c r="H3" s="3" t="inlineStr">
        <is>
          <t>Scolarité due</t>
        </is>
      </c>
      <c r="I3" s="3" t="inlineStr">
        <is>
          <t>Tranche 1</t>
        </is>
      </c>
      <c r="J3" s="3" t="inlineStr">
        <is>
          <t>Tranche 2</t>
        </is>
      </c>
      <c r="K3" s="3" t="inlineStr">
        <is>
          <t>Tranche 3</t>
        </is>
      </c>
      <c r="L3" s="3" t="inlineStr">
        <is>
          <t>Total payé</t>
        </is>
      </c>
      <c r="M3" s="3" t="inlineStr">
        <is>
          <t>Reste à payer</t>
        </is>
      </c>
      <c r="N3" s="3" t="inlineStr">
        <is>
          <t>Inscription due</t>
        </is>
      </c>
      <c r="O3" s="3" t="inlineStr">
        <is>
          <t>Inscription payée</t>
        </is>
      </c>
      <c r="P3" s="3" t="inlineStr">
        <is>
          <t>Reste inscription</t>
        </is>
      </c>
      <c r="Q3" s="3" t="inlineStr">
        <is>
          <t>Statut</t>
        </is>
      </c>
      <c r="R3" s="3" t="inlineStr">
        <is>
          <t>Nouveau / Ancien</t>
        </is>
      </c>
    </row>
    <row r="4">
      <c r="A4" s="20"/>
      <c r="B4" s="20"/>
      <c r="C4" s="20"/>
      <c r="D4" s="21"/>
      <c r="E4" s="77"/>
      <c r="F4" s="20"/>
      <c r="G4" s="20"/>
      <c r="H4" s="18" t="str">
        <f>IF($B4="","",Paramètres!$C$15)</f>
        <v/>
      </c>
      <c r="I4" s="19"/>
      <c r="J4" s="19"/>
      <c r="K4" s="19"/>
      <c r="L4" s="18" t="str">
        <f>IF($B4="","",SUM(I4:K4))</f>
        <v/>
      </c>
      <c r="M4" s="18" t="str">
        <f>IF($B4="","",H4-L4)</f>
        <v/>
      </c>
      <c r="N4" s="18" t="str">
        <f>IF($B4="","",IF(R4="Ancien",0,Paramètres!$D$15))</f>
        <v/>
      </c>
      <c r="O4" s="19"/>
      <c r="P4" s="18" t="str">
        <f>IF($B4="","",N4-O4)</f>
        <v/>
      </c>
      <c r="Q4" s="21" t="str">
        <f>IF($B4="","",IF(AND(M4&lt;=0,P4&lt;=0),"Soldé","En retard"))</f>
        <v/>
      </c>
      <c r="R4" s="21"/>
    </row>
    <row r="5">
      <c r="A5" s="15"/>
      <c r="B5" s="15"/>
      <c r="C5" s="15"/>
      <c r="D5" s="8"/>
      <c r="E5" s="79"/>
      <c r="F5" s="15"/>
      <c r="G5" s="15"/>
      <c r="H5" s="18" t="str">
        <f>IF($B5="","",Paramètres!$C$15)</f>
        <v/>
      </c>
      <c r="I5" s="19"/>
      <c r="J5" s="19"/>
      <c r="K5" s="19"/>
      <c r="L5" s="18" t="str">
        <f>IF($B5="","",SUM(I5:K5))</f>
        <v/>
      </c>
      <c r="M5" s="18" t="str">
        <f>IF($B5="","",H5-L5)</f>
        <v/>
      </c>
      <c r="N5" s="18" t="str">
        <f>IF($B5="","",IF(R5="Ancien",0,Paramètres!$D$15))</f>
        <v/>
      </c>
      <c r="O5" s="19"/>
      <c r="P5" s="18" t="str">
        <f>IF($B5="","",N5-O5)</f>
        <v/>
      </c>
      <c r="Q5" s="8" t="str">
        <f>IF($B5="","",IF(AND(M5&lt;=0,P5&lt;=0),"Soldé","En retard"))</f>
        <v/>
      </c>
      <c r="R5" s="8"/>
    </row>
    <row r="6">
      <c r="A6" s="20"/>
      <c r="B6" s="20"/>
      <c r="C6" s="20"/>
      <c r="D6" s="21"/>
      <c r="E6" s="77"/>
      <c r="F6" s="20"/>
      <c r="G6" s="20"/>
      <c r="H6" s="18" t="str">
        <f>IF($B6="","",Paramètres!$C$15)</f>
        <v/>
      </c>
      <c r="I6" s="19"/>
      <c r="J6" s="19"/>
      <c r="K6" s="19"/>
      <c r="L6" s="18" t="str">
        <f>IF($B6="","",SUM(I6:K6))</f>
        <v/>
      </c>
      <c r="M6" s="18" t="str">
        <f>IF($B6="","",H6-L6)</f>
        <v/>
      </c>
      <c r="N6" s="18" t="str">
        <f>IF($B6="","",IF(R6="Ancien",0,Paramètres!$D$15))</f>
        <v/>
      </c>
      <c r="O6" s="19"/>
      <c r="P6" s="18" t="str">
        <f>IF($B6="","",N6-O6)</f>
        <v/>
      </c>
      <c r="Q6" s="21" t="str">
        <f>IF($B6="","",IF(AND(M6&lt;=0,P6&lt;=0),"Soldé","En retard"))</f>
        <v/>
      </c>
      <c r="R6" s="21"/>
    </row>
    <row r="7">
      <c r="A7" s="15"/>
      <c r="B7" s="15"/>
      <c r="C7" s="15"/>
      <c r="D7" s="8"/>
      <c r="E7" s="79"/>
      <c r="F7" s="15"/>
      <c r="G7" s="15"/>
      <c r="H7" s="18" t="str">
        <f>IF($B7="","",Paramètres!$C$15)</f>
        <v/>
      </c>
      <c r="I7" s="19"/>
      <c r="J7" s="19"/>
      <c r="K7" s="19"/>
      <c r="L7" s="18" t="str">
        <f>IF($B7="","",SUM(I7:K7))</f>
        <v/>
      </c>
      <c r="M7" s="18" t="str">
        <f>IF($B7="","",H7-L7)</f>
        <v/>
      </c>
      <c r="N7" s="18" t="str">
        <f>IF($B7="","",IF(R7="Ancien",0,Paramètres!$D$15))</f>
        <v/>
      </c>
      <c r="O7" s="19"/>
      <c r="P7" s="18" t="str">
        <f>IF($B7="","",N7-O7)</f>
        <v/>
      </c>
      <c r="Q7" s="8" t="str">
        <f>IF($B7="","",IF(AND(M7&lt;=0,P7&lt;=0),"Soldé","En retard"))</f>
        <v/>
      </c>
      <c r="R7" s="8"/>
    </row>
    <row r="8">
      <c r="A8" s="20"/>
      <c r="B8" s="20"/>
      <c r="C8" s="20"/>
      <c r="D8" s="21"/>
      <c r="E8" s="77"/>
      <c r="F8" s="20"/>
      <c r="G8" s="20"/>
      <c r="H8" s="18" t="str">
        <f>IF($B8="","",Paramètres!$C$15)</f>
        <v/>
      </c>
      <c r="I8" s="19"/>
      <c r="J8" s="19"/>
      <c r="K8" s="19"/>
      <c r="L8" s="18" t="str">
        <f>IF($B8="","",SUM(I8:K8))</f>
        <v/>
      </c>
      <c r="M8" s="18" t="str">
        <f>IF($B8="","",H8-L8)</f>
        <v/>
      </c>
      <c r="N8" s="18" t="str">
        <f>IF($B8="","",IF(R8="Ancien",0,Paramètres!$D$15))</f>
        <v/>
      </c>
      <c r="O8" s="19"/>
      <c r="P8" s="18" t="str">
        <f>IF($B8="","",N8-O8)</f>
        <v/>
      </c>
      <c r="Q8" s="21" t="str">
        <f>IF($B8="","",IF(AND(M8&lt;=0,P8&lt;=0),"Soldé","En retard"))</f>
        <v/>
      </c>
      <c r="R8" s="21"/>
    </row>
    <row r="9">
      <c r="A9" s="15"/>
      <c r="B9" s="15"/>
      <c r="C9" s="15"/>
      <c r="D9" s="8"/>
      <c r="E9" s="79"/>
      <c r="F9" s="15"/>
      <c r="G9" s="15"/>
      <c r="H9" s="18" t="str">
        <f>IF($B9="","",Paramètres!$C$15)</f>
        <v/>
      </c>
      <c r="I9" s="19"/>
      <c r="J9" s="19"/>
      <c r="K9" s="19"/>
      <c r="L9" s="18" t="str">
        <f>IF($B9="","",SUM(I9:K9))</f>
        <v/>
      </c>
      <c r="M9" s="18" t="str">
        <f>IF($B9="","",H9-L9)</f>
        <v/>
      </c>
      <c r="N9" s="18" t="str">
        <f>IF($B9="","",IF(R9="Ancien",0,Paramètres!$D$15))</f>
        <v/>
      </c>
      <c r="O9" s="19"/>
      <c r="P9" s="18" t="str">
        <f>IF($B9="","",N9-O9)</f>
        <v/>
      </c>
      <c r="Q9" s="8" t="str">
        <f>IF($B9="","",IF(AND(M9&lt;=0,P9&lt;=0),"Soldé","En retard"))</f>
        <v/>
      </c>
      <c r="R9" s="8"/>
    </row>
    <row r="10">
      <c r="A10" s="20"/>
      <c r="B10" s="20"/>
      <c r="C10" s="20"/>
      <c r="D10" s="21"/>
      <c r="E10" s="77"/>
      <c r="F10" s="20"/>
      <c r="G10" s="20"/>
      <c r="H10" s="18" t="str">
        <f>IF($B10="","",Paramètres!$C$15)</f>
        <v/>
      </c>
      <c r="I10" s="19"/>
      <c r="J10" s="19"/>
      <c r="K10" s="19"/>
      <c r="L10" s="18" t="str">
        <f>IF($B10="","",SUM(I10:K10))</f>
        <v/>
      </c>
      <c r="M10" s="18" t="str">
        <f>IF($B10="","",H10-L10)</f>
        <v/>
      </c>
      <c r="N10" s="18" t="str">
        <f>IF($B10="","",IF(R10="Ancien",0,Paramètres!$D$15))</f>
        <v/>
      </c>
      <c r="O10" s="19"/>
      <c r="P10" s="18" t="str">
        <f>IF($B10="","",N10-O10)</f>
        <v/>
      </c>
      <c r="Q10" s="21" t="str">
        <f>IF($B10="","",IF(AND(M10&lt;=0,P10&lt;=0),"Soldé","En retard"))</f>
        <v/>
      </c>
      <c r="R10" s="21"/>
    </row>
    <row r="11">
      <c r="A11" s="15"/>
      <c r="B11" s="15"/>
      <c r="C11" s="15"/>
      <c r="D11" s="8"/>
      <c r="E11" s="79"/>
      <c r="F11" s="15"/>
      <c r="G11" s="15"/>
      <c r="H11" s="18" t="str">
        <f>IF($B11="","",Paramètres!$C$15)</f>
        <v/>
      </c>
      <c r="I11" s="19"/>
      <c r="J11" s="19"/>
      <c r="K11" s="19"/>
      <c r="L11" s="18" t="str">
        <f>IF($B11="","",SUM(I11:K11))</f>
        <v/>
      </c>
      <c r="M11" s="18" t="str">
        <f>IF($B11="","",H11-L11)</f>
        <v/>
      </c>
      <c r="N11" s="18" t="str">
        <f>IF($B11="","",IF(R11="Ancien",0,Paramètres!$D$15))</f>
        <v/>
      </c>
      <c r="O11" s="19"/>
      <c r="P11" s="18" t="str">
        <f>IF($B11="","",N11-O11)</f>
        <v/>
      </c>
      <c r="Q11" s="8" t="str">
        <f>IF($B11="","",IF(AND(M11&lt;=0,P11&lt;=0),"Soldé","En retard"))</f>
        <v/>
      </c>
      <c r="R11" s="8"/>
    </row>
    <row r="12">
      <c r="A12" s="20"/>
      <c r="B12" s="20"/>
      <c r="C12" s="20"/>
      <c r="D12" s="21"/>
      <c r="E12" s="77"/>
      <c r="F12" s="20"/>
      <c r="G12" s="20"/>
      <c r="H12" s="18" t="str">
        <f>IF($B12="","",Paramètres!$C$15)</f>
        <v/>
      </c>
      <c r="I12" s="19"/>
      <c r="J12" s="19"/>
      <c r="K12" s="19"/>
      <c r="L12" s="18" t="str">
        <f>IF($B12="","",SUM(I12:K12))</f>
        <v/>
      </c>
      <c r="M12" s="18" t="str">
        <f>IF($B12="","",H12-L12)</f>
        <v/>
      </c>
      <c r="N12" s="18" t="str">
        <f>IF($B12="","",IF(R12="Ancien",0,Paramètres!$D$15))</f>
        <v/>
      </c>
      <c r="O12" s="19"/>
      <c r="P12" s="18" t="str">
        <f>IF($B12="","",N12-O12)</f>
        <v/>
      </c>
      <c r="Q12" s="21" t="str">
        <f>IF($B12="","",IF(AND(M12&lt;=0,P12&lt;=0),"Soldé","En retard"))</f>
        <v/>
      </c>
      <c r="R12" s="21"/>
    </row>
    <row r="13">
      <c r="A13" s="15"/>
      <c r="B13" s="15"/>
      <c r="C13" s="15"/>
      <c r="D13" s="8"/>
      <c r="E13" s="79"/>
      <c r="F13" s="15"/>
      <c r="G13" s="15"/>
      <c r="H13" s="18" t="str">
        <f>IF($B13="","",Paramètres!$C$15)</f>
        <v/>
      </c>
      <c r="I13" s="19"/>
      <c r="J13" s="19"/>
      <c r="K13" s="19"/>
      <c r="L13" s="18" t="str">
        <f>IF($B13="","",SUM(I13:K13))</f>
        <v/>
      </c>
      <c r="M13" s="18" t="str">
        <f>IF($B13="","",H13-L13)</f>
        <v/>
      </c>
      <c r="N13" s="18" t="str">
        <f>IF($B13="","",IF(R13="Ancien",0,Paramètres!$D$15))</f>
        <v/>
      </c>
      <c r="O13" s="19"/>
      <c r="P13" s="18" t="str">
        <f>IF($B13="","",N13-O13)</f>
        <v/>
      </c>
      <c r="Q13" s="8" t="str">
        <f>IF($B13="","",IF(AND(M13&lt;=0,P13&lt;=0),"Soldé","En retard"))</f>
        <v/>
      </c>
      <c r="R13" s="8"/>
    </row>
    <row r="14">
      <c r="A14" s="20"/>
      <c r="B14" s="20"/>
      <c r="C14" s="20"/>
      <c r="D14" s="21"/>
      <c r="E14" s="77"/>
      <c r="F14" s="20"/>
      <c r="G14" s="20"/>
      <c r="H14" s="18" t="str">
        <f>IF($B14="","",Paramètres!$C$15)</f>
        <v/>
      </c>
      <c r="I14" s="19"/>
      <c r="J14" s="19"/>
      <c r="K14" s="19"/>
      <c r="L14" s="18" t="str">
        <f>IF($B14="","",SUM(I14:K14))</f>
        <v/>
      </c>
      <c r="M14" s="18" t="str">
        <f>IF($B14="","",H14-L14)</f>
        <v/>
      </c>
      <c r="N14" s="18" t="str">
        <f>IF($B14="","",IF(R14="Ancien",0,Paramètres!$D$15))</f>
        <v/>
      </c>
      <c r="O14" s="19"/>
      <c r="P14" s="18" t="str">
        <f>IF($B14="","",N14-O14)</f>
        <v/>
      </c>
      <c r="Q14" s="21" t="str">
        <f>IF($B14="","",IF(AND(M14&lt;=0,P14&lt;=0),"Soldé","En retard"))</f>
        <v/>
      </c>
      <c r="R14" s="21"/>
    </row>
    <row r="15">
      <c r="A15" s="15"/>
      <c r="B15" s="15"/>
      <c r="C15" s="15"/>
      <c r="D15" s="8"/>
      <c r="E15" s="79"/>
      <c r="F15" s="15"/>
      <c r="G15" s="15"/>
      <c r="H15" s="18" t="str">
        <f>IF($B15="","",Paramètres!$C$15)</f>
        <v/>
      </c>
      <c r="I15" s="19"/>
      <c r="J15" s="19"/>
      <c r="K15" s="19"/>
      <c r="L15" s="18" t="str">
        <f>IF($B15="","",SUM(I15:K15))</f>
        <v/>
      </c>
      <c r="M15" s="18" t="str">
        <f>IF($B15="","",H15-L15)</f>
        <v/>
      </c>
      <c r="N15" s="18" t="str">
        <f>IF($B15="","",IF(R15="Ancien",0,Paramètres!$D$15))</f>
        <v/>
      </c>
      <c r="O15" s="19"/>
      <c r="P15" s="18" t="str">
        <f>IF($B15="","",N15-O15)</f>
        <v/>
      </c>
      <c r="Q15" s="8" t="str">
        <f>IF($B15="","",IF(AND(M15&lt;=0,P15&lt;=0),"Soldé","En retard"))</f>
        <v/>
      </c>
      <c r="R15" s="8"/>
    </row>
    <row r="16">
      <c r="A16" s="20"/>
      <c r="B16" s="20"/>
      <c r="C16" s="20"/>
      <c r="D16" s="21"/>
      <c r="E16" s="77"/>
      <c r="F16" s="20"/>
      <c r="G16" s="20"/>
      <c r="H16" s="18" t="str">
        <f>IF($B16="","",Paramètres!$C$15)</f>
        <v/>
      </c>
      <c r="I16" s="19"/>
      <c r="J16" s="19"/>
      <c r="K16" s="19"/>
      <c r="L16" s="18" t="str">
        <f>IF($B16="","",SUM(I16:K16))</f>
        <v/>
      </c>
      <c r="M16" s="18" t="str">
        <f>IF($B16="","",H16-L16)</f>
        <v/>
      </c>
      <c r="N16" s="18" t="str">
        <f>IF($B16="","",IF(R16="Ancien",0,Paramètres!$D$15))</f>
        <v/>
      </c>
      <c r="O16" s="19"/>
      <c r="P16" s="18" t="str">
        <f>IF($B16="","",N16-O16)</f>
        <v/>
      </c>
      <c r="Q16" s="21" t="str">
        <f>IF($B16="","",IF(AND(M16&lt;=0,P16&lt;=0),"Soldé","En retard"))</f>
        <v/>
      </c>
      <c r="R16" s="21"/>
    </row>
    <row r="17">
      <c r="A17" s="15"/>
      <c r="B17" s="15"/>
      <c r="C17" s="15"/>
      <c r="D17" s="8"/>
      <c r="E17" s="79"/>
      <c r="F17" s="15"/>
      <c r="G17" s="15"/>
      <c r="H17" s="18" t="str">
        <f>IF($B17="","",Paramètres!$C$15)</f>
        <v/>
      </c>
      <c r="I17" s="19"/>
      <c r="J17" s="19"/>
      <c r="K17" s="19"/>
      <c r="L17" s="18" t="str">
        <f>IF($B17="","",SUM(I17:K17))</f>
        <v/>
      </c>
      <c r="M17" s="18" t="str">
        <f>IF($B17="","",H17-L17)</f>
        <v/>
      </c>
      <c r="N17" s="18" t="str">
        <f>IF($B17="","",IF(R17="Ancien",0,Paramètres!$D$15))</f>
        <v/>
      </c>
      <c r="O17" s="19"/>
      <c r="P17" s="18" t="str">
        <f>IF($B17="","",N17-O17)</f>
        <v/>
      </c>
      <c r="Q17" s="8" t="str">
        <f>IF($B17="","",IF(AND(M17&lt;=0,P17&lt;=0),"Soldé","En retard"))</f>
        <v/>
      </c>
      <c r="R17" s="8"/>
    </row>
    <row r="18">
      <c r="A18" s="20"/>
      <c r="B18" s="20"/>
      <c r="C18" s="20"/>
      <c r="D18" s="21"/>
      <c r="E18" s="77"/>
      <c r="F18" s="20"/>
      <c r="G18" s="20"/>
      <c r="H18" s="18" t="str">
        <f>IF($B18="","",Paramètres!$C$15)</f>
        <v/>
      </c>
      <c r="I18" s="19"/>
      <c r="J18" s="19"/>
      <c r="K18" s="19"/>
      <c r="L18" s="18" t="str">
        <f>IF($B18="","",SUM(I18:K18))</f>
        <v/>
      </c>
      <c r="M18" s="18" t="str">
        <f>IF($B18="","",H18-L18)</f>
        <v/>
      </c>
      <c r="N18" s="18" t="str">
        <f>IF($B18="","",IF(R18="Ancien",0,Paramètres!$D$15))</f>
        <v/>
      </c>
      <c r="O18" s="19"/>
      <c r="P18" s="18" t="str">
        <f>IF($B18="","",N18-O18)</f>
        <v/>
      </c>
      <c r="Q18" s="21" t="str">
        <f>IF($B18="","",IF(AND(M18&lt;=0,P18&lt;=0),"Soldé","En retard"))</f>
        <v/>
      </c>
      <c r="R18" s="21"/>
    </row>
    <row r="19">
      <c r="A19" s="15"/>
      <c r="B19" s="15"/>
      <c r="C19" s="15"/>
      <c r="D19" s="8"/>
      <c r="E19" s="79"/>
      <c r="F19" s="15"/>
      <c r="G19" s="15"/>
      <c r="H19" s="18" t="str">
        <f>IF($B19="","",Paramètres!$C$15)</f>
        <v/>
      </c>
      <c r="I19" s="19"/>
      <c r="J19" s="19"/>
      <c r="K19" s="19"/>
      <c r="L19" s="18" t="str">
        <f>IF($B19="","",SUM(I19:K19))</f>
        <v/>
      </c>
      <c r="M19" s="18" t="str">
        <f>IF($B19="","",H19-L19)</f>
        <v/>
      </c>
      <c r="N19" s="18" t="str">
        <f>IF($B19="","",IF(R19="Ancien",0,Paramètres!$D$15))</f>
        <v/>
      </c>
      <c r="O19" s="19"/>
      <c r="P19" s="18" t="str">
        <f>IF($B19="","",N19-O19)</f>
        <v/>
      </c>
      <c r="Q19" s="8" t="str">
        <f>IF($B19="","",IF(AND(M19&lt;=0,P19&lt;=0),"Soldé","En retard"))</f>
        <v/>
      </c>
      <c r="R19" s="8"/>
    </row>
    <row r="20">
      <c r="A20" s="20"/>
      <c r="B20" s="20"/>
      <c r="C20" s="20"/>
      <c r="D20" s="21"/>
      <c r="E20" s="77"/>
      <c r="F20" s="20"/>
      <c r="G20" s="20"/>
      <c r="H20" s="18" t="str">
        <f>IF($B20="","",Paramètres!$C$15)</f>
        <v/>
      </c>
      <c r="I20" s="19"/>
      <c r="J20" s="19"/>
      <c r="K20" s="19"/>
      <c r="L20" s="18" t="str">
        <f>IF($B20="","",SUM(I20:K20))</f>
        <v/>
      </c>
      <c r="M20" s="18" t="str">
        <f>IF($B20="","",H20-L20)</f>
        <v/>
      </c>
      <c r="N20" s="18" t="str">
        <f>IF($B20="","",IF(R20="Ancien",0,Paramètres!$D$15))</f>
        <v/>
      </c>
      <c r="O20" s="19"/>
      <c r="P20" s="18" t="str">
        <f>IF($B20="","",N20-O20)</f>
        <v/>
      </c>
      <c r="Q20" s="21" t="str">
        <f>IF($B20="","",IF(AND(M20&lt;=0,P20&lt;=0),"Soldé","En retard"))</f>
        <v/>
      </c>
      <c r="R20" s="21"/>
    </row>
    <row r="21">
      <c r="A21" s="15"/>
      <c r="B21" s="15"/>
      <c r="C21" s="15"/>
      <c r="D21" s="8"/>
      <c r="E21" s="79"/>
      <c r="F21" s="15"/>
      <c r="G21" s="15"/>
      <c r="H21" s="18" t="str">
        <f>IF($B21="","",Paramètres!$C$15)</f>
        <v/>
      </c>
      <c r="I21" s="19"/>
      <c r="J21" s="19"/>
      <c r="K21" s="19"/>
      <c r="L21" s="18" t="str">
        <f>IF($B21="","",SUM(I21:K21))</f>
        <v/>
      </c>
      <c r="M21" s="18" t="str">
        <f>IF($B21="","",H21-L21)</f>
        <v/>
      </c>
      <c r="N21" s="18" t="str">
        <f>IF($B21="","",IF(R21="Ancien",0,Paramètres!$D$15))</f>
        <v/>
      </c>
      <c r="O21" s="19"/>
      <c r="P21" s="18" t="str">
        <f>IF($B21="","",N21-O21)</f>
        <v/>
      </c>
      <c r="Q21" s="8" t="str">
        <f>IF($B21="","",IF(AND(M21&lt;=0,P21&lt;=0),"Soldé","En retard"))</f>
        <v/>
      </c>
      <c r="R21" s="8"/>
    </row>
    <row r="22">
      <c r="A22" s="20"/>
      <c r="B22" s="20"/>
      <c r="C22" s="20"/>
      <c r="D22" s="21"/>
      <c r="E22" s="77"/>
      <c r="F22" s="20"/>
      <c r="G22" s="20"/>
      <c r="H22" s="18" t="str">
        <f>IF($B22="","",Paramètres!$C$15)</f>
        <v/>
      </c>
      <c r="I22" s="19"/>
      <c r="J22" s="19"/>
      <c r="K22" s="19"/>
      <c r="L22" s="18" t="str">
        <f>IF($B22="","",SUM(I22:K22))</f>
        <v/>
      </c>
      <c r="M22" s="18" t="str">
        <f>IF($B22="","",H22-L22)</f>
        <v/>
      </c>
      <c r="N22" s="18" t="str">
        <f>IF($B22="","",IF(R22="Ancien",0,Paramètres!$D$15))</f>
        <v/>
      </c>
      <c r="O22" s="19"/>
      <c r="P22" s="18" t="str">
        <f>IF($B22="","",N22-O22)</f>
        <v/>
      </c>
      <c r="Q22" s="21" t="str">
        <f>IF($B22="","",IF(AND(M22&lt;=0,P22&lt;=0),"Soldé","En retard"))</f>
        <v/>
      </c>
      <c r="R22" s="21"/>
    </row>
    <row r="23">
      <c r="A23" s="15"/>
      <c r="B23" s="15"/>
      <c r="C23" s="15"/>
      <c r="D23" s="8"/>
      <c r="E23" s="79"/>
      <c r="F23" s="15"/>
      <c r="G23" s="15"/>
      <c r="H23" s="18" t="str">
        <f>IF($B23="","",Paramètres!$C$15)</f>
        <v/>
      </c>
      <c r="I23" s="19"/>
      <c r="J23" s="19"/>
      <c r="K23" s="19"/>
      <c r="L23" s="18" t="str">
        <f>IF($B23="","",SUM(I23:K23))</f>
        <v/>
      </c>
      <c r="M23" s="18" t="str">
        <f>IF($B23="","",H23-L23)</f>
        <v/>
      </c>
      <c r="N23" s="18" t="str">
        <f>IF($B23="","",IF(R23="Ancien",0,Paramètres!$D$15))</f>
        <v/>
      </c>
      <c r="O23" s="19"/>
      <c r="P23" s="18" t="str">
        <f>IF($B23="","",N23-O23)</f>
        <v/>
      </c>
      <c r="Q23" s="8" t="str">
        <f>IF($B23="","",IF(AND(M23&lt;=0,P23&lt;=0),"Soldé","En retard"))</f>
        <v/>
      </c>
      <c r="R23" s="8"/>
    </row>
    <row r="24">
      <c r="A24" s="20"/>
      <c r="B24" s="20"/>
      <c r="C24" s="20"/>
      <c r="D24" s="21"/>
      <c r="E24" s="77"/>
      <c r="F24" s="20"/>
      <c r="G24" s="20"/>
      <c r="H24" s="18" t="str">
        <f>IF($B24="","",Paramètres!$C$15)</f>
        <v/>
      </c>
      <c r="I24" s="19"/>
      <c r="J24" s="19"/>
      <c r="K24" s="19"/>
      <c r="L24" s="18" t="str">
        <f>IF($B24="","",SUM(I24:K24))</f>
        <v/>
      </c>
      <c r="M24" s="18" t="str">
        <f>IF($B24="","",H24-L24)</f>
        <v/>
      </c>
      <c r="N24" s="18" t="str">
        <f>IF($B24="","",IF(R24="Ancien",0,Paramètres!$D$15))</f>
        <v/>
      </c>
      <c r="O24" s="19"/>
      <c r="P24" s="18" t="str">
        <f>IF($B24="","",N24-O24)</f>
        <v/>
      </c>
      <c r="Q24" s="21" t="str">
        <f>IF($B24="","",IF(AND(M24&lt;=0,P24&lt;=0),"Soldé","En retard"))</f>
        <v/>
      </c>
      <c r="R24" s="21"/>
    </row>
    <row r="25">
      <c r="A25" s="15"/>
      <c r="B25" s="15"/>
      <c r="C25" s="15"/>
      <c r="D25" s="8"/>
      <c r="E25" s="79"/>
      <c r="F25" s="15"/>
      <c r="G25" s="15"/>
      <c r="H25" s="18" t="str">
        <f>IF($B25="","",Paramètres!$C$15)</f>
        <v/>
      </c>
      <c r="I25" s="19"/>
      <c r="J25" s="19"/>
      <c r="K25" s="19"/>
      <c r="L25" s="18" t="str">
        <f>IF($B25="","",SUM(I25:K25))</f>
        <v/>
      </c>
      <c r="M25" s="18" t="str">
        <f>IF($B25="","",H25-L25)</f>
        <v/>
      </c>
      <c r="N25" s="18" t="str">
        <f>IF($B25="","",IF(R25="Ancien",0,Paramètres!$D$15))</f>
        <v/>
      </c>
      <c r="O25" s="19"/>
      <c r="P25" s="18" t="str">
        <f>IF($B25="","",N25-O25)</f>
        <v/>
      </c>
      <c r="Q25" s="8" t="str">
        <f>IF($B25="","",IF(AND(M25&lt;=0,P25&lt;=0),"Soldé","En retard"))</f>
        <v/>
      </c>
      <c r="R25" s="8"/>
    </row>
    <row r="26">
      <c r="A26" s="20"/>
      <c r="B26" s="20"/>
      <c r="C26" s="20"/>
      <c r="D26" s="21"/>
      <c r="E26" s="77"/>
      <c r="F26" s="20"/>
      <c r="G26" s="20"/>
      <c r="H26" s="18" t="str">
        <f>IF($B26="","",Paramètres!$C$15)</f>
        <v/>
      </c>
      <c r="I26" s="19"/>
      <c r="J26" s="19"/>
      <c r="K26" s="19"/>
      <c r="L26" s="18" t="str">
        <f>IF($B26="","",SUM(I26:K26))</f>
        <v/>
      </c>
      <c r="M26" s="18" t="str">
        <f>IF($B26="","",H26-L26)</f>
        <v/>
      </c>
      <c r="N26" s="18" t="str">
        <f>IF($B26="","",IF(R26="Ancien",0,Paramètres!$D$15))</f>
        <v/>
      </c>
      <c r="O26" s="19"/>
      <c r="P26" s="18" t="str">
        <f>IF($B26="","",N26-O26)</f>
        <v/>
      </c>
      <c r="Q26" s="21" t="str">
        <f>IF($B26="","",IF(AND(M26&lt;=0,P26&lt;=0),"Soldé","En retard"))</f>
        <v/>
      </c>
      <c r="R26" s="21"/>
    </row>
    <row r="27">
      <c r="A27" s="15"/>
      <c r="B27" s="15"/>
      <c r="C27" s="15"/>
      <c r="D27" s="8"/>
      <c r="E27" s="79"/>
      <c r="F27" s="15"/>
      <c r="G27" s="15"/>
      <c r="H27" s="18" t="str">
        <f>IF($B27="","",Paramètres!$C$15)</f>
        <v/>
      </c>
      <c r="I27" s="19"/>
      <c r="J27" s="19"/>
      <c r="K27" s="19"/>
      <c r="L27" s="18" t="str">
        <f>IF($B27="","",SUM(I27:K27))</f>
        <v/>
      </c>
      <c r="M27" s="18" t="str">
        <f>IF($B27="","",H27-L27)</f>
        <v/>
      </c>
      <c r="N27" s="18" t="str">
        <f>IF($B27="","",IF(R27="Ancien",0,Paramètres!$D$15))</f>
        <v/>
      </c>
      <c r="O27" s="19"/>
      <c r="P27" s="18" t="str">
        <f>IF($B27="","",N27-O27)</f>
        <v/>
      </c>
      <c r="Q27" s="8" t="str">
        <f>IF($B27="","",IF(AND(M27&lt;=0,P27&lt;=0),"Soldé","En retard"))</f>
        <v/>
      </c>
      <c r="R27" s="8"/>
    </row>
    <row r="28">
      <c r="A28" s="20"/>
      <c r="B28" s="20"/>
      <c r="C28" s="20"/>
      <c r="D28" s="21"/>
      <c r="E28" s="77"/>
      <c r="F28" s="20"/>
      <c r="G28" s="20"/>
      <c r="H28" s="18" t="str">
        <f>IF($B28="","",Paramètres!$C$15)</f>
        <v/>
      </c>
      <c r="I28" s="19"/>
      <c r="J28" s="19"/>
      <c r="K28" s="19"/>
      <c r="L28" s="18" t="str">
        <f>IF($B28="","",SUM(I28:K28))</f>
        <v/>
      </c>
      <c r="M28" s="18" t="str">
        <f>IF($B28="","",H28-L28)</f>
        <v/>
      </c>
      <c r="N28" s="18" t="str">
        <f>IF($B28="","",IF(R28="Ancien",0,Paramètres!$D$15))</f>
        <v/>
      </c>
      <c r="O28" s="19"/>
      <c r="P28" s="18" t="str">
        <f>IF($B28="","",N28-O28)</f>
        <v/>
      </c>
      <c r="Q28" s="21" t="str">
        <f>IF($B28="","",IF(AND(M28&lt;=0,P28&lt;=0),"Soldé","En retard"))</f>
        <v/>
      </c>
      <c r="R28" s="21"/>
    </row>
    <row r="29">
      <c r="A29" s="15"/>
      <c r="B29" s="15"/>
      <c r="C29" s="15"/>
      <c r="D29" s="8"/>
      <c r="E29" s="79"/>
      <c r="F29" s="15"/>
      <c r="G29" s="15"/>
      <c r="H29" s="18" t="str">
        <f>IF($B29="","",Paramètres!$C$15)</f>
        <v/>
      </c>
      <c r="I29" s="19"/>
      <c r="J29" s="19"/>
      <c r="K29" s="19"/>
      <c r="L29" s="18" t="str">
        <f>IF($B29="","",SUM(I29:K29))</f>
        <v/>
      </c>
      <c r="M29" s="18" t="str">
        <f>IF($B29="","",H29-L29)</f>
        <v/>
      </c>
      <c r="N29" s="18" t="str">
        <f>IF($B29="","",IF(R29="Ancien",0,Paramètres!$D$15))</f>
        <v/>
      </c>
      <c r="O29" s="19"/>
      <c r="P29" s="18" t="str">
        <f>IF($B29="","",N29-O29)</f>
        <v/>
      </c>
      <c r="Q29" s="8" t="str">
        <f>IF($B29="","",IF(AND(M29&lt;=0,P29&lt;=0),"Soldé","En retard"))</f>
        <v/>
      </c>
      <c r="R29" s="8"/>
    </row>
    <row r="30">
      <c r="A30" s="20"/>
      <c r="B30" s="20"/>
      <c r="C30" s="20"/>
      <c r="D30" s="21"/>
      <c r="E30" s="77"/>
      <c r="F30" s="20"/>
      <c r="G30" s="20"/>
      <c r="H30" s="18" t="str">
        <f>IF($B30="","",Paramètres!$C$15)</f>
        <v/>
      </c>
      <c r="I30" s="19"/>
      <c r="J30" s="19"/>
      <c r="K30" s="19"/>
      <c r="L30" s="18" t="str">
        <f>IF($B30="","",SUM(I30:K30))</f>
        <v/>
      </c>
      <c r="M30" s="18" t="str">
        <f>IF($B30="","",H30-L30)</f>
        <v/>
      </c>
      <c r="N30" s="18" t="str">
        <f>IF($B30="","",IF(R30="Ancien",0,Paramètres!$D$15))</f>
        <v/>
      </c>
      <c r="O30" s="19"/>
      <c r="P30" s="18" t="str">
        <f>IF($B30="","",N30-O30)</f>
        <v/>
      </c>
      <c r="Q30" s="21" t="str">
        <f>IF($B30="","",IF(AND(M30&lt;=0,P30&lt;=0),"Soldé","En retard"))</f>
        <v/>
      </c>
      <c r="R30" s="21"/>
    </row>
    <row r="31">
      <c r="A31" s="15"/>
      <c r="B31" s="15"/>
      <c r="C31" s="15"/>
      <c r="D31" s="8"/>
      <c r="E31" s="79"/>
      <c r="F31" s="15"/>
      <c r="G31" s="15"/>
      <c r="H31" s="18" t="str">
        <f>IF($B31="","",Paramètres!$C$15)</f>
        <v/>
      </c>
      <c r="I31" s="19"/>
      <c r="J31" s="19"/>
      <c r="K31" s="19"/>
      <c r="L31" s="18" t="str">
        <f>IF($B31="","",SUM(I31:K31))</f>
        <v/>
      </c>
      <c r="M31" s="18" t="str">
        <f>IF($B31="","",H31-L31)</f>
        <v/>
      </c>
      <c r="N31" s="18" t="str">
        <f>IF($B31="","",IF(R31="Ancien",0,Paramètres!$D$15))</f>
        <v/>
      </c>
      <c r="O31" s="19"/>
      <c r="P31" s="18" t="str">
        <f>IF($B31="","",N31-O31)</f>
        <v/>
      </c>
      <c r="Q31" s="8" t="str">
        <f>IF($B31="","",IF(AND(M31&lt;=0,P31&lt;=0),"Soldé","En retard"))</f>
        <v/>
      </c>
      <c r="R31" s="8"/>
    </row>
    <row r="32">
      <c r="A32" s="20"/>
      <c r="B32" s="20"/>
      <c r="C32" s="20"/>
      <c r="D32" s="21"/>
      <c r="E32" s="77"/>
      <c r="F32" s="20"/>
      <c r="G32" s="20"/>
      <c r="H32" s="18" t="str">
        <f>IF($B32="","",Paramètres!$C$15)</f>
        <v/>
      </c>
      <c r="I32" s="19"/>
      <c r="J32" s="19"/>
      <c r="K32" s="19"/>
      <c r="L32" s="18" t="str">
        <f>IF($B32="","",SUM(I32:K32))</f>
        <v/>
      </c>
      <c r="M32" s="18" t="str">
        <f>IF($B32="","",H32-L32)</f>
        <v/>
      </c>
      <c r="N32" s="18" t="str">
        <f>IF($B32="","",IF(R32="Ancien",0,Paramètres!$D$15))</f>
        <v/>
      </c>
      <c r="O32" s="19"/>
      <c r="P32" s="18" t="str">
        <f>IF($B32="","",N32-O32)</f>
        <v/>
      </c>
      <c r="Q32" s="21" t="str">
        <f>IF($B32="","",IF(AND(M32&lt;=0,P32&lt;=0),"Soldé","En retard"))</f>
        <v/>
      </c>
      <c r="R32" s="21"/>
    </row>
    <row r="33">
      <c r="A33" s="15"/>
      <c r="B33" s="15"/>
      <c r="C33" s="15"/>
      <c r="D33" s="8"/>
      <c r="E33" s="79"/>
      <c r="F33" s="15"/>
      <c r="G33" s="15"/>
      <c r="H33" s="18" t="str">
        <f>IF($B33="","",Paramètres!$C$15)</f>
        <v/>
      </c>
      <c r="I33" s="19"/>
      <c r="J33" s="19"/>
      <c r="K33" s="19"/>
      <c r="L33" s="18" t="str">
        <f>IF($B33="","",SUM(I33:K33))</f>
        <v/>
      </c>
      <c r="M33" s="18" t="str">
        <f>IF($B33="","",H33-L33)</f>
        <v/>
      </c>
      <c r="N33" s="18" t="str">
        <f>IF($B33="","",IF(R33="Ancien",0,Paramètres!$D$15))</f>
        <v/>
      </c>
      <c r="O33" s="19"/>
      <c r="P33" s="18" t="str">
        <f>IF($B33="","",N33-O33)</f>
        <v/>
      </c>
      <c r="Q33" s="8" t="str">
        <f>IF($B33="","",IF(AND(M33&lt;=0,P33&lt;=0),"Soldé","En retard"))</f>
        <v/>
      </c>
      <c r="R33" s="8"/>
    </row>
    <row r="34">
      <c r="A34" s="20"/>
      <c r="B34" s="20"/>
      <c r="C34" s="20"/>
      <c r="D34" s="21"/>
      <c r="E34" s="77"/>
      <c r="F34" s="20"/>
      <c r="G34" s="20"/>
      <c r="H34" s="18" t="str">
        <f>IF($B34="","",Paramètres!$C$15)</f>
        <v/>
      </c>
      <c r="I34" s="19"/>
      <c r="J34" s="19"/>
      <c r="K34" s="19"/>
      <c r="L34" s="18" t="str">
        <f>IF($B34="","",SUM(I34:K34))</f>
        <v/>
      </c>
      <c r="M34" s="18" t="str">
        <f>IF($B34="","",H34-L34)</f>
        <v/>
      </c>
      <c r="N34" s="18" t="str">
        <f>IF($B34="","",IF(R34="Ancien",0,Paramètres!$D$15))</f>
        <v/>
      </c>
      <c r="O34" s="19"/>
      <c r="P34" s="18" t="str">
        <f>IF($B34="","",N34-O34)</f>
        <v/>
      </c>
      <c r="Q34" s="21" t="str">
        <f>IF($B34="","",IF(AND(M34&lt;=0,P34&lt;=0),"Soldé","En retard"))</f>
        <v/>
      </c>
      <c r="R34" s="21"/>
    </row>
    <row r="35">
      <c r="A35" s="15"/>
      <c r="B35" s="15"/>
      <c r="C35" s="15"/>
      <c r="D35" s="8"/>
      <c r="E35" s="79"/>
      <c r="F35" s="15"/>
      <c r="G35" s="15"/>
      <c r="H35" s="18" t="str">
        <f>IF($B35="","",Paramètres!$C$15)</f>
        <v/>
      </c>
      <c r="I35" s="19"/>
      <c r="J35" s="19"/>
      <c r="K35" s="19"/>
      <c r="L35" s="18" t="str">
        <f>IF($B35="","",SUM(I35:K35))</f>
        <v/>
      </c>
      <c r="M35" s="18" t="str">
        <f>IF($B35="","",H35-L35)</f>
        <v/>
      </c>
      <c r="N35" s="18" t="str">
        <f>IF($B35="","",IF(R35="Ancien",0,Paramètres!$D$15))</f>
        <v/>
      </c>
      <c r="O35" s="19"/>
      <c r="P35" s="18" t="str">
        <f>IF($B35="","",N35-O35)</f>
        <v/>
      </c>
      <c r="Q35" s="8" t="str">
        <f>IF($B35="","",IF(AND(M35&lt;=0,P35&lt;=0),"Soldé","En retard"))</f>
        <v/>
      </c>
      <c r="R35" s="8"/>
    </row>
    <row r="36">
      <c r="A36" s="20"/>
      <c r="B36" s="20"/>
      <c r="C36" s="20"/>
      <c r="D36" s="21"/>
      <c r="E36" s="77"/>
      <c r="F36" s="20"/>
      <c r="G36" s="20"/>
      <c r="H36" s="18" t="str">
        <f>IF($B36="","",Paramètres!$C$15)</f>
        <v/>
      </c>
      <c r="I36" s="19"/>
      <c r="J36" s="19"/>
      <c r="K36" s="19"/>
      <c r="L36" s="18" t="str">
        <f>IF($B36="","",SUM(I36:K36))</f>
        <v/>
      </c>
      <c r="M36" s="18" t="str">
        <f>IF($B36="","",H36-L36)</f>
        <v/>
      </c>
      <c r="N36" s="18" t="str">
        <f>IF($B36="","",IF(R36="Ancien",0,Paramètres!$D$15))</f>
        <v/>
      </c>
      <c r="O36" s="19"/>
      <c r="P36" s="18" t="str">
        <f>IF($B36="","",N36-O36)</f>
        <v/>
      </c>
      <c r="Q36" s="21" t="str">
        <f>IF($B36="","",IF(AND(M36&lt;=0,P36&lt;=0),"Soldé","En retard"))</f>
        <v/>
      </c>
      <c r="R36" s="21"/>
    </row>
    <row r="37">
      <c r="A37" s="15"/>
      <c r="B37" s="15"/>
      <c r="C37" s="15"/>
      <c r="D37" s="8"/>
      <c r="E37" s="79"/>
      <c r="F37" s="15"/>
      <c r="G37" s="15"/>
      <c r="H37" s="18" t="str">
        <f>IF($B37="","",Paramètres!$C$15)</f>
        <v/>
      </c>
      <c r="I37" s="19"/>
      <c r="J37" s="19"/>
      <c r="K37" s="19"/>
      <c r="L37" s="18" t="str">
        <f>IF($B37="","",SUM(I37:K37))</f>
        <v/>
      </c>
      <c r="M37" s="18" t="str">
        <f>IF($B37="","",H37-L37)</f>
        <v/>
      </c>
      <c r="N37" s="18" t="str">
        <f>IF($B37="","",IF(R37="Ancien",0,Paramètres!$D$15))</f>
        <v/>
      </c>
      <c r="O37" s="19"/>
      <c r="P37" s="18" t="str">
        <f>IF($B37="","",N37-O37)</f>
        <v/>
      </c>
      <c r="Q37" s="8" t="str">
        <f>IF($B37="","",IF(AND(M37&lt;=0,P37&lt;=0),"Soldé","En retard"))</f>
        <v/>
      </c>
      <c r="R37" s="8"/>
    </row>
    <row r="38">
      <c r="A38" s="20"/>
      <c r="B38" s="20"/>
      <c r="C38" s="20"/>
      <c r="D38" s="21"/>
      <c r="E38" s="77"/>
      <c r="F38" s="20"/>
      <c r="G38" s="20"/>
      <c r="H38" s="18" t="str">
        <f>IF($B38="","",Paramètres!$C$15)</f>
        <v/>
      </c>
      <c r="I38" s="19"/>
      <c r="J38" s="19"/>
      <c r="K38" s="19"/>
      <c r="L38" s="18" t="str">
        <f>IF($B38="","",SUM(I38:K38))</f>
        <v/>
      </c>
      <c r="M38" s="18" t="str">
        <f>IF($B38="","",H38-L38)</f>
        <v/>
      </c>
      <c r="N38" s="18" t="str">
        <f>IF($B38="","",IF(R38="Ancien",0,Paramètres!$D$15))</f>
        <v/>
      </c>
      <c r="O38" s="19"/>
      <c r="P38" s="18" t="str">
        <f>IF($B38="","",N38-O38)</f>
        <v/>
      </c>
      <c r="Q38" s="21" t="str">
        <f>IF($B38="","",IF(AND(M38&lt;=0,P38&lt;=0),"Soldé","En retard"))</f>
        <v/>
      </c>
      <c r="R38" s="21"/>
    </row>
    <row r="39">
      <c r="A39" s="15"/>
      <c r="B39" s="15"/>
      <c r="C39" s="15"/>
      <c r="D39" s="8"/>
      <c r="E39" s="79"/>
      <c r="F39" s="15"/>
      <c r="G39" s="15"/>
      <c r="H39" s="18" t="str">
        <f>IF($B39="","",Paramètres!$C$15)</f>
        <v/>
      </c>
      <c r="I39" s="19"/>
      <c r="J39" s="19"/>
      <c r="K39" s="19"/>
      <c r="L39" s="18" t="str">
        <f>IF($B39="","",SUM(I39:K39))</f>
        <v/>
      </c>
      <c r="M39" s="18" t="str">
        <f>IF($B39="","",H39-L39)</f>
        <v/>
      </c>
      <c r="N39" s="18" t="str">
        <f>IF($B39="","",IF(R39="Ancien",0,Paramètres!$D$15))</f>
        <v/>
      </c>
      <c r="O39" s="19"/>
      <c r="P39" s="18" t="str">
        <f>IF($B39="","",N39-O39)</f>
        <v/>
      </c>
      <c r="Q39" s="8" t="str">
        <f>IF($B39="","",IF(AND(M39&lt;=0,P39&lt;=0),"Soldé","En retard"))</f>
        <v/>
      </c>
      <c r="R39" s="8"/>
    </row>
    <row r="40">
      <c r="A40" s="20"/>
      <c r="B40" s="20"/>
      <c r="C40" s="20"/>
      <c r="D40" s="21"/>
      <c r="E40" s="77"/>
      <c r="F40" s="20"/>
      <c r="G40" s="20"/>
      <c r="H40" s="18" t="str">
        <f>IF($B40="","",Paramètres!$C$15)</f>
        <v/>
      </c>
      <c r="I40" s="19"/>
      <c r="J40" s="19"/>
      <c r="K40" s="19"/>
      <c r="L40" s="18" t="str">
        <f>IF($B40="","",SUM(I40:K40))</f>
        <v/>
      </c>
      <c r="M40" s="18" t="str">
        <f>IF($B40="","",H40-L40)</f>
        <v/>
      </c>
      <c r="N40" s="18" t="str">
        <f>IF($B40="","",IF(R40="Ancien",0,Paramètres!$D$15))</f>
        <v/>
      </c>
      <c r="O40" s="19"/>
      <c r="P40" s="18" t="str">
        <f>IF($B40="","",N40-O40)</f>
        <v/>
      </c>
      <c r="Q40" s="21" t="str">
        <f>IF($B40="","",IF(AND(M40&lt;=0,P40&lt;=0),"Soldé","En retard"))</f>
        <v/>
      </c>
      <c r="R40" s="21"/>
    </row>
    <row r="41">
      <c r="A41" s="15"/>
      <c r="B41" s="15"/>
      <c r="C41" s="15"/>
      <c r="D41" s="8"/>
      <c r="E41" s="79"/>
      <c r="F41" s="15"/>
      <c r="G41" s="15"/>
      <c r="H41" s="18" t="str">
        <f>IF($B41="","",Paramètres!$C$15)</f>
        <v/>
      </c>
      <c r="I41" s="19"/>
      <c r="J41" s="19"/>
      <c r="K41" s="19"/>
      <c r="L41" s="18" t="str">
        <f>IF($B41="","",SUM(I41:K41))</f>
        <v/>
      </c>
      <c r="M41" s="18" t="str">
        <f>IF($B41="","",H41-L41)</f>
        <v/>
      </c>
      <c r="N41" s="18" t="str">
        <f>IF($B41="","",IF(R41="Ancien",0,Paramètres!$D$15))</f>
        <v/>
      </c>
      <c r="O41" s="19"/>
      <c r="P41" s="18" t="str">
        <f>IF($B41="","",N41-O41)</f>
        <v/>
      </c>
      <c r="Q41" s="8" t="str">
        <f>IF($B41="","",IF(AND(M41&lt;=0,P41&lt;=0),"Soldé","En retard"))</f>
        <v/>
      </c>
      <c r="R41" s="8"/>
    </row>
    <row r="42">
      <c r="A42" s="20"/>
      <c r="B42" s="20"/>
      <c r="C42" s="20"/>
      <c r="D42" s="21"/>
      <c r="E42" s="77"/>
      <c r="F42" s="20"/>
      <c r="G42" s="20"/>
      <c r="H42" s="18" t="str">
        <f>IF($B42="","",Paramètres!$C$15)</f>
        <v/>
      </c>
      <c r="I42" s="19"/>
      <c r="J42" s="19"/>
      <c r="K42" s="19"/>
      <c r="L42" s="18" t="str">
        <f>IF($B42="","",SUM(I42:K42))</f>
        <v/>
      </c>
      <c r="M42" s="18" t="str">
        <f>IF($B42="","",H42-L42)</f>
        <v/>
      </c>
      <c r="N42" s="18" t="str">
        <f>IF($B42="","",IF(R42="Ancien",0,Paramètres!$D$15))</f>
        <v/>
      </c>
      <c r="O42" s="19"/>
      <c r="P42" s="18" t="str">
        <f>IF($B42="","",N42-O42)</f>
        <v/>
      </c>
      <c r="Q42" s="21" t="str">
        <f>IF($B42="","",IF(AND(M42&lt;=0,P42&lt;=0),"Soldé","En retard"))</f>
        <v/>
      </c>
      <c r="R42" s="21"/>
    </row>
    <row r="43">
      <c r="A43" s="15"/>
      <c r="B43" s="15"/>
      <c r="C43" s="15"/>
      <c r="D43" s="8"/>
      <c r="E43" s="79"/>
      <c r="F43" s="15"/>
      <c r="G43" s="15"/>
      <c r="H43" s="18" t="str">
        <f>IF($B43="","",Paramètres!$C$15)</f>
        <v/>
      </c>
      <c r="I43" s="19"/>
      <c r="J43" s="19"/>
      <c r="K43" s="19"/>
      <c r="L43" s="18" t="str">
        <f>IF($B43="","",SUM(I43:K43))</f>
        <v/>
      </c>
      <c r="M43" s="18" t="str">
        <f>IF($B43="","",H43-L43)</f>
        <v/>
      </c>
      <c r="N43" s="18" t="str">
        <f>IF($B43="","",IF(R43="Ancien",0,Paramètres!$D$15))</f>
        <v/>
      </c>
      <c r="O43" s="19"/>
      <c r="P43" s="18" t="str">
        <f>IF($B43="","",N43-O43)</f>
        <v/>
      </c>
      <c r="Q43" s="8" t="str">
        <f>IF($B43="","",IF(AND(M43&lt;=0,P43&lt;=0),"Soldé","En retard"))</f>
        <v/>
      </c>
      <c r="R43" s="8"/>
    </row>
    <row r="44">
      <c r="A44" s="20"/>
      <c r="B44" s="20"/>
      <c r="C44" s="20"/>
      <c r="D44" s="21"/>
      <c r="E44" s="77"/>
      <c r="F44" s="20"/>
      <c r="G44" s="20"/>
      <c r="H44" s="18" t="str">
        <f>IF($B44="","",Paramètres!$C$15)</f>
        <v/>
      </c>
      <c r="I44" s="19"/>
      <c r="J44" s="19"/>
      <c r="K44" s="19"/>
      <c r="L44" s="18" t="str">
        <f>IF($B44="","",SUM(I44:K44))</f>
        <v/>
      </c>
      <c r="M44" s="18" t="str">
        <f>IF($B44="","",H44-L44)</f>
        <v/>
      </c>
      <c r="N44" s="18" t="str">
        <f>IF($B44="","",IF(R44="Ancien",0,Paramètres!$D$15))</f>
        <v/>
      </c>
      <c r="O44" s="19"/>
      <c r="P44" s="18" t="str">
        <f>IF($B44="","",N44-O44)</f>
        <v/>
      </c>
      <c r="Q44" s="21" t="str">
        <f>IF($B44="","",IF(AND(M44&lt;=0,P44&lt;=0),"Soldé","En retard"))</f>
        <v/>
      </c>
      <c r="R44" s="21"/>
    </row>
    <row r="45">
      <c r="A45" s="15"/>
      <c r="B45" s="15"/>
      <c r="C45" s="15"/>
      <c r="D45" s="8"/>
      <c r="E45" s="79"/>
      <c r="F45" s="15"/>
      <c r="G45" s="15"/>
      <c r="H45" s="18" t="str">
        <f>IF($B45="","",Paramètres!$C$15)</f>
        <v/>
      </c>
      <c r="I45" s="19"/>
      <c r="J45" s="19"/>
      <c r="K45" s="19"/>
      <c r="L45" s="18" t="str">
        <f>IF($B45="","",SUM(I45:K45))</f>
        <v/>
      </c>
      <c r="M45" s="18" t="str">
        <f>IF($B45="","",H45-L45)</f>
        <v/>
      </c>
      <c r="N45" s="18" t="str">
        <f>IF($B45="","",IF(R45="Ancien",0,Paramètres!$D$15))</f>
        <v/>
      </c>
      <c r="O45" s="19"/>
      <c r="P45" s="18" t="str">
        <f>IF($B45="","",N45-O45)</f>
        <v/>
      </c>
      <c r="Q45" s="8" t="str">
        <f>IF($B45="","",IF(AND(M45&lt;=0,P45&lt;=0),"Soldé","En retard"))</f>
        <v/>
      </c>
      <c r="R45" s="8"/>
    </row>
    <row r="46">
      <c r="A46" s="20"/>
      <c r="B46" s="20"/>
      <c r="C46" s="20"/>
      <c r="D46" s="21"/>
      <c r="E46" s="77"/>
      <c r="F46" s="20"/>
      <c r="G46" s="20"/>
      <c r="H46" s="18" t="str">
        <f>IF($B46="","",Paramètres!$C$15)</f>
        <v/>
      </c>
      <c r="I46" s="19"/>
      <c r="J46" s="19"/>
      <c r="K46" s="19"/>
      <c r="L46" s="18" t="str">
        <f>IF($B46="","",SUM(I46:K46))</f>
        <v/>
      </c>
      <c r="M46" s="18" t="str">
        <f>IF($B46="","",H46-L46)</f>
        <v/>
      </c>
      <c r="N46" s="18" t="str">
        <f>IF($B46="","",IF(R46="Ancien",0,Paramètres!$D$15))</f>
        <v/>
      </c>
      <c r="O46" s="19"/>
      <c r="P46" s="18" t="str">
        <f>IF($B46="","",N46-O46)</f>
        <v/>
      </c>
      <c r="Q46" s="21" t="str">
        <f>IF($B46="","",IF(AND(M46&lt;=0,P46&lt;=0),"Soldé","En retard"))</f>
        <v/>
      </c>
      <c r="R46" s="21"/>
    </row>
    <row r="47">
      <c r="A47" s="15"/>
      <c r="B47" s="15"/>
      <c r="C47" s="15"/>
      <c r="D47" s="8"/>
      <c r="E47" s="79"/>
      <c r="F47" s="15"/>
      <c r="G47" s="15"/>
      <c r="H47" s="18" t="str">
        <f>IF($B47="","",Paramètres!$C$15)</f>
        <v/>
      </c>
      <c r="I47" s="19"/>
      <c r="J47" s="19"/>
      <c r="K47" s="19"/>
      <c r="L47" s="18" t="str">
        <f>IF($B47="","",SUM(I47:K47))</f>
        <v/>
      </c>
      <c r="M47" s="18" t="str">
        <f>IF($B47="","",H47-L47)</f>
        <v/>
      </c>
      <c r="N47" s="18" t="str">
        <f>IF($B47="","",IF(R47="Ancien",0,Paramètres!$D$15))</f>
        <v/>
      </c>
      <c r="O47" s="19"/>
      <c r="P47" s="18" t="str">
        <f>IF($B47="","",N47-O47)</f>
        <v/>
      </c>
      <c r="Q47" s="8" t="str">
        <f>IF($B47="","",IF(AND(M47&lt;=0,P47&lt;=0),"Soldé","En retard"))</f>
        <v/>
      </c>
      <c r="R47" s="8"/>
    </row>
    <row r="48">
      <c r="A48" s="20"/>
      <c r="B48" s="20"/>
      <c r="C48" s="20"/>
      <c r="D48" s="21"/>
      <c r="E48" s="77"/>
      <c r="F48" s="20"/>
      <c r="G48" s="20"/>
      <c r="H48" s="18" t="str">
        <f>IF($B48="","",Paramètres!$C$15)</f>
        <v/>
      </c>
      <c r="I48" s="19"/>
      <c r="J48" s="19"/>
      <c r="K48" s="19"/>
      <c r="L48" s="18" t="str">
        <f>IF($B48="","",SUM(I48:K48))</f>
        <v/>
      </c>
      <c r="M48" s="18" t="str">
        <f>IF($B48="","",H48-L48)</f>
        <v/>
      </c>
      <c r="N48" s="18" t="str">
        <f>IF($B48="","",IF(R48="Ancien",0,Paramètres!$D$15))</f>
        <v/>
      </c>
      <c r="O48" s="19"/>
      <c r="P48" s="18" t="str">
        <f>IF($B48="","",N48-O48)</f>
        <v/>
      </c>
      <c r="Q48" s="21" t="str">
        <f>IF($B48="","",IF(AND(M48&lt;=0,P48&lt;=0),"Soldé","En retard"))</f>
        <v/>
      </c>
      <c r="R48" s="21"/>
    </row>
    <row r="49">
      <c r="A49" s="15"/>
      <c r="B49" s="15"/>
      <c r="C49" s="15"/>
      <c r="D49" s="8"/>
      <c r="E49" s="79"/>
      <c r="F49" s="15"/>
      <c r="G49" s="15"/>
      <c r="H49" s="18" t="str">
        <f>IF($B49="","",Paramètres!$C$15)</f>
        <v/>
      </c>
      <c r="I49" s="19"/>
      <c r="J49" s="19"/>
      <c r="K49" s="19"/>
      <c r="L49" s="18" t="str">
        <f>IF($B49="","",SUM(I49:K49))</f>
        <v/>
      </c>
      <c r="M49" s="18" t="str">
        <f>IF($B49="","",H49-L49)</f>
        <v/>
      </c>
      <c r="N49" s="18" t="str">
        <f>IF($B49="","",IF(R49="Ancien",0,Paramètres!$D$15))</f>
        <v/>
      </c>
      <c r="O49" s="19"/>
      <c r="P49" s="18" t="str">
        <f>IF($B49="","",N49-O49)</f>
        <v/>
      </c>
      <c r="Q49" s="8" t="str">
        <f>IF($B49="","",IF(AND(M49&lt;=0,P49&lt;=0),"Soldé","En retard"))</f>
        <v/>
      </c>
      <c r="R49" s="8"/>
    </row>
    <row r="50">
      <c r="A50" s="20"/>
      <c r="B50" s="20"/>
      <c r="C50" s="20"/>
      <c r="D50" s="21"/>
      <c r="E50" s="77"/>
      <c r="F50" s="20"/>
      <c r="G50" s="20"/>
      <c r="H50" s="18" t="str">
        <f>IF($B50="","",Paramètres!$C$15)</f>
        <v/>
      </c>
      <c r="I50" s="19"/>
      <c r="J50" s="19"/>
      <c r="K50" s="19"/>
      <c r="L50" s="18" t="str">
        <f>IF($B50="","",SUM(I50:K50))</f>
        <v/>
      </c>
      <c r="M50" s="18" t="str">
        <f>IF($B50="","",H50-L50)</f>
        <v/>
      </c>
      <c r="N50" s="18" t="str">
        <f>IF($B50="","",IF(R50="Ancien",0,Paramètres!$D$15))</f>
        <v/>
      </c>
      <c r="O50" s="19"/>
      <c r="P50" s="18" t="str">
        <f>IF($B50="","",N50-O50)</f>
        <v/>
      </c>
      <c r="Q50" s="21" t="str">
        <f>IF($B50="","",IF(AND(M50&lt;=0,P50&lt;=0),"Soldé","En retard"))</f>
        <v/>
      </c>
      <c r="R50" s="21"/>
    </row>
    <row r="51">
      <c r="A51" s="15"/>
      <c r="B51" s="15"/>
      <c r="C51" s="15"/>
      <c r="D51" s="8"/>
      <c r="E51" s="79"/>
      <c r="F51" s="15"/>
      <c r="G51" s="15"/>
      <c r="H51" s="18" t="str">
        <f>IF($B51="","",Paramètres!$C$15)</f>
        <v/>
      </c>
      <c r="I51" s="19"/>
      <c r="J51" s="19"/>
      <c r="K51" s="19"/>
      <c r="L51" s="18" t="str">
        <f>IF($B51="","",SUM(I51:K51))</f>
        <v/>
      </c>
      <c r="M51" s="18" t="str">
        <f>IF($B51="","",H51-L51)</f>
        <v/>
      </c>
      <c r="N51" s="18" t="str">
        <f>IF($B51="","",IF(R51="Ancien",0,Paramètres!$D$15))</f>
        <v/>
      </c>
      <c r="O51" s="19"/>
      <c r="P51" s="18" t="str">
        <f>IF($B51="","",N51-O51)</f>
        <v/>
      </c>
      <c r="Q51" s="8" t="str">
        <f>IF($B51="","",IF(AND(M51&lt;=0,P51&lt;=0),"Soldé","En retard"))</f>
        <v/>
      </c>
      <c r="R51" s="8"/>
    </row>
    <row r="52">
      <c r="A52" s="20"/>
      <c r="B52" s="20"/>
      <c r="C52" s="20"/>
      <c r="D52" s="21"/>
      <c r="E52" s="77"/>
      <c r="F52" s="20"/>
      <c r="G52" s="20"/>
      <c r="H52" s="18" t="str">
        <f>IF($B52="","",Paramètres!$C$15)</f>
        <v/>
      </c>
      <c r="I52" s="19"/>
      <c r="J52" s="19"/>
      <c r="K52" s="19"/>
      <c r="L52" s="18" t="str">
        <f>IF($B52="","",SUM(I52:K52))</f>
        <v/>
      </c>
      <c r="M52" s="18" t="str">
        <f>IF($B52="","",H52-L52)</f>
        <v/>
      </c>
      <c r="N52" s="18" t="str">
        <f>IF($B52="","",IF(R52="Ancien",0,Paramètres!$D$15))</f>
        <v/>
      </c>
      <c r="O52" s="19"/>
      <c r="P52" s="18" t="str">
        <f>IF($B52="","",N52-O52)</f>
        <v/>
      </c>
      <c r="Q52" s="21" t="str">
        <f>IF($B52="","",IF(AND(M52&lt;=0,P52&lt;=0),"Soldé","En retard"))</f>
        <v/>
      </c>
      <c r="R52" s="21"/>
    </row>
    <row r="53">
      <c r="A53" s="15"/>
      <c r="B53" s="15"/>
      <c r="C53" s="15"/>
      <c r="D53" s="8"/>
      <c r="E53" s="79"/>
      <c r="F53" s="15"/>
      <c r="G53" s="15"/>
      <c r="H53" s="18" t="str">
        <f>IF($B53="","",Paramètres!$C$15)</f>
        <v/>
      </c>
      <c r="I53" s="19"/>
      <c r="J53" s="19"/>
      <c r="K53" s="19"/>
      <c r="L53" s="18" t="str">
        <f>IF($B53="","",SUM(I53:K53))</f>
        <v/>
      </c>
      <c r="M53" s="18" t="str">
        <f>IF($B53="","",H53-L53)</f>
        <v/>
      </c>
      <c r="N53" s="18" t="str">
        <f>IF($B53="","",IF(R53="Ancien",0,Paramètres!$D$15))</f>
        <v/>
      </c>
      <c r="O53" s="19"/>
      <c r="P53" s="18" t="str">
        <f>IF($B53="","",N53-O53)</f>
        <v/>
      </c>
      <c r="Q53" s="8" t="str">
        <f>IF($B53="","",IF(AND(M53&lt;=0,P53&lt;=0),"Soldé","En retard"))</f>
        <v/>
      </c>
      <c r="R53" s="8"/>
    </row>
    <row r="54">
      <c r="A54" s="20"/>
      <c r="B54" s="20"/>
      <c r="C54" s="20"/>
      <c r="D54" s="21"/>
      <c r="E54" s="77"/>
      <c r="F54" s="20"/>
      <c r="G54" s="20"/>
      <c r="H54" s="18" t="str">
        <f>IF($B54="","",Paramètres!$C$15)</f>
        <v/>
      </c>
      <c r="I54" s="19"/>
      <c r="J54" s="19"/>
      <c r="K54" s="19"/>
      <c r="L54" s="18" t="str">
        <f>IF($B54="","",SUM(I54:K54))</f>
        <v/>
      </c>
      <c r="M54" s="18" t="str">
        <f>IF($B54="","",H54-L54)</f>
        <v/>
      </c>
      <c r="N54" s="18" t="str">
        <f>IF($B54="","",IF(R54="Ancien",0,Paramètres!$D$15))</f>
        <v/>
      </c>
      <c r="O54" s="19"/>
      <c r="P54" s="18" t="str">
        <f>IF($B54="","",N54-O54)</f>
        <v/>
      </c>
      <c r="Q54" s="21" t="str">
        <f>IF($B54="","",IF(AND(M54&lt;=0,P54&lt;=0),"Soldé","En retard"))</f>
        <v/>
      </c>
      <c r="R54" s="21"/>
    </row>
    <row r="55">
      <c r="A55" s="15"/>
      <c r="B55" s="15"/>
      <c r="C55" s="15"/>
      <c r="D55" s="8"/>
      <c r="E55" s="79"/>
      <c r="F55" s="15"/>
      <c r="G55" s="15"/>
      <c r="H55" s="18" t="str">
        <f>IF($B55="","",Paramètres!$C$15)</f>
        <v/>
      </c>
      <c r="I55" s="19"/>
      <c r="J55" s="19"/>
      <c r="K55" s="19"/>
      <c r="L55" s="18" t="str">
        <f>IF($B55="","",SUM(I55:K55))</f>
        <v/>
      </c>
      <c r="M55" s="18" t="str">
        <f>IF($B55="","",H55-L55)</f>
        <v/>
      </c>
      <c r="N55" s="18" t="str">
        <f>IF($B55="","",IF(R55="Ancien",0,Paramètres!$D$15))</f>
        <v/>
      </c>
      <c r="O55" s="19"/>
      <c r="P55" s="18" t="str">
        <f>IF($B55="","",N55-O55)</f>
        <v/>
      </c>
      <c r="Q55" s="8" t="str">
        <f>IF($B55="","",IF(AND(M55&lt;=0,P55&lt;=0),"Soldé","En retard"))</f>
        <v/>
      </c>
      <c r="R55" s="8"/>
    </row>
    <row r="56">
      <c r="A56" s="20"/>
      <c r="B56" s="20"/>
      <c r="C56" s="20"/>
      <c r="D56" s="21"/>
      <c r="E56" s="77"/>
      <c r="F56" s="20"/>
      <c r="G56" s="20"/>
      <c r="H56" s="18" t="str">
        <f>IF($B56="","",Paramètres!$C$15)</f>
        <v/>
      </c>
      <c r="I56" s="19"/>
      <c r="J56" s="19"/>
      <c r="K56" s="19"/>
      <c r="L56" s="18" t="str">
        <f>IF($B56="","",SUM(I56:K56))</f>
        <v/>
      </c>
      <c r="M56" s="18" t="str">
        <f>IF($B56="","",H56-L56)</f>
        <v/>
      </c>
      <c r="N56" s="18" t="str">
        <f>IF($B56="","",IF(R56="Ancien",0,Paramètres!$D$15))</f>
        <v/>
      </c>
      <c r="O56" s="19"/>
      <c r="P56" s="18" t="str">
        <f>IF($B56="","",N56-O56)</f>
        <v/>
      </c>
      <c r="Q56" s="21" t="str">
        <f>IF($B56="","",IF(AND(M56&lt;=0,P56&lt;=0),"Soldé","En retard"))</f>
        <v/>
      </c>
      <c r="R56" s="21"/>
    </row>
    <row r="57">
      <c r="A57" s="15"/>
      <c r="B57" s="15"/>
      <c r="C57" s="15"/>
      <c r="D57" s="8"/>
      <c r="E57" s="79"/>
      <c r="F57" s="15"/>
      <c r="G57" s="15"/>
      <c r="H57" s="18" t="str">
        <f>IF($B57="","",Paramètres!$C$15)</f>
        <v/>
      </c>
      <c r="I57" s="19"/>
      <c r="J57" s="19"/>
      <c r="K57" s="19"/>
      <c r="L57" s="18" t="str">
        <f>IF($B57="","",SUM(I57:K57))</f>
        <v/>
      </c>
      <c r="M57" s="18" t="str">
        <f>IF($B57="","",H57-L57)</f>
        <v/>
      </c>
      <c r="N57" s="18" t="str">
        <f>IF($B57="","",IF(R57="Ancien",0,Paramètres!$D$15))</f>
        <v/>
      </c>
      <c r="O57" s="19"/>
      <c r="P57" s="18" t="str">
        <f>IF($B57="","",N57-O57)</f>
        <v/>
      </c>
      <c r="Q57" s="8" t="str">
        <f>IF($B57="","",IF(AND(M57&lt;=0,P57&lt;=0),"Soldé","En retard"))</f>
        <v/>
      </c>
      <c r="R57" s="8"/>
    </row>
    <row r="58">
      <c r="A58" s="20"/>
      <c r="B58" s="20"/>
      <c r="C58" s="20"/>
      <c r="D58" s="21"/>
      <c r="E58" s="77"/>
      <c r="F58" s="20"/>
      <c r="G58" s="20"/>
      <c r="H58" s="18" t="str">
        <f>IF($B58="","",Paramètres!$C$15)</f>
        <v/>
      </c>
      <c r="I58" s="19"/>
      <c r="J58" s="19"/>
      <c r="K58" s="19"/>
      <c r="L58" s="18" t="str">
        <f>IF($B58="","",SUM(I58:K58))</f>
        <v/>
      </c>
      <c r="M58" s="18" t="str">
        <f>IF($B58="","",H58-L58)</f>
        <v/>
      </c>
      <c r="N58" s="18" t="str">
        <f>IF($B58="","",IF(R58="Ancien",0,Paramètres!$D$15))</f>
        <v/>
      </c>
      <c r="O58" s="19"/>
      <c r="P58" s="18" t="str">
        <f>IF($B58="","",N58-O58)</f>
        <v/>
      </c>
      <c r="Q58" s="21" t="str">
        <f>IF($B58="","",IF(AND(M58&lt;=0,P58&lt;=0),"Soldé","En retard"))</f>
        <v/>
      </c>
      <c r="R58" s="21"/>
    </row>
    <row r="59">
      <c r="A59" s="15"/>
      <c r="B59" s="15"/>
      <c r="C59" s="15"/>
      <c r="D59" s="8"/>
      <c r="E59" s="79"/>
      <c r="F59" s="15"/>
      <c r="G59" s="15"/>
      <c r="H59" s="18" t="str">
        <f>IF($B59="","",Paramètres!$C$15)</f>
        <v/>
      </c>
      <c r="I59" s="19"/>
      <c r="J59" s="19"/>
      <c r="K59" s="19"/>
      <c r="L59" s="18" t="str">
        <f>IF($B59="","",SUM(I59:K59))</f>
        <v/>
      </c>
      <c r="M59" s="18" t="str">
        <f>IF($B59="","",H59-L59)</f>
        <v/>
      </c>
      <c r="N59" s="18" t="str">
        <f>IF($B59="","",IF(R59="Ancien",0,Paramètres!$D$15))</f>
        <v/>
      </c>
      <c r="O59" s="19"/>
      <c r="P59" s="18" t="str">
        <f>IF($B59="","",N59-O59)</f>
        <v/>
      </c>
      <c r="Q59" s="8" t="str">
        <f>IF($B59="","",IF(AND(M59&lt;=0,P59&lt;=0),"Soldé","En retard"))</f>
        <v/>
      </c>
      <c r="R59" s="8"/>
    </row>
    <row r="60">
      <c r="A60" s="20"/>
      <c r="B60" s="20"/>
      <c r="C60" s="20"/>
      <c r="D60" s="21"/>
      <c r="E60" s="77"/>
      <c r="F60" s="20"/>
      <c r="G60" s="20"/>
      <c r="H60" s="18" t="str">
        <f>IF($B60="","",Paramètres!$C$15)</f>
        <v/>
      </c>
      <c r="I60" s="19"/>
      <c r="J60" s="19"/>
      <c r="K60" s="19"/>
      <c r="L60" s="18" t="str">
        <f>IF($B60="","",SUM(I60:K60))</f>
        <v/>
      </c>
      <c r="M60" s="18" t="str">
        <f>IF($B60="","",H60-L60)</f>
        <v/>
      </c>
      <c r="N60" s="18" t="str">
        <f>IF($B60="","",IF(R60="Ancien",0,Paramètres!$D$15))</f>
        <v/>
      </c>
      <c r="O60" s="19"/>
      <c r="P60" s="18" t="str">
        <f>IF($B60="","",N60-O60)</f>
        <v/>
      </c>
      <c r="Q60" s="21" t="str">
        <f>IF($B60="","",IF(AND(M60&lt;=0,P60&lt;=0),"Soldé","En retard"))</f>
        <v/>
      </c>
      <c r="R60" s="21"/>
    </row>
    <row r="61">
      <c r="A61" s="15"/>
      <c r="B61" s="15"/>
      <c r="C61" s="15"/>
      <c r="D61" s="8"/>
      <c r="E61" s="79"/>
      <c r="F61" s="15"/>
      <c r="G61" s="15"/>
      <c r="H61" s="18" t="str">
        <f>IF($B61="","",Paramètres!$C$15)</f>
        <v/>
      </c>
      <c r="I61" s="19"/>
      <c r="J61" s="19"/>
      <c r="K61" s="19"/>
      <c r="L61" s="18" t="str">
        <f>IF($B61="","",SUM(I61:K61))</f>
        <v/>
      </c>
      <c r="M61" s="18" t="str">
        <f>IF($B61="","",H61-L61)</f>
        <v/>
      </c>
      <c r="N61" s="18" t="str">
        <f>IF($B61="","",IF(R61="Ancien",0,Paramètres!$D$15))</f>
        <v/>
      </c>
      <c r="O61" s="19"/>
      <c r="P61" s="18" t="str">
        <f>IF($B61="","",N61-O61)</f>
        <v/>
      </c>
      <c r="Q61" s="8" t="str">
        <f>IF($B61="","",IF(AND(M61&lt;=0,P61&lt;=0),"Soldé","En retard"))</f>
        <v/>
      </c>
      <c r="R61" s="8"/>
    </row>
    <row r="62">
      <c r="A62" s="20"/>
      <c r="B62" s="20"/>
      <c r="C62" s="20"/>
      <c r="D62" s="21"/>
      <c r="E62" s="77"/>
      <c r="F62" s="20"/>
      <c r="G62" s="20"/>
      <c r="H62" s="18" t="str">
        <f>IF($B62="","",Paramètres!$C$15)</f>
        <v/>
      </c>
      <c r="I62" s="19"/>
      <c r="J62" s="19"/>
      <c r="K62" s="19"/>
      <c r="L62" s="18" t="str">
        <f>IF($B62="","",SUM(I62:K62))</f>
        <v/>
      </c>
      <c r="M62" s="18" t="str">
        <f>IF($B62="","",H62-L62)</f>
        <v/>
      </c>
      <c r="N62" s="18" t="str">
        <f>IF($B62="","",IF(R62="Ancien",0,Paramètres!$D$15))</f>
        <v/>
      </c>
      <c r="O62" s="19"/>
      <c r="P62" s="18" t="str">
        <f>IF($B62="","",N62-O62)</f>
        <v/>
      </c>
      <c r="Q62" s="21" t="str">
        <f>IF($B62="","",IF(AND(M62&lt;=0,P62&lt;=0),"Soldé","En retard"))</f>
        <v/>
      </c>
      <c r="R62" s="21"/>
    </row>
    <row r="63">
      <c r="A63" s="15"/>
      <c r="B63" s="15"/>
      <c r="C63" s="15"/>
      <c r="D63" s="8"/>
      <c r="E63" s="79"/>
      <c r="F63" s="15"/>
      <c r="G63" s="15"/>
      <c r="H63" s="18" t="str">
        <f>IF($B63="","",Paramètres!$C$15)</f>
        <v/>
      </c>
      <c r="I63" s="19"/>
      <c r="J63" s="19"/>
      <c r="K63" s="19"/>
      <c r="L63" s="18" t="str">
        <f>IF($B63="","",SUM(I63:K63))</f>
        <v/>
      </c>
      <c r="M63" s="18" t="str">
        <f>IF($B63="","",H63-L63)</f>
        <v/>
      </c>
      <c r="N63" s="18" t="str">
        <f>IF($B63="","",IF(R63="Ancien",0,Paramètres!$D$15))</f>
        <v/>
      </c>
      <c r="O63" s="19"/>
      <c r="P63" s="18" t="str">
        <f>IF($B63="","",N63-O63)</f>
        <v/>
      </c>
      <c r="Q63" s="8" t="str">
        <f>IF($B63="","",IF(AND(M63&lt;=0,P63&lt;=0),"Soldé","En retard"))</f>
        <v/>
      </c>
      <c r="R63" s="8"/>
    </row>
    <row r="64">
      <c r="A64" s="20"/>
      <c r="B64" s="20"/>
      <c r="C64" s="20"/>
      <c r="D64" s="21"/>
      <c r="E64" s="77"/>
      <c r="F64" s="20"/>
      <c r="G64" s="20"/>
      <c r="H64" s="18" t="str">
        <f>IF($B64="","",Paramètres!$C$15)</f>
        <v/>
      </c>
      <c r="I64" s="19"/>
      <c r="J64" s="19"/>
      <c r="K64" s="19"/>
      <c r="L64" s="18" t="str">
        <f>IF($B64="","",SUM(I64:K64))</f>
        <v/>
      </c>
      <c r="M64" s="18" t="str">
        <f>IF($B64="","",H64-L64)</f>
        <v/>
      </c>
      <c r="N64" s="18" t="str">
        <f>IF($B64="","",IF(R64="Ancien",0,Paramètres!$D$15))</f>
        <v/>
      </c>
      <c r="O64" s="19"/>
      <c r="P64" s="18" t="str">
        <f>IF($B64="","",N64-O64)</f>
        <v/>
      </c>
      <c r="Q64" s="21" t="str">
        <f>IF($B64="","",IF(AND(M64&lt;=0,P64&lt;=0),"Soldé","En retard"))</f>
        <v/>
      </c>
      <c r="R64" s="21"/>
    </row>
    <row r="65">
      <c r="A65" s="15"/>
      <c r="B65" s="15"/>
      <c r="C65" s="15"/>
      <c r="D65" s="8"/>
      <c r="E65" s="79"/>
      <c r="F65" s="15"/>
      <c r="G65" s="15"/>
      <c r="H65" s="18" t="str">
        <f>IF($B65="","",Paramètres!$C$15)</f>
        <v/>
      </c>
      <c r="I65" s="19"/>
      <c r="J65" s="19"/>
      <c r="K65" s="19"/>
      <c r="L65" s="18" t="str">
        <f>IF($B65="","",SUM(I65:K65))</f>
        <v/>
      </c>
      <c r="M65" s="18" t="str">
        <f>IF($B65="","",H65-L65)</f>
        <v/>
      </c>
      <c r="N65" s="18" t="str">
        <f>IF($B65="","",IF(R65="Ancien",0,Paramètres!$D$15))</f>
        <v/>
      </c>
      <c r="O65" s="19"/>
      <c r="P65" s="18" t="str">
        <f>IF($B65="","",N65-O65)</f>
        <v/>
      </c>
      <c r="Q65" s="8" t="str">
        <f>IF($B65="","",IF(AND(M65&lt;=0,P65&lt;=0),"Soldé","En retard"))</f>
        <v/>
      </c>
      <c r="R65" s="8"/>
    </row>
    <row r="66">
      <c r="A66" s="20"/>
      <c r="B66" s="20"/>
      <c r="C66" s="20"/>
      <c r="D66" s="21"/>
      <c r="E66" s="77"/>
      <c r="F66" s="20"/>
      <c r="G66" s="20"/>
      <c r="H66" s="18" t="str">
        <f>IF($B66="","",Paramètres!$C$15)</f>
        <v/>
      </c>
      <c r="I66" s="19"/>
      <c r="J66" s="19"/>
      <c r="K66" s="19"/>
      <c r="L66" s="18" t="str">
        <f>IF($B66="","",SUM(I66:K66))</f>
        <v/>
      </c>
      <c r="M66" s="18" t="str">
        <f>IF($B66="","",H66-L66)</f>
        <v/>
      </c>
      <c r="N66" s="18" t="str">
        <f>IF($B66="","",IF(R66="Ancien",0,Paramètres!$D$15))</f>
        <v/>
      </c>
      <c r="O66" s="19"/>
      <c r="P66" s="18" t="str">
        <f>IF($B66="","",N66-O66)</f>
        <v/>
      </c>
      <c r="Q66" s="21" t="str">
        <f>IF($B66="","",IF(AND(M66&lt;=0,P66&lt;=0),"Soldé","En retard"))</f>
        <v/>
      </c>
      <c r="R66" s="21"/>
    </row>
    <row r="67">
      <c r="A67" s="15"/>
      <c r="B67" s="15"/>
      <c r="C67" s="15"/>
      <c r="D67" s="8"/>
      <c r="E67" s="79"/>
      <c r="F67" s="15"/>
      <c r="G67" s="15"/>
      <c r="H67" s="18" t="str">
        <f>IF($B67="","",Paramètres!$C$15)</f>
        <v/>
      </c>
      <c r="I67" s="19"/>
      <c r="J67" s="19"/>
      <c r="K67" s="19"/>
      <c r="L67" s="18" t="str">
        <f>IF($B67="","",SUM(I67:K67))</f>
        <v/>
      </c>
      <c r="M67" s="18" t="str">
        <f>IF($B67="","",H67-L67)</f>
        <v/>
      </c>
      <c r="N67" s="18" t="str">
        <f>IF($B67="","",IF(R67="Ancien",0,Paramètres!$D$15))</f>
        <v/>
      </c>
      <c r="O67" s="19"/>
      <c r="P67" s="18" t="str">
        <f>IF($B67="","",N67-O67)</f>
        <v/>
      </c>
      <c r="Q67" s="8" t="str">
        <f>IF($B67="","",IF(AND(M67&lt;=0,P67&lt;=0),"Soldé","En retard"))</f>
        <v/>
      </c>
      <c r="R67" s="8"/>
    </row>
    <row r="68">
      <c r="A68" s="20"/>
      <c r="B68" s="20"/>
      <c r="C68" s="20"/>
      <c r="D68" s="21"/>
      <c r="E68" s="77"/>
      <c r="F68" s="20"/>
      <c r="G68" s="20"/>
      <c r="H68" s="18" t="str">
        <f>IF($B68="","",Paramètres!$C$15)</f>
        <v/>
      </c>
      <c r="I68" s="19"/>
      <c r="J68" s="19"/>
      <c r="K68" s="19"/>
      <c r="L68" s="18" t="str">
        <f>IF($B68="","",SUM(I68:K68))</f>
        <v/>
      </c>
      <c r="M68" s="18" t="str">
        <f>IF($B68="","",H68-L68)</f>
        <v/>
      </c>
      <c r="N68" s="18" t="str">
        <f>IF($B68="","",IF(R68="Ancien",0,Paramètres!$D$15))</f>
        <v/>
      </c>
      <c r="O68" s="19"/>
      <c r="P68" s="18" t="str">
        <f>IF($B68="","",N68-O68)</f>
        <v/>
      </c>
      <c r="Q68" s="21" t="str">
        <f>IF($B68="","",IF(AND(M68&lt;=0,P68&lt;=0),"Soldé","En retard"))</f>
        <v/>
      </c>
      <c r="R68" s="21"/>
    </row>
    <row r="69">
      <c r="A69" s="15"/>
      <c r="B69" s="15"/>
      <c r="C69" s="15"/>
      <c r="D69" s="8"/>
      <c r="E69" s="79"/>
      <c r="F69" s="15"/>
      <c r="G69" s="15"/>
      <c r="H69" s="18" t="str">
        <f>IF($B69="","",Paramètres!$C$15)</f>
        <v/>
      </c>
      <c r="I69" s="19"/>
      <c r="J69" s="19"/>
      <c r="K69" s="19"/>
      <c r="L69" s="18" t="str">
        <f>IF($B69="","",SUM(I69:K69))</f>
        <v/>
      </c>
      <c r="M69" s="18" t="str">
        <f>IF($B69="","",H69-L69)</f>
        <v/>
      </c>
      <c r="N69" s="18" t="str">
        <f>IF($B69="","",IF(R69="Ancien",0,Paramètres!$D$15))</f>
        <v/>
      </c>
      <c r="O69" s="19"/>
      <c r="P69" s="18" t="str">
        <f>IF($B69="","",N69-O69)</f>
        <v/>
      </c>
      <c r="Q69" s="8" t="str">
        <f>IF($B69="","",IF(AND(M69&lt;=0,P69&lt;=0),"Soldé","En retard"))</f>
        <v/>
      </c>
      <c r="R69" s="8"/>
    </row>
    <row r="70">
      <c r="A70" s="20"/>
      <c r="B70" s="20"/>
      <c r="C70" s="20"/>
      <c r="D70" s="21"/>
      <c r="E70" s="77"/>
      <c r="F70" s="20"/>
      <c r="G70" s="20"/>
      <c r="H70" s="18" t="str">
        <f>IF($B70="","",Paramètres!$C$15)</f>
        <v/>
      </c>
      <c r="I70" s="19"/>
      <c r="J70" s="19"/>
      <c r="K70" s="19"/>
      <c r="L70" s="18" t="str">
        <f>IF($B70="","",SUM(I70:K70))</f>
        <v/>
      </c>
      <c r="M70" s="18" t="str">
        <f>IF($B70="","",H70-L70)</f>
        <v/>
      </c>
      <c r="N70" s="18" t="str">
        <f>IF($B70="","",IF(R70="Ancien",0,Paramètres!$D$15))</f>
        <v/>
      </c>
      <c r="O70" s="19"/>
      <c r="P70" s="18" t="str">
        <f>IF($B70="","",N70-O70)</f>
        <v/>
      </c>
      <c r="Q70" s="21" t="str">
        <f>IF($B70="","",IF(AND(M70&lt;=0,P70&lt;=0),"Soldé","En retard"))</f>
        <v/>
      </c>
      <c r="R70" s="21"/>
    </row>
    <row r="71">
      <c r="A71" s="15"/>
      <c r="B71" s="15"/>
      <c r="C71" s="15"/>
      <c r="D71" s="8"/>
      <c r="E71" s="79"/>
      <c r="F71" s="15"/>
      <c r="G71" s="15"/>
      <c r="H71" s="18" t="str">
        <f>IF($B71="","",Paramètres!$C$15)</f>
        <v/>
      </c>
      <c r="I71" s="19"/>
      <c r="J71" s="19"/>
      <c r="K71" s="19"/>
      <c r="L71" s="18" t="str">
        <f>IF($B71="","",SUM(I71:K71))</f>
        <v/>
      </c>
      <c r="M71" s="18" t="str">
        <f>IF($B71="","",H71-L71)</f>
        <v/>
      </c>
      <c r="N71" s="18" t="str">
        <f>IF($B71="","",IF(R71="Ancien",0,Paramètres!$D$15))</f>
        <v/>
      </c>
      <c r="O71" s="19"/>
      <c r="P71" s="18" t="str">
        <f>IF($B71="","",N71-O71)</f>
        <v/>
      </c>
      <c r="Q71" s="8" t="str">
        <f>IF($B71="","",IF(AND(M71&lt;=0,P71&lt;=0),"Soldé","En retard"))</f>
        <v/>
      </c>
      <c r="R71" s="8"/>
    </row>
    <row r="72">
      <c r="A72" s="20"/>
      <c r="B72" s="20"/>
      <c r="C72" s="20"/>
      <c r="D72" s="21"/>
      <c r="E72" s="77"/>
      <c r="F72" s="20"/>
      <c r="G72" s="20"/>
      <c r="H72" s="18" t="str">
        <f>IF($B72="","",Paramètres!$C$15)</f>
        <v/>
      </c>
      <c r="I72" s="19"/>
      <c r="J72" s="19"/>
      <c r="K72" s="19"/>
      <c r="L72" s="18" t="str">
        <f>IF($B72="","",SUM(I72:K72))</f>
        <v/>
      </c>
      <c r="M72" s="18" t="str">
        <f>IF($B72="","",H72-L72)</f>
        <v/>
      </c>
      <c r="N72" s="18" t="str">
        <f>IF($B72="","",IF(R72="Ancien",0,Paramètres!$D$15))</f>
        <v/>
      </c>
      <c r="O72" s="19"/>
      <c r="P72" s="18" t="str">
        <f>IF($B72="","",N72-O72)</f>
        <v/>
      </c>
      <c r="Q72" s="21" t="str">
        <f>IF($B72="","",IF(AND(M72&lt;=0,P72&lt;=0),"Soldé","En retard"))</f>
        <v/>
      </c>
      <c r="R72" s="21"/>
    </row>
    <row r="73">
      <c r="A73" s="15"/>
      <c r="B73" s="15"/>
      <c r="C73" s="15"/>
      <c r="D73" s="8"/>
      <c r="E73" s="79"/>
      <c r="F73" s="15"/>
      <c r="G73" s="15"/>
      <c r="H73" s="18" t="str">
        <f>IF($B73="","",Paramètres!$C$15)</f>
        <v/>
      </c>
      <c r="I73" s="19"/>
      <c r="J73" s="19"/>
      <c r="K73" s="19"/>
      <c r="L73" s="18" t="str">
        <f>IF($B73="","",SUM(I73:K73))</f>
        <v/>
      </c>
      <c r="M73" s="18" t="str">
        <f>IF($B73="","",H73-L73)</f>
        <v/>
      </c>
      <c r="N73" s="18" t="str">
        <f>IF($B73="","",IF(R73="Ancien",0,Paramètres!$D$15))</f>
        <v/>
      </c>
      <c r="O73" s="19"/>
      <c r="P73" s="18" t="str">
        <f>IF($B73="","",N73-O73)</f>
        <v/>
      </c>
      <c r="Q73" s="8" t="str">
        <f>IF($B73="","",IF(AND(M73&lt;=0,P73&lt;=0),"Soldé","En retard"))</f>
        <v/>
      </c>
      <c r="R73" s="8"/>
    </row>
    <row r="74">
      <c r="A74" s="20"/>
      <c r="B74" s="20"/>
      <c r="C74" s="20"/>
      <c r="D74" s="21"/>
      <c r="E74" s="77"/>
      <c r="F74" s="20"/>
      <c r="G74" s="20"/>
      <c r="H74" s="18" t="str">
        <f>IF($B74="","",Paramètres!$C$15)</f>
        <v/>
      </c>
      <c r="I74" s="19"/>
      <c r="J74" s="19"/>
      <c r="K74" s="19"/>
      <c r="L74" s="18" t="str">
        <f>IF($B74="","",SUM(I74:K74))</f>
        <v/>
      </c>
      <c r="M74" s="18" t="str">
        <f>IF($B74="","",H74-L74)</f>
        <v/>
      </c>
      <c r="N74" s="18" t="str">
        <f>IF($B74="","",IF(R74="Ancien",0,Paramètres!$D$15))</f>
        <v/>
      </c>
      <c r="O74" s="19"/>
      <c r="P74" s="18" t="str">
        <f>IF($B74="","",N74-O74)</f>
        <v/>
      </c>
      <c r="Q74" s="21" t="str">
        <f>IF($B74="","",IF(AND(M74&lt;=0,P74&lt;=0),"Soldé","En retard"))</f>
        <v/>
      </c>
      <c r="R74" s="21"/>
    </row>
    <row r="75">
      <c r="A75" s="15"/>
      <c r="B75" s="15"/>
      <c r="C75" s="15"/>
      <c r="D75" s="8"/>
      <c r="E75" s="79"/>
      <c r="F75" s="15"/>
      <c r="G75" s="15"/>
      <c r="H75" s="18" t="str">
        <f>IF($B75="","",Paramètres!$C$15)</f>
        <v/>
      </c>
      <c r="I75" s="19"/>
      <c r="J75" s="19"/>
      <c r="K75" s="19"/>
      <c r="L75" s="18" t="str">
        <f>IF($B75="","",SUM(I75:K75))</f>
        <v/>
      </c>
      <c r="M75" s="18" t="str">
        <f>IF($B75="","",H75-L75)</f>
        <v/>
      </c>
      <c r="N75" s="18" t="str">
        <f>IF($B75="","",IF(R75="Ancien",0,Paramètres!$D$15))</f>
        <v/>
      </c>
      <c r="O75" s="19"/>
      <c r="P75" s="18" t="str">
        <f>IF($B75="","",N75-O75)</f>
        <v/>
      </c>
      <c r="Q75" s="8" t="str">
        <f>IF($B75="","",IF(AND(M75&lt;=0,P75&lt;=0),"Soldé","En retard"))</f>
        <v/>
      </c>
      <c r="R75" s="8"/>
    </row>
    <row r="76">
      <c r="A76" s="20"/>
      <c r="B76" s="20"/>
      <c r="C76" s="20"/>
      <c r="D76" s="21"/>
      <c r="E76" s="77"/>
      <c r="F76" s="20"/>
      <c r="G76" s="20"/>
      <c r="H76" s="18" t="str">
        <f>IF($B76="","",Paramètres!$C$15)</f>
        <v/>
      </c>
      <c r="I76" s="19"/>
      <c r="J76" s="19"/>
      <c r="K76" s="19"/>
      <c r="L76" s="18" t="str">
        <f>IF($B76="","",SUM(I76:K76))</f>
        <v/>
      </c>
      <c r="M76" s="18" t="str">
        <f>IF($B76="","",H76-L76)</f>
        <v/>
      </c>
      <c r="N76" s="18" t="str">
        <f>IF($B76="","",IF(R76="Ancien",0,Paramètres!$D$15))</f>
        <v/>
      </c>
      <c r="O76" s="19"/>
      <c r="P76" s="18" t="str">
        <f>IF($B76="","",N76-O76)</f>
        <v/>
      </c>
      <c r="Q76" s="21" t="str">
        <f>IF($B76="","",IF(AND(M76&lt;=0,P76&lt;=0),"Soldé","En retard"))</f>
        <v/>
      </c>
      <c r="R76" s="21"/>
    </row>
    <row r="77">
      <c r="A77" s="15"/>
      <c r="B77" s="15"/>
      <c r="C77" s="15"/>
      <c r="D77" s="8"/>
      <c r="E77" s="79"/>
      <c r="F77" s="15"/>
      <c r="G77" s="15"/>
      <c r="H77" s="18" t="str">
        <f>IF($B77="","",Paramètres!$C$15)</f>
        <v/>
      </c>
      <c r="I77" s="19"/>
      <c r="J77" s="19"/>
      <c r="K77" s="19"/>
      <c r="L77" s="18" t="str">
        <f>IF($B77="","",SUM(I77:K77))</f>
        <v/>
      </c>
      <c r="M77" s="18" t="str">
        <f>IF($B77="","",H77-L77)</f>
        <v/>
      </c>
      <c r="N77" s="18" t="str">
        <f>IF($B77="","",IF(R77="Ancien",0,Paramètres!$D$15))</f>
        <v/>
      </c>
      <c r="O77" s="19"/>
      <c r="P77" s="18" t="str">
        <f>IF($B77="","",N77-O77)</f>
        <v/>
      </c>
      <c r="Q77" s="8" t="str">
        <f>IF($B77="","",IF(AND(M77&lt;=0,P77&lt;=0),"Soldé","En retard"))</f>
        <v/>
      </c>
      <c r="R77" s="8"/>
    </row>
    <row r="78">
      <c r="A78" s="20"/>
      <c r="B78" s="20"/>
      <c r="C78" s="20"/>
      <c r="D78" s="21"/>
      <c r="E78" s="77"/>
      <c r="F78" s="20"/>
      <c r="G78" s="20"/>
      <c r="H78" s="18" t="str">
        <f>IF($B78="","",Paramètres!$C$15)</f>
        <v/>
      </c>
      <c r="I78" s="19"/>
      <c r="J78" s="19"/>
      <c r="K78" s="19"/>
      <c r="L78" s="18" t="str">
        <f>IF($B78="","",SUM(I78:K78))</f>
        <v/>
      </c>
      <c r="M78" s="18" t="str">
        <f>IF($B78="","",H78-L78)</f>
        <v/>
      </c>
      <c r="N78" s="18" t="str">
        <f>IF($B78="","",IF(R78="Ancien",0,Paramètres!$D$15))</f>
        <v/>
      </c>
      <c r="O78" s="19"/>
      <c r="P78" s="18" t="str">
        <f>IF($B78="","",N78-O78)</f>
        <v/>
      </c>
      <c r="Q78" s="21" t="str">
        <f>IF($B78="","",IF(AND(M78&lt;=0,P78&lt;=0),"Soldé","En retard"))</f>
        <v/>
      </c>
      <c r="R78" s="21"/>
    </row>
    <row r="79">
      <c r="A79" s="15"/>
      <c r="B79" s="15"/>
      <c r="C79" s="15"/>
      <c r="D79" s="8"/>
      <c r="E79" s="79"/>
      <c r="F79" s="15"/>
      <c r="G79" s="15"/>
      <c r="H79" s="18" t="str">
        <f>IF($B79="","",Paramètres!$C$15)</f>
        <v/>
      </c>
      <c r="I79" s="19"/>
      <c r="J79" s="19"/>
      <c r="K79" s="19"/>
      <c r="L79" s="18" t="str">
        <f>IF($B79="","",SUM(I79:K79))</f>
        <v/>
      </c>
      <c r="M79" s="18" t="str">
        <f>IF($B79="","",H79-L79)</f>
        <v/>
      </c>
      <c r="N79" s="18" t="str">
        <f>IF($B79="","",IF(R79="Ancien",0,Paramètres!$D$15))</f>
        <v/>
      </c>
      <c r="O79" s="19"/>
      <c r="P79" s="18" t="str">
        <f>IF($B79="","",N79-O79)</f>
        <v/>
      </c>
      <c r="Q79" s="8" t="str">
        <f>IF($B79="","",IF(AND(M79&lt;=0,P79&lt;=0),"Soldé","En retard"))</f>
        <v/>
      </c>
      <c r="R79" s="8"/>
    </row>
    <row r="80">
      <c r="A80" s="20"/>
      <c r="B80" s="20"/>
      <c r="C80" s="20"/>
      <c r="D80" s="21"/>
      <c r="E80" s="77"/>
      <c r="F80" s="20"/>
      <c r="G80" s="20"/>
      <c r="H80" s="18" t="str">
        <f>IF($B80="","",Paramètres!$C$15)</f>
        <v/>
      </c>
      <c r="I80" s="19"/>
      <c r="J80" s="19"/>
      <c r="K80" s="19"/>
      <c r="L80" s="18" t="str">
        <f>IF($B80="","",SUM(I80:K80))</f>
        <v/>
      </c>
      <c r="M80" s="18" t="str">
        <f>IF($B80="","",H80-L80)</f>
        <v/>
      </c>
      <c r="N80" s="18" t="str">
        <f>IF($B80="","",IF(R80="Ancien",0,Paramètres!$D$15))</f>
        <v/>
      </c>
      <c r="O80" s="19"/>
      <c r="P80" s="18" t="str">
        <f>IF($B80="","",N80-O80)</f>
        <v/>
      </c>
      <c r="Q80" s="21" t="str">
        <f>IF($B80="","",IF(AND(M80&lt;=0,P80&lt;=0),"Soldé","En retard"))</f>
        <v/>
      </c>
      <c r="R80" s="21"/>
    </row>
    <row r="81">
      <c r="A81" s="15"/>
      <c r="B81" s="15"/>
      <c r="C81" s="15"/>
      <c r="D81" s="8"/>
      <c r="E81" s="79"/>
      <c r="F81" s="15"/>
      <c r="G81" s="15"/>
      <c r="H81" s="18" t="str">
        <f>IF($B81="","",Paramètres!$C$15)</f>
        <v/>
      </c>
      <c r="I81" s="19"/>
      <c r="J81" s="19"/>
      <c r="K81" s="19"/>
      <c r="L81" s="18" t="str">
        <f>IF($B81="","",SUM(I81:K81))</f>
        <v/>
      </c>
      <c r="M81" s="18" t="str">
        <f>IF($B81="","",H81-L81)</f>
        <v/>
      </c>
      <c r="N81" s="18" t="str">
        <f>IF($B81="","",IF(R81="Ancien",0,Paramètres!$D$15))</f>
        <v/>
      </c>
      <c r="O81" s="19"/>
      <c r="P81" s="18" t="str">
        <f>IF($B81="","",N81-O81)</f>
        <v/>
      </c>
      <c r="Q81" s="8" t="str">
        <f>IF($B81="","",IF(AND(M81&lt;=0,P81&lt;=0),"Soldé","En retard"))</f>
        <v/>
      </c>
      <c r="R81" s="8"/>
    </row>
    <row r="82">
      <c r="A82" s="20"/>
      <c r="B82" s="20"/>
      <c r="C82" s="20"/>
      <c r="D82" s="21"/>
      <c r="E82" s="77"/>
      <c r="F82" s="20"/>
      <c r="G82" s="20"/>
      <c r="H82" s="18" t="str">
        <f>IF($B82="","",Paramètres!$C$15)</f>
        <v/>
      </c>
      <c r="I82" s="19"/>
      <c r="J82" s="19"/>
      <c r="K82" s="19"/>
      <c r="L82" s="18" t="str">
        <f>IF($B82="","",SUM(I82:K82))</f>
        <v/>
      </c>
      <c r="M82" s="18" t="str">
        <f>IF($B82="","",H82-L82)</f>
        <v/>
      </c>
      <c r="N82" s="18" t="str">
        <f>IF($B82="","",IF(R82="Ancien",0,Paramètres!$D$15))</f>
        <v/>
      </c>
      <c r="O82" s="19"/>
      <c r="P82" s="18" t="str">
        <f>IF($B82="","",N82-O82)</f>
        <v/>
      </c>
      <c r="Q82" s="21" t="str">
        <f>IF($B82="","",IF(AND(M82&lt;=0,P82&lt;=0),"Soldé","En retard"))</f>
        <v/>
      </c>
      <c r="R82" s="21"/>
    </row>
    <row r="83">
      <c r="A83" s="15"/>
      <c r="B83" s="15"/>
      <c r="C83" s="15"/>
      <c r="D83" s="8"/>
      <c r="E83" s="79"/>
      <c r="F83" s="15"/>
      <c r="G83" s="15"/>
      <c r="H83" s="18" t="str">
        <f>IF($B83="","",Paramètres!$C$15)</f>
        <v/>
      </c>
      <c r="I83" s="19"/>
      <c r="J83" s="19"/>
      <c r="K83" s="19"/>
      <c r="L83" s="18" t="str">
        <f>IF($B83="","",SUM(I83:K83))</f>
        <v/>
      </c>
      <c r="M83" s="18" t="str">
        <f>IF($B83="","",H83-L83)</f>
        <v/>
      </c>
      <c r="N83" s="18" t="str">
        <f>IF($B83="","",IF(R83="Ancien",0,Paramètres!$D$15))</f>
        <v/>
      </c>
      <c r="O83" s="19"/>
      <c r="P83" s="18" t="str">
        <f>IF($B83="","",N83-O83)</f>
        <v/>
      </c>
      <c r="Q83" s="8" t="str">
        <f>IF($B83="","",IF(AND(M83&lt;=0,P83&lt;=0),"Soldé","En retard"))</f>
        <v/>
      </c>
      <c r="R83" s="8"/>
    </row>
  </sheetData>
  <mergeCells count="2">
    <mergeCell ref="A1:R1"/>
    <mergeCell ref="A2:R2"/>
  </mergeCells>
  <conditionalFormatting sqref="M4:M83 P4:P83">
    <cfRule type="cellIs" dxfId="10" priority="3" operator="greaterThan">
      <formula>0</formula>
    </cfRule>
  </conditionalFormatting>
  <conditionalFormatting sqref="Q4:Q83">
    <cfRule type="cellIs" dxfId="9" priority="1" operator="equal">
      <formula>"Soldé"</formula>
    </cfRule>
    <cfRule type="cellIs" dxfId="8" priority="2" operator="equal">
      <formula>"En retard"</formula>
    </cfRule>
  </conditionalFormatting>
  <dataValidations count="2">
    <dataValidation type="list" allowBlank="1" showErrorMessage="1" errorTitle="Sexe non valide" error="Choisissez M ou F." sqref="D4:D83">
      <formula1>"M,F"</formula1>
    </dataValidation>
    <dataValidation type="list" allowBlank="1" showErrorMessage="1" errorTitle="Statut non valide" error="Choisissez Nouveau ou Ancien. Un élève marqué Ancien ne paie pas les frais d'inscription." sqref="R4:R83">
      <formula1>"Nouveau,Ancien"</formula1>
    </dataValidation>
  </dataValidations>
  <pageMargins left="0.5" right="0.5" top="0.75" bottom="0.75" header="0.3" footer="0.3"/>
  <pageSetup paperSize="9" orientation="landscape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R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7" customWidth="1"/>
    <col min="5" max="5" width="14" customWidth="1"/>
    <col min="6" max="6" width="18" customWidth="1"/>
    <col min="7" max="7" width="16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3" customWidth="1"/>
    <col min="18" max="18" width="16" customWidth="1"/>
  </cols>
  <sheetData>
    <row r="1" ht="27.75" customHeight="1">
      <c r="A1" s="53" t="str">
        <f>"INSCRIPTIONS — "&amp;Paramètres!$A$16</f>
        <v>INSCRIPTIONS — Grande section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ht="18" customHeight="1">
      <c r="A2" s="54" t="str">
        <f>"Année scolaire "&amp;Paramètres!$C$11&amp;"   •   Effectif : "&amp;COUNTIF($B$4:$B$83,"?*")&amp;"   •   Cellules jaunes = montants à saisir ; colonnes grises = calcul automatique"</f>
        <v>Année scolaire 2025-2026   •   Effectif : 0   •   Cellules jaunes = montants à saisir ; colonnes grises = calcul automatique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Sexe</t>
        </is>
      </c>
      <c r="E3" s="3" t="inlineStr">
        <is>
          <t>Date de naissance</t>
        </is>
      </c>
      <c r="F3" s="3" t="inlineStr">
        <is>
          <t>Nom du tuteur</t>
        </is>
      </c>
      <c r="G3" s="3" t="inlineStr">
        <is>
          <t>Téléphone</t>
        </is>
      </c>
      <c r="H3" s="3" t="inlineStr">
        <is>
          <t>Scolarité due</t>
        </is>
      </c>
      <c r="I3" s="3" t="inlineStr">
        <is>
          <t>Tranche 1</t>
        </is>
      </c>
      <c r="J3" s="3" t="inlineStr">
        <is>
          <t>Tranche 2</t>
        </is>
      </c>
      <c r="K3" s="3" t="inlineStr">
        <is>
          <t>Tranche 3</t>
        </is>
      </c>
      <c r="L3" s="3" t="inlineStr">
        <is>
          <t>Total payé</t>
        </is>
      </c>
      <c r="M3" s="3" t="inlineStr">
        <is>
          <t>Reste à payer</t>
        </is>
      </c>
      <c r="N3" s="3" t="inlineStr">
        <is>
          <t>Inscription due</t>
        </is>
      </c>
      <c r="O3" s="3" t="inlineStr">
        <is>
          <t>Inscription payée</t>
        </is>
      </c>
      <c r="P3" s="3" t="inlineStr">
        <is>
          <t>Reste inscription</t>
        </is>
      </c>
      <c r="Q3" s="3" t="inlineStr">
        <is>
          <t>Statut</t>
        </is>
      </c>
      <c r="R3" s="3" t="inlineStr">
        <is>
          <t>Nouveau / Ancien</t>
        </is>
      </c>
    </row>
    <row r="4">
      <c r="A4" s="20"/>
      <c r="B4" s="20"/>
      <c r="C4" s="20"/>
      <c r="D4" s="21"/>
      <c r="E4" s="77"/>
      <c r="F4" s="20"/>
      <c r="G4" s="20"/>
      <c r="H4" s="18" t="str">
        <f>IF($B4="","",Paramètres!$C$16)</f>
        <v/>
      </c>
      <c r="I4" s="19"/>
      <c r="J4" s="19"/>
      <c r="K4" s="19"/>
      <c r="L4" s="18" t="str">
        <f>IF($B4="","",SUM(I4:K4))</f>
        <v/>
      </c>
      <c r="M4" s="18" t="str">
        <f>IF($B4="","",H4-L4)</f>
        <v/>
      </c>
      <c r="N4" s="18" t="str">
        <f>IF($B4="","",IF(R4="Ancien",0,Paramètres!$D$16))</f>
        <v/>
      </c>
      <c r="O4" s="19"/>
      <c r="P4" s="18" t="str">
        <f>IF($B4="","",N4-O4)</f>
        <v/>
      </c>
      <c r="Q4" s="21" t="str">
        <f>IF($B4="","",IF(AND(M4&lt;=0,P4&lt;=0),"Soldé","En retard"))</f>
        <v/>
      </c>
      <c r="R4" s="21"/>
    </row>
    <row r="5">
      <c r="A5" s="15"/>
      <c r="B5" s="15"/>
      <c r="C5" s="15"/>
      <c r="D5" s="8"/>
      <c r="E5" s="79"/>
      <c r="F5" s="15"/>
      <c r="G5" s="15"/>
      <c r="H5" s="18" t="str">
        <f>IF($B5="","",Paramètres!$C$16)</f>
        <v/>
      </c>
      <c r="I5" s="19"/>
      <c r="J5" s="19"/>
      <c r="K5" s="19"/>
      <c r="L5" s="18" t="str">
        <f>IF($B5="","",SUM(I5:K5))</f>
        <v/>
      </c>
      <c r="M5" s="18" t="str">
        <f>IF($B5="","",H5-L5)</f>
        <v/>
      </c>
      <c r="N5" s="18" t="str">
        <f>IF($B5="","",IF(R5="Ancien",0,Paramètres!$D$16))</f>
        <v/>
      </c>
      <c r="O5" s="19"/>
      <c r="P5" s="18" t="str">
        <f>IF($B5="","",N5-O5)</f>
        <v/>
      </c>
      <c r="Q5" s="8" t="str">
        <f>IF($B5="","",IF(AND(M5&lt;=0,P5&lt;=0),"Soldé","En retard"))</f>
        <v/>
      </c>
      <c r="R5" s="8"/>
    </row>
    <row r="6">
      <c r="A6" s="20"/>
      <c r="B6" s="20"/>
      <c r="C6" s="20"/>
      <c r="D6" s="21"/>
      <c r="E6" s="77"/>
      <c r="F6" s="20"/>
      <c r="G6" s="20"/>
      <c r="H6" s="18" t="str">
        <f>IF($B6="","",Paramètres!$C$16)</f>
        <v/>
      </c>
      <c r="I6" s="19"/>
      <c r="J6" s="19"/>
      <c r="K6" s="19"/>
      <c r="L6" s="18" t="str">
        <f>IF($B6="","",SUM(I6:K6))</f>
        <v/>
      </c>
      <c r="M6" s="18" t="str">
        <f>IF($B6="","",H6-L6)</f>
        <v/>
      </c>
      <c r="N6" s="18" t="str">
        <f>IF($B6="","",IF(R6="Ancien",0,Paramètres!$D$16))</f>
        <v/>
      </c>
      <c r="O6" s="19"/>
      <c r="P6" s="18" t="str">
        <f>IF($B6="","",N6-O6)</f>
        <v/>
      </c>
      <c r="Q6" s="21" t="str">
        <f>IF($B6="","",IF(AND(M6&lt;=0,P6&lt;=0),"Soldé","En retard"))</f>
        <v/>
      </c>
      <c r="R6" s="21"/>
    </row>
    <row r="7">
      <c r="A7" s="15"/>
      <c r="B7" s="15"/>
      <c r="C7" s="15"/>
      <c r="D7" s="8"/>
      <c r="E7" s="79"/>
      <c r="F7" s="15"/>
      <c r="G7" s="15"/>
      <c r="H7" s="18" t="str">
        <f>IF($B7="","",Paramètres!$C$16)</f>
        <v/>
      </c>
      <c r="I7" s="19"/>
      <c r="J7" s="19"/>
      <c r="K7" s="19"/>
      <c r="L7" s="18" t="str">
        <f>IF($B7="","",SUM(I7:K7))</f>
        <v/>
      </c>
      <c r="M7" s="18" t="str">
        <f>IF($B7="","",H7-L7)</f>
        <v/>
      </c>
      <c r="N7" s="18" t="str">
        <f>IF($B7="","",IF(R7="Ancien",0,Paramètres!$D$16))</f>
        <v/>
      </c>
      <c r="O7" s="19"/>
      <c r="P7" s="18" t="str">
        <f>IF($B7="","",N7-O7)</f>
        <v/>
      </c>
      <c r="Q7" s="8" t="str">
        <f>IF($B7="","",IF(AND(M7&lt;=0,P7&lt;=0),"Soldé","En retard"))</f>
        <v/>
      </c>
      <c r="R7" s="8"/>
    </row>
    <row r="8">
      <c r="A8" s="20"/>
      <c r="B8" s="20"/>
      <c r="C8" s="20"/>
      <c r="D8" s="21"/>
      <c r="E8" s="77"/>
      <c r="F8" s="20"/>
      <c r="G8" s="20"/>
      <c r="H8" s="18" t="str">
        <f>IF($B8="","",Paramètres!$C$16)</f>
        <v/>
      </c>
      <c r="I8" s="19"/>
      <c r="J8" s="19"/>
      <c r="K8" s="19"/>
      <c r="L8" s="18" t="str">
        <f>IF($B8="","",SUM(I8:K8))</f>
        <v/>
      </c>
      <c r="M8" s="18" t="str">
        <f>IF($B8="","",H8-L8)</f>
        <v/>
      </c>
      <c r="N8" s="18" t="str">
        <f>IF($B8="","",IF(R8="Ancien",0,Paramètres!$D$16))</f>
        <v/>
      </c>
      <c r="O8" s="19"/>
      <c r="P8" s="18" t="str">
        <f>IF($B8="","",N8-O8)</f>
        <v/>
      </c>
      <c r="Q8" s="21" t="str">
        <f>IF($B8="","",IF(AND(M8&lt;=0,P8&lt;=0),"Soldé","En retard"))</f>
        <v/>
      </c>
      <c r="R8" s="21"/>
    </row>
    <row r="9">
      <c r="A9" s="15"/>
      <c r="B9" s="15"/>
      <c r="C9" s="15"/>
      <c r="D9" s="8"/>
      <c r="E9" s="79"/>
      <c r="F9" s="15"/>
      <c r="G9" s="15"/>
      <c r="H9" s="18" t="str">
        <f>IF($B9="","",Paramètres!$C$16)</f>
        <v/>
      </c>
      <c r="I9" s="19"/>
      <c r="J9" s="19"/>
      <c r="K9" s="19"/>
      <c r="L9" s="18" t="str">
        <f>IF($B9="","",SUM(I9:K9))</f>
        <v/>
      </c>
      <c r="M9" s="18" t="str">
        <f>IF($B9="","",H9-L9)</f>
        <v/>
      </c>
      <c r="N9" s="18" t="str">
        <f>IF($B9="","",IF(R9="Ancien",0,Paramètres!$D$16))</f>
        <v/>
      </c>
      <c r="O9" s="19"/>
      <c r="P9" s="18" t="str">
        <f>IF($B9="","",N9-O9)</f>
        <v/>
      </c>
      <c r="Q9" s="8" t="str">
        <f>IF($B9="","",IF(AND(M9&lt;=0,P9&lt;=0),"Soldé","En retard"))</f>
        <v/>
      </c>
      <c r="R9" s="8"/>
    </row>
    <row r="10">
      <c r="A10" s="20"/>
      <c r="B10" s="20"/>
      <c r="C10" s="20"/>
      <c r="D10" s="21"/>
      <c r="E10" s="77"/>
      <c r="F10" s="20"/>
      <c r="G10" s="20"/>
      <c r="H10" s="18" t="str">
        <f>IF($B10="","",Paramètres!$C$16)</f>
        <v/>
      </c>
      <c r="I10" s="19"/>
      <c r="J10" s="19"/>
      <c r="K10" s="19"/>
      <c r="L10" s="18" t="str">
        <f>IF($B10="","",SUM(I10:K10))</f>
        <v/>
      </c>
      <c r="M10" s="18" t="str">
        <f>IF($B10="","",H10-L10)</f>
        <v/>
      </c>
      <c r="N10" s="18" t="str">
        <f>IF($B10="","",IF(R10="Ancien",0,Paramètres!$D$16))</f>
        <v/>
      </c>
      <c r="O10" s="19"/>
      <c r="P10" s="18" t="str">
        <f>IF($B10="","",N10-O10)</f>
        <v/>
      </c>
      <c r="Q10" s="21" t="str">
        <f>IF($B10="","",IF(AND(M10&lt;=0,P10&lt;=0),"Soldé","En retard"))</f>
        <v/>
      </c>
      <c r="R10" s="21"/>
    </row>
    <row r="11">
      <c r="A11" s="15"/>
      <c r="B11" s="15"/>
      <c r="C11" s="15"/>
      <c r="D11" s="8"/>
      <c r="E11" s="79"/>
      <c r="F11" s="15"/>
      <c r="G11" s="15"/>
      <c r="H11" s="18" t="str">
        <f>IF($B11="","",Paramètres!$C$16)</f>
        <v/>
      </c>
      <c r="I11" s="19"/>
      <c r="J11" s="19"/>
      <c r="K11" s="19"/>
      <c r="L11" s="18" t="str">
        <f>IF($B11="","",SUM(I11:K11))</f>
        <v/>
      </c>
      <c r="M11" s="18" t="str">
        <f>IF($B11="","",H11-L11)</f>
        <v/>
      </c>
      <c r="N11" s="18" t="str">
        <f>IF($B11="","",IF(R11="Ancien",0,Paramètres!$D$16))</f>
        <v/>
      </c>
      <c r="O11" s="19"/>
      <c r="P11" s="18" t="str">
        <f>IF($B11="","",N11-O11)</f>
        <v/>
      </c>
      <c r="Q11" s="8" t="str">
        <f>IF($B11="","",IF(AND(M11&lt;=0,P11&lt;=0),"Soldé","En retard"))</f>
        <v/>
      </c>
      <c r="R11" s="8"/>
    </row>
    <row r="12">
      <c r="A12" s="20"/>
      <c r="B12" s="20"/>
      <c r="C12" s="20"/>
      <c r="D12" s="21"/>
      <c r="E12" s="77"/>
      <c r="F12" s="20"/>
      <c r="G12" s="20"/>
      <c r="H12" s="18" t="str">
        <f>IF($B12="","",Paramètres!$C$16)</f>
        <v/>
      </c>
      <c r="I12" s="19"/>
      <c r="J12" s="19"/>
      <c r="K12" s="19"/>
      <c r="L12" s="18" t="str">
        <f>IF($B12="","",SUM(I12:K12))</f>
        <v/>
      </c>
      <c r="M12" s="18" t="str">
        <f>IF($B12="","",H12-L12)</f>
        <v/>
      </c>
      <c r="N12" s="18" t="str">
        <f>IF($B12="","",IF(R12="Ancien",0,Paramètres!$D$16))</f>
        <v/>
      </c>
      <c r="O12" s="19"/>
      <c r="P12" s="18" t="str">
        <f>IF($B12="","",N12-O12)</f>
        <v/>
      </c>
      <c r="Q12" s="21" t="str">
        <f>IF($B12="","",IF(AND(M12&lt;=0,P12&lt;=0),"Soldé","En retard"))</f>
        <v/>
      </c>
      <c r="R12" s="21"/>
    </row>
    <row r="13">
      <c r="A13" s="15"/>
      <c r="B13" s="15"/>
      <c r="C13" s="15"/>
      <c r="D13" s="8"/>
      <c r="E13" s="79"/>
      <c r="F13" s="15"/>
      <c r="G13" s="15"/>
      <c r="H13" s="18" t="str">
        <f>IF($B13="","",Paramètres!$C$16)</f>
        <v/>
      </c>
      <c r="I13" s="19"/>
      <c r="J13" s="19"/>
      <c r="K13" s="19"/>
      <c r="L13" s="18" t="str">
        <f>IF($B13="","",SUM(I13:K13))</f>
        <v/>
      </c>
      <c r="M13" s="18" t="str">
        <f>IF($B13="","",H13-L13)</f>
        <v/>
      </c>
      <c r="N13" s="18" t="str">
        <f>IF($B13="","",IF(R13="Ancien",0,Paramètres!$D$16))</f>
        <v/>
      </c>
      <c r="O13" s="19"/>
      <c r="P13" s="18" t="str">
        <f>IF($B13="","",N13-O13)</f>
        <v/>
      </c>
      <c r="Q13" s="8" t="str">
        <f>IF($B13="","",IF(AND(M13&lt;=0,P13&lt;=0),"Soldé","En retard"))</f>
        <v/>
      </c>
      <c r="R13" s="8"/>
    </row>
    <row r="14">
      <c r="A14" s="20"/>
      <c r="B14" s="20"/>
      <c r="C14" s="20"/>
      <c r="D14" s="21"/>
      <c r="E14" s="77"/>
      <c r="F14" s="20"/>
      <c r="G14" s="20"/>
      <c r="H14" s="18" t="str">
        <f>IF($B14="","",Paramètres!$C$16)</f>
        <v/>
      </c>
      <c r="I14" s="19"/>
      <c r="J14" s="19"/>
      <c r="K14" s="19"/>
      <c r="L14" s="18" t="str">
        <f>IF($B14="","",SUM(I14:K14))</f>
        <v/>
      </c>
      <c r="M14" s="18" t="str">
        <f>IF($B14="","",H14-L14)</f>
        <v/>
      </c>
      <c r="N14" s="18" t="str">
        <f>IF($B14="","",IF(R14="Ancien",0,Paramètres!$D$16))</f>
        <v/>
      </c>
      <c r="O14" s="19"/>
      <c r="P14" s="18" t="str">
        <f>IF($B14="","",N14-O14)</f>
        <v/>
      </c>
      <c r="Q14" s="21" t="str">
        <f>IF($B14="","",IF(AND(M14&lt;=0,P14&lt;=0),"Soldé","En retard"))</f>
        <v/>
      </c>
      <c r="R14" s="21"/>
    </row>
    <row r="15">
      <c r="A15" s="15"/>
      <c r="B15" s="15"/>
      <c r="C15" s="15"/>
      <c r="D15" s="8"/>
      <c r="E15" s="79"/>
      <c r="F15" s="15"/>
      <c r="G15" s="15"/>
      <c r="H15" s="18" t="str">
        <f>IF($B15="","",Paramètres!$C$16)</f>
        <v/>
      </c>
      <c r="I15" s="19"/>
      <c r="J15" s="19"/>
      <c r="K15" s="19"/>
      <c r="L15" s="18" t="str">
        <f>IF($B15="","",SUM(I15:K15))</f>
        <v/>
      </c>
      <c r="M15" s="18" t="str">
        <f>IF($B15="","",H15-L15)</f>
        <v/>
      </c>
      <c r="N15" s="18" t="str">
        <f>IF($B15="","",IF(R15="Ancien",0,Paramètres!$D$16))</f>
        <v/>
      </c>
      <c r="O15" s="19"/>
      <c r="P15" s="18" t="str">
        <f>IF($B15="","",N15-O15)</f>
        <v/>
      </c>
      <c r="Q15" s="8" t="str">
        <f>IF($B15="","",IF(AND(M15&lt;=0,P15&lt;=0),"Soldé","En retard"))</f>
        <v/>
      </c>
      <c r="R15" s="8"/>
    </row>
    <row r="16">
      <c r="A16" s="20"/>
      <c r="B16" s="20"/>
      <c r="C16" s="20"/>
      <c r="D16" s="21"/>
      <c r="E16" s="77"/>
      <c r="F16" s="20"/>
      <c r="G16" s="20"/>
      <c r="H16" s="18" t="str">
        <f>IF($B16="","",Paramètres!$C$16)</f>
        <v/>
      </c>
      <c r="I16" s="19"/>
      <c r="J16" s="19"/>
      <c r="K16" s="19"/>
      <c r="L16" s="18" t="str">
        <f>IF($B16="","",SUM(I16:K16))</f>
        <v/>
      </c>
      <c r="M16" s="18" t="str">
        <f>IF($B16="","",H16-L16)</f>
        <v/>
      </c>
      <c r="N16" s="18" t="str">
        <f>IF($B16="","",IF(R16="Ancien",0,Paramètres!$D$16))</f>
        <v/>
      </c>
      <c r="O16" s="19"/>
      <c r="P16" s="18" t="str">
        <f>IF($B16="","",N16-O16)</f>
        <v/>
      </c>
      <c r="Q16" s="21" t="str">
        <f>IF($B16="","",IF(AND(M16&lt;=0,P16&lt;=0),"Soldé","En retard"))</f>
        <v/>
      </c>
      <c r="R16" s="21"/>
    </row>
    <row r="17">
      <c r="A17" s="15"/>
      <c r="B17" s="15"/>
      <c r="C17" s="15"/>
      <c r="D17" s="8"/>
      <c r="E17" s="79"/>
      <c r="F17" s="15"/>
      <c r="G17" s="15"/>
      <c r="H17" s="18" t="str">
        <f>IF($B17="","",Paramètres!$C$16)</f>
        <v/>
      </c>
      <c r="I17" s="19"/>
      <c r="J17" s="19"/>
      <c r="K17" s="19"/>
      <c r="L17" s="18" t="str">
        <f>IF($B17="","",SUM(I17:K17))</f>
        <v/>
      </c>
      <c r="M17" s="18" t="str">
        <f>IF($B17="","",H17-L17)</f>
        <v/>
      </c>
      <c r="N17" s="18" t="str">
        <f>IF($B17="","",IF(R17="Ancien",0,Paramètres!$D$16))</f>
        <v/>
      </c>
      <c r="O17" s="19"/>
      <c r="P17" s="18" t="str">
        <f>IF($B17="","",N17-O17)</f>
        <v/>
      </c>
      <c r="Q17" s="8" t="str">
        <f>IF($B17="","",IF(AND(M17&lt;=0,P17&lt;=0),"Soldé","En retard"))</f>
        <v/>
      </c>
      <c r="R17" s="8"/>
    </row>
    <row r="18">
      <c r="A18" s="20"/>
      <c r="B18" s="20"/>
      <c r="C18" s="20"/>
      <c r="D18" s="21"/>
      <c r="E18" s="77"/>
      <c r="F18" s="20"/>
      <c r="G18" s="20"/>
      <c r="H18" s="18" t="str">
        <f>IF($B18="","",Paramètres!$C$16)</f>
        <v/>
      </c>
      <c r="I18" s="19"/>
      <c r="J18" s="19"/>
      <c r="K18" s="19"/>
      <c r="L18" s="18" t="str">
        <f>IF($B18="","",SUM(I18:K18))</f>
        <v/>
      </c>
      <c r="M18" s="18" t="str">
        <f>IF($B18="","",H18-L18)</f>
        <v/>
      </c>
      <c r="N18" s="18" t="str">
        <f>IF($B18="","",IF(R18="Ancien",0,Paramètres!$D$16))</f>
        <v/>
      </c>
      <c r="O18" s="19"/>
      <c r="P18" s="18" t="str">
        <f>IF($B18="","",N18-O18)</f>
        <v/>
      </c>
      <c r="Q18" s="21" t="str">
        <f>IF($B18="","",IF(AND(M18&lt;=0,P18&lt;=0),"Soldé","En retard"))</f>
        <v/>
      </c>
      <c r="R18" s="21"/>
    </row>
    <row r="19">
      <c r="A19" s="15"/>
      <c r="B19" s="15"/>
      <c r="C19" s="15"/>
      <c r="D19" s="8"/>
      <c r="E19" s="79"/>
      <c r="F19" s="15"/>
      <c r="G19" s="15"/>
      <c r="H19" s="18" t="str">
        <f>IF($B19="","",Paramètres!$C$16)</f>
        <v/>
      </c>
      <c r="I19" s="19"/>
      <c r="J19" s="19"/>
      <c r="K19" s="19"/>
      <c r="L19" s="18" t="str">
        <f>IF($B19="","",SUM(I19:K19))</f>
        <v/>
      </c>
      <c r="M19" s="18" t="str">
        <f>IF($B19="","",H19-L19)</f>
        <v/>
      </c>
      <c r="N19" s="18" t="str">
        <f>IF($B19="","",IF(R19="Ancien",0,Paramètres!$D$16))</f>
        <v/>
      </c>
      <c r="O19" s="19"/>
      <c r="P19" s="18" t="str">
        <f>IF($B19="","",N19-O19)</f>
        <v/>
      </c>
      <c r="Q19" s="8" t="str">
        <f>IF($B19="","",IF(AND(M19&lt;=0,P19&lt;=0),"Soldé","En retard"))</f>
        <v/>
      </c>
      <c r="R19" s="8"/>
    </row>
    <row r="20">
      <c r="A20" s="20"/>
      <c r="B20" s="20"/>
      <c r="C20" s="20"/>
      <c r="D20" s="21"/>
      <c r="E20" s="77"/>
      <c r="F20" s="20"/>
      <c r="G20" s="20"/>
      <c r="H20" s="18" t="str">
        <f>IF($B20="","",Paramètres!$C$16)</f>
        <v/>
      </c>
      <c r="I20" s="19"/>
      <c r="J20" s="19"/>
      <c r="K20" s="19"/>
      <c r="L20" s="18" t="str">
        <f>IF($B20="","",SUM(I20:K20))</f>
        <v/>
      </c>
      <c r="M20" s="18" t="str">
        <f>IF($B20="","",H20-L20)</f>
        <v/>
      </c>
      <c r="N20" s="18" t="str">
        <f>IF($B20="","",IF(R20="Ancien",0,Paramètres!$D$16))</f>
        <v/>
      </c>
      <c r="O20" s="19"/>
      <c r="P20" s="18" t="str">
        <f>IF($B20="","",N20-O20)</f>
        <v/>
      </c>
      <c r="Q20" s="21" t="str">
        <f>IF($B20="","",IF(AND(M20&lt;=0,P20&lt;=0),"Soldé","En retard"))</f>
        <v/>
      </c>
      <c r="R20" s="21"/>
    </row>
    <row r="21">
      <c r="A21" s="15"/>
      <c r="B21" s="15"/>
      <c r="C21" s="15"/>
      <c r="D21" s="8"/>
      <c r="E21" s="79"/>
      <c r="F21" s="15"/>
      <c r="G21" s="15"/>
      <c r="H21" s="18" t="str">
        <f>IF($B21="","",Paramètres!$C$16)</f>
        <v/>
      </c>
      <c r="I21" s="19"/>
      <c r="J21" s="19"/>
      <c r="K21" s="19"/>
      <c r="L21" s="18" t="str">
        <f>IF($B21="","",SUM(I21:K21))</f>
        <v/>
      </c>
      <c r="M21" s="18" t="str">
        <f>IF($B21="","",H21-L21)</f>
        <v/>
      </c>
      <c r="N21" s="18" t="str">
        <f>IF($B21="","",IF(R21="Ancien",0,Paramètres!$D$16))</f>
        <v/>
      </c>
      <c r="O21" s="19"/>
      <c r="P21" s="18" t="str">
        <f>IF($B21="","",N21-O21)</f>
        <v/>
      </c>
      <c r="Q21" s="8" t="str">
        <f>IF($B21="","",IF(AND(M21&lt;=0,P21&lt;=0),"Soldé","En retard"))</f>
        <v/>
      </c>
      <c r="R21" s="8"/>
    </row>
    <row r="22">
      <c r="A22" s="20"/>
      <c r="B22" s="20"/>
      <c r="C22" s="20"/>
      <c r="D22" s="21"/>
      <c r="E22" s="77"/>
      <c r="F22" s="20"/>
      <c r="G22" s="20"/>
      <c r="H22" s="18" t="str">
        <f>IF($B22="","",Paramètres!$C$16)</f>
        <v/>
      </c>
      <c r="I22" s="19"/>
      <c r="J22" s="19"/>
      <c r="K22" s="19"/>
      <c r="L22" s="18" t="str">
        <f>IF($B22="","",SUM(I22:K22))</f>
        <v/>
      </c>
      <c r="M22" s="18" t="str">
        <f>IF($B22="","",H22-L22)</f>
        <v/>
      </c>
      <c r="N22" s="18" t="str">
        <f>IF($B22="","",IF(R22="Ancien",0,Paramètres!$D$16))</f>
        <v/>
      </c>
      <c r="O22" s="19"/>
      <c r="P22" s="18" t="str">
        <f>IF($B22="","",N22-O22)</f>
        <v/>
      </c>
      <c r="Q22" s="21" t="str">
        <f>IF($B22="","",IF(AND(M22&lt;=0,P22&lt;=0),"Soldé","En retard"))</f>
        <v/>
      </c>
      <c r="R22" s="21"/>
    </row>
    <row r="23">
      <c r="A23" s="15"/>
      <c r="B23" s="15"/>
      <c r="C23" s="15"/>
      <c r="D23" s="8"/>
      <c r="E23" s="79"/>
      <c r="F23" s="15"/>
      <c r="G23" s="15"/>
      <c r="H23" s="18" t="str">
        <f>IF($B23="","",Paramètres!$C$16)</f>
        <v/>
      </c>
      <c r="I23" s="19"/>
      <c r="J23" s="19"/>
      <c r="K23" s="19"/>
      <c r="L23" s="18" t="str">
        <f>IF($B23="","",SUM(I23:K23))</f>
        <v/>
      </c>
      <c r="M23" s="18" t="str">
        <f>IF($B23="","",H23-L23)</f>
        <v/>
      </c>
      <c r="N23" s="18" t="str">
        <f>IF($B23="","",IF(R23="Ancien",0,Paramètres!$D$16))</f>
        <v/>
      </c>
      <c r="O23" s="19"/>
      <c r="P23" s="18" t="str">
        <f>IF($B23="","",N23-O23)</f>
        <v/>
      </c>
      <c r="Q23" s="8" t="str">
        <f>IF($B23="","",IF(AND(M23&lt;=0,P23&lt;=0),"Soldé","En retard"))</f>
        <v/>
      </c>
      <c r="R23" s="8"/>
    </row>
    <row r="24">
      <c r="A24" s="20"/>
      <c r="B24" s="20"/>
      <c r="C24" s="20"/>
      <c r="D24" s="21"/>
      <c r="E24" s="77"/>
      <c r="F24" s="20"/>
      <c r="G24" s="20"/>
      <c r="H24" s="18" t="str">
        <f>IF($B24="","",Paramètres!$C$16)</f>
        <v/>
      </c>
      <c r="I24" s="19"/>
      <c r="J24" s="19"/>
      <c r="K24" s="19"/>
      <c r="L24" s="18" t="str">
        <f>IF($B24="","",SUM(I24:K24))</f>
        <v/>
      </c>
      <c r="M24" s="18" t="str">
        <f>IF($B24="","",H24-L24)</f>
        <v/>
      </c>
      <c r="N24" s="18" t="str">
        <f>IF($B24="","",IF(R24="Ancien",0,Paramètres!$D$16))</f>
        <v/>
      </c>
      <c r="O24" s="19"/>
      <c r="P24" s="18" t="str">
        <f>IF($B24="","",N24-O24)</f>
        <v/>
      </c>
      <c r="Q24" s="21" t="str">
        <f>IF($B24="","",IF(AND(M24&lt;=0,P24&lt;=0),"Soldé","En retard"))</f>
        <v/>
      </c>
      <c r="R24" s="21"/>
    </row>
    <row r="25">
      <c r="A25" s="15"/>
      <c r="B25" s="15"/>
      <c r="C25" s="15"/>
      <c r="D25" s="8"/>
      <c r="E25" s="79"/>
      <c r="F25" s="15"/>
      <c r="G25" s="15"/>
      <c r="H25" s="18" t="str">
        <f>IF($B25="","",Paramètres!$C$16)</f>
        <v/>
      </c>
      <c r="I25" s="19"/>
      <c r="J25" s="19"/>
      <c r="K25" s="19"/>
      <c r="L25" s="18" t="str">
        <f>IF($B25="","",SUM(I25:K25))</f>
        <v/>
      </c>
      <c r="M25" s="18" t="str">
        <f>IF($B25="","",H25-L25)</f>
        <v/>
      </c>
      <c r="N25" s="18" t="str">
        <f>IF($B25="","",IF(R25="Ancien",0,Paramètres!$D$16))</f>
        <v/>
      </c>
      <c r="O25" s="19"/>
      <c r="P25" s="18" t="str">
        <f>IF($B25="","",N25-O25)</f>
        <v/>
      </c>
      <c r="Q25" s="8" t="str">
        <f>IF($B25="","",IF(AND(M25&lt;=0,P25&lt;=0),"Soldé","En retard"))</f>
        <v/>
      </c>
      <c r="R25" s="8"/>
    </row>
    <row r="26">
      <c r="A26" s="20"/>
      <c r="B26" s="20"/>
      <c r="C26" s="20"/>
      <c r="D26" s="21"/>
      <c r="E26" s="77"/>
      <c r="F26" s="20"/>
      <c r="G26" s="20"/>
      <c r="H26" s="18" t="str">
        <f>IF($B26="","",Paramètres!$C$16)</f>
        <v/>
      </c>
      <c r="I26" s="19"/>
      <c r="J26" s="19"/>
      <c r="K26" s="19"/>
      <c r="L26" s="18" t="str">
        <f>IF($B26="","",SUM(I26:K26))</f>
        <v/>
      </c>
      <c r="M26" s="18" t="str">
        <f>IF($B26="","",H26-L26)</f>
        <v/>
      </c>
      <c r="N26" s="18" t="str">
        <f>IF($B26="","",IF(R26="Ancien",0,Paramètres!$D$16))</f>
        <v/>
      </c>
      <c r="O26" s="19"/>
      <c r="P26" s="18" t="str">
        <f>IF($B26="","",N26-O26)</f>
        <v/>
      </c>
      <c r="Q26" s="21" t="str">
        <f>IF($B26="","",IF(AND(M26&lt;=0,P26&lt;=0),"Soldé","En retard"))</f>
        <v/>
      </c>
      <c r="R26" s="21"/>
    </row>
    <row r="27">
      <c r="A27" s="15"/>
      <c r="B27" s="15"/>
      <c r="C27" s="15"/>
      <c r="D27" s="8"/>
      <c r="E27" s="79"/>
      <c r="F27" s="15"/>
      <c r="G27" s="15"/>
      <c r="H27" s="18" t="str">
        <f>IF($B27="","",Paramètres!$C$16)</f>
        <v/>
      </c>
      <c r="I27" s="19"/>
      <c r="J27" s="19"/>
      <c r="K27" s="19"/>
      <c r="L27" s="18" t="str">
        <f>IF($B27="","",SUM(I27:K27))</f>
        <v/>
      </c>
      <c r="M27" s="18" t="str">
        <f>IF($B27="","",H27-L27)</f>
        <v/>
      </c>
      <c r="N27" s="18" t="str">
        <f>IF($B27="","",IF(R27="Ancien",0,Paramètres!$D$16))</f>
        <v/>
      </c>
      <c r="O27" s="19"/>
      <c r="P27" s="18" t="str">
        <f>IF($B27="","",N27-O27)</f>
        <v/>
      </c>
      <c r="Q27" s="8" t="str">
        <f>IF($B27="","",IF(AND(M27&lt;=0,P27&lt;=0),"Soldé","En retard"))</f>
        <v/>
      </c>
      <c r="R27" s="8"/>
    </row>
    <row r="28">
      <c r="A28" s="20"/>
      <c r="B28" s="20"/>
      <c r="C28" s="20"/>
      <c r="D28" s="21"/>
      <c r="E28" s="77"/>
      <c r="F28" s="20"/>
      <c r="G28" s="20"/>
      <c r="H28" s="18" t="str">
        <f>IF($B28="","",Paramètres!$C$16)</f>
        <v/>
      </c>
      <c r="I28" s="19"/>
      <c r="J28" s="19"/>
      <c r="K28" s="19"/>
      <c r="L28" s="18" t="str">
        <f>IF($B28="","",SUM(I28:K28))</f>
        <v/>
      </c>
      <c r="M28" s="18" t="str">
        <f>IF($B28="","",H28-L28)</f>
        <v/>
      </c>
      <c r="N28" s="18" t="str">
        <f>IF($B28="","",IF(R28="Ancien",0,Paramètres!$D$16))</f>
        <v/>
      </c>
      <c r="O28" s="19"/>
      <c r="P28" s="18" t="str">
        <f>IF($B28="","",N28-O28)</f>
        <v/>
      </c>
      <c r="Q28" s="21" t="str">
        <f>IF($B28="","",IF(AND(M28&lt;=0,P28&lt;=0),"Soldé","En retard"))</f>
        <v/>
      </c>
      <c r="R28" s="21"/>
    </row>
    <row r="29">
      <c r="A29" s="15"/>
      <c r="B29" s="15"/>
      <c r="C29" s="15"/>
      <c r="D29" s="8"/>
      <c r="E29" s="79"/>
      <c r="F29" s="15"/>
      <c r="G29" s="15"/>
      <c r="H29" s="18" t="str">
        <f>IF($B29="","",Paramètres!$C$16)</f>
        <v/>
      </c>
      <c r="I29" s="19"/>
      <c r="J29" s="19"/>
      <c r="K29" s="19"/>
      <c r="L29" s="18" t="str">
        <f>IF($B29="","",SUM(I29:K29))</f>
        <v/>
      </c>
      <c r="M29" s="18" t="str">
        <f>IF($B29="","",H29-L29)</f>
        <v/>
      </c>
      <c r="N29" s="18" t="str">
        <f>IF($B29="","",IF(R29="Ancien",0,Paramètres!$D$16))</f>
        <v/>
      </c>
      <c r="O29" s="19"/>
      <c r="P29" s="18" t="str">
        <f>IF($B29="","",N29-O29)</f>
        <v/>
      </c>
      <c r="Q29" s="8" t="str">
        <f>IF($B29="","",IF(AND(M29&lt;=0,P29&lt;=0),"Soldé","En retard"))</f>
        <v/>
      </c>
      <c r="R29" s="8"/>
    </row>
    <row r="30">
      <c r="A30" s="20"/>
      <c r="B30" s="20"/>
      <c r="C30" s="20"/>
      <c r="D30" s="21"/>
      <c r="E30" s="77"/>
      <c r="F30" s="20"/>
      <c r="G30" s="20"/>
      <c r="H30" s="18" t="str">
        <f>IF($B30="","",Paramètres!$C$16)</f>
        <v/>
      </c>
      <c r="I30" s="19"/>
      <c r="J30" s="19"/>
      <c r="K30" s="19"/>
      <c r="L30" s="18" t="str">
        <f>IF($B30="","",SUM(I30:K30))</f>
        <v/>
      </c>
      <c r="M30" s="18" t="str">
        <f>IF($B30="","",H30-L30)</f>
        <v/>
      </c>
      <c r="N30" s="18" t="str">
        <f>IF($B30="","",IF(R30="Ancien",0,Paramètres!$D$16))</f>
        <v/>
      </c>
      <c r="O30" s="19"/>
      <c r="P30" s="18" t="str">
        <f>IF($B30="","",N30-O30)</f>
        <v/>
      </c>
      <c r="Q30" s="21" t="str">
        <f>IF($B30="","",IF(AND(M30&lt;=0,P30&lt;=0),"Soldé","En retard"))</f>
        <v/>
      </c>
      <c r="R30" s="21"/>
    </row>
    <row r="31">
      <c r="A31" s="15"/>
      <c r="B31" s="15"/>
      <c r="C31" s="15"/>
      <c r="D31" s="8"/>
      <c r="E31" s="79"/>
      <c r="F31" s="15"/>
      <c r="G31" s="15"/>
      <c r="H31" s="18" t="str">
        <f>IF($B31="","",Paramètres!$C$16)</f>
        <v/>
      </c>
      <c r="I31" s="19"/>
      <c r="J31" s="19"/>
      <c r="K31" s="19"/>
      <c r="L31" s="18" t="str">
        <f>IF($B31="","",SUM(I31:K31))</f>
        <v/>
      </c>
      <c r="M31" s="18" t="str">
        <f>IF($B31="","",H31-L31)</f>
        <v/>
      </c>
      <c r="N31" s="18" t="str">
        <f>IF($B31="","",IF(R31="Ancien",0,Paramètres!$D$16))</f>
        <v/>
      </c>
      <c r="O31" s="19"/>
      <c r="P31" s="18" t="str">
        <f>IF($B31="","",N31-O31)</f>
        <v/>
      </c>
      <c r="Q31" s="8" t="str">
        <f>IF($B31="","",IF(AND(M31&lt;=0,P31&lt;=0),"Soldé","En retard"))</f>
        <v/>
      </c>
      <c r="R31" s="8"/>
    </row>
    <row r="32">
      <c r="A32" s="20"/>
      <c r="B32" s="20"/>
      <c r="C32" s="20"/>
      <c r="D32" s="21"/>
      <c r="E32" s="77"/>
      <c r="F32" s="20"/>
      <c r="G32" s="20"/>
      <c r="H32" s="18" t="str">
        <f>IF($B32="","",Paramètres!$C$16)</f>
        <v/>
      </c>
      <c r="I32" s="19"/>
      <c r="J32" s="19"/>
      <c r="K32" s="19"/>
      <c r="L32" s="18" t="str">
        <f>IF($B32="","",SUM(I32:K32))</f>
        <v/>
      </c>
      <c r="M32" s="18" t="str">
        <f>IF($B32="","",H32-L32)</f>
        <v/>
      </c>
      <c r="N32" s="18" t="str">
        <f>IF($B32="","",IF(R32="Ancien",0,Paramètres!$D$16))</f>
        <v/>
      </c>
      <c r="O32" s="19"/>
      <c r="P32" s="18" t="str">
        <f>IF($B32="","",N32-O32)</f>
        <v/>
      </c>
      <c r="Q32" s="21" t="str">
        <f>IF($B32="","",IF(AND(M32&lt;=0,P32&lt;=0),"Soldé","En retard"))</f>
        <v/>
      </c>
      <c r="R32" s="21"/>
    </row>
    <row r="33">
      <c r="A33" s="15"/>
      <c r="B33" s="15"/>
      <c r="C33" s="15"/>
      <c r="D33" s="8"/>
      <c r="E33" s="79"/>
      <c r="F33" s="15"/>
      <c r="G33" s="15"/>
      <c r="H33" s="18" t="str">
        <f>IF($B33="","",Paramètres!$C$16)</f>
        <v/>
      </c>
      <c r="I33" s="19"/>
      <c r="J33" s="19"/>
      <c r="K33" s="19"/>
      <c r="L33" s="18" t="str">
        <f>IF($B33="","",SUM(I33:K33))</f>
        <v/>
      </c>
      <c r="M33" s="18" t="str">
        <f>IF($B33="","",H33-L33)</f>
        <v/>
      </c>
      <c r="N33" s="18" t="str">
        <f>IF($B33="","",IF(R33="Ancien",0,Paramètres!$D$16))</f>
        <v/>
      </c>
      <c r="O33" s="19"/>
      <c r="P33" s="18" t="str">
        <f>IF($B33="","",N33-O33)</f>
        <v/>
      </c>
      <c r="Q33" s="8" t="str">
        <f>IF($B33="","",IF(AND(M33&lt;=0,P33&lt;=0),"Soldé","En retard"))</f>
        <v/>
      </c>
      <c r="R33" s="8"/>
    </row>
    <row r="34">
      <c r="A34" s="20"/>
      <c r="B34" s="20"/>
      <c r="C34" s="20"/>
      <c r="D34" s="21"/>
      <c r="E34" s="77"/>
      <c r="F34" s="20"/>
      <c r="G34" s="20"/>
      <c r="H34" s="18" t="str">
        <f>IF($B34="","",Paramètres!$C$16)</f>
        <v/>
      </c>
      <c r="I34" s="19"/>
      <c r="J34" s="19"/>
      <c r="K34" s="19"/>
      <c r="L34" s="18" t="str">
        <f>IF($B34="","",SUM(I34:K34))</f>
        <v/>
      </c>
      <c r="M34" s="18" t="str">
        <f>IF($B34="","",H34-L34)</f>
        <v/>
      </c>
      <c r="N34" s="18" t="str">
        <f>IF($B34="","",IF(R34="Ancien",0,Paramètres!$D$16))</f>
        <v/>
      </c>
      <c r="O34" s="19"/>
      <c r="P34" s="18" t="str">
        <f>IF($B34="","",N34-O34)</f>
        <v/>
      </c>
      <c r="Q34" s="21" t="str">
        <f>IF($B34="","",IF(AND(M34&lt;=0,P34&lt;=0),"Soldé","En retard"))</f>
        <v/>
      </c>
      <c r="R34" s="21"/>
    </row>
    <row r="35">
      <c r="A35" s="15"/>
      <c r="B35" s="15"/>
      <c r="C35" s="15"/>
      <c r="D35" s="8"/>
      <c r="E35" s="79"/>
      <c r="F35" s="15"/>
      <c r="G35" s="15"/>
      <c r="H35" s="18" t="str">
        <f>IF($B35="","",Paramètres!$C$16)</f>
        <v/>
      </c>
      <c r="I35" s="19"/>
      <c r="J35" s="19"/>
      <c r="K35" s="19"/>
      <c r="L35" s="18" t="str">
        <f>IF($B35="","",SUM(I35:K35))</f>
        <v/>
      </c>
      <c r="M35" s="18" t="str">
        <f>IF($B35="","",H35-L35)</f>
        <v/>
      </c>
      <c r="N35" s="18" t="str">
        <f>IF($B35="","",IF(R35="Ancien",0,Paramètres!$D$16))</f>
        <v/>
      </c>
      <c r="O35" s="19"/>
      <c r="P35" s="18" t="str">
        <f>IF($B35="","",N35-O35)</f>
        <v/>
      </c>
      <c r="Q35" s="8" t="str">
        <f>IF($B35="","",IF(AND(M35&lt;=0,P35&lt;=0),"Soldé","En retard"))</f>
        <v/>
      </c>
      <c r="R35" s="8"/>
    </row>
    <row r="36">
      <c r="A36" s="20"/>
      <c r="B36" s="20"/>
      <c r="C36" s="20"/>
      <c r="D36" s="21"/>
      <c r="E36" s="77"/>
      <c r="F36" s="20"/>
      <c r="G36" s="20"/>
      <c r="H36" s="18" t="str">
        <f>IF($B36="","",Paramètres!$C$16)</f>
        <v/>
      </c>
      <c r="I36" s="19"/>
      <c r="J36" s="19"/>
      <c r="K36" s="19"/>
      <c r="L36" s="18" t="str">
        <f>IF($B36="","",SUM(I36:K36))</f>
        <v/>
      </c>
      <c r="M36" s="18" t="str">
        <f>IF($B36="","",H36-L36)</f>
        <v/>
      </c>
      <c r="N36" s="18" t="str">
        <f>IF($B36="","",IF(R36="Ancien",0,Paramètres!$D$16))</f>
        <v/>
      </c>
      <c r="O36" s="19"/>
      <c r="P36" s="18" t="str">
        <f>IF($B36="","",N36-O36)</f>
        <v/>
      </c>
      <c r="Q36" s="21" t="str">
        <f>IF($B36="","",IF(AND(M36&lt;=0,P36&lt;=0),"Soldé","En retard"))</f>
        <v/>
      </c>
      <c r="R36" s="21"/>
    </row>
    <row r="37">
      <c r="A37" s="15"/>
      <c r="B37" s="15"/>
      <c r="C37" s="15"/>
      <c r="D37" s="8"/>
      <c r="E37" s="79"/>
      <c r="F37" s="15"/>
      <c r="G37" s="15"/>
      <c r="H37" s="18" t="str">
        <f>IF($B37="","",Paramètres!$C$16)</f>
        <v/>
      </c>
      <c r="I37" s="19"/>
      <c r="J37" s="19"/>
      <c r="K37" s="19"/>
      <c r="L37" s="18" t="str">
        <f>IF($B37="","",SUM(I37:K37))</f>
        <v/>
      </c>
      <c r="M37" s="18" t="str">
        <f>IF($B37="","",H37-L37)</f>
        <v/>
      </c>
      <c r="N37" s="18" t="str">
        <f>IF($B37="","",IF(R37="Ancien",0,Paramètres!$D$16))</f>
        <v/>
      </c>
      <c r="O37" s="19"/>
      <c r="P37" s="18" t="str">
        <f>IF($B37="","",N37-O37)</f>
        <v/>
      </c>
      <c r="Q37" s="8" t="str">
        <f>IF($B37="","",IF(AND(M37&lt;=0,P37&lt;=0),"Soldé","En retard"))</f>
        <v/>
      </c>
      <c r="R37" s="8"/>
    </row>
    <row r="38">
      <c r="A38" s="20"/>
      <c r="B38" s="20"/>
      <c r="C38" s="20"/>
      <c r="D38" s="21"/>
      <c r="E38" s="77"/>
      <c r="F38" s="20"/>
      <c r="G38" s="20"/>
      <c r="H38" s="18" t="str">
        <f>IF($B38="","",Paramètres!$C$16)</f>
        <v/>
      </c>
      <c r="I38" s="19"/>
      <c r="J38" s="19"/>
      <c r="K38" s="19"/>
      <c r="L38" s="18" t="str">
        <f>IF($B38="","",SUM(I38:K38))</f>
        <v/>
      </c>
      <c r="M38" s="18" t="str">
        <f>IF($B38="","",H38-L38)</f>
        <v/>
      </c>
      <c r="N38" s="18" t="str">
        <f>IF($B38="","",IF(R38="Ancien",0,Paramètres!$D$16))</f>
        <v/>
      </c>
      <c r="O38" s="19"/>
      <c r="P38" s="18" t="str">
        <f>IF($B38="","",N38-O38)</f>
        <v/>
      </c>
      <c r="Q38" s="21" t="str">
        <f>IF($B38="","",IF(AND(M38&lt;=0,P38&lt;=0),"Soldé","En retard"))</f>
        <v/>
      </c>
      <c r="R38" s="21"/>
    </row>
    <row r="39">
      <c r="A39" s="15"/>
      <c r="B39" s="15"/>
      <c r="C39" s="15"/>
      <c r="D39" s="8"/>
      <c r="E39" s="79"/>
      <c r="F39" s="15"/>
      <c r="G39" s="15"/>
      <c r="H39" s="18" t="str">
        <f>IF($B39="","",Paramètres!$C$16)</f>
        <v/>
      </c>
      <c r="I39" s="19"/>
      <c r="J39" s="19"/>
      <c r="K39" s="19"/>
      <c r="L39" s="18" t="str">
        <f>IF($B39="","",SUM(I39:K39))</f>
        <v/>
      </c>
      <c r="M39" s="18" t="str">
        <f>IF($B39="","",H39-L39)</f>
        <v/>
      </c>
      <c r="N39" s="18" t="str">
        <f>IF($B39="","",IF(R39="Ancien",0,Paramètres!$D$16))</f>
        <v/>
      </c>
      <c r="O39" s="19"/>
      <c r="P39" s="18" t="str">
        <f>IF($B39="","",N39-O39)</f>
        <v/>
      </c>
      <c r="Q39" s="8" t="str">
        <f>IF($B39="","",IF(AND(M39&lt;=0,P39&lt;=0),"Soldé","En retard"))</f>
        <v/>
      </c>
      <c r="R39" s="8"/>
    </row>
    <row r="40">
      <c r="A40" s="20"/>
      <c r="B40" s="20"/>
      <c r="C40" s="20"/>
      <c r="D40" s="21"/>
      <c r="E40" s="77"/>
      <c r="F40" s="20"/>
      <c r="G40" s="20"/>
      <c r="H40" s="18" t="str">
        <f>IF($B40="","",Paramètres!$C$16)</f>
        <v/>
      </c>
      <c r="I40" s="19"/>
      <c r="J40" s="19"/>
      <c r="K40" s="19"/>
      <c r="L40" s="18" t="str">
        <f>IF($B40="","",SUM(I40:K40))</f>
        <v/>
      </c>
      <c r="M40" s="18" t="str">
        <f>IF($B40="","",H40-L40)</f>
        <v/>
      </c>
      <c r="N40" s="18" t="str">
        <f>IF($B40="","",IF(R40="Ancien",0,Paramètres!$D$16))</f>
        <v/>
      </c>
      <c r="O40" s="19"/>
      <c r="P40" s="18" t="str">
        <f>IF($B40="","",N40-O40)</f>
        <v/>
      </c>
      <c r="Q40" s="21" t="str">
        <f>IF($B40="","",IF(AND(M40&lt;=0,P40&lt;=0),"Soldé","En retard"))</f>
        <v/>
      </c>
      <c r="R40" s="21"/>
    </row>
    <row r="41">
      <c r="A41" s="15"/>
      <c r="B41" s="15"/>
      <c r="C41" s="15"/>
      <c r="D41" s="8"/>
      <c r="E41" s="79"/>
      <c r="F41" s="15"/>
      <c r="G41" s="15"/>
      <c r="H41" s="18" t="str">
        <f>IF($B41="","",Paramètres!$C$16)</f>
        <v/>
      </c>
      <c r="I41" s="19"/>
      <c r="J41" s="19"/>
      <c r="K41" s="19"/>
      <c r="L41" s="18" t="str">
        <f>IF($B41="","",SUM(I41:K41))</f>
        <v/>
      </c>
      <c r="M41" s="18" t="str">
        <f>IF($B41="","",H41-L41)</f>
        <v/>
      </c>
      <c r="N41" s="18" t="str">
        <f>IF($B41="","",IF(R41="Ancien",0,Paramètres!$D$16))</f>
        <v/>
      </c>
      <c r="O41" s="19"/>
      <c r="P41" s="18" t="str">
        <f>IF($B41="","",N41-O41)</f>
        <v/>
      </c>
      <c r="Q41" s="8" t="str">
        <f>IF($B41="","",IF(AND(M41&lt;=0,P41&lt;=0),"Soldé","En retard"))</f>
        <v/>
      </c>
      <c r="R41" s="8"/>
    </row>
    <row r="42">
      <c r="A42" s="20"/>
      <c r="B42" s="20"/>
      <c r="C42" s="20"/>
      <c r="D42" s="21"/>
      <c r="E42" s="77"/>
      <c r="F42" s="20"/>
      <c r="G42" s="20"/>
      <c r="H42" s="18" t="str">
        <f>IF($B42="","",Paramètres!$C$16)</f>
        <v/>
      </c>
      <c r="I42" s="19"/>
      <c r="J42" s="19"/>
      <c r="K42" s="19"/>
      <c r="L42" s="18" t="str">
        <f>IF($B42="","",SUM(I42:K42))</f>
        <v/>
      </c>
      <c r="M42" s="18" t="str">
        <f>IF($B42="","",H42-L42)</f>
        <v/>
      </c>
      <c r="N42" s="18" t="str">
        <f>IF($B42="","",IF(R42="Ancien",0,Paramètres!$D$16))</f>
        <v/>
      </c>
      <c r="O42" s="19"/>
      <c r="P42" s="18" t="str">
        <f>IF($B42="","",N42-O42)</f>
        <v/>
      </c>
      <c r="Q42" s="21" t="str">
        <f>IF($B42="","",IF(AND(M42&lt;=0,P42&lt;=0),"Soldé","En retard"))</f>
        <v/>
      </c>
      <c r="R42" s="21"/>
    </row>
    <row r="43">
      <c r="A43" s="15"/>
      <c r="B43" s="15"/>
      <c r="C43" s="15"/>
      <c r="D43" s="8"/>
      <c r="E43" s="79"/>
      <c r="F43" s="15"/>
      <c r="G43" s="15"/>
      <c r="H43" s="18" t="str">
        <f>IF($B43="","",Paramètres!$C$16)</f>
        <v/>
      </c>
      <c r="I43" s="19"/>
      <c r="J43" s="19"/>
      <c r="K43" s="19"/>
      <c r="L43" s="18" t="str">
        <f>IF($B43="","",SUM(I43:K43))</f>
        <v/>
      </c>
      <c r="M43" s="18" t="str">
        <f>IF($B43="","",H43-L43)</f>
        <v/>
      </c>
      <c r="N43" s="18" t="str">
        <f>IF($B43="","",IF(R43="Ancien",0,Paramètres!$D$16))</f>
        <v/>
      </c>
      <c r="O43" s="19"/>
      <c r="P43" s="18" t="str">
        <f>IF($B43="","",N43-O43)</f>
        <v/>
      </c>
      <c r="Q43" s="8" t="str">
        <f>IF($B43="","",IF(AND(M43&lt;=0,P43&lt;=0),"Soldé","En retard"))</f>
        <v/>
      </c>
      <c r="R43" s="8"/>
    </row>
    <row r="44">
      <c r="A44" s="20"/>
      <c r="B44" s="20"/>
      <c r="C44" s="20"/>
      <c r="D44" s="21"/>
      <c r="E44" s="77"/>
      <c r="F44" s="20"/>
      <c r="G44" s="20"/>
      <c r="H44" s="18" t="str">
        <f>IF($B44="","",Paramètres!$C$16)</f>
        <v/>
      </c>
      <c r="I44" s="19"/>
      <c r="J44" s="19"/>
      <c r="K44" s="19"/>
      <c r="L44" s="18" t="str">
        <f>IF($B44="","",SUM(I44:K44))</f>
        <v/>
      </c>
      <c r="M44" s="18" t="str">
        <f>IF($B44="","",H44-L44)</f>
        <v/>
      </c>
      <c r="N44" s="18" t="str">
        <f>IF($B44="","",IF(R44="Ancien",0,Paramètres!$D$16))</f>
        <v/>
      </c>
      <c r="O44" s="19"/>
      <c r="P44" s="18" t="str">
        <f>IF($B44="","",N44-O44)</f>
        <v/>
      </c>
      <c r="Q44" s="21" t="str">
        <f>IF($B44="","",IF(AND(M44&lt;=0,P44&lt;=0),"Soldé","En retard"))</f>
        <v/>
      </c>
      <c r="R44" s="21"/>
    </row>
    <row r="45">
      <c r="A45" s="15"/>
      <c r="B45" s="15"/>
      <c r="C45" s="15"/>
      <c r="D45" s="8"/>
      <c r="E45" s="79"/>
      <c r="F45" s="15"/>
      <c r="G45" s="15"/>
      <c r="H45" s="18" t="str">
        <f>IF($B45="","",Paramètres!$C$16)</f>
        <v/>
      </c>
      <c r="I45" s="19"/>
      <c r="J45" s="19"/>
      <c r="K45" s="19"/>
      <c r="L45" s="18" t="str">
        <f>IF($B45="","",SUM(I45:K45))</f>
        <v/>
      </c>
      <c r="M45" s="18" t="str">
        <f>IF($B45="","",H45-L45)</f>
        <v/>
      </c>
      <c r="N45" s="18" t="str">
        <f>IF($B45="","",IF(R45="Ancien",0,Paramètres!$D$16))</f>
        <v/>
      </c>
      <c r="O45" s="19"/>
      <c r="P45" s="18" t="str">
        <f>IF($B45="","",N45-O45)</f>
        <v/>
      </c>
      <c r="Q45" s="8" t="str">
        <f>IF($B45="","",IF(AND(M45&lt;=0,P45&lt;=0),"Soldé","En retard"))</f>
        <v/>
      </c>
      <c r="R45" s="8"/>
    </row>
    <row r="46">
      <c r="A46" s="20"/>
      <c r="B46" s="20"/>
      <c r="C46" s="20"/>
      <c r="D46" s="21"/>
      <c r="E46" s="77"/>
      <c r="F46" s="20"/>
      <c r="G46" s="20"/>
      <c r="H46" s="18" t="str">
        <f>IF($B46="","",Paramètres!$C$16)</f>
        <v/>
      </c>
      <c r="I46" s="19"/>
      <c r="J46" s="19"/>
      <c r="K46" s="19"/>
      <c r="L46" s="18" t="str">
        <f>IF($B46="","",SUM(I46:K46))</f>
        <v/>
      </c>
      <c r="M46" s="18" t="str">
        <f>IF($B46="","",H46-L46)</f>
        <v/>
      </c>
      <c r="N46" s="18" t="str">
        <f>IF($B46="","",IF(R46="Ancien",0,Paramètres!$D$16))</f>
        <v/>
      </c>
      <c r="O46" s="19"/>
      <c r="P46" s="18" t="str">
        <f>IF($B46="","",N46-O46)</f>
        <v/>
      </c>
      <c r="Q46" s="21" t="str">
        <f>IF($B46="","",IF(AND(M46&lt;=0,P46&lt;=0),"Soldé","En retard"))</f>
        <v/>
      </c>
      <c r="R46" s="21"/>
    </row>
    <row r="47">
      <c r="A47" s="15"/>
      <c r="B47" s="15"/>
      <c r="C47" s="15"/>
      <c r="D47" s="8"/>
      <c r="E47" s="79"/>
      <c r="F47" s="15"/>
      <c r="G47" s="15"/>
      <c r="H47" s="18" t="str">
        <f>IF($B47="","",Paramètres!$C$16)</f>
        <v/>
      </c>
      <c r="I47" s="19"/>
      <c r="J47" s="19"/>
      <c r="K47" s="19"/>
      <c r="L47" s="18" t="str">
        <f>IF($B47="","",SUM(I47:K47))</f>
        <v/>
      </c>
      <c r="M47" s="18" t="str">
        <f>IF($B47="","",H47-L47)</f>
        <v/>
      </c>
      <c r="N47" s="18" t="str">
        <f>IF($B47="","",IF(R47="Ancien",0,Paramètres!$D$16))</f>
        <v/>
      </c>
      <c r="O47" s="19"/>
      <c r="P47" s="18" t="str">
        <f>IF($B47="","",N47-O47)</f>
        <v/>
      </c>
      <c r="Q47" s="8" t="str">
        <f>IF($B47="","",IF(AND(M47&lt;=0,P47&lt;=0),"Soldé","En retard"))</f>
        <v/>
      </c>
      <c r="R47" s="8"/>
    </row>
    <row r="48">
      <c r="A48" s="20"/>
      <c r="B48" s="20"/>
      <c r="C48" s="20"/>
      <c r="D48" s="21"/>
      <c r="E48" s="77"/>
      <c r="F48" s="20"/>
      <c r="G48" s="20"/>
      <c r="H48" s="18" t="str">
        <f>IF($B48="","",Paramètres!$C$16)</f>
        <v/>
      </c>
      <c r="I48" s="19"/>
      <c r="J48" s="19"/>
      <c r="K48" s="19"/>
      <c r="L48" s="18" t="str">
        <f>IF($B48="","",SUM(I48:K48))</f>
        <v/>
      </c>
      <c r="M48" s="18" t="str">
        <f>IF($B48="","",H48-L48)</f>
        <v/>
      </c>
      <c r="N48" s="18" t="str">
        <f>IF($B48="","",IF(R48="Ancien",0,Paramètres!$D$16))</f>
        <v/>
      </c>
      <c r="O48" s="19"/>
      <c r="P48" s="18" t="str">
        <f>IF($B48="","",N48-O48)</f>
        <v/>
      </c>
      <c r="Q48" s="21" t="str">
        <f>IF($B48="","",IF(AND(M48&lt;=0,P48&lt;=0),"Soldé","En retard"))</f>
        <v/>
      </c>
      <c r="R48" s="21"/>
    </row>
    <row r="49">
      <c r="A49" s="15"/>
      <c r="B49" s="15"/>
      <c r="C49" s="15"/>
      <c r="D49" s="8"/>
      <c r="E49" s="79"/>
      <c r="F49" s="15"/>
      <c r="G49" s="15"/>
      <c r="H49" s="18" t="str">
        <f>IF($B49="","",Paramètres!$C$16)</f>
        <v/>
      </c>
      <c r="I49" s="19"/>
      <c r="J49" s="19"/>
      <c r="K49" s="19"/>
      <c r="L49" s="18" t="str">
        <f>IF($B49="","",SUM(I49:K49))</f>
        <v/>
      </c>
      <c r="M49" s="18" t="str">
        <f>IF($B49="","",H49-L49)</f>
        <v/>
      </c>
      <c r="N49" s="18" t="str">
        <f>IF($B49="","",IF(R49="Ancien",0,Paramètres!$D$16))</f>
        <v/>
      </c>
      <c r="O49" s="19"/>
      <c r="P49" s="18" t="str">
        <f>IF($B49="","",N49-O49)</f>
        <v/>
      </c>
      <c r="Q49" s="8" t="str">
        <f>IF($B49="","",IF(AND(M49&lt;=0,P49&lt;=0),"Soldé","En retard"))</f>
        <v/>
      </c>
      <c r="R49" s="8"/>
    </row>
    <row r="50">
      <c r="A50" s="20"/>
      <c r="B50" s="20"/>
      <c r="C50" s="20"/>
      <c r="D50" s="21"/>
      <c r="E50" s="77"/>
      <c r="F50" s="20"/>
      <c r="G50" s="20"/>
      <c r="H50" s="18" t="str">
        <f>IF($B50="","",Paramètres!$C$16)</f>
        <v/>
      </c>
      <c r="I50" s="19"/>
      <c r="J50" s="19"/>
      <c r="K50" s="19"/>
      <c r="L50" s="18" t="str">
        <f>IF($B50="","",SUM(I50:K50))</f>
        <v/>
      </c>
      <c r="M50" s="18" t="str">
        <f>IF($B50="","",H50-L50)</f>
        <v/>
      </c>
      <c r="N50" s="18" t="str">
        <f>IF($B50="","",IF(R50="Ancien",0,Paramètres!$D$16))</f>
        <v/>
      </c>
      <c r="O50" s="19"/>
      <c r="P50" s="18" t="str">
        <f>IF($B50="","",N50-O50)</f>
        <v/>
      </c>
      <c r="Q50" s="21" t="str">
        <f>IF($B50="","",IF(AND(M50&lt;=0,P50&lt;=0),"Soldé","En retard"))</f>
        <v/>
      </c>
      <c r="R50" s="21"/>
    </row>
    <row r="51">
      <c r="A51" s="15"/>
      <c r="B51" s="15"/>
      <c r="C51" s="15"/>
      <c r="D51" s="8"/>
      <c r="E51" s="79"/>
      <c r="F51" s="15"/>
      <c r="G51" s="15"/>
      <c r="H51" s="18" t="str">
        <f>IF($B51="","",Paramètres!$C$16)</f>
        <v/>
      </c>
      <c r="I51" s="19"/>
      <c r="J51" s="19"/>
      <c r="K51" s="19"/>
      <c r="L51" s="18" t="str">
        <f>IF($B51="","",SUM(I51:K51))</f>
        <v/>
      </c>
      <c r="M51" s="18" t="str">
        <f>IF($B51="","",H51-L51)</f>
        <v/>
      </c>
      <c r="N51" s="18" t="str">
        <f>IF($B51="","",IF(R51="Ancien",0,Paramètres!$D$16))</f>
        <v/>
      </c>
      <c r="O51" s="19"/>
      <c r="P51" s="18" t="str">
        <f>IF($B51="","",N51-O51)</f>
        <v/>
      </c>
      <c r="Q51" s="8" t="str">
        <f>IF($B51="","",IF(AND(M51&lt;=0,P51&lt;=0),"Soldé","En retard"))</f>
        <v/>
      </c>
      <c r="R51" s="8"/>
    </row>
    <row r="52">
      <c r="A52" s="20"/>
      <c r="B52" s="20"/>
      <c r="C52" s="20"/>
      <c r="D52" s="21"/>
      <c r="E52" s="77"/>
      <c r="F52" s="20"/>
      <c r="G52" s="20"/>
      <c r="H52" s="18" t="str">
        <f>IF($B52="","",Paramètres!$C$16)</f>
        <v/>
      </c>
      <c r="I52" s="19"/>
      <c r="J52" s="19"/>
      <c r="K52" s="19"/>
      <c r="L52" s="18" t="str">
        <f>IF($B52="","",SUM(I52:K52))</f>
        <v/>
      </c>
      <c r="M52" s="18" t="str">
        <f>IF($B52="","",H52-L52)</f>
        <v/>
      </c>
      <c r="N52" s="18" t="str">
        <f>IF($B52="","",IF(R52="Ancien",0,Paramètres!$D$16))</f>
        <v/>
      </c>
      <c r="O52" s="19"/>
      <c r="P52" s="18" t="str">
        <f>IF($B52="","",N52-O52)</f>
        <v/>
      </c>
      <c r="Q52" s="21" t="str">
        <f>IF($B52="","",IF(AND(M52&lt;=0,P52&lt;=0),"Soldé","En retard"))</f>
        <v/>
      </c>
      <c r="R52" s="21"/>
    </row>
    <row r="53">
      <c r="A53" s="15"/>
      <c r="B53" s="15"/>
      <c r="C53" s="15"/>
      <c r="D53" s="8"/>
      <c r="E53" s="79"/>
      <c r="F53" s="15"/>
      <c r="G53" s="15"/>
      <c r="H53" s="18" t="str">
        <f>IF($B53="","",Paramètres!$C$16)</f>
        <v/>
      </c>
      <c r="I53" s="19"/>
      <c r="J53" s="19"/>
      <c r="K53" s="19"/>
      <c r="L53" s="18" t="str">
        <f>IF($B53="","",SUM(I53:K53))</f>
        <v/>
      </c>
      <c r="M53" s="18" t="str">
        <f>IF($B53="","",H53-L53)</f>
        <v/>
      </c>
      <c r="N53" s="18" t="str">
        <f>IF($B53="","",IF(R53="Ancien",0,Paramètres!$D$16))</f>
        <v/>
      </c>
      <c r="O53" s="19"/>
      <c r="P53" s="18" t="str">
        <f>IF($B53="","",N53-O53)</f>
        <v/>
      </c>
      <c r="Q53" s="8" t="str">
        <f>IF($B53="","",IF(AND(M53&lt;=0,P53&lt;=0),"Soldé","En retard"))</f>
        <v/>
      </c>
      <c r="R53" s="8"/>
    </row>
    <row r="54">
      <c r="A54" s="20"/>
      <c r="B54" s="20"/>
      <c r="C54" s="20"/>
      <c r="D54" s="21"/>
      <c r="E54" s="77"/>
      <c r="F54" s="20"/>
      <c r="G54" s="20"/>
      <c r="H54" s="18" t="str">
        <f>IF($B54="","",Paramètres!$C$16)</f>
        <v/>
      </c>
      <c r="I54" s="19"/>
      <c r="J54" s="19"/>
      <c r="K54" s="19"/>
      <c r="L54" s="18" t="str">
        <f>IF($B54="","",SUM(I54:K54))</f>
        <v/>
      </c>
      <c r="M54" s="18" t="str">
        <f>IF($B54="","",H54-L54)</f>
        <v/>
      </c>
      <c r="N54" s="18" t="str">
        <f>IF($B54="","",IF(R54="Ancien",0,Paramètres!$D$16))</f>
        <v/>
      </c>
      <c r="O54" s="19"/>
      <c r="P54" s="18" t="str">
        <f>IF($B54="","",N54-O54)</f>
        <v/>
      </c>
      <c r="Q54" s="21" t="str">
        <f>IF($B54="","",IF(AND(M54&lt;=0,P54&lt;=0),"Soldé","En retard"))</f>
        <v/>
      </c>
      <c r="R54" s="21"/>
    </row>
    <row r="55">
      <c r="A55" s="15"/>
      <c r="B55" s="15"/>
      <c r="C55" s="15"/>
      <c r="D55" s="8"/>
      <c r="E55" s="79"/>
      <c r="F55" s="15"/>
      <c r="G55" s="15"/>
      <c r="H55" s="18" t="str">
        <f>IF($B55="","",Paramètres!$C$16)</f>
        <v/>
      </c>
      <c r="I55" s="19"/>
      <c r="J55" s="19"/>
      <c r="K55" s="19"/>
      <c r="L55" s="18" t="str">
        <f>IF($B55="","",SUM(I55:K55))</f>
        <v/>
      </c>
      <c r="M55" s="18" t="str">
        <f>IF($B55="","",H55-L55)</f>
        <v/>
      </c>
      <c r="N55" s="18" t="str">
        <f>IF($B55="","",IF(R55="Ancien",0,Paramètres!$D$16))</f>
        <v/>
      </c>
      <c r="O55" s="19"/>
      <c r="P55" s="18" t="str">
        <f>IF($B55="","",N55-O55)</f>
        <v/>
      </c>
      <c r="Q55" s="8" t="str">
        <f>IF($B55="","",IF(AND(M55&lt;=0,P55&lt;=0),"Soldé","En retard"))</f>
        <v/>
      </c>
      <c r="R55" s="8"/>
    </row>
    <row r="56">
      <c r="A56" s="20"/>
      <c r="B56" s="20"/>
      <c r="C56" s="20"/>
      <c r="D56" s="21"/>
      <c r="E56" s="77"/>
      <c r="F56" s="20"/>
      <c r="G56" s="20"/>
      <c r="H56" s="18" t="str">
        <f>IF($B56="","",Paramètres!$C$16)</f>
        <v/>
      </c>
      <c r="I56" s="19"/>
      <c r="J56" s="19"/>
      <c r="K56" s="19"/>
      <c r="L56" s="18" t="str">
        <f>IF($B56="","",SUM(I56:K56))</f>
        <v/>
      </c>
      <c r="M56" s="18" t="str">
        <f>IF($B56="","",H56-L56)</f>
        <v/>
      </c>
      <c r="N56" s="18" t="str">
        <f>IF($B56="","",IF(R56="Ancien",0,Paramètres!$D$16))</f>
        <v/>
      </c>
      <c r="O56" s="19"/>
      <c r="P56" s="18" t="str">
        <f>IF($B56="","",N56-O56)</f>
        <v/>
      </c>
      <c r="Q56" s="21" t="str">
        <f>IF($B56="","",IF(AND(M56&lt;=0,P56&lt;=0),"Soldé","En retard"))</f>
        <v/>
      </c>
      <c r="R56" s="21"/>
    </row>
    <row r="57">
      <c r="A57" s="15"/>
      <c r="B57" s="15"/>
      <c r="C57" s="15"/>
      <c r="D57" s="8"/>
      <c r="E57" s="79"/>
      <c r="F57" s="15"/>
      <c r="G57" s="15"/>
      <c r="H57" s="18" t="str">
        <f>IF($B57="","",Paramètres!$C$16)</f>
        <v/>
      </c>
      <c r="I57" s="19"/>
      <c r="J57" s="19"/>
      <c r="K57" s="19"/>
      <c r="L57" s="18" t="str">
        <f>IF($B57="","",SUM(I57:K57))</f>
        <v/>
      </c>
      <c r="M57" s="18" t="str">
        <f>IF($B57="","",H57-L57)</f>
        <v/>
      </c>
      <c r="N57" s="18" t="str">
        <f>IF($B57="","",IF(R57="Ancien",0,Paramètres!$D$16))</f>
        <v/>
      </c>
      <c r="O57" s="19"/>
      <c r="P57" s="18" t="str">
        <f>IF($B57="","",N57-O57)</f>
        <v/>
      </c>
      <c r="Q57" s="8" t="str">
        <f>IF($B57="","",IF(AND(M57&lt;=0,P57&lt;=0),"Soldé","En retard"))</f>
        <v/>
      </c>
      <c r="R57" s="8"/>
    </row>
    <row r="58">
      <c r="A58" s="20"/>
      <c r="B58" s="20"/>
      <c r="C58" s="20"/>
      <c r="D58" s="21"/>
      <c r="E58" s="77"/>
      <c r="F58" s="20"/>
      <c r="G58" s="20"/>
      <c r="H58" s="18" t="str">
        <f>IF($B58="","",Paramètres!$C$16)</f>
        <v/>
      </c>
      <c r="I58" s="19"/>
      <c r="J58" s="19"/>
      <c r="K58" s="19"/>
      <c r="L58" s="18" t="str">
        <f>IF($B58="","",SUM(I58:K58))</f>
        <v/>
      </c>
      <c r="M58" s="18" t="str">
        <f>IF($B58="","",H58-L58)</f>
        <v/>
      </c>
      <c r="N58" s="18" t="str">
        <f>IF($B58="","",IF(R58="Ancien",0,Paramètres!$D$16))</f>
        <v/>
      </c>
      <c r="O58" s="19"/>
      <c r="P58" s="18" t="str">
        <f>IF($B58="","",N58-O58)</f>
        <v/>
      </c>
      <c r="Q58" s="21" t="str">
        <f>IF($B58="","",IF(AND(M58&lt;=0,P58&lt;=0),"Soldé","En retard"))</f>
        <v/>
      </c>
      <c r="R58" s="21"/>
    </row>
    <row r="59">
      <c r="A59" s="15"/>
      <c r="B59" s="15"/>
      <c r="C59" s="15"/>
      <c r="D59" s="8"/>
      <c r="E59" s="79"/>
      <c r="F59" s="15"/>
      <c r="G59" s="15"/>
      <c r="H59" s="18" t="str">
        <f>IF($B59="","",Paramètres!$C$16)</f>
        <v/>
      </c>
      <c r="I59" s="19"/>
      <c r="J59" s="19"/>
      <c r="K59" s="19"/>
      <c r="L59" s="18" t="str">
        <f>IF($B59="","",SUM(I59:K59))</f>
        <v/>
      </c>
      <c r="M59" s="18" t="str">
        <f>IF($B59="","",H59-L59)</f>
        <v/>
      </c>
      <c r="N59" s="18" t="str">
        <f>IF($B59="","",IF(R59="Ancien",0,Paramètres!$D$16))</f>
        <v/>
      </c>
      <c r="O59" s="19"/>
      <c r="P59" s="18" t="str">
        <f>IF($B59="","",N59-O59)</f>
        <v/>
      </c>
      <c r="Q59" s="8" t="str">
        <f>IF($B59="","",IF(AND(M59&lt;=0,P59&lt;=0),"Soldé","En retard"))</f>
        <v/>
      </c>
      <c r="R59" s="8"/>
    </row>
    <row r="60">
      <c r="A60" s="20"/>
      <c r="B60" s="20"/>
      <c r="C60" s="20"/>
      <c r="D60" s="21"/>
      <c r="E60" s="77"/>
      <c r="F60" s="20"/>
      <c r="G60" s="20"/>
      <c r="H60" s="18" t="str">
        <f>IF($B60="","",Paramètres!$C$16)</f>
        <v/>
      </c>
      <c r="I60" s="19"/>
      <c r="J60" s="19"/>
      <c r="K60" s="19"/>
      <c r="L60" s="18" t="str">
        <f>IF($B60="","",SUM(I60:K60))</f>
        <v/>
      </c>
      <c r="M60" s="18" t="str">
        <f>IF($B60="","",H60-L60)</f>
        <v/>
      </c>
      <c r="N60" s="18" t="str">
        <f>IF($B60="","",IF(R60="Ancien",0,Paramètres!$D$16))</f>
        <v/>
      </c>
      <c r="O60" s="19"/>
      <c r="P60" s="18" t="str">
        <f>IF($B60="","",N60-O60)</f>
        <v/>
      </c>
      <c r="Q60" s="21" t="str">
        <f>IF($B60="","",IF(AND(M60&lt;=0,P60&lt;=0),"Soldé","En retard"))</f>
        <v/>
      </c>
      <c r="R60" s="21"/>
    </row>
    <row r="61">
      <c r="A61" s="15"/>
      <c r="B61" s="15"/>
      <c r="C61" s="15"/>
      <c r="D61" s="8"/>
      <c r="E61" s="79"/>
      <c r="F61" s="15"/>
      <c r="G61" s="15"/>
      <c r="H61" s="18" t="str">
        <f>IF($B61="","",Paramètres!$C$16)</f>
        <v/>
      </c>
      <c r="I61" s="19"/>
      <c r="J61" s="19"/>
      <c r="K61" s="19"/>
      <c r="L61" s="18" t="str">
        <f>IF($B61="","",SUM(I61:K61))</f>
        <v/>
      </c>
      <c r="M61" s="18" t="str">
        <f>IF($B61="","",H61-L61)</f>
        <v/>
      </c>
      <c r="N61" s="18" t="str">
        <f>IF($B61="","",IF(R61="Ancien",0,Paramètres!$D$16))</f>
        <v/>
      </c>
      <c r="O61" s="19"/>
      <c r="P61" s="18" t="str">
        <f>IF($B61="","",N61-O61)</f>
        <v/>
      </c>
      <c r="Q61" s="8" t="str">
        <f>IF($B61="","",IF(AND(M61&lt;=0,P61&lt;=0),"Soldé","En retard"))</f>
        <v/>
      </c>
      <c r="R61" s="8"/>
    </row>
    <row r="62">
      <c r="A62" s="20"/>
      <c r="B62" s="20"/>
      <c r="C62" s="20"/>
      <c r="D62" s="21"/>
      <c r="E62" s="77"/>
      <c r="F62" s="20"/>
      <c r="G62" s="20"/>
      <c r="H62" s="18" t="str">
        <f>IF($B62="","",Paramètres!$C$16)</f>
        <v/>
      </c>
      <c r="I62" s="19"/>
      <c r="J62" s="19"/>
      <c r="K62" s="19"/>
      <c r="L62" s="18" t="str">
        <f>IF($B62="","",SUM(I62:K62))</f>
        <v/>
      </c>
      <c r="M62" s="18" t="str">
        <f>IF($B62="","",H62-L62)</f>
        <v/>
      </c>
      <c r="N62" s="18" t="str">
        <f>IF($B62="","",IF(R62="Ancien",0,Paramètres!$D$16))</f>
        <v/>
      </c>
      <c r="O62" s="19"/>
      <c r="P62" s="18" t="str">
        <f>IF($B62="","",N62-O62)</f>
        <v/>
      </c>
      <c r="Q62" s="21" t="str">
        <f>IF($B62="","",IF(AND(M62&lt;=0,P62&lt;=0),"Soldé","En retard"))</f>
        <v/>
      </c>
      <c r="R62" s="21"/>
    </row>
    <row r="63">
      <c r="A63" s="15"/>
      <c r="B63" s="15"/>
      <c r="C63" s="15"/>
      <c r="D63" s="8"/>
      <c r="E63" s="79"/>
      <c r="F63" s="15"/>
      <c r="G63" s="15"/>
      <c r="H63" s="18" t="str">
        <f>IF($B63="","",Paramètres!$C$16)</f>
        <v/>
      </c>
      <c r="I63" s="19"/>
      <c r="J63" s="19"/>
      <c r="K63" s="19"/>
      <c r="L63" s="18" t="str">
        <f>IF($B63="","",SUM(I63:K63))</f>
        <v/>
      </c>
      <c r="M63" s="18" t="str">
        <f>IF($B63="","",H63-L63)</f>
        <v/>
      </c>
      <c r="N63" s="18" t="str">
        <f>IF($B63="","",IF(R63="Ancien",0,Paramètres!$D$16))</f>
        <v/>
      </c>
      <c r="O63" s="19"/>
      <c r="P63" s="18" t="str">
        <f>IF($B63="","",N63-O63)</f>
        <v/>
      </c>
      <c r="Q63" s="8" t="str">
        <f>IF($B63="","",IF(AND(M63&lt;=0,P63&lt;=0),"Soldé","En retard"))</f>
        <v/>
      </c>
      <c r="R63" s="8"/>
    </row>
    <row r="64">
      <c r="A64" s="20"/>
      <c r="B64" s="20"/>
      <c r="C64" s="20"/>
      <c r="D64" s="21"/>
      <c r="E64" s="77"/>
      <c r="F64" s="20"/>
      <c r="G64" s="20"/>
      <c r="H64" s="18" t="str">
        <f>IF($B64="","",Paramètres!$C$16)</f>
        <v/>
      </c>
      <c r="I64" s="19"/>
      <c r="J64" s="19"/>
      <c r="K64" s="19"/>
      <c r="L64" s="18" t="str">
        <f>IF($B64="","",SUM(I64:K64))</f>
        <v/>
      </c>
      <c r="M64" s="18" t="str">
        <f>IF($B64="","",H64-L64)</f>
        <v/>
      </c>
      <c r="N64" s="18" t="str">
        <f>IF($B64="","",IF(R64="Ancien",0,Paramètres!$D$16))</f>
        <v/>
      </c>
      <c r="O64" s="19"/>
      <c r="P64" s="18" t="str">
        <f>IF($B64="","",N64-O64)</f>
        <v/>
      </c>
      <c r="Q64" s="21" t="str">
        <f>IF($B64="","",IF(AND(M64&lt;=0,P64&lt;=0),"Soldé","En retard"))</f>
        <v/>
      </c>
      <c r="R64" s="21"/>
    </row>
    <row r="65">
      <c r="A65" s="15"/>
      <c r="B65" s="15"/>
      <c r="C65" s="15"/>
      <c r="D65" s="8"/>
      <c r="E65" s="79"/>
      <c r="F65" s="15"/>
      <c r="G65" s="15"/>
      <c r="H65" s="18" t="str">
        <f>IF($B65="","",Paramètres!$C$16)</f>
        <v/>
      </c>
      <c r="I65" s="19"/>
      <c r="J65" s="19"/>
      <c r="K65" s="19"/>
      <c r="L65" s="18" t="str">
        <f>IF($B65="","",SUM(I65:K65))</f>
        <v/>
      </c>
      <c r="M65" s="18" t="str">
        <f>IF($B65="","",H65-L65)</f>
        <v/>
      </c>
      <c r="N65" s="18" t="str">
        <f>IF($B65="","",IF(R65="Ancien",0,Paramètres!$D$16))</f>
        <v/>
      </c>
      <c r="O65" s="19"/>
      <c r="P65" s="18" t="str">
        <f>IF($B65="","",N65-O65)</f>
        <v/>
      </c>
      <c r="Q65" s="8" t="str">
        <f>IF($B65="","",IF(AND(M65&lt;=0,P65&lt;=0),"Soldé","En retard"))</f>
        <v/>
      </c>
      <c r="R65" s="8"/>
    </row>
    <row r="66">
      <c r="A66" s="20"/>
      <c r="B66" s="20"/>
      <c r="C66" s="20"/>
      <c r="D66" s="21"/>
      <c r="E66" s="77"/>
      <c r="F66" s="20"/>
      <c r="G66" s="20"/>
      <c r="H66" s="18" t="str">
        <f>IF($B66="","",Paramètres!$C$16)</f>
        <v/>
      </c>
      <c r="I66" s="19"/>
      <c r="J66" s="19"/>
      <c r="K66" s="19"/>
      <c r="L66" s="18" t="str">
        <f>IF($B66="","",SUM(I66:K66))</f>
        <v/>
      </c>
      <c r="M66" s="18" t="str">
        <f>IF($B66="","",H66-L66)</f>
        <v/>
      </c>
      <c r="N66" s="18" t="str">
        <f>IF($B66="","",IF(R66="Ancien",0,Paramètres!$D$16))</f>
        <v/>
      </c>
      <c r="O66" s="19"/>
      <c r="P66" s="18" t="str">
        <f>IF($B66="","",N66-O66)</f>
        <v/>
      </c>
      <c r="Q66" s="21" t="str">
        <f>IF($B66="","",IF(AND(M66&lt;=0,P66&lt;=0),"Soldé","En retard"))</f>
        <v/>
      </c>
      <c r="R66" s="21"/>
    </row>
    <row r="67">
      <c r="A67" s="15"/>
      <c r="B67" s="15"/>
      <c r="C67" s="15"/>
      <c r="D67" s="8"/>
      <c r="E67" s="79"/>
      <c r="F67" s="15"/>
      <c r="G67" s="15"/>
      <c r="H67" s="18" t="str">
        <f>IF($B67="","",Paramètres!$C$16)</f>
        <v/>
      </c>
      <c r="I67" s="19"/>
      <c r="J67" s="19"/>
      <c r="K67" s="19"/>
      <c r="L67" s="18" t="str">
        <f>IF($B67="","",SUM(I67:K67))</f>
        <v/>
      </c>
      <c r="M67" s="18" t="str">
        <f>IF($B67="","",H67-L67)</f>
        <v/>
      </c>
      <c r="N67" s="18" t="str">
        <f>IF($B67="","",IF(R67="Ancien",0,Paramètres!$D$16))</f>
        <v/>
      </c>
      <c r="O67" s="19"/>
      <c r="P67" s="18" t="str">
        <f>IF($B67="","",N67-O67)</f>
        <v/>
      </c>
      <c r="Q67" s="8" t="str">
        <f>IF($B67="","",IF(AND(M67&lt;=0,P67&lt;=0),"Soldé","En retard"))</f>
        <v/>
      </c>
      <c r="R67" s="8"/>
    </row>
    <row r="68">
      <c r="A68" s="20"/>
      <c r="B68" s="20"/>
      <c r="C68" s="20"/>
      <c r="D68" s="21"/>
      <c r="E68" s="77"/>
      <c r="F68" s="20"/>
      <c r="G68" s="20"/>
      <c r="H68" s="18" t="str">
        <f>IF($B68="","",Paramètres!$C$16)</f>
        <v/>
      </c>
      <c r="I68" s="19"/>
      <c r="J68" s="19"/>
      <c r="K68" s="19"/>
      <c r="L68" s="18" t="str">
        <f>IF($B68="","",SUM(I68:K68))</f>
        <v/>
      </c>
      <c r="M68" s="18" t="str">
        <f>IF($B68="","",H68-L68)</f>
        <v/>
      </c>
      <c r="N68" s="18" t="str">
        <f>IF($B68="","",IF(R68="Ancien",0,Paramètres!$D$16))</f>
        <v/>
      </c>
      <c r="O68" s="19"/>
      <c r="P68" s="18" t="str">
        <f>IF($B68="","",N68-O68)</f>
        <v/>
      </c>
      <c r="Q68" s="21" t="str">
        <f>IF($B68="","",IF(AND(M68&lt;=0,P68&lt;=0),"Soldé","En retard"))</f>
        <v/>
      </c>
      <c r="R68" s="21"/>
    </row>
    <row r="69">
      <c r="A69" s="15"/>
      <c r="B69" s="15"/>
      <c r="C69" s="15"/>
      <c r="D69" s="8"/>
      <c r="E69" s="79"/>
      <c r="F69" s="15"/>
      <c r="G69" s="15"/>
      <c r="H69" s="18" t="str">
        <f>IF($B69="","",Paramètres!$C$16)</f>
        <v/>
      </c>
      <c r="I69" s="19"/>
      <c r="J69" s="19"/>
      <c r="K69" s="19"/>
      <c r="L69" s="18" t="str">
        <f>IF($B69="","",SUM(I69:K69))</f>
        <v/>
      </c>
      <c r="M69" s="18" t="str">
        <f>IF($B69="","",H69-L69)</f>
        <v/>
      </c>
      <c r="N69" s="18" t="str">
        <f>IF($B69="","",IF(R69="Ancien",0,Paramètres!$D$16))</f>
        <v/>
      </c>
      <c r="O69" s="19"/>
      <c r="P69" s="18" t="str">
        <f>IF($B69="","",N69-O69)</f>
        <v/>
      </c>
      <c r="Q69" s="8" t="str">
        <f>IF($B69="","",IF(AND(M69&lt;=0,P69&lt;=0),"Soldé","En retard"))</f>
        <v/>
      </c>
      <c r="R69" s="8"/>
    </row>
    <row r="70">
      <c r="A70" s="20"/>
      <c r="B70" s="20"/>
      <c r="C70" s="20"/>
      <c r="D70" s="21"/>
      <c r="E70" s="77"/>
      <c r="F70" s="20"/>
      <c r="G70" s="20"/>
      <c r="H70" s="18" t="str">
        <f>IF($B70="","",Paramètres!$C$16)</f>
        <v/>
      </c>
      <c r="I70" s="19"/>
      <c r="J70" s="19"/>
      <c r="K70" s="19"/>
      <c r="L70" s="18" t="str">
        <f>IF($B70="","",SUM(I70:K70))</f>
        <v/>
      </c>
      <c r="M70" s="18" t="str">
        <f>IF($B70="","",H70-L70)</f>
        <v/>
      </c>
      <c r="N70" s="18" t="str">
        <f>IF($B70="","",IF(R70="Ancien",0,Paramètres!$D$16))</f>
        <v/>
      </c>
      <c r="O70" s="19"/>
      <c r="P70" s="18" t="str">
        <f>IF($B70="","",N70-O70)</f>
        <v/>
      </c>
      <c r="Q70" s="21" t="str">
        <f>IF($B70="","",IF(AND(M70&lt;=0,P70&lt;=0),"Soldé","En retard"))</f>
        <v/>
      </c>
      <c r="R70" s="21"/>
    </row>
    <row r="71">
      <c r="A71" s="15"/>
      <c r="B71" s="15"/>
      <c r="C71" s="15"/>
      <c r="D71" s="8"/>
      <c r="E71" s="79"/>
      <c r="F71" s="15"/>
      <c r="G71" s="15"/>
      <c r="H71" s="18" t="str">
        <f>IF($B71="","",Paramètres!$C$16)</f>
        <v/>
      </c>
      <c r="I71" s="19"/>
      <c r="J71" s="19"/>
      <c r="K71" s="19"/>
      <c r="L71" s="18" t="str">
        <f>IF($B71="","",SUM(I71:K71))</f>
        <v/>
      </c>
      <c r="M71" s="18" t="str">
        <f>IF($B71="","",H71-L71)</f>
        <v/>
      </c>
      <c r="N71" s="18" t="str">
        <f>IF($B71="","",IF(R71="Ancien",0,Paramètres!$D$16))</f>
        <v/>
      </c>
      <c r="O71" s="19"/>
      <c r="P71" s="18" t="str">
        <f>IF($B71="","",N71-O71)</f>
        <v/>
      </c>
      <c r="Q71" s="8" t="str">
        <f>IF($B71="","",IF(AND(M71&lt;=0,P71&lt;=0),"Soldé","En retard"))</f>
        <v/>
      </c>
      <c r="R71" s="8"/>
    </row>
    <row r="72">
      <c r="A72" s="20"/>
      <c r="B72" s="20"/>
      <c r="C72" s="20"/>
      <c r="D72" s="21"/>
      <c r="E72" s="77"/>
      <c r="F72" s="20"/>
      <c r="G72" s="20"/>
      <c r="H72" s="18" t="str">
        <f>IF($B72="","",Paramètres!$C$16)</f>
        <v/>
      </c>
      <c r="I72" s="19"/>
      <c r="J72" s="19"/>
      <c r="K72" s="19"/>
      <c r="L72" s="18" t="str">
        <f>IF($B72="","",SUM(I72:K72))</f>
        <v/>
      </c>
      <c r="M72" s="18" t="str">
        <f>IF($B72="","",H72-L72)</f>
        <v/>
      </c>
      <c r="N72" s="18" t="str">
        <f>IF($B72="","",IF(R72="Ancien",0,Paramètres!$D$16))</f>
        <v/>
      </c>
      <c r="O72" s="19"/>
      <c r="P72" s="18" t="str">
        <f>IF($B72="","",N72-O72)</f>
        <v/>
      </c>
      <c r="Q72" s="21" t="str">
        <f>IF($B72="","",IF(AND(M72&lt;=0,P72&lt;=0),"Soldé","En retard"))</f>
        <v/>
      </c>
      <c r="R72" s="21"/>
    </row>
    <row r="73">
      <c r="A73" s="15"/>
      <c r="B73" s="15"/>
      <c r="C73" s="15"/>
      <c r="D73" s="8"/>
      <c r="E73" s="79"/>
      <c r="F73" s="15"/>
      <c r="G73" s="15"/>
      <c r="H73" s="18" t="str">
        <f>IF($B73="","",Paramètres!$C$16)</f>
        <v/>
      </c>
      <c r="I73" s="19"/>
      <c r="J73" s="19"/>
      <c r="K73" s="19"/>
      <c r="L73" s="18" t="str">
        <f>IF($B73="","",SUM(I73:K73))</f>
        <v/>
      </c>
      <c r="M73" s="18" t="str">
        <f>IF($B73="","",H73-L73)</f>
        <v/>
      </c>
      <c r="N73" s="18" t="str">
        <f>IF($B73="","",IF(R73="Ancien",0,Paramètres!$D$16))</f>
        <v/>
      </c>
      <c r="O73" s="19"/>
      <c r="P73" s="18" t="str">
        <f>IF($B73="","",N73-O73)</f>
        <v/>
      </c>
      <c r="Q73" s="8" t="str">
        <f>IF($B73="","",IF(AND(M73&lt;=0,P73&lt;=0),"Soldé","En retard"))</f>
        <v/>
      </c>
      <c r="R73" s="8"/>
    </row>
    <row r="74">
      <c r="A74" s="20"/>
      <c r="B74" s="20"/>
      <c r="C74" s="20"/>
      <c r="D74" s="21"/>
      <c r="E74" s="77"/>
      <c r="F74" s="20"/>
      <c r="G74" s="20"/>
      <c r="H74" s="18" t="str">
        <f>IF($B74="","",Paramètres!$C$16)</f>
        <v/>
      </c>
      <c r="I74" s="19"/>
      <c r="J74" s="19"/>
      <c r="K74" s="19"/>
      <c r="L74" s="18" t="str">
        <f>IF($B74="","",SUM(I74:K74))</f>
        <v/>
      </c>
      <c r="M74" s="18" t="str">
        <f>IF($B74="","",H74-L74)</f>
        <v/>
      </c>
      <c r="N74" s="18" t="str">
        <f>IF($B74="","",IF(R74="Ancien",0,Paramètres!$D$16))</f>
        <v/>
      </c>
      <c r="O74" s="19"/>
      <c r="P74" s="18" t="str">
        <f>IF($B74="","",N74-O74)</f>
        <v/>
      </c>
      <c r="Q74" s="21" t="str">
        <f>IF($B74="","",IF(AND(M74&lt;=0,P74&lt;=0),"Soldé","En retard"))</f>
        <v/>
      </c>
      <c r="R74" s="21"/>
    </row>
    <row r="75">
      <c r="A75" s="15"/>
      <c r="B75" s="15"/>
      <c r="C75" s="15"/>
      <c r="D75" s="8"/>
      <c r="E75" s="79"/>
      <c r="F75" s="15"/>
      <c r="G75" s="15"/>
      <c r="H75" s="18" t="str">
        <f>IF($B75="","",Paramètres!$C$16)</f>
        <v/>
      </c>
      <c r="I75" s="19"/>
      <c r="J75" s="19"/>
      <c r="K75" s="19"/>
      <c r="L75" s="18" t="str">
        <f>IF($B75="","",SUM(I75:K75))</f>
        <v/>
      </c>
      <c r="M75" s="18" t="str">
        <f>IF($B75="","",H75-L75)</f>
        <v/>
      </c>
      <c r="N75" s="18" t="str">
        <f>IF($B75="","",IF(R75="Ancien",0,Paramètres!$D$16))</f>
        <v/>
      </c>
      <c r="O75" s="19"/>
      <c r="P75" s="18" t="str">
        <f>IF($B75="","",N75-O75)</f>
        <v/>
      </c>
      <c r="Q75" s="8" t="str">
        <f>IF($B75="","",IF(AND(M75&lt;=0,P75&lt;=0),"Soldé","En retard"))</f>
        <v/>
      </c>
      <c r="R75" s="8"/>
    </row>
    <row r="76">
      <c r="A76" s="20"/>
      <c r="B76" s="20"/>
      <c r="C76" s="20"/>
      <c r="D76" s="21"/>
      <c r="E76" s="77"/>
      <c r="F76" s="20"/>
      <c r="G76" s="20"/>
      <c r="H76" s="18" t="str">
        <f>IF($B76="","",Paramètres!$C$16)</f>
        <v/>
      </c>
      <c r="I76" s="19"/>
      <c r="J76" s="19"/>
      <c r="K76" s="19"/>
      <c r="L76" s="18" t="str">
        <f>IF($B76="","",SUM(I76:K76))</f>
        <v/>
      </c>
      <c r="M76" s="18" t="str">
        <f>IF($B76="","",H76-L76)</f>
        <v/>
      </c>
      <c r="N76" s="18" t="str">
        <f>IF($B76="","",IF(R76="Ancien",0,Paramètres!$D$16))</f>
        <v/>
      </c>
      <c r="O76" s="19"/>
      <c r="P76" s="18" t="str">
        <f>IF($B76="","",N76-O76)</f>
        <v/>
      </c>
      <c r="Q76" s="21" t="str">
        <f>IF($B76="","",IF(AND(M76&lt;=0,P76&lt;=0),"Soldé","En retard"))</f>
        <v/>
      </c>
      <c r="R76" s="21"/>
    </row>
    <row r="77">
      <c r="A77" s="15"/>
      <c r="B77" s="15"/>
      <c r="C77" s="15"/>
      <c r="D77" s="8"/>
      <c r="E77" s="79"/>
      <c r="F77" s="15"/>
      <c r="G77" s="15"/>
      <c r="H77" s="18" t="str">
        <f>IF($B77="","",Paramètres!$C$16)</f>
        <v/>
      </c>
      <c r="I77" s="19"/>
      <c r="J77" s="19"/>
      <c r="K77" s="19"/>
      <c r="L77" s="18" t="str">
        <f>IF($B77="","",SUM(I77:K77))</f>
        <v/>
      </c>
      <c r="M77" s="18" t="str">
        <f>IF($B77="","",H77-L77)</f>
        <v/>
      </c>
      <c r="N77" s="18" t="str">
        <f>IF($B77="","",IF(R77="Ancien",0,Paramètres!$D$16))</f>
        <v/>
      </c>
      <c r="O77" s="19"/>
      <c r="P77" s="18" t="str">
        <f>IF($B77="","",N77-O77)</f>
        <v/>
      </c>
      <c r="Q77" s="8" t="str">
        <f>IF($B77="","",IF(AND(M77&lt;=0,P77&lt;=0),"Soldé","En retard"))</f>
        <v/>
      </c>
      <c r="R77" s="8"/>
    </row>
    <row r="78">
      <c r="A78" s="20"/>
      <c r="B78" s="20"/>
      <c r="C78" s="20"/>
      <c r="D78" s="21"/>
      <c r="E78" s="77"/>
      <c r="F78" s="20"/>
      <c r="G78" s="20"/>
      <c r="H78" s="18" t="str">
        <f>IF($B78="","",Paramètres!$C$16)</f>
        <v/>
      </c>
      <c r="I78" s="19"/>
      <c r="J78" s="19"/>
      <c r="K78" s="19"/>
      <c r="L78" s="18" t="str">
        <f>IF($B78="","",SUM(I78:K78))</f>
        <v/>
      </c>
      <c r="M78" s="18" t="str">
        <f>IF($B78="","",H78-L78)</f>
        <v/>
      </c>
      <c r="N78" s="18" t="str">
        <f>IF($B78="","",IF(R78="Ancien",0,Paramètres!$D$16))</f>
        <v/>
      </c>
      <c r="O78" s="19"/>
      <c r="P78" s="18" t="str">
        <f>IF($B78="","",N78-O78)</f>
        <v/>
      </c>
      <c r="Q78" s="21" t="str">
        <f>IF($B78="","",IF(AND(M78&lt;=0,P78&lt;=0),"Soldé","En retard"))</f>
        <v/>
      </c>
      <c r="R78" s="21"/>
    </row>
    <row r="79">
      <c r="A79" s="15"/>
      <c r="B79" s="15"/>
      <c r="C79" s="15"/>
      <c r="D79" s="8"/>
      <c r="E79" s="79"/>
      <c r="F79" s="15"/>
      <c r="G79" s="15"/>
      <c r="H79" s="18" t="str">
        <f>IF($B79="","",Paramètres!$C$16)</f>
        <v/>
      </c>
      <c r="I79" s="19"/>
      <c r="J79" s="19"/>
      <c r="K79" s="19"/>
      <c r="L79" s="18" t="str">
        <f>IF($B79="","",SUM(I79:K79))</f>
        <v/>
      </c>
      <c r="M79" s="18" t="str">
        <f>IF($B79="","",H79-L79)</f>
        <v/>
      </c>
      <c r="N79" s="18" t="str">
        <f>IF($B79="","",IF(R79="Ancien",0,Paramètres!$D$16))</f>
        <v/>
      </c>
      <c r="O79" s="19"/>
      <c r="P79" s="18" t="str">
        <f>IF($B79="","",N79-O79)</f>
        <v/>
      </c>
      <c r="Q79" s="8" t="str">
        <f>IF($B79="","",IF(AND(M79&lt;=0,P79&lt;=0),"Soldé","En retard"))</f>
        <v/>
      </c>
      <c r="R79" s="8"/>
    </row>
    <row r="80">
      <c r="A80" s="20"/>
      <c r="B80" s="20"/>
      <c r="C80" s="20"/>
      <c r="D80" s="21"/>
      <c r="E80" s="77"/>
      <c r="F80" s="20"/>
      <c r="G80" s="20"/>
      <c r="H80" s="18" t="str">
        <f>IF($B80="","",Paramètres!$C$16)</f>
        <v/>
      </c>
      <c r="I80" s="19"/>
      <c r="J80" s="19"/>
      <c r="K80" s="19"/>
      <c r="L80" s="18" t="str">
        <f>IF($B80="","",SUM(I80:K80))</f>
        <v/>
      </c>
      <c r="M80" s="18" t="str">
        <f>IF($B80="","",H80-L80)</f>
        <v/>
      </c>
      <c r="N80" s="18" t="str">
        <f>IF($B80="","",IF(R80="Ancien",0,Paramètres!$D$16))</f>
        <v/>
      </c>
      <c r="O80" s="19"/>
      <c r="P80" s="18" t="str">
        <f>IF($B80="","",N80-O80)</f>
        <v/>
      </c>
      <c r="Q80" s="21" t="str">
        <f>IF($B80="","",IF(AND(M80&lt;=0,P80&lt;=0),"Soldé","En retard"))</f>
        <v/>
      </c>
      <c r="R80" s="21"/>
    </row>
    <row r="81">
      <c r="A81" s="15"/>
      <c r="B81" s="15"/>
      <c r="C81" s="15"/>
      <c r="D81" s="8"/>
      <c r="E81" s="79"/>
      <c r="F81" s="15"/>
      <c r="G81" s="15"/>
      <c r="H81" s="18" t="str">
        <f>IF($B81="","",Paramètres!$C$16)</f>
        <v/>
      </c>
      <c r="I81" s="19"/>
      <c r="J81" s="19"/>
      <c r="K81" s="19"/>
      <c r="L81" s="18" t="str">
        <f>IF($B81="","",SUM(I81:K81))</f>
        <v/>
      </c>
      <c r="M81" s="18" t="str">
        <f>IF($B81="","",H81-L81)</f>
        <v/>
      </c>
      <c r="N81" s="18" t="str">
        <f>IF($B81="","",IF(R81="Ancien",0,Paramètres!$D$16))</f>
        <v/>
      </c>
      <c r="O81" s="19"/>
      <c r="P81" s="18" t="str">
        <f>IF($B81="","",N81-O81)</f>
        <v/>
      </c>
      <c r="Q81" s="8" t="str">
        <f>IF($B81="","",IF(AND(M81&lt;=0,P81&lt;=0),"Soldé","En retard"))</f>
        <v/>
      </c>
      <c r="R81" s="8"/>
    </row>
    <row r="82">
      <c r="A82" s="20"/>
      <c r="B82" s="20"/>
      <c r="C82" s="20"/>
      <c r="D82" s="21"/>
      <c r="E82" s="77"/>
      <c r="F82" s="20"/>
      <c r="G82" s="20"/>
      <c r="H82" s="18" t="str">
        <f>IF($B82="","",Paramètres!$C$16)</f>
        <v/>
      </c>
      <c r="I82" s="19"/>
      <c r="J82" s="19"/>
      <c r="K82" s="19"/>
      <c r="L82" s="18" t="str">
        <f>IF($B82="","",SUM(I82:K82))</f>
        <v/>
      </c>
      <c r="M82" s="18" t="str">
        <f>IF($B82="","",H82-L82)</f>
        <v/>
      </c>
      <c r="N82" s="18" t="str">
        <f>IF($B82="","",IF(R82="Ancien",0,Paramètres!$D$16))</f>
        <v/>
      </c>
      <c r="O82" s="19"/>
      <c r="P82" s="18" t="str">
        <f>IF($B82="","",N82-O82)</f>
        <v/>
      </c>
      <c r="Q82" s="21" t="str">
        <f>IF($B82="","",IF(AND(M82&lt;=0,P82&lt;=0),"Soldé","En retard"))</f>
        <v/>
      </c>
      <c r="R82" s="21"/>
    </row>
    <row r="83">
      <c r="A83" s="15"/>
      <c r="B83" s="15"/>
      <c r="C83" s="15"/>
      <c r="D83" s="8"/>
      <c r="E83" s="79"/>
      <c r="F83" s="15"/>
      <c r="G83" s="15"/>
      <c r="H83" s="18" t="str">
        <f>IF($B83="","",Paramètres!$C$16)</f>
        <v/>
      </c>
      <c r="I83" s="19"/>
      <c r="J83" s="19"/>
      <c r="K83" s="19"/>
      <c r="L83" s="18" t="str">
        <f>IF($B83="","",SUM(I83:K83))</f>
        <v/>
      </c>
      <c r="M83" s="18" t="str">
        <f>IF($B83="","",H83-L83)</f>
        <v/>
      </c>
      <c r="N83" s="18" t="str">
        <f>IF($B83="","",IF(R83="Ancien",0,Paramètres!$D$16))</f>
        <v/>
      </c>
      <c r="O83" s="19"/>
      <c r="P83" s="18" t="str">
        <f>IF($B83="","",N83-O83)</f>
        <v/>
      </c>
      <c r="Q83" s="8" t="str">
        <f>IF($B83="","",IF(AND(M83&lt;=0,P83&lt;=0),"Soldé","En retard"))</f>
        <v/>
      </c>
      <c r="R83" s="8"/>
    </row>
  </sheetData>
  <mergeCells count="2">
    <mergeCell ref="A1:R1"/>
    <mergeCell ref="A2:R2"/>
  </mergeCells>
  <conditionalFormatting sqref="M4:M83 P4:P83">
    <cfRule type="cellIs" dxfId="10" priority="3" operator="greaterThan">
      <formula>0</formula>
    </cfRule>
  </conditionalFormatting>
  <conditionalFormatting sqref="Q4:Q83">
    <cfRule type="cellIs" dxfId="9" priority="1" operator="equal">
      <formula>"Soldé"</formula>
    </cfRule>
    <cfRule type="cellIs" dxfId="8" priority="2" operator="equal">
      <formula>"En retard"</formula>
    </cfRule>
  </conditionalFormatting>
  <dataValidations count="2">
    <dataValidation type="list" allowBlank="1" showErrorMessage="1" errorTitle="Sexe non valide" error="Choisissez M ou F." sqref="D4:D83">
      <formula1>"M,F"</formula1>
    </dataValidation>
    <dataValidation type="list" allowBlank="1" showErrorMessage="1" errorTitle="Statut non valide" error="Choisissez Nouveau ou Ancien. Un élève marqué Ancien ne paie pas les frais d'inscription." sqref="R4:R83">
      <formula1>"Nouveau,Ancien"</formula1>
    </dataValidation>
  </dataValidations>
  <pageMargins left="0.5" right="0.5" top="0.75" bottom="0.75" header="0.3" footer="0.3"/>
  <pageSetup paperSize="9" orientation="landscape" fitToHeight="0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R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7" customWidth="1"/>
    <col min="5" max="5" width="14" customWidth="1"/>
    <col min="6" max="6" width="18" customWidth="1"/>
    <col min="7" max="7" width="16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3" customWidth="1"/>
    <col min="18" max="18" width="16" customWidth="1"/>
  </cols>
  <sheetData>
    <row r="1" ht="27.75" customHeight="1">
      <c r="A1" s="53" t="str">
        <f>"INSCRIPTIONS — "&amp;Paramètres!$A$17</f>
        <v>INSCRIPTIONS — CI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ht="18" customHeight="1">
      <c r="A2" s="54" t="str">
        <f>"Année scolaire "&amp;Paramètres!$C$11&amp;"   •   Effectif : "&amp;COUNTIF($B$4:$B$83,"?*")&amp;"   •   Cellules jaunes = montants à saisir ; colonnes grises = calcul automatique"</f>
        <v>Année scolaire 2025-2026   •   Effectif : 0   •   Cellules jaunes = montants à saisir ; colonnes grises = calcul automatique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Sexe</t>
        </is>
      </c>
      <c r="E3" s="3" t="inlineStr">
        <is>
          <t>Date de naissance</t>
        </is>
      </c>
      <c r="F3" s="3" t="inlineStr">
        <is>
          <t>Nom du tuteur</t>
        </is>
      </c>
      <c r="G3" s="3" t="inlineStr">
        <is>
          <t>Téléphone</t>
        </is>
      </c>
      <c r="H3" s="3" t="inlineStr">
        <is>
          <t>Scolarité due</t>
        </is>
      </c>
      <c r="I3" s="3" t="inlineStr">
        <is>
          <t>Tranche 1</t>
        </is>
      </c>
      <c r="J3" s="3" t="inlineStr">
        <is>
          <t>Tranche 2</t>
        </is>
      </c>
      <c r="K3" s="3" t="inlineStr">
        <is>
          <t>Tranche 3</t>
        </is>
      </c>
      <c r="L3" s="3" t="inlineStr">
        <is>
          <t>Total payé</t>
        </is>
      </c>
      <c r="M3" s="3" t="inlineStr">
        <is>
          <t>Reste à payer</t>
        </is>
      </c>
      <c r="N3" s="3" t="inlineStr">
        <is>
          <t>Inscription due</t>
        </is>
      </c>
      <c r="O3" s="3" t="inlineStr">
        <is>
          <t>Inscription payée</t>
        </is>
      </c>
      <c r="P3" s="3" t="inlineStr">
        <is>
          <t>Reste inscription</t>
        </is>
      </c>
      <c r="Q3" s="3" t="inlineStr">
        <is>
          <t>Statut</t>
        </is>
      </c>
      <c r="R3" s="3" t="inlineStr">
        <is>
          <t>Nouveau / Ancien</t>
        </is>
      </c>
    </row>
    <row r="4">
      <c r="A4" s="20"/>
      <c r="B4" s="20"/>
      <c r="C4" s="20"/>
      <c r="D4" s="21"/>
      <c r="E4" s="77"/>
      <c r="F4" s="20"/>
      <c r="G4" s="20"/>
      <c r="H4" s="18" t="str">
        <f>IF($B4="","",Paramètres!$C$17)</f>
        <v/>
      </c>
      <c r="I4" s="19"/>
      <c r="J4" s="19"/>
      <c r="K4" s="19"/>
      <c r="L4" s="18" t="str">
        <f>IF($B4="","",SUM(I4:K4))</f>
        <v/>
      </c>
      <c r="M4" s="18" t="str">
        <f>IF($B4="","",H4-L4)</f>
        <v/>
      </c>
      <c r="N4" s="18" t="str">
        <f>IF($B4="","",IF(R4="Ancien",0,Paramètres!$D$17))</f>
        <v/>
      </c>
      <c r="O4" s="19"/>
      <c r="P4" s="18" t="str">
        <f>IF($B4="","",N4-O4)</f>
        <v/>
      </c>
      <c r="Q4" s="21" t="str">
        <f>IF($B4="","",IF(AND(M4&lt;=0,P4&lt;=0),"Soldé","En retard"))</f>
        <v/>
      </c>
      <c r="R4" s="21"/>
    </row>
    <row r="5">
      <c r="A5" s="15"/>
      <c r="B5" s="15"/>
      <c r="C5" s="15"/>
      <c r="D5" s="8"/>
      <c r="E5" s="79"/>
      <c r="F5" s="15"/>
      <c r="G5" s="15"/>
      <c r="H5" s="18" t="str">
        <f>IF($B5="","",Paramètres!$C$17)</f>
        <v/>
      </c>
      <c r="I5" s="19"/>
      <c r="J5" s="19"/>
      <c r="K5" s="19"/>
      <c r="L5" s="18" t="str">
        <f>IF($B5="","",SUM(I5:K5))</f>
        <v/>
      </c>
      <c r="M5" s="18" t="str">
        <f>IF($B5="","",H5-L5)</f>
        <v/>
      </c>
      <c r="N5" s="18" t="str">
        <f>IF($B5="","",IF(R5="Ancien",0,Paramètres!$D$17))</f>
        <v/>
      </c>
      <c r="O5" s="19"/>
      <c r="P5" s="18" t="str">
        <f>IF($B5="","",N5-O5)</f>
        <v/>
      </c>
      <c r="Q5" s="8" t="str">
        <f>IF($B5="","",IF(AND(M5&lt;=0,P5&lt;=0),"Soldé","En retard"))</f>
        <v/>
      </c>
      <c r="R5" s="8"/>
    </row>
    <row r="6">
      <c r="A6" s="20"/>
      <c r="B6" s="20"/>
      <c r="C6" s="20"/>
      <c r="D6" s="21"/>
      <c r="E6" s="77"/>
      <c r="F6" s="20"/>
      <c r="G6" s="20"/>
      <c r="H6" s="18" t="str">
        <f>IF($B6="","",Paramètres!$C$17)</f>
        <v/>
      </c>
      <c r="I6" s="19"/>
      <c r="J6" s="19"/>
      <c r="K6" s="19"/>
      <c r="L6" s="18" t="str">
        <f>IF($B6="","",SUM(I6:K6))</f>
        <v/>
      </c>
      <c r="M6" s="18" t="str">
        <f>IF($B6="","",H6-L6)</f>
        <v/>
      </c>
      <c r="N6" s="18" t="str">
        <f>IF($B6="","",IF(R6="Ancien",0,Paramètres!$D$17))</f>
        <v/>
      </c>
      <c r="O6" s="19"/>
      <c r="P6" s="18" t="str">
        <f>IF($B6="","",N6-O6)</f>
        <v/>
      </c>
      <c r="Q6" s="21" t="str">
        <f>IF($B6="","",IF(AND(M6&lt;=0,P6&lt;=0),"Soldé","En retard"))</f>
        <v/>
      </c>
      <c r="R6" s="21"/>
    </row>
    <row r="7">
      <c r="A7" s="15"/>
      <c r="B7" s="15"/>
      <c r="C7" s="15"/>
      <c r="D7" s="8"/>
      <c r="E7" s="79"/>
      <c r="F7" s="15"/>
      <c r="G7" s="15"/>
      <c r="H7" s="18" t="str">
        <f>IF($B7="","",Paramètres!$C$17)</f>
        <v/>
      </c>
      <c r="I7" s="19"/>
      <c r="J7" s="19"/>
      <c r="K7" s="19"/>
      <c r="L7" s="18" t="str">
        <f>IF($B7="","",SUM(I7:K7))</f>
        <v/>
      </c>
      <c r="M7" s="18" t="str">
        <f>IF($B7="","",H7-L7)</f>
        <v/>
      </c>
      <c r="N7" s="18" t="str">
        <f>IF($B7="","",IF(R7="Ancien",0,Paramètres!$D$17))</f>
        <v/>
      </c>
      <c r="O7" s="19"/>
      <c r="P7" s="18" t="str">
        <f>IF($B7="","",N7-O7)</f>
        <v/>
      </c>
      <c r="Q7" s="8" t="str">
        <f>IF($B7="","",IF(AND(M7&lt;=0,P7&lt;=0),"Soldé","En retard"))</f>
        <v/>
      </c>
      <c r="R7" s="8"/>
    </row>
    <row r="8">
      <c r="A8" s="20"/>
      <c r="B8" s="20"/>
      <c r="C8" s="20"/>
      <c r="D8" s="21"/>
      <c r="E8" s="77"/>
      <c r="F8" s="20"/>
      <c r="G8" s="20"/>
      <c r="H8" s="18" t="str">
        <f>IF($B8="","",Paramètres!$C$17)</f>
        <v/>
      </c>
      <c r="I8" s="19"/>
      <c r="J8" s="19"/>
      <c r="K8" s="19"/>
      <c r="L8" s="18" t="str">
        <f>IF($B8="","",SUM(I8:K8))</f>
        <v/>
      </c>
      <c r="M8" s="18" t="str">
        <f>IF($B8="","",H8-L8)</f>
        <v/>
      </c>
      <c r="N8" s="18" t="str">
        <f>IF($B8="","",IF(R8="Ancien",0,Paramètres!$D$17))</f>
        <v/>
      </c>
      <c r="O8" s="19"/>
      <c r="P8" s="18" t="str">
        <f>IF($B8="","",N8-O8)</f>
        <v/>
      </c>
      <c r="Q8" s="21" t="str">
        <f>IF($B8="","",IF(AND(M8&lt;=0,P8&lt;=0),"Soldé","En retard"))</f>
        <v/>
      </c>
      <c r="R8" s="21"/>
    </row>
    <row r="9">
      <c r="A9" s="15"/>
      <c r="B9" s="15"/>
      <c r="C9" s="15"/>
      <c r="D9" s="8"/>
      <c r="E9" s="79"/>
      <c r="F9" s="15"/>
      <c r="G9" s="15"/>
      <c r="H9" s="18" t="str">
        <f>IF($B9="","",Paramètres!$C$17)</f>
        <v/>
      </c>
      <c r="I9" s="19"/>
      <c r="J9" s="19"/>
      <c r="K9" s="19"/>
      <c r="L9" s="18" t="str">
        <f>IF($B9="","",SUM(I9:K9))</f>
        <v/>
      </c>
      <c r="M9" s="18" t="str">
        <f>IF($B9="","",H9-L9)</f>
        <v/>
      </c>
      <c r="N9" s="18" t="str">
        <f>IF($B9="","",IF(R9="Ancien",0,Paramètres!$D$17))</f>
        <v/>
      </c>
      <c r="O9" s="19"/>
      <c r="P9" s="18" t="str">
        <f>IF($B9="","",N9-O9)</f>
        <v/>
      </c>
      <c r="Q9" s="8" t="str">
        <f>IF($B9="","",IF(AND(M9&lt;=0,P9&lt;=0),"Soldé","En retard"))</f>
        <v/>
      </c>
      <c r="R9" s="8"/>
    </row>
    <row r="10">
      <c r="A10" s="20"/>
      <c r="B10" s="20"/>
      <c r="C10" s="20"/>
      <c r="D10" s="21"/>
      <c r="E10" s="77"/>
      <c r="F10" s="20"/>
      <c r="G10" s="20"/>
      <c r="H10" s="18" t="str">
        <f>IF($B10="","",Paramètres!$C$17)</f>
        <v/>
      </c>
      <c r="I10" s="19"/>
      <c r="J10" s="19"/>
      <c r="K10" s="19"/>
      <c r="L10" s="18" t="str">
        <f>IF($B10="","",SUM(I10:K10))</f>
        <v/>
      </c>
      <c r="M10" s="18" t="str">
        <f>IF($B10="","",H10-L10)</f>
        <v/>
      </c>
      <c r="N10" s="18" t="str">
        <f>IF($B10="","",IF(R10="Ancien",0,Paramètres!$D$17))</f>
        <v/>
      </c>
      <c r="O10" s="19"/>
      <c r="P10" s="18" t="str">
        <f>IF($B10="","",N10-O10)</f>
        <v/>
      </c>
      <c r="Q10" s="21" t="str">
        <f>IF($B10="","",IF(AND(M10&lt;=0,P10&lt;=0),"Soldé","En retard"))</f>
        <v/>
      </c>
      <c r="R10" s="21"/>
    </row>
    <row r="11">
      <c r="A11" s="15"/>
      <c r="B11" s="15"/>
      <c r="C11" s="15"/>
      <c r="D11" s="8"/>
      <c r="E11" s="79"/>
      <c r="F11" s="15"/>
      <c r="G11" s="15"/>
      <c r="H11" s="18" t="str">
        <f>IF($B11="","",Paramètres!$C$17)</f>
        <v/>
      </c>
      <c r="I11" s="19"/>
      <c r="J11" s="19"/>
      <c r="K11" s="19"/>
      <c r="L11" s="18" t="str">
        <f>IF($B11="","",SUM(I11:K11))</f>
        <v/>
      </c>
      <c r="M11" s="18" t="str">
        <f>IF($B11="","",H11-L11)</f>
        <v/>
      </c>
      <c r="N11" s="18" t="str">
        <f>IF($B11="","",IF(R11="Ancien",0,Paramètres!$D$17))</f>
        <v/>
      </c>
      <c r="O11" s="19"/>
      <c r="P11" s="18" t="str">
        <f>IF($B11="","",N11-O11)</f>
        <v/>
      </c>
      <c r="Q11" s="8" t="str">
        <f>IF($B11="","",IF(AND(M11&lt;=0,P11&lt;=0),"Soldé","En retard"))</f>
        <v/>
      </c>
      <c r="R11" s="8"/>
    </row>
    <row r="12">
      <c r="A12" s="20"/>
      <c r="B12" s="20"/>
      <c r="C12" s="20"/>
      <c r="D12" s="21"/>
      <c r="E12" s="77"/>
      <c r="F12" s="20"/>
      <c r="G12" s="20"/>
      <c r="H12" s="18" t="str">
        <f>IF($B12="","",Paramètres!$C$17)</f>
        <v/>
      </c>
      <c r="I12" s="19"/>
      <c r="J12" s="19"/>
      <c r="K12" s="19"/>
      <c r="L12" s="18" t="str">
        <f>IF($B12="","",SUM(I12:K12))</f>
        <v/>
      </c>
      <c r="M12" s="18" t="str">
        <f>IF($B12="","",H12-L12)</f>
        <v/>
      </c>
      <c r="N12" s="18" t="str">
        <f>IF($B12="","",IF(R12="Ancien",0,Paramètres!$D$17))</f>
        <v/>
      </c>
      <c r="O12" s="19"/>
      <c r="P12" s="18" t="str">
        <f>IF($B12="","",N12-O12)</f>
        <v/>
      </c>
      <c r="Q12" s="21" t="str">
        <f>IF($B12="","",IF(AND(M12&lt;=0,P12&lt;=0),"Soldé","En retard"))</f>
        <v/>
      </c>
      <c r="R12" s="21"/>
    </row>
    <row r="13">
      <c r="A13" s="15"/>
      <c r="B13" s="15"/>
      <c r="C13" s="15"/>
      <c r="D13" s="8"/>
      <c r="E13" s="79"/>
      <c r="F13" s="15"/>
      <c r="G13" s="15"/>
      <c r="H13" s="18" t="str">
        <f>IF($B13="","",Paramètres!$C$17)</f>
        <v/>
      </c>
      <c r="I13" s="19"/>
      <c r="J13" s="19"/>
      <c r="K13" s="19"/>
      <c r="L13" s="18" t="str">
        <f>IF($B13="","",SUM(I13:K13))</f>
        <v/>
      </c>
      <c r="M13" s="18" t="str">
        <f>IF($B13="","",H13-L13)</f>
        <v/>
      </c>
      <c r="N13" s="18" t="str">
        <f>IF($B13="","",IF(R13="Ancien",0,Paramètres!$D$17))</f>
        <v/>
      </c>
      <c r="O13" s="19"/>
      <c r="P13" s="18" t="str">
        <f>IF($B13="","",N13-O13)</f>
        <v/>
      </c>
      <c r="Q13" s="8" t="str">
        <f>IF($B13="","",IF(AND(M13&lt;=0,P13&lt;=0),"Soldé","En retard"))</f>
        <v/>
      </c>
      <c r="R13" s="8"/>
    </row>
    <row r="14">
      <c r="A14" s="20"/>
      <c r="B14" s="20"/>
      <c r="C14" s="20"/>
      <c r="D14" s="21"/>
      <c r="E14" s="77"/>
      <c r="F14" s="20"/>
      <c r="G14" s="20"/>
      <c r="H14" s="18" t="str">
        <f>IF($B14="","",Paramètres!$C$17)</f>
        <v/>
      </c>
      <c r="I14" s="19"/>
      <c r="J14" s="19"/>
      <c r="K14" s="19"/>
      <c r="L14" s="18" t="str">
        <f>IF($B14="","",SUM(I14:K14))</f>
        <v/>
      </c>
      <c r="M14" s="18" t="str">
        <f>IF($B14="","",H14-L14)</f>
        <v/>
      </c>
      <c r="N14" s="18" t="str">
        <f>IF($B14="","",IF(R14="Ancien",0,Paramètres!$D$17))</f>
        <v/>
      </c>
      <c r="O14" s="19"/>
      <c r="P14" s="18" t="str">
        <f>IF($B14="","",N14-O14)</f>
        <v/>
      </c>
      <c r="Q14" s="21" t="str">
        <f>IF($B14="","",IF(AND(M14&lt;=0,P14&lt;=0),"Soldé","En retard"))</f>
        <v/>
      </c>
      <c r="R14" s="21"/>
    </row>
    <row r="15">
      <c r="A15" s="15"/>
      <c r="B15" s="15"/>
      <c r="C15" s="15"/>
      <c r="D15" s="8"/>
      <c r="E15" s="79"/>
      <c r="F15" s="15"/>
      <c r="G15" s="15"/>
      <c r="H15" s="18" t="str">
        <f>IF($B15="","",Paramètres!$C$17)</f>
        <v/>
      </c>
      <c r="I15" s="19"/>
      <c r="J15" s="19"/>
      <c r="K15" s="19"/>
      <c r="L15" s="18" t="str">
        <f>IF($B15="","",SUM(I15:K15))</f>
        <v/>
      </c>
      <c r="M15" s="18" t="str">
        <f>IF($B15="","",H15-L15)</f>
        <v/>
      </c>
      <c r="N15" s="18" t="str">
        <f>IF($B15="","",IF(R15="Ancien",0,Paramètres!$D$17))</f>
        <v/>
      </c>
      <c r="O15" s="19"/>
      <c r="P15" s="18" t="str">
        <f>IF($B15="","",N15-O15)</f>
        <v/>
      </c>
      <c r="Q15" s="8" t="str">
        <f>IF($B15="","",IF(AND(M15&lt;=0,P15&lt;=0),"Soldé","En retard"))</f>
        <v/>
      </c>
      <c r="R15" s="8"/>
    </row>
    <row r="16">
      <c r="A16" s="20"/>
      <c r="B16" s="20"/>
      <c r="C16" s="20"/>
      <c r="D16" s="21"/>
      <c r="E16" s="77"/>
      <c r="F16" s="20"/>
      <c r="G16" s="20"/>
      <c r="H16" s="18" t="str">
        <f>IF($B16="","",Paramètres!$C$17)</f>
        <v/>
      </c>
      <c r="I16" s="19"/>
      <c r="J16" s="19"/>
      <c r="K16" s="19"/>
      <c r="L16" s="18" t="str">
        <f>IF($B16="","",SUM(I16:K16))</f>
        <v/>
      </c>
      <c r="M16" s="18" t="str">
        <f>IF($B16="","",H16-L16)</f>
        <v/>
      </c>
      <c r="N16" s="18" t="str">
        <f>IF($B16="","",IF(R16="Ancien",0,Paramètres!$D$17))</f>
        <v/>
      </c>
      <c r="O16" s="19"/>
      <c r="P16" s="18" t="str">
        <f>IF($B16="","",N16-O16)</f>
        <v/>
      </c>
      <c r="Q16" s="21" t="str">
        <f>IF($B16="","",IF(AND(M16&lt;=0,P16&lt;=0),"Soldé","En retard"))</f>
        <v/>
      </c>
      <c r="R16" s="21"/>
    </row>
    <row r="17">
      <c r="A17" s="15"/>
      <c r="B17" s="15"/>
      <c r="C17" s="15"/>
      <c r="D17" s="8"/>
      <c r="E17" s="79"/>
      <c r="F17" s="15"/>
      <c r="G17" s="15"/>
      <c r="H17" s="18" t="str">
        <f>IF($B17="","",Paramètres!$C$17)</f>
        <v/>
      </c>
      <c r="I17" s="19"/>
      <c r="J17" s="19"/>
      <c r="K17" s="19"/>
      <c r="L17" s="18" t="str">
        <f>IF($B17="","",SUM(I17:K17))</f>
        <v/>
      </c>
      <c r="M17" s="18" t="str">
        <f>IF($B17="","",H17-L17)</f>
        <v/>
      </c>
      <c r="N17" s="18" t="str">
        <f>IF($B17="","",IF(R17="Ancien",0,Paramètres!$D$17))</f>
        <v/>
      </c>
      <c r="O17" s="19"/>
      <c r="P17" s="18" t="str">
        <f>IF($B17="","",N17-O17)</f>
        <v/>
      </c>
      <c r="Q17" s="8" t="str">
        <f>IF($B17="","",IF(AND(M17&lt;=0,P17&lt;=0),"Soldé","En retard"))</f>
        <v/>
      </c>
      <c r="R17" s="8"/>
    </row>
    <row r="18">
      <c r="A18" s="20"/>
      <c r="B18" s="20"/>
      <c r="C18" s="20"/>
      <c r="D18" s="21"/>
      <c r="E18" s="77"/>
      <c r="F18" s="20"/>
      <c r="G18" s="20"/>
      <c r="H18" s="18" t="str">
        <f>IF($B18="","",Paramètres!$C$17)</f>
        <v/>
      </c>
      <c r="I18" s="19"/>
      <c r="J18" s="19"/>
      <c r="K18" s="19"/>
      <c r="L18" s="18" t="str">
        <f>IF($B18="","",SUM(I18:K18))</f>
        <v/>
      </c>
      <c r="M18" s="18" t="str">
        <f>IF($B18="","",H18-L18)</f>
        <v/>
      </c>
      <c r="N18" s="18" t="str">
        <f>IF($B18="","",IF(R18="Ancien",0,Paramètres!$D$17))</f>
        <v/>
      </c>
      <c r="O18" s="19"/>
      <c r="P18" s="18" t="str">
        <f>IF($B18="","",N18-O18)</f>
        <v/>
      </c>
      <c r="Q18" s="21" t="str">
        <f>IF($B18="","",IF(AND(M18&lt;=0,P18&lt;=0),"Soldé","En retard"))</f>
        <v/>
      </c>
      <c r="R18" s="21"/>
    </row>
    <row r="19">
      <c r="A19" s="15"/>
      <c r="B19" s="15"/>
      <c r="C19" s="15"/>
      <c r="D19" s="8"/>
      <c r="E19" s="79"/>
      <c r="F19" s="15"/>
      <c r="G19" s="15"/>
      <c r="H19" s="18" t="str">
        <f>IF($B19="","",Paramètres!$C$17)</f>
        <v/>
      </c>
      <c r="I19" s="19"/>
      <c r="J19" s="19"/>
      <c r="K19" s="19"/>
      <c r="L19" s="18" t="str">
        <f>IF($B19="","",SUM(I19:K19))</f>
        <v/>
      </c>
      <c r="M19" s="18" t="str">
        <f>IF($B19="","",H19-L19)</f>
        <v/>
      </c>
      <c r="N19" s="18" t="str">
        <f>IF($B19="","",IF(R19="Ancien",0,Paramètres!$D$17))</f>
        <v/>
      </c>
      <c r="O19" s="19"/>
      <c r="P19" s="18" t="str">
        <f>IF($B19="","",N19-O19)</f>
        <v/>
      </c>
      <c r="Q19" s="8" t="str">
        <f>IF($B19="","",IF(AND(M19&lt;=0,P19&lt;=0),"Soldé","En retard"))</f>
        <v/>
      </c>
      <c r="R19" s="8"/>
    </row>
    <row r="20">
      <c r="A20" s="20"/>
      <c r="B20" s="20"/>
      <c r="C20" s="20"/>
      <c r="D20" s="21"/>
      <c r="E20" s="77"/>
      <c r="F20" s="20"/>
      <c r="G20" s="20"/>
      <c r="H20" s="18" t="str">
        <f>IF($B20="","",Paramètres!$C$17)</f>
        <v/>
      </c>
      <c r="I20" s="19"/>
      <c r="J20" s="19"/>
      <c r="K20" s="19"/>
      <c r="L20" s="18" t="str">
        <f>IF($B20="","",SUM(I20:K20))</f>
        <v/>
      </c>
      <c r="M20" s="18" t="str">
        <f>IF($B20="","",H20-L20)</f>
        <v/>
      </c>
      <c r="N20" s="18" t="str">
        <f>IF($B20="","",IF(R20="Ancien",0,Paramètres!$D$17))</f>
        <v/>
      </c>
      <c r="O20" s="19"/>
      <c r="P20" s="18" t="str">
        <f>IF($B20="","",N20-O20)</f>
        <v/>
      </c>
      <c r="Q20" s="21" t="str">
        <f>IF($B20="","",IF(AND(M20&lt;=0,P20&lt;=0),"Soldé","En retard"))</f>
        <v/>
      </c>
      <c r="R20" s="21"/>
    </row>
    <row r="21">
      <c r="A21" s="15"/>
      <c r="B21" s="15"/>
      <c r="C21" s="15"/>
      <c r="D21" s="8"/>
      <c r="E21" s="79"/>
      <c r="F21" s="15"/>
      <c r="G21" s="15"/>
      <c r="H21" s="18" t="str">
        <f>IF($B21="","",Paramètres!$C$17)</f>
        <v/>
      </c>
      <c r="I21" s="19"/>
      <c r="J21" s="19"/>
      <c r="K21" s="19"/>
      <c r="L21" s="18" t="str">
        <f>IF($B21="","",SUM(I21:K21))</f>
        <v/>
      </c>
      <c r="M21" s="18" t="str">
        <f>IF($B21="","",H21-L21)</f>
        <v/>
      </c>
      <c r="N21" s="18" t="str">
        <f>IF($B21="","",IF(R21="Ancien",0,Paramètres!$D$17))</f>
        <v/>
      </c>
      <c r="O21" s="19"/>
      <c r="P21" s="18" t="str">
        <f>IF($B21="","",N21-O21)</f>
        <v/>
      </c>
      <c r="Q21" s="8" t="str">
        <f>IF($B21="","",IF(AND(M21&lt;=0,P21&lt;=0),"Soldé","En retard"))</f>
        <v/>
      </c>
      <c r="R21" s="8"/>
    </row>
    <row r="22">
      <c r="A22" s="20"/>
      <c r="B22" s="20"/>
      <c r="C22" s="20"/>
      <c r="D22" s="21"/>
      <c r="E22" s="77"/>
      <c r="F22" s="20"/>
      <c r="G22" s="20"/>
      <c r="H22" s="18" t="str">
        <f>IF($B22="","",Paramètres!$C$17)</f>
        <v/>
      </c>
      <c r="I22" s="19"/>
      <c r="J22" s="19"/>
      <c r="K22" s="19"/>
      <c r="L22" s="18" t="str">
        <f>IF($B22="","",SUM(I22:K22))</f>
        <v/>
      </c>
      <c r="M22" s="18" t="str">
        <f>IF($B22="","",H22-L22)</f>
        <v/>
      </c>
      <c r="N22" s="18" t="str">
        <f>IF($B22="","",IF(R22="Ancien",0,Paramètres!$D$17))</f>
        <v/>
      </c>
      <c r="O22" s="19"/>
      <c r="P22" s="18" t="str">
        <f>IF($B22="","",N22-O22)</f>
        <v/>
      </c>
      <c r="Q22" s="21" t="str">
        <f>IF($B22="","",IF(AND(M22&lt;=0,P22&lt;=0),"Soldé","En retard"))</f>
        <v/>
      </c>
      <c r="R22" s="21"/>
    </row>
    <row r="23">
      <c r="A23" s="15"/>
      <c r="B23" s="15"/>
      <c r="C23" s="15"/>
      <c r="D23" s="8"/>
      <c r="E23" s="79"/>
      <c r="F23" s="15"/>
      <c r="G23" s="15"/>
      <c r="H23" s="18" t="str">
        <f>IF($B23="","",Paramètres!$C$17)</f>
        <v/>
      </c>
      <c r="I23" s="19"/>
      <c r="J23" s="19"/>
      <c r="K23" s="19"/>
      <c r="L23" s="18" t="str">
        <f>IF($B23="","",SUM(I23:K23))</f>
        <v/>
      </c>
      <c r="M23" s="18" t="str">
        <f>IF($B23="","",H23-L23)</f>
        <v/>
      </c>
      <c r="N23" s="18" t="str">
        <f>IF($B23="","",IF(R23="Ancien",0,Paramètres!$D$17))</f>
        <v/>
      </c>
      <c r="O23" s="19"/>
      <c r="P23" s="18" t="str">
        <f>IF($B23="","",N23-O23)</f>
        <v/>
      </c>
      <c r="Q23" s="8" t="str">
        <f>IF($B23="","",IF(AND(M23&lt;=0,P23&lt;=0),"Soldé","En retard"))</f>
        <v/>
      </c>
      <c r="R23" s="8"/>
    </row>
    <row r="24">
      <c r="A24" s="20"/>
      <c r="B24" s="20"/>
      <c r="C24" s="20"/>
      <c r="D24" s="21"/>
      <c r="E24" s="77"/>
      <c r="F24" s="20"/>
      <c r="G24" s="20"/>
      <c r="H24" s="18" t="str">
        <f>IF($B24="","",Paramètres!$C$17)</f>
        <v/>
      </c>
      <c r="I24" s="19"/>
      <c r="J24" s="19"/>
      <c r="K24" s="19"/>
      <c r="L24" s="18" t="str">
        <f>IF($B24="","",SUM(I24:K24))</f>
        <v/>
      </c>
      <c r="M24" s="18" t="str">
        <f>IF($B24="","",H24-L24)</f>
        <v/>
      </c>
      <c r="N24" s="18" t="str">
        <f>IF($B24="","",IF(R24="Ancien",0,Paramètres!$D$17))</f>
        <v/>
      </c>
      <c r="O24" s="19"/>
      <c r="P24" s="18" t="str">
        <f>IF($B24="","",N24-O24)</f>
        <v/>
      </c>
      <c r="Q24" s="21" t="str">
        <f>IF($B24="","",IF(AND(M24&lt;=0,P24&lt;=0),"Soldé","En retard"))</f>
        <v/>
      </c>
      <c r="R24" s="21"/>
    </row>
    <row r="25">
      <c r="A25" s="15"/>
      <c r="B25" s="15"/>
      <c r="C25" s="15"/>
      <c r="D25" s="8"/>
      <c r="E25" s="79"/>
      <c r="F25" s="15"/>
      <c r="G25" s="15"/>
      <c r="H25" s="18" t="str">
        <f>IF($B25="","",Paramètres!$C$17)</f>
        <v/>
      </c>
      <c r="I25" s="19"/>
      <c r="J25" s="19"/>
      <c r="K25" s="19"/>
      <c r="L25" s="18" t="str">
        <f>IF($B25="","",SUM(I25:K25))</f>
        <v/>
      </c>
      <c r="M25" s="18" t="str">
        <f>IF($B25="","",H25-L25)</f>
        <v/>
      </c>
      <c r="N25" s="18" t="str">
        <f>IF($B25="","",IF(R25="Ancien",0,Paramètres!$D$17))</f>
        <v/>
      </c>
      <c r="O25" s="19"/>
      <c r="P25" s="18" t="str">
        <f>IF($B25="","",N25-O25)</f>
        <v/>
      </c>
      <c r="Q25" s="8" t="str">
        <f>IF($B25="","",IF(AND(M25&lt;=0,P25&lt;=0),"Soldé","En retard"))</f>
        <v/>
      </c>
      <c r="R25" s="8"/>
    </row>
    <row r="26">
      <c r="A26" s="20"/>
      <c r="B26" s="20"/>
      <c r="C26" s="20"/>
      <c r="D26" s="21"/>
      <c r="E26" s="77"/>
      <c r="F26" s="20"/>
      <c r="G26" s="20"/>
      <c r="H26" s="18" t="str">
        <f>IF($B26="","",Paramètres!$C$17)</f>
        <v/>
      </c>
      <c r="I26" s="19"/>
      <c r="J26" s="19"/>
      <c r="K26" s="19"/>
      <c r="L26" s="18" t="str">
        <f>IF($B26="","",SUM(I26:K26))</f>
        <v/>
      </c>
      <c r="M26" s="18" t="str">
        <f>IF($B26="","",H26-L26)</f>
        <v/>
      </c>
      <c r="N26" s="18" t="str">
        <f>IF($B26="","",IF(R26="Ancien",0,Paramètres!$D$17))</f>
        <v/>
      </c>
      <c r="O26" s="19"/>
      <c r="P26" s="18" t="str">
        <f>IF($B26="","",N26-O26)</f>
        <v/>
      </c>
      <c r="Q26" s="21" t="str">
        <f>IF($B26="","",IF(AND(M26&lt;=0,P26&lt;=0),"Soldé","En retard"))</f>
        <v/>
      </c>
      <c r="R26" s="21"/>
    </row>
    <row r="27">
      <c r="A27" s="15"/>
      <c r="B27" s="15"/>
      <c r="C27" s="15"/>
      <c r="D27" s="8"/>
      <c r="E27" s="79"/>
      <c r="F27" s="15"/>
      <c r="G27" s="15"/>
      <c r="H27" s="18" t="str">
        <f>IF($B27="","",Paramètres!$C$17)</f>
        <v/>
      </c>
      <c r="I27" s="19"/>
      <c r="J27" s="19"/>
      <c r="K27" s="19"/>
      <c r="L27" s="18" t="str">
        <f>IF($B27="","",SUM(I27:K27))</f>
        <v/>
      </c>
      <c r="M27" s="18" t="str">
        <f>IF($B27="","",H27-L27)</f>
        <v/>
      </c>
      <c r="N27" s="18" t="str">
        <f>IF($B27="","",IF(R27="Ancien",0,Paramètres!$D$17))</f>
        <v/>
      </c>
      <c r="O27" s="19"/>
      <c r="P27" s="18" t="str">
        <f>IF($B27="","",N27-O27)</f>
        <v/>
      </c>
      <c r="Q27" s="8" t="str">
        <f>IF($B27="","",IF(AND(M27&lt;=0,P27&lt;=0),"Soldé","En retard"))</f>
        <v/>
      </c>
      <c r="R27" s="8"/>
    </row>
    <row r="28">
      <c r="A28" s="20"/>
      <c r="B28" s="20"/>
      <c r="C28" s="20"/>
      <c r="D28" s="21"/>
      <c r="E28" s="77"/>
      <c r="F28" s="20"/>
      <c r="G28" s="20"/>
      <c r="H28" s="18" t="str">
        <f>IF($B28="","",Paramètres!$C$17)</f>
        <v/>
      </c>
      <c r="I28" s="19"/>
      <c r="J28" s="19"/>
      <c r="K28" s="19"/>
      <c r="L28" s="18" t="str">
        <f>IF($B28="","",SUM(I28:K28))</f>
        <v/>
      </c>
      <c r="M28" s="18" t="str">
        <f>IF($B28="","",H28-L28)</f>
        <v/>
      </c>
      <c r="N28" s="18" t="str">
        <f>IF($B28="","",IF(R28="Ancien",0,Paramètres!$D$17))</f>
        <v/>
      </c>
      <c r="O28" s="19"/>
      <c r="P28" s="18" t="str">
        <f>IF($B28="","",N28-O28)</f>
        <v/>
      </c>
      <c r="Q28" s="21" t="str">
        <f>IF($B28="","",IF(AND(M28&lt;=0,P28&lt;=0),"Soldé","En retard"))</f>
        <v/>
      </c>
      <c r="R28" s="21"/>
    </row>
    <row r="29">
      <c r="A29" s="15"/>
      <c r="B29" s="15"/>
      <c r="C29" s="15"/>
      <c r="D29" s="8"/>
      <c r="E29" s="79"/>
      <c r="F29" s="15"/>
      <c r="G29" s="15"/>
      <c r="H29" s="18" t="str">
        <f>IF($B29="","",Paramètres!$C$17)</f>
        <v/>
      </c>
      <c r="I29" s="19"/>
      <c r="J29" s="19"/>
      <c r="K29" s="19"/>
      <c r="L29" s="18" t="str">
        <f>IF($B29="","",SUM(I29:K29))</f>
        <v/>
      </c>
      <c r="M29" s="18" t="str">
        <f>IF($B29="","",H29-L29)</f>
        <v/>
      </c>
      <c r="N29" s="18" t="str">
        <f>IF($B29="","",IF(R29="Ancien",0,Paramètres!$D$17))</f>
        <v/>
      </c>
      <c r="O29" s="19"/>
      <c r="P29" s="18" t="str">
        <f>IF($B29="","",N29-O29)</f>
        <v/>
      </c>
      <c r="Q29" s="8" t="str">
        <f>IF($B29="","",IF(AND(M29&lt;=0,P29&lt;=0),"Soldé","En retard"))</f>
        <v/>
      </c>
      <c r="R29" s="8"/>
    </row>
    <row r="30">
      <c r="A30" s="20"/>
      <c r="B30" s="20"/>
      <c r="C30" s="20"/>
      <c r="D30" s="21"/>
      <c r="E30" s="77"/>
      <c r="F30" s="20"/>
      <c r="G30" s="20"/>
      <c r="H30" s="18" t="str">
        <f>IF($B30="","",Paramètres!$C$17)</f>
        <v/>
      </c>
      <c r="I30" s="19"/>
      <c r="J30" s="19"/>
      <c r="K30" s="19"/>
      <c r="L30" s="18" t="str">
        <f>IF($B30="","",SUM(I30:K30))</f>
        <v/>
      </c>
      <c r="M30" s="18" t="str">
        <f>IF($B30="","",H30-L30)</f>
        <v/>
      </c>
      <c r="N30" s="18" t="str">
        <f>IF($B30="","",IF(R30="Ancien",0,Paramètres!$D$17))</f>
        <v/>
      </c>
      <c r="O30" s="19"/>
      <c r="P30" s="18" t="str">
        <f>IF($B30="","",N30-O30)</f>
        <v/>
      </c>
      <c r="Q30" s="21" t="str">
        <f>IF($B30="","",IF(AND(M30&lt;=0,P30&lt;=0),"Soldé","En retard"))</f>
        <v/>
      </c>
      <c r="R30" s="21"/>
    </row>
    <row r="31">
      <c r="A31" s="15"/>
      <c r="B31" s="15"/>
      <c r="C31" s="15"/>
      <c r="D31" s="8"/>
      <c r="E31" s="79"/>
      <c r="F31" s="15"/>
      <c r="G31" s="15"/>
      <c r="H31" s="18" t="str">
        <f>IF($B31="","",Paramètres!$C$17)</f>
        <v/>
      </c>
      <c r="I31" s="19"/>
      <c r="J31" s="19"/>
      <c r="K31" s="19"/>
      <c r="L31" s="18" t="str">
        <f>IF($B31="","",SUM(I31:K31))</f>
        <v/>
      </c>
      <c r="M31" s="18" t="str">
        <f>IF($B31="","",H31-L31)</f>
        <v/>
      </c>
      <c r="N31" s="18" t="str">
        <f>IF($B31="","",IF(R31="Ancien",0,Paramètres!$D$17))</f>
        <v/>
      </c>
      <c r="O31" s="19"/>
      <c r="P31" s="18" t="str">
        <f>IF($B31="","",N31-O31)</f>
        <v/>
      </c>
      <c r="Q31" s="8" t="str">
        <f>IF($B31="","",IF(AND(M31&lt;=0,P31&lt;=0),"Soldé","En retard"))</f>
        <v/>
      </c>
      <c r="R31" s="8"/>
    </row>
    <row r="32">
      <c r="A32" s="20"/>
      <c r="B32" s="20"/>
      <c r="C32" s="20"/>
      <c r="D32" s="21"/>
      <c r="E32" s="77"/>
      <c r="F32" s="20"/>
      <c r="G32" s="20"/>
      <c r="H32" s="18" t="str">
        <f>IF($B32="","",Paramètres!$C$17)</f>
        <v/>
      </c>
      <c r="I32" s="19"/>
      <c r="J32" s="19"/>
      <c r="K32" s="19"/>
      <c r="L32" s="18" t="str">
        <f>IF($B32="","",SUM(I32:K32))</f>
        <v/>
      </c>
      <c r="M32" s="18" t="str">
        <f>IF($B32="","",H32-L32)</f>
        <v/>
      </c>
      <c r="N32" s="18" t="str">
        <f>IF($B32="","",IF(R32="Ancien",0,Paramètres!$D$17))</f>
        <v/>
      </c>
      <c r="O32" s="19"/>
      <c r="P32" s="18" t="str">
        <f>IF($B32="","",N32-O32)</f>
        <v/>
      </c>
      <c r="Q32" s="21" t="str">
        <f>IF($B32="","",IF(AND(M32&lt;=0,P32&lt;=0),"Soldé","En retard"))</f>
        <v/>
      </c>
      <c r="R32" s="21"/>
    </row>
    <row r="33">
      <c r="A33" s="15"/>
      <c r="B33" s="15"/>
      <c r="C33" s="15"/>
      <c r="D33" s="8"/>
      <c r="E33" s="79"/>
      <c r="F33" s="15"/>
      <c r="G33" s="15"/>
      <c r="H33" s="18" t="str">
        <f>IF($B33="","",Paramètres!$C$17)</f>
        <v/>
      </c>
      <c r="I33" s="19"/>
      <c r="J33" s="19"/>
      <c r="K33" s="19"/>
      <c r="L33" s="18" t="str">
        <f>IF($B33="","",SUM(I33:K33))</f>
        <v/>
      </c>
      <c r="M33" s="18" t="str">
        <f>IF($B33="","",H33-L33)</f>
        <v/>
      </c>
      <c r="N33" s="18" t="str">
        <f>IF($B33="","",IF(R33="Ancien",0,Paramètres!$D$17))</f>
        <v/>
      </c>
      <c r="O33" s="19"/>
      <c r="P33" s="18" t="str">
        <f>IF($B33="","",N33-O33)</f>
        <v/>
      </c>
      <c r="Q33" s="8" t="str">
        <f>IF($B33="","",IF(AND(M33&lt;=0,P33&lt;=0),"Soldé","En retard"))</f>
        <v/>
      </c>
      <c r="R33" s="8"/>
    </row>
    <row r="34">
      <c r="A34" s="20"/>
      <c r="B34" s="20"/>
      <c r="C34" s="20"/>
      <c r="D34" s="21"/>
      <c r="E34" s="77"/>
      <c r="F34" s="20"/>
      <c r="G34" s="20"/>
      <c r="H34" s="18" t="str">
        <f>IF($B34="","",Paramètres!$C$17)</f>
        <v/>
      </c>
      <c r="I34" s="19"/>
      <c r="J34" s="19"/>
      <c r="K34" s="19"/>
      <c r="L34" s="18" t="str">
        <f>IF($B34="","",SUM(I34:K34))</f>
        <v/>
      </c>
      <c r="M34" s="18" t="str">
        <f>IF($B34="","",H34-L34)</f>
        <v/>
      </c>
      <c r="N34" s="18" t="str">
        <f>IF($B34="","",IF(R34="Ancien",0,Paramètres!$D$17))</f>
        <v/>
      </c>
      <c r="O34" s="19"/>
      <c r="P34" s="18" t="str">
        <f>IF($B34="","",N34-O34)</f>
        <v/>
      </c>
      <c r="Q34" s="21" t="str">
        <f>IF($B34="","",IF(AND(M34&lt;=0,P34&lt;=0),"Soldé","En retard"))</f>
        <v/>
      </c>
      <c r="R34" s="21"/>
    </row>
    <row r="35">
      <c r="A35" s="15"/>
      <c r="B35" s="15"/>
      <c r="C35" s="15"/>
      <c r="D35" s="8"/>
      <c r="E35" s="79"/>
      <c r="F35" s="15"/>
      <c r="G35" s="15"/>
      <c r="H35" s="18" t="str">
        <f>IF($B35="","",Paramètres!$C$17)</f>
        <v/>
      </c>
      <c r="I35" s="19"/>
      <c r="J35" s="19"/>
      <c r="K35" s="19"/>
      <c r="L35" s="18" t="str">
        <f>IF($B35="","",SUM(I35:K35))</f>
        <v/>
      </c>
      <c r="M35" s="18" t="str">
        <f>IF($B35="","",H35-L35)</f>
        <v/>
      </c>
      <c r="N35" s="18" t="str">
        <f>IF($B35="","",IF(R35="Ancien",0,Paramètres!$D$17))</f>
        <v/>
      </c>
      <c r="O35" s="19"/>
      <c r="P35" s="18" t="str">
        <f>IF($B35="","",N35-O35)</f>
        <v/>
      </c>
      <c r="Q35" s="8" t="str">
        <f>IF($B35="","",IF(AND(M35&lt;=0,P35&lt;=0),"Soldé","En retard"))</f>
        <v/>
      </c>
      <c r="R35" s="8"/>
    </row>
    <row r="36">
      <c r="A36" s="20"/>
      <c r="B36" s="20"/>
      <c r="C36" s="20"/>
      <c r="D36" s="21"/>
      <c r="E36" s="77"/>
      <c r="F36" s="20"/>
      <c r="G36" s="20"/>
      <c r="H36" s="18" t="str">
        <f>IF($B36="","",Paramètres!$C$17)</f>
        <v/>
      </c>
      <c r="I36" s="19"/>
      <c r="J36" s="19"/>
      <c r="K36" s="19"/>
      <c r="L36" s="18" t="str">
        <f>IF($B36="","",SUM(I36:K36))</f>
        <v/>
      </c>
      <c r="M36" s="18" t="str">
        <f>IF($B36="","",H36-L36)</f>
        <v/>
      </c>
      <c r="N36" s="18" t="str">
        <f>IF($B36="","",IF(R36="Ancien",0,Paramètres!$D$17))</f>
        <v/>
      </c>
      <c r="O36" s="19"/>
      <c r="P36" s="18" t="str">
        <f>IF($B36="","",N36-O36)</f>
        <v/>
      </c>
      <c r="Q36" s="21" t="str">
        <f>IF($B36="","",IF(AND(M36&lt;=0,P36&lt;=0),"Soldé","En retard"))</f>
        <v/>
      </c>
      <c r="R36" s="21"/>
    </row>
    <row r="37">
      <c r="A37" s="15"/>
      <c r="B37" s="15"/>
      <c r="C37" s="15"/>
      <c r="D37" s="8"/>
      <c r="E37" s="79"/>
      <c r="F37" s="15"/>
      <c r="G37" s="15"/>
      <c r="H37" s="18" t="str">
        <f>IF($B37="","",Paramètres!$C$17)</f>
        <v/>
      </c>
      <c r="I37" s="19"/>
      <c r="J37" s="19"/>
      <c r="K37" s="19"/>
      <c r="L37" s="18" t="str">
        <f>IF($B37="","",SUM(I37:K37))</f>
        <v/>
      </c>
      <c r="M37" s="18" t="str">
        <f>IF($B37="","",H37-L37)</f>
        <v/>
      </c>
      <c r="N37" s="18" t="str">
        <f>IF($B37="","",IF(R37="Ancien",0,Paramètres!$D$17))</f>
        <v/>
      </c>
      <c r="O37" s="19"/>
      <c r="P37" s="18" t="str">
        <f>IF($B37="","",N37-O37)</f>
        <v/>
      </c>
      <c r="Q37" s="8" t="str">
        <f>IF($B37="","",IF(AND(M37&lt;=0,P37&lt;=0),"Soldé","En retard"))</f>
        <v/>
      </c>
      <c r="R37" s="8"/>
    </row>
    <row r="38">
      <c r="A38" s="20"/>
      <c r="B38" s="20"/>
      <c r="C38" s="20"/>
      <c r="D38" s="21"/>
      <c r="E38" s="77"/>
      <c r="F38" s="20"/>
      <c r="G38" s="20"/>
      <c r="H38" s="18" t="str">
        <f>IF($B38="","",Paramètres!$C$17)</f>
        <v/>
      </c>
      <c r="I38" s="19"/>
      <c r="J38" s="19"/>
      <c r="K38" s="19"/>
      <c r="L38" s="18" t="str">
        <f>IF($B38="","",SUM(I38:K38))</f>
        <v/>
      </c>
      <c r="M38" s="18" t="str">
        <f>IF($B38="","",H38-L38)</f>
        <v/>
      </c>
      <c r="N38" s="18" t="str">
        <f>IF($B38="","",IF(R38="Ancien",0,Paramètres!$D$17))</f>
        <v/>
      </c>
      <c r="O38" s="19"/>
      <c r="P38" s="18" t="str">
        <f>IF($B38="","",N38-O38)</f>
        <v/>
      </c>
      <c r="Q38" s="21" t="str">
        <f>IF($B38="","",IF(AND(M38&lt;=0,P38&lt;=0),"Soldé","En retard"))</f>
        <v/>
      </c>
      <c r="R38" s="21"/>
    </row>
    <row r="39">
      <c r="A39" s="15"/>
      <c r="B39" s="15"/>
      <c r="C39" s="15"/>
      <c r="D39" s="8"/>
      <c r="E39" s="79"/>
      <c r="F39" s="15"/>
      <c r="G39" s="15"/>
      <c r="H39" s="18" t="str">
        <f>IF($B39="","",Paramètres!$C$17)</f>
        <v/>
      </c>
      <c r="I39" s="19"/>
      <c r="J39" s="19"/>
      <c r="K39" s="19"/>
      <c r="L39" s="18" t="str">
        <f>IF($B39="","",SUM(I39:K39))</f>
        <v/>
      </c>
      <c r="M39" s="18" t="str">
        <f>IF($B39="","",H39-L39)</f>
        <v/>
      </c>
      <c r="N39" s="18" t="str">
        <f>IF($B39="","",IF(R39="Ancien",0,Paramètres!$D$17))</f>
        <v/>
      </c>
      <c r="O39" s="19"/>
      <c r="P39" s="18" t="str">
        <f>IF($B39="","",N39-O39)</f>
        <v/>
      </c>
      <c r="Q39" s="8" t="str">
        <f>IF($B39="","",IF(AND(M39&lt;=0,P39&lt;=0),"Soldé","En retard"))</f>
        <v/>
      </c>
      <c r="R39" s="8"/>
    </row>
    <row r="40">
      <c r="A40" s="20"/>
      <c r="B40" s="20"/>
      <c r="C40" s="20"/>
      <c r="D40" s="21"/>
      <c r="E40" s="77"/>
      <c r="F40" s="20"/>
      <c r="G40" s="20"/>
      <c r="H40" s="18" t="str">
        <f>IF($B40="","",Paramètres!$C$17)</f>
        <v/>
      </c>
      <c r="I40" s="19"/>
      <c r="J40" s="19"/>
      <c r="K40" s="19"/>
      <c r="L40" s="18" t="str">
        <f>IF($B40="","",SUM(I40:K40))</f>
        <v/>
      </c>
      <c r="M40" s="18" t="str">
        <f>IF($B40="","",H40-L40)</f>
        <v/>
      </c>
      <c r="N40" s="18" t="str">
        <f>IF($B40="","",IF(R40="Ancien",0,Paramètres!$D$17))</f>
        <v/>
      </c>
      <c r="O40" s="19"/>
      <c r="P40" s="18" t="str">
        <f>IF($B40="","",N40-O40)</f>
        <v/>
      </c>
      <c r="Q40" s="21" t="str">
        <f>IF($B40="","",IF(AND(M40&lt;=0,P40&lt;=0),"Soldé","En retard"))</f>
        <v/>
      </c>
      <c r="R40" s="21"/>
    </row>
    <row r="41">
      <c r="A41" s="15"/>
      <c r="B41" s="15"/>
      <c r="C41" s="15"/>
      <c r="D41" s="8"/>
      <c r="E41" s="79"/>
      <c r="F41" s="15"/>
      <c r="G41" s="15"/>
      <c r="H41" s="18" t="str">
        <f>IF($B41="","",Paramètres!$C$17)</f>
        <v/>
      </c>
      <c r="I41" s="19"/>
      <c r="J41" s="19"/>
      <c r="K41" s="19"/>
      <c r="L41" s="18" t="str">
        <f>IF($B41="","",SUM(I41:K41))</f>
        <v/>
      </c>
      <c r="M41" s="18" t="str">
        <f>IF($B41="","",H41-L41)</f>
        <v/>
      </c>
      <c r="N41" s="18" t="str">
        <f>IF($B41="","",IF(R41="Ancien",0,Paramètres!$D$17))</f>
        <v/>
      </c>
      <c r="O41" s="19"/>
      <c r="P41" s="18" t="str">
        <f>IF($B41="","",N41-O41)</f>
        <v/>
      </c>
      <c r="Q41" s="8" t="str">
        <f>IF($B41="","",IF(AND(M41&lt;=0,P41&lt;=0),"Soldé","En retard"))</f>
        <v/>
      </c>
      <c r="R41" s="8"/>
    </row>
    <row r="42">
      <c r="A42" s="20"/>
      <c r="B42" s="20"/>
      <c r="C42" s="20"/>
      <c r="D42" s="21"/>
      <c r="E42" s="77"/>
      <c r="F42" s="20"/>
      <c r="G42" s="20"/>
      <c r="H42" s="18" t="str">
        <f>IF($B42="","",Paramètres!$C$17)</f>
        <v/>
      </c>
      <c r="I42" s="19"/>
      <c r="J42" s="19"/>
      <c r="K42" s="19"/>
      <c r="L42" s="18" t="str">
        <f>IF($B42="","",SUM(I42:K42))</f>
        <v/>
      </c>
      <c r="M42" s="18" t="str">
        <f>IF($B42="","",H42-L42)</f>
        <v/>
      </c>
      <c r="N42" s="18" t="str">
        <f>IF($B42="","",IF(R42="Ancien",0,Paramètres!$D$17))</f>
        <v/>
      </c>
      <c r="O42" s="19"/>
      <c r="P42" s="18" t="str">
        <f>IF($B42="","",N42-O42)</f>
        <v/>
      </c>
      <c r="Q42" s="21" t="str">
        <f>IF($B42="","",IF(AND(M42&lt;=0,P42&lt;=0),"Soldé","En retard"))</f>
        <v/>
      </c>
      <c r="R42" s="21"/>
    </row>
    <row r="43">
      <c r="A43" s="15"/>
      <c r="B43" s="15"/>
      <c r="C43" s="15"/>
      <c r="D43" s="8"/>
      <c r="E43" s="79"/>
      <c r="F43" s="15"/>
      <c r="G43" s="15"/>
      <c r="H43" s="18" t="str">
        <f>IF($B43="","",Paramètres!$C$17)</f>
        <v/>
      </c>
      <c r="I43" s="19"/>
      <c r="J43" s="19"/>
      <c r="K43" s="19"/>
      <c r="L43" s="18" t="str">
        <f>IF($B43="","",SUM(I43:K43))</f>
        <v/>
      </c>
      <c r="M43" s="18" t="str">
        <f>IF($B43="","",H43-L43)</f>
        <v/>
      </c>
      <c r="N43" s="18" t="str">
        <f>IF($B43="","",IF(R43="Ancien",0,Paramètres!$D$17))</f>
        <v/>
      </c>
      <c r="O43" s="19"/>
      <c r="P43" s="18" t="str">
        <f>IF($B43="","",N43-O43)</f>
        <v/>
      </c>
      <c r="Q43" s="8" t="str">
        <f>IF($B43="","",IF(AND(M43&lt;=0,P43&lt;=0),"Soldé","En retard"))</f>
        <v/>
      </c>
      <c r="R43" s="8"/>
    </row>
    <row r="44">
      <c r="A44" s="20"/>
      <c r="B44" s="20"/>
      <c r="C44" s="20"/>
      <c r="D44" s="21"/>
      <c r="E44" s="77"/>
      <c r="F44" s="20"/>
      <c r="G44" s="20"/>
      <c r="H44" s="18" t="str">
        <f>IF($B44="","",Paramètres!$C$17)</f>
        <v/>
      </c>
      <c r="I44" s="19"/>
      <c r="J44" s="19"/>
      <c r="K44" s="19"/>
      <c r="L44" s="18" t="str">
        <f>IF($B44="","",SUM(I44:K44))</f>
        <v/>
      </c>
      <c r="M44" s="18" t="str">
        <f>IF($B44="","",H44-L44)</f>
        <v/>
      </c>
      <c r="N44" s="18" t="str">
        <f>IF($B44="","",IF(R44="Ancien",0,Paramètres!$D$17))</f>
        <v/>
      </c>
      <c r="O44" s="19"/>
      <c r="P44" s="18" t="str">
        <f>IF($B44="","",N44-O44)</f>
        <v/>
      </c>
      <c r="Q44" s="21" t="str">
        <f>IF($B44="","",IF(AND(M44&lt;=0,P44&lt;=0),"Soldé","En retard"))</f>
        <v/>
      </c>
      <c r="R44" s="21"/>
    </row>
    <row r="45">
      <c r="A45" s="15"/>
      <c r="B45" s="15"/>
      <c r="C45" s="15"/>
      <c r="D45" s="8"/>
      <c r="E45" s="79"/>
      <c r="F45" s="15"/>
      <c r="G45" s="15"/>
      <c r="H45" s="18" t="str">
        <f>IF($B45="","",Paramètres!$C$17)</f>
        <v/>
      </c>
      <c r="I45" s="19"/>
      <c r="J45" s="19"/>
      <c r="K45" s="19"/>
      <c r="L45" s="18" t="str">
        <f>IF($B45="","",SUM(I45:K45))</f>
        <v/>
      </c>
      <c r="M45" s="18" t="str">
        <f>IF($B45="","",H45-L45)</f>
        <v/>
      </c>
      <c r="N45" s="18" t="str">
        <f>IF($B45="","",IF(R45="Ancien",0,Paramètres!$D$17))</f>
        <v/>
      </c>
      <c r="O45" s="19"/>
      <c r="P45" s="18" t="str">
        <f>IF($B45="","",N45-O45)</f>
        <v/>
      </c>
      <c r="Q45" s="8" t="str">
        <f>IF($B45="","",IF(AND(M45&lt;=0,P45&lt;=0),"Soldé","En retard"))</f>
        <v/>
      </c>
      <c r="R45" s="8"/>
    </row>
    <row r="46">
      <c r="A46" s="20"/>
      <c r="B46" s="20"/>
      <c r="C46" s="20"/>
      <c r="D46" s="21"/>
      <c r="E46" s="77"/>
      <c r="F46" s="20"/>
      <c r="G46" s="20"/>
      <c r="H46" s="18" t="str">
        <f>IF($B46="","",Paramètres!$C$17)</f>
        <v/>
      </c>
      <c r="I46" s="19"/>
      <c r="J46" s="19"/>
      <c r="K46" s="19"/>
      <c r="L46" s="18" t="str">
        <f>IF($B46="","",SUM(I46:K46))</f>
        <v/>
      </c>
      <c r="M46" s="18" t="str">
        <f>IF($B46="","",H46-L46)</f>
        <v/>
      </c>
      <c r="N46" s="18" t="str">
        <f>IF($B46="","",IF(R46="Ancien",0,Paramètres!$D$17))</f>
        <v/>
      </c>
      <c r="O46" s="19"/>
      <c r="P46" s="18" t="str">
        <f>IF($B46="","",N46-O46)</f>
        <v/>
      </c>
      <c r="Q46" s="21" t="str">
        <f>IF($B46="","",IF(AND(M46&lt;=0,P46&lt;=0),"Soldé","En retard"))</f>
        <v/>
      </c>
      <c r="R46" s="21"/>
    </row>
    <row r="47">
      <c r="A47" s="15"/>
      <c r="B47" s="15"/>
      <c r="C47" s="15"/>
      <c r="D47" s="8"/>
      <c r="E47" s="79"/>
      <c r="F47" s="15"/>
      <c r="G47" s="15"/>
      <c r="H47" s="18" t="str">
        <f>IF($B47="","",Paramètres!$C$17)</f>
        <v/>
      </c>
      <c r="I47" s="19"/>
      <c r="J47" s="19"/>
      <c r="K47" s="19"/>
      <c r="L47" s="18" t="str">
        <f>IF($B47="","",SUM(I47:K47))</f>
        <v/>
      </c>
      <c r="M47" s="18" t="str">
        <f>IF($B47="","",H47-L47)</f>
        <v/>
      </c>
      <c r="N47" s="18" t="str">
        <f>IF($B47="","",IF(R47="Ancien",0,Paramètres!$D$17))</f>
        <v/>
      </c>
      <c r="O47" s="19"/>
      <c r="P47" s="18" t="str">
        <f>IF($B47="","",N47-O47)</f>
        <v/>
      </c>
      <c r="Q47" s="8" t="str">
        <f>IF($B47="","",IF(AND(M47&lt;=0,P47&lt;=0),"Soldé","En retard"))</f>
        <v/>
      </c>
      <c r="R47" s="8"/>
    </row>
    <row r="48">
      <c r="A48" s="20"/>
      <c r="B48" s="20"/>
      <c r="C48" s="20"/>
      <c r="D48" s="21"/>
      <c r="E48" s="77"/>
      <c r="F48" s="20"/>
      <c r="G48" s="20"/>
      <c r="H48" s="18" t="str">
        <f>IF($B48="","",Paramètres!$C$17)</f>
        <v/>
      </c>
      <c r="I48" s="19"/>
      <c r="J48" s="19"/>
      <c r="K48" s="19"/>
      <c r="L48" s="18" t="str">
        <f>IF($B48="","",SUM(I48:K48))</f>
        <v/>
      </c>
      <c r="M48" s="18" t="str">
        <f>IF($B48="","",H48-L48)</f>
        <v/>
      </c>
      <c r="N48" s="18" t="str">
        <f>IF($B48="","",IF(R48="Ancien",0,Paramètres!$D$17))</f>
        <v/>
      </c>
      <c r="O48" s="19"/>
      <c r="P48" s="18" t="str">
        <f>IF($B48="","",N48-O48)</f>
        <v/>
      </c>
      <c r="Q48" s="21" t="str">
        <f>IF($B48="","",IF(AND(M48&lt;=0,P48&lt;=0),"Soldé","En retard"))</f>
        <v/>
      </c>
      <c r="R48" s="21"/>
    </row>
    <row r="49">
      <c r="A49" s="15"/>
      <c r="B49" s="15"/>
      <c r="C49" s="15"/>
      <c r="D49" s="8"/>
      <c r="E49" s="79"/>
      <c r="F49" s="15"/>
      <c r="G49" s="15"/>
      <c r="H49" s="18" t="str">
        <f>IF($B49="","",Paramètres!$C$17)</f>
        <v/>
      </c>
      <c r="I49" s="19"/>
      <c r="J49" s="19"/>
      <c r="K49" s="19"/>
      <c r="L49" s="18" t="str">
        <f>IF($B49="","",SUM(I49:K49))</f>
        <v/>
      </c>
      <c r="M49" s="18" t="str">
        <f>IF($B49="","",H49-L49)</f>
        <v/>
      </c>
      <c r="N49" s="18" t="str">
        <f>IF($B49="","",IF(R49="Ancien",0,Paramètres!$D$17))</f>
        <v/>
      </c>
      <c r="O49" s="19"/>
      <c r="P49" s="18" t="str">
        <f>IF($B49="","",N49-O49)</f>
        <v/>
      </c>
      <c r="Q49" s="8" t="str">
        <f>IF($B49="","",IF(AND(M49&lt;=0,P49&lt;=0),"Soldé","En retard"))</f>
        <v/>
      </c>
      <c r="R49" s="8"/>
    </row>
    <row r="50">
      <c r="A50" s="20"/>
      <c r="B50" s="20"/>
      <c r="C50" s="20"/>
      <c r="D50" s="21"/>
      <c r="E50" s="77"/>
      <c r="F50" s="20"/>
      <c r="G50" s="20"/>
      <c r="H50" s="18" t="str">
        <f>IF($B50="","",Paramètres!$C$17)</f>
        <v/>
      </c>
      <c r="I50" s="19"/>
      <c r="J50" s="19"/>
      <c r="K50" s="19"/>
      <c r="L50" s="18" t="str">
        <f>IF($B50="","",SUM(I50:K50))</f>
        <v/>
      </c>
      <c r="M50" s="18" t="str">
        <f>IF($B50="","",H50-L50)</f>
        <v/>
      </c>
      <c r="N50" s="18" t="str">
        <f>IF($B50="","",IF(R50="Ancien",0,Paramètres!$D$17))</f>
        <v/>
      </c>
      <c r="O50" s="19"/>
      <c r="P50" s="18" t="str">
        <f>IF($B50="","",N50-O50)</f>
        <v/>
      </c>
      <c r="Q50" s="21" t="str">
        <f>IF($B50="","",IF(AND(M50&lt;=0,P50&lt;=0),"Soldé","En retard"))</f>
        <v/>
      </c>
      <c r="R50" s="21"/>
    </row>
    <row r="51">
      <c r="A51" s="15"/>
      <c r="B51" s="15"/>
      <c r="C51" s="15"/>
      <c r="D51" s="8"/>
      <c r="E51" s="79"/>
      <c r="F51" s="15"/>
      <c r="G51" s="15"/>
      <c r="H51" s="18" t="str">
        <f>IF($B51="","",Paramètres!$C$17)</f>
        <v/>
      </c>
      <c r="I51" s="19"/>
      <c r="J51" s="19"/>
      <c r="K51" s="19"/>
      <c r="L51" s="18" t="str">
        <f>IF($B51="","",SUM(I51:K51))</f>
        <v/>
      </c>
      <c r="M51" s="18" t="str">
        <f>IF($B51="","",H51-L51)</f>
        <v/>
      </c>
      <c r="N51" s="18" t="str">
        <f>IF($B51="","",IF(R51="Ancien",0,Paramètres!$D$17))</f>
        <v/>
      </c>
      <c r="O51" s="19"/>
      <c r="P51" s="18" t="str">
        <f>IF($B51="","",N51-O51)</f>
        <v/>
      </c>
      <c r="Q51" s="8" t="str">
        <f>IF($B51="","",IF(AND(M51&lt;=0,P51&lt;=0),"Soldé","En retard"))</f>
        <v/>
      </c>
      <c r="R51" s="8"/>
    </row>
    <row r="52">
      <c r="A52" s="20"/>
      <c r="B52" s="20"/>
      <c r="C52" s="20"/>
      <c r="D52" s="21"/>
      <c r="E52" s="77"/>
      <c r="F52" s="20"/>
      <c r="G52" s="20"/>
      <c r="H52" s="18" t="str">
        <f>IF($B52="","",Paramètres!$C$17)</f>
        <v/>
      </c>
      <c r="I52" s="19"/>
      <c r="J52" s="19"/>
      <c r="K52" s="19"/>
      <c r="L52" s="18" t="str">
        <f>IF($B52="","",SUM(I52:K52))</f>
        <v/>
      </c>
      <c r="M52" s="18" t="str">
        <f>IF($B52="","",H52-L52)</f>
        <v/>
      </c>
      <c r="N52" s="18" t="str">
        <f>IF($B52="","",IF(R52="Ancien",0,Paramètres!$D$17))</f>
        <v/>
      </c>
      <c r="O52" s="19"/>
      <c r="P52" s="18" t="str">
        <f>IF($B52="","",N52-O52)</f>
        <v/>
      </c>
      <c r="Q52" s="21" t="str">
        <f>IF($B52="","",IF(AND(M52&lt;=0,P52&lt;=0),"Soldé","En retard"))</f>
        <v/>
      </c>
      <c r="R52" s="21"/>
    </row>
    <row r="53">
      <c r="A53" s="15"/>
      <c r="B53" s="15"/>
      <c r="C53" s="15"/>
      <c r="D53" s="8"/>
      <c r="E53" s="79"/>
      <c r="F53" s="15"/>
      <c r="G53" s="15"/>
      <c r="H53" s="18" t="str">
        <f>IF($B53="","",Paramètres!$C$17)</f>
        <v/>
      </c>
      <c r="I53" s="19"/>
      <c r="J53" s="19"/>
      <c r="K53" s="19"/>
      <c r="L53" s="18" t="str">
        <f>IF($B53="","",SUM(I53:K53))</f>
        <v/>
      </c>
      <c r="M53" s="18" t="str">
        <f>IF($B53="","",H53-L53)</f>
        <v/>
      </c>
      <c r="N53" s="18" t="str">
        <f>IF($B53="","",IF(R53="Ancien",0,Paramètres!$D$17))</f>
        <v/>
      </c>
      <c r="O53" s="19"/>
      <c r="P53" s="18" t="str">
        <f>IF($B53="","",N53-O53)</f>
        <v/>
      </c>
      <c r="Q53" s="8" t="str">
        <f>IF($B53="","",IF(AND(M53&lt;=0,P53&lt;=0),"Soldé","En retard"))</f>
        <v/>
      </c>
      <c r="R53" s="8"/>
    </row>
    <row r="54">
      <c r="A54" s="20"/>
      <c r="B54" s="20"/>
      <c r="C54" s="20"/>
      <c r="D54" s="21"/>
      <c r="E54" s="77"/>
      <c r="F54" s="20"/>
      <c r="G54" s="20"/>
      <c r="H54" s="18" t="str">
        <f>IF($B54="","",Paramètres!$C$17)</f>
        <v/>
      </c>
      <c r="I54" s="19"/>
      <c r="J54" s="19"/>
      <c r="K54" s="19"/>
      <c r="L54" s="18" t="str">
        <f>IF($B54="","",SUM(I54:K54))</f>
        <v/>
      </c>
      <c r="M54" s="18" t="str">
        <f>IF($B54="","",H54-L54)</f>
        <v/>
      </c>
      <c r="N54" s="18" t="str">
        <f>IF($B54="","",IF(R54="Ancien",0,Paramètres!$D$17))</f>
        <v/>
      </c>
      <c r="O54" s="19"/>
      <c r="P54" s="18" t="str">
        <f>IF($B54="","",N54-O54)</f>
        <v/>
      </c>
      <c r="Q54" s="21" t="str">
        <f>IF($B54="","",IF(AND(M54&lt;=0,P54&lt;=0),"Soldé","En retard"))</f>
        <v/>
      </c>
      <c r="R54" s="21"/>
    </row>
    <row r="55">
      <c r="A55" s="15"/>
      <c r="B55" s="15"/>
      <c r="C55" s="15"/>
      <c r="D55" s="8"/>
      <c r="E55" s="79"/>
      <c r="F55" s="15"/>
      <c r="G55" s="15"/>
      <c r="H55" s="18" t="str">
        <f>IF($B55="","",Paramètres!$C$17)</f>
        <v/>
      </c>
      <c r="I55" s="19"/>
      <c r="J55" s="19"/>
      <c r="K55" s="19"/>
      <c r="L55" s="18" t="str">
        <f>IF($B55="","",SUM(I55:K55))</f>
        <v/>
      </c>
      <c r="M55" s="18" t="str">
        <f>IF($B55="","",H55-L55)</f>
        <v/>
      </c>
      <c r="N55" s="18" t="str">
        <f>IF($B55="","",IF(R55="Ancien",0,Paramètres!$D$17))</f>
        <v/>
      </c>
      <c r="O55" s="19"/>
      <c r="P55" s="18" t="str">
        <f>IF($B55="","",N55-O55)</f>
        <v/>
      </c>
      <c r="Q55" s="8" t="str">
        <f>IF($B55="","",IF(AND(M55&lt;=0,P55&lt;=0),"Soldé","En retard"))</f>
        <v/>
      </c>
      <c r="R55" s="8"/>
    </row>
    <row r="56">
      <c r="A56" s="20"/>
      <c r="B56" s="20"/>
      <c r="C56" s="20"/>
      <c r="D56" s="21"/>
      <c r="E56" s="77"/>
      <c r="F56" s="20"/>
      <c r="G56" s="20"/>
      <c r="H56" s="18" t="str">
        <f>IF($B56="","",Paramètres!$C$17)</f>
        <v/>
      </c>
      <c r="I56" s="19"/>
      <c r="J56" s="19"/>
      <c r="K56" s="19"/>
      <c r="L56" s="18" t="str">
        <f>IF($B56="","",SUM(I56:K56))</f>
        <v/>
      </c>
      <c r="M56" s="18" t="str">
        <f>IF($B56="","",H56-L56)</f>
        <v/>
      </c>
      <c r="N56" s="18" t="str">
        <f>IF($B56="","",IF(R56="Ancien",0,Paramètres!$D$17))</f>
        <v/>
      </c>
      <c r="O56" s="19"/>
      <c r="P56" s="18" t="str">
        <f>IF($B56="","",N56-O56)</f>
        <v/>
      </c>
      <c r="Q56" s="21" t="str">
        <f>IF($B56="","",IF(AND(M56&lt;=0,P56&lt;=0),"Soldé","En retard"))</f>
        <v/>
      </c>
      <c r="R56" s="21"/>
    </row>
    <row r="57">
      <c r="A57" s="15"/>
      <c r="B57" s="15"/>
      <c r="C57" s="15"/>
      <c r="D57" s="8"/>
      <c r="E57" s="79"/>
      <c r="F57" s="15"/>
      <c r="G57" s="15"/>
      <c r="H57" s="18" t="str">
        <f>IF($B57="","",Paramètres!$C$17)</f>
        <v/>
      </c>
      <c r="I57" s="19"/>
      <c r="J57" s="19"/>
      <c r="K57" s="19"/>
      <c r="L57" s="18" t="str">
        <f>IF($B57="","",SUM(I57:K57))</f>
        <v/>
      </c>
      <c r="M57" s="18" t="str">
        <f>IF($B57="","",H57-L57)</f>
        <v/>
      </c>
      <c r="N57" s="18" t="str">
        <f>IF($B57="","",IF(R57="Ancien",0,Paramètres!$D$17))</f>
        <v/>
      </c>
      <c r="O57" s="19"/>
      <c r="P57" s="18" t="str">
        <f>IF($B57="","",N57-O57)</f>
        <v/>
      </c>
      <c r="Q57" s="8" t="str">
        <f>IF($B57="","",IF(AND(M57&lt;=0,P57&lt;=0),"Soldé","En retard"))</f>
        <v/>
      </c>
      <c r="R57" s="8"/>
    </row>
    <row r="58">
      <c r="A58" s="20"/>
      <c r="B58" s="20"/>
      <c r="C58" s="20"/>
      <c r="D58" s="21"/>
      <c r="E58" s="77"/>
      <c r="F58" s="20"/>
      <c r="G58" s="20"/>
      <c r="H58" s="18" t="str">
        <f>IF($B58="","",Paramètres!$C$17)</f>
        <v/>
      </c>
      <c r="I58" s="19"/>
      <c r="J58" s="19"/>
      <c r="K58" s="19"/>
      <c r="L58" s="18" t="str">
        <f>IF($B58="","",SUM(I58:K58))</f>
        <v/>
      </c>
      <c r="M58" s="18" t="str">
        <f>IF($B58="","",H58-L58)</f>
        <v/>
      </c>
      <c r="N58" s="18" t="str">
        <f>IF($B58="","",IF(R58="Ancien",0,Paramètres!$D$17))</f>
        <v/>
      </c>
      <c r="O58" s="19"/>
      <c r="P58" s="18" t="str">
        <f>IF($B58="","",N58-O58)</f>
        <v/>
      </c>
      <c r="Q58" s="21" t="str">
        <f>IF($B58="","",IF(AND(M58&lt;=0,P58&lt;=0),"Soldé","En retard"))</f>
        <v/>
      </c>
      <c r="R58" s="21"/>
    </row>
    <row r="59">
      <c r="A59" s="15"/>
      <c r="B59" s="15"/>
      <c r="C59" s="15"/>
      <c r="D59" s="8"/>
      <c r="E59" s="79"/>
      <c r="F59" s="15"/>
      <c r="G59" s="15"/>
      <c r="H59" s="18" t="str">
        <f>IF($B59="","",Paramètres!$C$17)</f>
        <v/>
      </c>
      <c r="I59" s="19"/>
      <c r="J59" s="19"/>
      <c r="K59" s="19"/>
      <c r="L59" s="18" t="str">
        <f>IF($B59="","",SUM(I59:K59))</f>
        <v/>
      </c>
      <c r="M59" s="18" t="str">
        <f>IF($B59="","",H59-L59)</f>
        <v/>
      </c>
      <c r="N59" s="18" t="str">
        <f>IF($B59="","",IF(R59="Ancien",0,Paramètres!$D$17))</f>
        <v/>
      </c>
      <c r="O59" s="19"/>
      <c r="P59" s="18" t="str">
        <f>IF($B59="","",N59-O59)</f>
        <v/>
      </c>
      <c r="Q59" s="8" t="str">
        <f>IF($B59="","",IF(AND(M59&lt;=0,P59&lt;=0),"Soldé","En retard"))</f>
        <v/>
      </c>
      <c r="R59" s="8"/>
    </row>
    <row r="60">
      <c r="A60" s="20"/>
      <c r="B60" s="20"/>
      <c r="C60" s="20"/>
      <c r="D60" s="21"/>
      <c r="E60" s="77"/>
      <c r="F60" s="20"/>
      <c r="G60" s="20"/>
      <c r="H60" s="18" t="str">
        <f>IF($B60="","",Paramètres!$C$17)</f>
        <v/>
      </c>
      <c r="I60" s="19"/>
      <c r="J60" s="19"/>
      <c r="K60" s="19"/>
      <c r="L60" s="18" t="str">
        <f>IF($B60="","",SUM(I60:K60))</f>
        <v/>
      </c>
      <c r="M60" s="18" t="str">
        <f>IF($B60="","",H60-L60)</f>
        <v/>
      </c>
      <c r="N60" s="18" t="str">
        <f>IF($B60="","",IF(R60="Ancien",0,Paramètres!$D$17))</f>
        <v/>
      </c>
      <c r="O60" s="19"/>
      <c r="P60" s="18" t="str">
        <f>IF($B60="","",N60-O60)</f>
        <v/>
      </c>
      <c r="Q60" s="21" t="str">
        <f>IF($B60="","",IF(AND(M60&lt;=0,P60&lt;=0),"Soldé","En retard"))</f>
        <v/>
      </c>
      <c r="R60" s="21"/>
    </row>
    <row r="61">
      <c r="A61" s="15"/>
      <c r="B61" s="15"/>
      <c r="C61" s="15"/>
      <c r="D61" s="8"/>
      <c r="E61" s="79"/>
      <c r="F61" s="15"/>
      <c r="G61" s="15"/>
      <c r="H61" s="18" t="str">
        <f>IF($B61="","",Paramètres!$C$17)</f>
        <v/>
      </c>
      <c r="I61" s="19"/>
      <c r="J61" s="19"/>
      <c r="K61" s="19"/>
      <c r="L61" s="18" t="str">
        <f>IF($B61="","",SUM(I61:K61))</f>
        <v/>
      </c>
      <c r="M61" s="18" t="str">
        <f>IF($B61="","",H61-L61)</f>
        <v/>
      </c>
      <c r="N61" s="18" t="str">
        <f>IF($B61="","",IF(R61="Ancien",0,Paramètres!$D$17))</f>
        <v/>
      </c>
      <c r="O61" s="19"/>
      <c r="P61" s="18" t="str">
        <f>IF($B61="","",N61-O61)</f>
        <v/>
      </c>
      <c r="Q61" s="8" t="str">
        <f>IF($B61="","",IF(AND(M61&lt;=0,P61&lt;=0),"Soldé","En retard"))</f>
        <v/>
      </c>
      <c r="R61" s="8"/>
    </row>
    <row r="62">
      <c r="A62" s="20"/>
      <c r="B62" s="20"/>
      <c r="C62" s="20"/>
      <c r="D62" s="21"/>
      <c r="E62" s="77"/>
      <c r="F62" s="20"/>
      <c r="G62" s="20"/>
      <c r="H62" s="18" t="str">
        <f>IF($B62="","",Paramètres!$C$17)</f>
        <v/>
      </c>
      <c r="I62" s="19"/>
      <c r="J62" s="19"/>
      <c r="K62" s="19"/>
      <c r="L62" s="18" t="str">
        <f>IF($B62="","",SUM(I62:K62))</f>
        <v/>
      </c>
      <c r="M62" s="18" t="str">
        <f>IF($B62="","",H62-L62)</f>
        <v/>
      </c>
      <c r="N62" s="18" t="str">
        <f>IF($B62="","",IF(R62="Ancien",0,Paramètres!$D$17))</f>
        <v/>
      </c>
      <c r="O62" s="19"/>
      <c r="P62" s="18" t="str">
        <f>IF($B62="","",N62-O62)</f>
        <v/>
      </c>
      <c r="Q62" s="21" t="str">
        <f>IF($B62="","",IF(AND(M62&lt;=0,P62&lt;=0),"Soldé","En retard"))</f>
        <v/>
      </c>
      <c r="R62" s="21"/>
    </row>
    <row r="63">
      <c r="A63" s="15"/>
      <c r="B63" s="15"/>
      <c r="C63" s="15"/>
      <c r="D63" s="8"/>
      <c r="E63" s="79"/>
      <c r="F63" s="15"/>
      <c r="G63" s="15"/>
      <c r="H63" s="18" t="str">
        <f>IF($B63="","",Paramètres!$C$17)</f>
        <v/>
      </c>
      <c r="I63" s="19"/>
      <c r="J63" s="19"/>
      <c r="K63" s="19"/>
      <c r="L63" s="18" t="str">
        <f>IF($B63="","",SUM(I63:K63))</f>
        <v/>
      </c>
      <c r="M63" s="18" t="str">
        <f>IF($B63="","",H63-L63)</f>
        <v/>
      </c>
      <c r="N63" s="18" t="str">
        <f>IF($B63="","",IF(R63="Ancien",0,Paramètres!$D$17))</f>
        <v/>
      </c>
      <c r="O63" s="19"/>
      <c r="P63" s="18" t="str">
        <f>IF($B63="","",N63-O63)</f>
        <v/>
      </c>
      <c r="Q63" s="8" t="str">
        <f>IF($B63="","",IF(AND(M63&lt;=0,P63&lt;=0),"Soldé","En retard"))</f>
        <v/>
      </c>
      <c r="R63" s="8"/>
    </row>
    <row r="64">
      <c r="A64" s="20"/>
      <c r="B64" s="20"/>
      <c r="C64" s="20"/>
      <c r="D64" s="21"/>
      <c r="E64" s="77"/>
      <c r="F64" s="20"/>
      <c r="G64" s="20"/>
      <c r="H64" s="18" t="str">
        <f>IF($B64="","",Paramètres!$C$17)</f>
        <v/>
      </c>
      <c r="I64" s="19"/>
      <c r="J64" s="19"/>
      <c r="K64" s="19"/>
      <c r="L64" s="18" t="str">
        <f>IF($B64="","",SUM(I64:K64))</f>
        <v/>
      </c>
      <c r="M64" s="18" t="str">
        <f>IF($B64="","",H64-L64)</f>
        <v/>
      </c>
      <c r="N64" s="18" t="str">
        <f>IF($B64="","",IF(R64="Ancien",0,Paramètres!$D$17))</f>
        <v/>
      </c>
      <c r="O64" s="19"/>
      <c r="P64" s="18" t="str">
        <f>IF($B64="","",N64-O64)</f>
        <v/>
      </c>
      <c r="Q64" s="21" t="str">
        <f>IF($B64="","",IF(AND(M64&lt;=0,P64&lt;=0),"Soldé","En retard"))</f>
        <v/>
      </c>
      <c r="R64" s="21"/>
    </row>
    <row r="65">
      <c r="A65" s="15"/>
      <c r="B65" s="15"/>
      <c r="C65" s="15"/>
      <c r="D65" s="8"/>
      <c r="E65" s="79"/>
      <c r="F65" s="15"/>
      <c r="G65" s="15"/>
      <c r="H65" s="18" t="str">
        <f>IF($B65="","",Paramètres!$C$17)</f>
        <v/>
      </c>
      <c r="I65" s="19"/>
      <c r="J65" s="19"/>
      <c r="K65" s="19"/>
      <c r="L65" s="18" t="str">
        <f>IF($B65="","",SUM(I65:K65))</f>
        <v/>
      </c>
      <c r="M65" s="18" t="str">
        <f>IF($B65="","",H65-L65)</f>
        <v/>
      </c>
      <c r="N65" s="18" t="str">
        <f>IF($B65="","",IF(R65="Ancien",0,Paramètres!$D$17))</f>
        <v/>
      </c>
      <c r="O65" s="19"/>
      <c r="P65" s="18" t="str">
        <f>IF($B65="","",N65-O65)</f>
        <v/>
      </c>
      <c r="Q65" s="8" t="str">
        <f>IF($B65="","",IF(AND(M65&lt;=0,P65&lt;=0),"Soldé","En retard"))</f>
        <v/>
      </c>
      <c r="R65" s="8"/>
    </row>
    <row r="66">
      <c r="A66" s="20"/>
      <c r="B66" s="20"/>
      <c r="C66" s="20"/>
      <c r="D66" s="21"/>
      <c r="E66" s="77"/>
      <c r="F66" s="20"/>
      <c r="G66" s="20"/>
      <c r="H66" s="18" t="str">
        <f>IF($B66="","",Paramètres!$C$17)</f>
        <v/>
      </c>
      <c r="I66" s="19"/>
      <c r="J66" s="19"/>
      <c r="K66" s="19"/>
      <c r="L66" s="18" t="str">
        <f>IF($B66="","",SUM(I66:K66))</f>
        <v/>
      </c>
      <c r="M66" s="18" t="str">
        <f>IF($B66="","",H66-L66)</f>
        <v/>
      </c>
      <c r="N66" s="18" t="str">
        <f>IF($B66="","",IF(R66="Ancien",0,Paramètres!$D$17))</f>
        <v/>
      </c>
      <c r="O66" s="19"/>
      <c r="P66" s="18" t="str">
        <f>IF($B66="","",N66-O66)</f>
        <v/>
      </c>
      <c r="Q66" s="21" t="str">
        <f>IF($B66="","",IF(AND(M66&lt;=0,P66&lt;=0),"Soldé","En retard"))</f>
        <v/>
      </c>
      <c r="R66" s="21"/>
    </row>
    <row r="67">
      <c r="A67" s="15"/>
      <c r="B67" s="15"/>
      <c r="C67" s="15"/>
      <c r="D67" s="8"/>
      <c r="E67" s="79"/>
      <c r="F67" s="15"/>
      <c r="G67" s="15"/>
      <c r="H67" s="18" t="str">
        <f>IF($B67="","",Paramètres!$C$17)</f>
        <v/>
      </c>
      <c r="I67" s="19"/>
      <c r="J67" s="19"/>
      <c r="K67" s="19"/>
      <c r="L67" s="18" t="str">
        <f>IF($B67="","",SUM(I67:K67))</f>
        <v/>
      </c>
      <c r="M67" s="18" t="str">
        <f>IF($B67="","",H67-L67)</f>
        <v/>
      </c>
      <c r="N67" s="18" t="str">
        <f>IF($B67="","",IF(R67="Ancien",0,Paramètres!$D$17))</f>
        <v/>
      </c>
      <c r="O67" s="19"/>
      <c r="P67" s="18" t="str">
        <f>IF($B67="","",N67-O67)</f>
        <v/>
      </c>
      <c r="Q67" s="8" t="str">
        <f>IF($B67="","",IF(AND(M67&lt;=0,P67&lt;=0),"Soldé","En retard"))</f>
        <v/>
      </c>
      <c r="R67" s="8"/>
    </row>
    <row r="68">
      <c r="A68" s="20"/>
      <c r="B68" s="20"/>
      <c r="C68" s="20"/>
      <c r="D68" s="21"/>
      <c r="E68" s="77"/>
      <c r="F68" s="20"/>
      <c r="G68" s="20"/>
      <c r="H68" s="18" t="str">
        <f>IF($B68="","",Paramètres!$C$17)</f>
        <v/>
      </c>
      <c r="I68" s="19"/>
      <c r="J68" s="19"/>
      <c r="K68" s="19"/>
      <c r="L68" s="18" t="str">
        <f>IF($B68="","",SUM(I68:K68))</f>
        <v/>
      </c>
      <c r="M68" s="18" t="str">
        <f>IF($B68="","",H68-L68)</f>
        <v/>
      </c>
      <c r="N68" s="18" t="str">
        <f>IF($B68="","",IF(R68="Ancien",0,Paramètres!$D$17))</f>
        <v/>
      </c>
      <c r="O68" s="19"/>
      <c r="P68" s="18" t="str">
        <f>IF($B68="","",N68-O68)</f>
        <v/>
      </c>
      <c r="Q68" s="21" t="str">
        <f>IF($B68="","",IF(AND(M68&lt;=0,P68&lt;=0),"Soldé","En retard"))</f>
        <v/>
      </c>
      <c r="R68" s="21"/>
    </row>
    <row r="69">
      <c r="A69" s="15"/>
      <c r="B69" s="15"/>
      <c r="C69" s="15"/>
      <c r="D69" s="8"/>
      <c r="E69" s="79"/>
      <c r="F69" s="15"/>
      <c r="G69" s="15"/>
      <c r="H69" s="18" t="str">
        <f>IF($B69="","",Paramètres!$C$17)</f>
        <v/>
      </c>
      <c r="I69" s="19"/>
      <c r="J69" s="19"/>
      <c r="K69" s="19"/>
      <c r="L69" s="18" t="str">
        <f>IF($B69="","",SUM(I69:K69))</f>
        <v/>
      </c>
      <c r="M69" s="18" t="str">
        <f>IF($B69="","",H69-L69)</f>
        <v/>
      </c>
      <c r="N69" s="18" t="str">
        <f>IF($B69="","",IF(R69="Ancien",0,Paramètres!$D$17))</f>
        <v/>
      </c>
      <c r="O69" s="19"/>
      <c r="P69" s="18" t="str">
        <f>IF($B69="","",N69-O69)</f>
        <v/>
      </c>
      <c r="Q69" s="8" t="str">
        <f>IF($B69="","",IF(AND(M69&lt;=0,P69&lt;=0),"Soldé","En retard"))</f>
        <v/>
      </c>
      <c r="R69" s="8"/>
    </row>
    <row r="70">
      <c r="A70" s="20"/>
      <c r="B70" s="20"/>
      <c r="C70" s="20"/>
      <c r="D70" s="21"/>
      <c r="E70" s="77"/>
      <c r="F70" s="20"/>
      <c r="G70" s="20"/>
      <c r="H70" s="18" t="str">
        <f>IF($B70="","",Paramètres!$C$17)</f>
        <v/>
      </c>
      <c r="I70" s="19"/>
      <c r="J70" s="19"/>
      <c r="K70" s="19"/>
      <c r="L70" s="18" t="str">
        <f>IF($B70="","",SUM(I70:K70))</f>
        <v/>
      </c>
      <c r="M70" s="18" t="str">
        <f>IF($B70="","",H70-L70)</f>
        <v/>
      </c>
      <c r="N70" s="18" t="str">
        <f>IF($B70="","",IF(R70="Ancien",0,Paramètres!$D$17))</f>
        <v/>
      </c>
      <c r="O70" s="19"/>
      <c r="P70" s="18" t="str">
        <f>IF($B70="","",N70-O70)</f>
        <v/>
      </c>
      <c r="Q70" s="21" t="str">
        <f>IF($B70="","",IF(AND(M70&lt;=0,P70&lt;=0),"Soldé","En retard"))</f>
        <v/>
      </c>
      <c r="R70" s="21"/>
    </row>
    <row r="71">
      <c r="A71" s="15"/>
      <c r="B71" s="15"/>
      <c r="C71" s="15"/>
      <c r="D71" s="8"/>
      <c r="E71" s="79"/>
      <c r="F71" s="15"/>
      <c r="G71" s="15"/>
      <c r="H71" s="18" t="str">
        <f>IF($B71="","",Paramètres!$C$17)</f>
        <v/>
      </c>
      <c r="I71" s="19"/>
      <c r="J71" s="19"/>
      <c r="K71" s="19"/>
      <c r="L71" s="18" t="str">
        <f>IF($B71="","",SUM(I71:K71))</f>
        <v/>
      </c>
      <c r="M71" s="18" t="str">
        <f>IF($B71="","",H71-L71)</f>
        <v/>
      </c>
      <c r="N71" s="18" t="str">
        <f>IF($B71="","",IF(R71="Ancien",0,Paramètres!$D$17))</f>
        <v/>
      </c>
      <c r="O71" s="19"/>
      <c r="P71" s="18" t="str">
        <f>IF($B71="","",N71-O71)</f>
        <v/>
      </c>
      <c r="Q71" s="8" t="str">
        <f>IF($B71="","",IF(AND(M71&lt;=0,P71&lt;=0),"Soldé","En retard"))</f>
        <v/>
      </c>
      <c r="R71" s="8"/>
    </row>
    <row r="72">
      <c r="A72" s="20"/>
      <c r="B72" s="20"/>
      <c r="C72" s="20"/>
      <c r="D72" s="21"/>
      <c r="E72" s="77"/>
      <c r="F72" s="20"/>
      <c r="G72" s="20"/>
      <c r="H72" s="18" t="str">
        <f>IF($B72="","",Paramètres!$C$17)</f>
        <v/>
      </c>
      <c r="I72" s="19"/>
      <c r="J72" s="19"/>
      <c r="K72" s="19"/>
      <c r="L72" s="18" t="str">
        <f>IF($B72="","",SUM(I72:K72))</f>
        <v/>
      </c>
      <c r="M72" s="18" t="str">
        <f>IF($B72="","",H72-L72)</f>
        <v/>
      </c>
      <c r="N72" s="18" t="str">
        <f>IF($B72="","",IF(R72="Ancien",0,Paramètres!$D$17))</f>
        <v/>
      </c>
      <c r="O72" s="19"/>
      <c r="P72" s="18" t="str">
        <f>IF($B72="","",N72-O72)</f>
        <v/>
      </c>
      <c r="Q72" s="21" t="str">
        <f>IF($B72="","",IF(AND(M72&lt;=0,P72&lt;=0),"Soldé","En retard"))</f>
        <v/>
      </c>
      <c r="R72" s="21"/>
    </row>
    <row r="73">
      <c r="A73" s="15"/>
      <c r="B73" s="15"/>
      <c r="C73" s="15"/>
      <c r="D73" s="8"/>
      <c r="E73" s="79"/>
      <c r="F73" s="15"/>
      <c r="G73" s="15"/>
      <c r="H73" s="18" t="str">
        <f>IF($B73="","",Paramètres!$C$17)</f>
        <v/>
      </c>
      <c r="I73" s="19"/>
      <c r="J73" s="19"/>
      <c r="K73" s="19"/>
      <c r="L73" s="18" t="str">
        <f>IF($B73="","",SUM(I73:K73))</f>
        <v/>
      </c>
      <c r="M73" s="18" t="str">
        <f>IF($B73="","",H73-L73)</f>
        <v/>
      </c>
      <c r="N73" s="18" t="str">
        <f>IF($B73="","",IF(R73="Ancien",0,Paramètres!$D$17))</f>
        <v/>
      </c>
      <c r="O73" s="19"/>
      <c r="P73" s="18" t="str">
        <f>IF($B73="","",N73-O73)</f>
        <v/>
      </c>
      <c r="Q73" s="8" t="str">
        <f>IF($B73="","",IF(AND(M73&lt;=0,P73&lt;=0),"Soldé","En retard"))</f>
        <v/>
      </c>
      <c r="R73" s="8"/>
    </row>
    <row r="74">
      <c r="A74" s="20"/>
      <c r="B74" s="20"/>
      <c r="C74" s="20"/>
      <c r="D74" s="21"/>
      <c r="E74" s="77"/>
      <c r="F74" s="20"/>
      <c r="G74" s="20"/>
      <c r="H74" s="18" t="str">
        <f>IF($B74="","",Paramètres!$C$17)</f>
        <v/>
      </c>
      <c r="I74" s="19"/>
      <c r="J74" s="19"/>
      <c r="K74" s="19"/>
      <c r="L74" s="18" t="str">
        <f>IF($B74="","",SUM(I74:K74))</f>
        <v/>
      </c>
      <c r="M74" s="18" t="str">
        <f>IF($B74="","",H74-L74)</f>
        <v/>
      </c>
      <c r="N74" s="18" t="str">
        <f>IF($B74="","",IF(R74="Ancien",0,Paramètres!$D$17))</f>
        <v/>
      </c>
      <c r="O74" s="19"/>
      <c r="P74" s="18" t="str">
        <f>IF($B74="","",N74-O74)</f>
        <v/>
      </c>
      <c r="Q74" s="21" t="str">
        <f>IF($B74="","",IF(AND(M74&lt;=0,P74&lt;=0),"Soldé","En retard"))</f>
        <v/>
      </c>
      <c r="R74" s="21"/>
    </row>
    <row r="75">
      <c r="A75" s="15"/>
      <c r="B75" s="15"/>
      <c r="C75" s="15"/>
      <c r="D75" s="8"/>
      <c r="E75" s="79"/>
      <c r="F75" s="15"/>
      <c r="G75" s="15"/>
      <c r="H75" s="18" t="str">
        <f>IF($B75="","",Paramètres!$C$17)</f>
        <v/>
      </c>
      <c r="I75" s="19"/>
      <c r="J75" s="19"/>
      <c r="K75" s="19"/>
      <c r="L75" s="18" t="str">
        <f>IF($B75="","",SUM(I75:K75))</f>
        <v/>
      </c>
      <c r="M75" s="18" t="str">
        <f>IF($B75="","",H75-L75)</f>
        <v/>
      </c>
      <c r="N75" s="18" t="str">
        <f>IF($B75="","",IF(R75="Ancien",0,Paramètres!$D$17))</f>
        <v/>
      </c>
      <c r="O75" s="19"/>
      <c r="P75" s="18" t="str">
        <f>IF($B75="","",N75-O75)</f>
        <v/>
      </c>
      <c r="Q75" s="8" t="str">
        <f>IF($B75="","",IF(AND(M75&lt;=0,P75&lt;=0),"Soldé","En retard"))</f>
        <v/>
      </c>
      <c r="R75" s="8"/>
    </row>
    <row r="76">
      <c r="A76" s="20"/>
      <c r="B76" s="20"/>
      <c r="C76" s="20"/>
      <c r="D76" s="21"/>
      <c r="E76" s="77"/>
      <c r="F76" s="20"/>
      <c r="G76" s="20"/>
      <c r="H76" s="18" t="str">
        <f>IF($B76="","",Paramètres!$C$17)</f>
        <v/>
      </c>
      <c r="I76" s="19"/>
      <c r="J76" s="19"/>
      <c r="K76" s="19"/>
      <c r="L76" s="18" t="str">
        <f>IF($B76="","",SUM(I76:K76))</f>
        <v/>
      </c>
      <c r="M76" s="18" t="str">
        <f>IF($B76="","",H76-L76)</f>
        <v/>
      </c>
      <c r="N76" s="18" t="str">
        <f>IF($B76="","",IF(R76="Ancien",0,Paramètres!$D$17))</f>
        <v/>
      </c>
      <c r="O76" s="19"/>
      <c r="P76" s="18" t="str">
        <f>IF($B76="","",N76-O76)</f>
        <v/>
      </c>
      <c r="Q76" s="21" t="str">
        <f>IF($B76="","",IF(AND(M76&lt;=0,P76&lt;=0),"Soldé","En retard"))</f>
        <v/>
      </c>
      <c r="R76" s="21"/>
    </row>
    <row r="77">
      <c r="A77" s="15"/>
      <c r="B77" s="15"/>
      <c r="C77" s="15"/>
      <c r="D77" s="8"/>
      <c r="E77" s="79"/>
      <c r="F77" s="15"/>
      <c r="G77" s="15"/>
      <c r="H77" s="18" t="str">
        <f>IF($B77="","",Paramètres!$C$17)</f>
        <v/>
      </c>
      <c r="I77" s="19"/>
      <c r="J77" s="19"/>
      <c r="K77" s="19"/>
      <c r="L77" s="18" t="str">
        <f>IF($B77="","",SUM(I77:K77))</f>
        <v/>
      </c>
      <c r="M77" s="18" t="str">
        <f>IF($B77="","",H77-L77)</f>
        <v/>
      </c>
      <c r="N77" s="18" t="str">
        <f>IF($B77="","",IF(R77="Ancien",0,Paramètres!$D$17))</f>
        <v/>
      </c>
      <c r="O77" s="19"/>
      <c r="P77" s="18" t="str">
        <f>IF($B77="","",N77-O77)</f>
        <v/>
      </c>
      <c r="Q77" s="8" t="str">
        <f>IF($B77="","",IF(AND(M77&lt;=0,P77&lt;=0),"Soldé","En retard"))</f>
        <v/>
      </c>
      <c r="R77" s="8"/>
    </row>
    <row r="78">
      <c r="A78" s="20"/>
      <c r="B78" s="20"/>
      <c r="C78" s="20"/>
      <c r="D78" s="21"/>
      <c r="E78" s="77"/>
      <c r="F78" s="20"/>
      <c r="G78" s="20"/>
      <c r="H78" s="18" t="str">
        <f>IF($B78="","",Paramètres!$C$17)</f>
        <v/>
      </c>
      <c r="I78" s="19"/>
      <c r="J78" s="19"/>
      <c r="K78" s="19"/>
      <c r="L78" s="18" t="str">
        <f>IF($B78="","",SUM(I78:K78))</f>
        <v/>
      </c>
      <c r="M78" s="18" t="str">
        <f>IF($B78="","",H78-L78)</f>
        <v/>
      </c>
      <c r="N78" s="18" t="str">
        <f>IF($B78="","",IF(R78="Ancien",0,Paramètres!$D$17))</f>
        <v/>
      </c>
      <c r="O78" s="19"/>
      <c r="P78" s="18" t="str">
        <f>IF($B78="","",N78-O78)</f>
        <v/>
      </c>
      <c r="Q78" s="21" t="str">
        <f>IF($B78="","",IF(AND(M78&lt;=0,P78&lt;=0),"Soldé","En retard"))</f>
        <v/>
      </c>
      <c r="R78" s="21"/>
    </row>
    <row r="79">
      <c r="A79" s="15"/>
      <c r="B79" s="15"/>
      <c r="C79" s="15"/>
      <c r="D79" s="8"/>
      <c r="E79" s="79"/>
      <c r="F79" s="15"/>
      <c r="G79" s="15"/>
      <c r="H79" s="18" t="str">
        <f>IF($B79="","",Paramètres!$C$17)</f>
        <v/>
      </c>
      <c r="I79" s="19"/>
      <c r="J79" s="19"/>
      <c r="K79" s="19"/>
      <c r="L79" s="18" t="str">
        <f>IF($B79="","",SUM(I79:K79))</f>
        <v/>
      </c>
      <c r="M79" s="18" t="str">
        <f>IF($B79="","",H79-L79)</f>
        <v/>
      </c>
      <c r="N79" s="18" t="str">
        <f>IF($B79="","",IF(R79="Ancien",0,Paramètres!$D$17))</f>
        <v/>
      </c>
      <c r="O79" s="19"/>
      <c r="P79" s="18" t="str">
        <f>IF($B79="","",N79-O79)</f>
        <v/>
      </c>
      <c r="Q79" s="8" t="str">
        <f>IF($B79="","",IF(AND(M79&lt;=0,P79&lt;=0),"Soldé","En retard"))</f>
        <v/>
      </c>
      <c r="R79" s="8"/>
    </row>
    <row r="80">
      <c r="A80" s="20"/>
      <c r="B80" s="20"/>
      <c r="C80" s="20"/>
      <c r="D80" s="21"/>
      <c r="E80" s="77"/>
      <c r="F80" s="20"/>
      <c r="G80" s="20"/>
      <c r="H80" s="18" t="str">
        <f>IF($B80="","",Paramètres!$C$17)</f>
        <v/>
      </c>
      <c r="I80" s="19"/>
      <c r="J80" s="19"/>
      <c r="K80" s="19"/>
      <c r="L80" s="18" t="str">
        <f>IF($B80="","",SUM(I80:K80))</f>
        <v/>
      </c>
      <c r="M80" s="18" t="str">
        <f>IF($B80="","",H80-L80)</f>
        <v/>
      </c>
      <c r="N80" s="18" t="str">
        <f>IF($B80="","",IF(R80="Ancien",0,Paramètres!$D$17))</f>
        <v/>
      </c>
      <c r="O80" s="19"/>
      <c r="P80" s="18" t="str">
        <f>IF($B80="","",N80-O80)</f>
        <v/>
      </c>
      <c r="Q80" s="21" t="str">
        <f>IF($B80="","",IF(AND(M80&lt;=0,P80&lt;=0),"Soldé","En retard"))</f>
        <v/>
      </c>
      <c r="R80" s="21"/>
    </row>
    <row r="81">
      <c r="A81" s="15"/>
      <c r="B81" s="15"/>
      <c r="C81" s="15"/>
      <c r="D81" s="8"/>
      <c r="E81" s="79"/>
      <c r="F81" s="15"/>
      <c r="G81" s="15"/>
      <c r="H81" s="18" t="str">
        <f>IF($B81="","",Paramètres!$C$17)</f>
        <v/>
      </c>
      <c r="I81" s="19"/>
      <c r="J81" s="19"/>
      <c r="K81" s="19"/>
      <c r="L81" s="18" t="str">
        <f>IF($B81="","",SUM(I81:K81))</f>
        <v/>
      </c>
      <c r="M81" s="18" t="str">
        <f>IF($B81="","",H81-L81)</f>
        <v/>
      </c>
      <c r="N81" s="18" t="str">
        <f>IF($B81="","",IF(R81="Ancien",0,Paramètres!$D$17))</f>
        <v/>
      </c>
      <c r="O81" s="19"/>
      <c r="P81" s="18" t="str">
        <f>IF($B81="","",N81-O81)</f>
        <v/>
      </c>
      <c r="Q81" s="8" t="str">
        <f>IF($B81="","",IF(AND(M81&lt;=0,P81&lt;=0),"Soldé","En retard"))</f>
        <v/>
      </c>
      <c r="R81" s="8"/>
    </row>
    <row r="82">
      <c r="A82" s="20"/>
      <c r="B82" s="20"/>
      <c r="C82" s="20"/>
      <c r="D82" s="21"/>
      <c r="E82" s="77"/>
      <c r="F82" s="20"/>
      <c r="G82" s="20"/>
      <c r="H82" s="18" t="str">
        <f>IF($B82="","",Paramètres!$C$17)</f>
        <v/>
      </c>
      <c r="I82" s="19"/>
      <c r="J82" s="19"/>
      <c r="K82" s="19"/>
      <c r="L82" s="18" t="str">
        <f>IF($B82="","",SUM(I82:K82))</f>
        <v/>
      </c>
      <c r="M82" s="18" t="str">
        <f>IF($B82="","",H82-L82)</f>
        <v/>
      </c>
      <c r="N82" s="18" t="str">
        <f>IF($B82="","",IF(R82="Ancien",0,Paramètres!$D$17))</f>
        <v/>
      </c>
      <c r="O82" s="19"/>
      <c r="P82" s="18" t="str">
        <f>IF($B82="","",N82-O82)</f>
        <v/>
      </c>
      <c r="Q82" s="21" t="str">
        <f>IF($B82="","",IF(AND(M82&lt;=0,P82&lt;=0),"Soldé","En retard"))</f>
        <v/>
      </c>
      <c r="R82" s="21"/>
    </row>
    <row r="83">
      <c r="A83" s="15"/>
      <c r="B83" s="15"/>
      <c r="C83" s="15"/>
      <c r="D83" s="8"/>
      <c r="E83" s="79"/>
      <c r="F83" s="15"/>
      <c r="G83" s="15"/>
      <c r="H83" s="18" t="str">
        <f>IF($B83="","",Paramètres!$C$17)</f>
        <v/>
      </c>
      <c r="I83" s="19"/>
      <c r="J83" s="19"/>
      <c r="K83" s="19"/>
      <c r="L83" s="18" t="str">
        <f>IF($B83="","",SUM(I83:K83))</f>
        <v/>
      </c>
      <c r="M83" s="18" t="str">
        <f>IF($B83="","",H83-L83)</f>
        <v/>
      </c>
      <c r="N83" s="18" t="str">
        <f>IF($B83="","",IF(R83="Ancien",0,Paramètres!$D$17))</f>
        <v/>
      </c>
      <c r="O83" s="19"/>
      <c r="P83" s="18" t="str">
        <f>IF($B83="","",N83-O83)</f>
        <v/>
      </c>
      <c r="Q83" s="8" t="str">
        <f>IF($B83="","",IF(AND(M83&lt;=0,P83&lt;=0),"Soldé","En retard"))</f>
        <v/>
      </c>
      <c r="R83" s="8"/>
    </row>
  </sheetData>
  <mergeCells count="2">
    <mergeCell ref="A1:R1"/>
    <mergeCell ref="A2:R2"/>
  </mergeCells>
  <conditionalFormatting sqref="M4:M83 P4:P83">
    <cfRule type="cellIs" dxfId="10" priority="3" operator="greaterThan">
      <formula>0</formula>
    </cfRule>
  </conditionalFormatting>
  <conditionalFormatting sqref="Q4:Q83">
    <cfRule type="cellIs" dxfId="9" priority="1" operator="equal">
      <formula>"Soldé"</formula>
    </cfRule>
    <cfRule type="cellIs" dxfId="8" priority="2" operator="equal">
      <formula>"En retard"</formula>
    </cfRule>
  </conditionalFormatting>
  <dataValidations count="2">
    <dataValidation type="list" allowBlank="1" showErrorMessage="1" errorTitle="Sexe non valide" error="Choisissez M ou F." sqref="D4:D83">
      <formula1>"M,F"</formula1>
    </dataValidation>
    <dataValidation type="list" allowBlank="1" showErrorMessage="1" errorTitle="Statut non valide" error="Choisissez Nouveau ou Ancien. Un élève marqué Ancien ne paie pas les frais d'inscription." sqref="R4:R83">
      <formula1>"Nouveau,Ancien"</formula1>
    </dataValidation>
  </dataValidations>
  <pageMargins left="0.5" right="0.5" top="0.75" bottom="0.75" header="0.3" footer="0.3"/>
  <pageSetup paperSize="9" orientation="landscape" fitToHeight="0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R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7" customWidth="1"/>
    <col min="5" max="5" width="14" customWidth="1"/>
    <col min="6" max="6" width="18" customWidth="1"/>
    <col min="7" max="7" width="16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3" customWidth="1"/>
    <col min="18" max="18" width="16" customWidth="1"/>
  </cols>
  <sheetData>
    <row r="1" ht="27.75" customHeight="1">
      <c r="A1" s="53" t="str">
        <f>"INSCRIPTIONS — "&amp;Paramètres!$A$18</f>
        <v>INSCRIPTIONS — CP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ht="18" customHeight="1">
      <c r="A2" s="54" t="str">
        <f>"Année scolaire "&amp;Paramètres!$C$11&amp;"   •   Effectif : "&amp;COUNTIF($B$4:$B$83,"?*")&amp;"   •   Cellules jaunes = montants à saisir ; colonnes grises = calcul automatique"</f>
        <v>Année scolaire 2025-2026   •   Effectif : 0   •   Cellules jaunes = montants à saisir ; colonnes grises = calcul automatique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Sexe</t>
        </is>
      </c>
      <c r="E3" s="3" t="inlineStr">
        <is>
          <t>Date de naissance</t>
        </is>
      </c>
      <c r="F3" s="3" t="inlineStr">
        <is>
          <t>Nom du tuteur</t>
        </is>
      </c>
      <c r="G3" s="3" t="inlineStr">
        <is>
          <t>Téléphone</t>
        </is>
      </c>
      <c r="H3" s="3" t="inlineStr">
        <is>
          <t>Scolarité due</t>
        </is>
      </c>
      <c r="I3" s="3" t="inlineStr">
        <is>
          <t>Tranche 1</t>
        </is>
      </c>
      <c r="J3" s="3" t="inlineStr">
        <is>
          <t>Tranche 2</t>
        </is>
      </c>
      <c r="K3" s="3" t="inlineStr">
        <is>
          <t>Tranche 3</t>
        </is>
      </c>
      <c r="L3" s="3" t="inlineStr">
        <is>
          <t>Total payé</t>
        </is>
      </c>
      <c r="M3" s="3" t="inlineStr">
        <is>
          <t>Reste à payer</t>
        </is>
      </c>
      <c r="N3" s="3" t="inlineStr">
        <is>
          <t>Inscription due</t>
        </is>
      </c>
      <c r="O3" s="3" t="inlineStr">
        <is>
          <t>Inscription payée</t>
        </is>
      </c>
      <c r="P3" s="3" t="inlineStr">
        <is>
          <t>Reste inscription</t>
        </is>
      </c>
      <c r="Q3" s="3" t="inlineStr">
        <is>
          <t>Statut</t>
        </is>
      </c>
      <c r="R3" s="3" t="inlineStr">
        <is>
          <t>Nouveau / Ancien</t>
        </is>
      </c>
    </row>
    <row r="4">
      <c r="A4" s="20"/>
      <c r="B4" s="20"/>
      <c r="C4" s="20"/>
      <c r="D4" s="21"/>
      <c r="E4" s="77"/>
      <c r="F4" s="20"/>
      <c r="G4" s="20"/>
      <c r="H4" s="18" t="str">
        <f>IF($B4="","",Paramètres!$C$18)</f>
        <v/>
      </c>
      <c r="I4" s="19"/>
      <c r="J4" s="19"/>
      <c r="K4" s="19"/>
      <c r="L4" s="18" t="str">
        <f>IF($B4="","",SUM(I4:K4))</f>
        <v/>
      </c>
      <c r="M4" s="18" t="str">
        <f>IF($B4="","",H4-L4)</f>
        <v/>
      </c>
      <c r="N4" s="18" t="str">
        <f>IF($B4="","",IF(R4="Ancien",0,Paramètres!$D$18))</f>
        <v/>
      </c>
      <c r="O4" s="19"/>
      <c r="P4" s="18" t="str">
        <f>IF($B4="","",N4-O4)</f>
        <v/>
      </c>
      <c r="Q4" s="21" t="str">
        <f>IF($B4="","",IF(AND(M4&lt;=0,P4&lt;=0),"Soldé","En retard"))</f>
        <v/>
      </c>
      <c r="R4" s="21"/>
    </row>
    <row r="5">
      <c r="A5" s="15"/>
      <c r="B5" s="15"/>
      <c r="C5" s="15"/>
      <c r="D5" s="8"/>
      <c r="E5" s="79"/>
      <c r="F5" s="15"/>
      <c r="G5" s="15"/>
      <c r="H5" s="18" t="str">
        <f>IF($B5="","",Paramètres!$C$18)</f>
        <v/>
      </c>
      <c r="I5" s="19"/>
      <c r="J5" s="19"/>
      <c r="K5" s="19"/>
      <c r="L5" s="18" t="str">
        <f>IF($B5="","",SUM(I5:K5))</f>
        <v/>
      </c>
      <c r="M5" s="18" t="str">
        <f>IF($B5="","",H5-L5)</f>
        <v/>
      </c>
      <c r="N5" s="18" t="str">
        <f>IF($B5="","",IF(R5="Ancien",0,Paramètres!$D$18))</f>
        <v/>
      </c>
      <c r="O5" s="19"/>
      <c r="P5" s="18" t="str">
        <f>IF($B5="","",N5-O5)</f>
        <v/>
      </c>
      <c r="Q5" s="8" t="str">
        <f>IF($B5="","",IF(AND(M5&lt;=0,P5&lt;=0),"Soldé","En retard"))</f>
        <v/>
      </c>
      <c r="R5" s="8"/>
    </row>
    <row r="6">
      <c r="A6" s="20"/>
      <c r="B6" s="20"/>
      <c r="C6" s="20"/>
      <c r="D6" s="21"/>
      <c r="E6" s="77"/>
      <c r="F6" s="20"/>
      <c r="G6" s="20"/>
      <c r="H6" s="18" t="str">
        <f>IF($B6="","",Paramètres!$C$18)</f>
        <v/>
      </c>
      <c r="I6" s="19"/>
      <c r="J6" s="19"/>
      <c r="K6" s="19"/>
      <c r="L6" s="18" t="str">
        <f>IF($B6="","",SUM(I6:K6))</f>
        <v/>
      </c>
      <c r="M6" s="18" t="str">
        <f>IF($B6="","",H6-L6)</f>
        <v/>
      </c>
      <c r="N6" s="18" t="str">
        <f>IF($B6="","",IF(R6="Ancien",0,Paramètres!$D$18))</f>
        <v/>
      </c>
      <c r="O6" s="19"/>
      <c r="P6" s="18" t="str">
        <f>IF($B6="","",N6-O6)</f>
        <v/>
      </c>
      <c r="Q6" s="21" t="str">
        <f>IF($B6="","",IF(AND(M6&lt;=0,P6&lt;=0),"Soldé","En retard"))</f>
        <v/>
      </c>
      <c r="R6" s="21"/>
    </row>
    <row r="7">
      <c r="A7" s="15"/>
      <c r="B7" s="15"/>
      <c r="C7" s="15"/>
      <c r="D7" s="8"/>
      <c r="E7" s="79"/>
      <c r="F7" s="15"/>
      <c r="G7" s="15"/>
      <c r="H7" s="18" t="str">
        <f>IF($B7="","",Paramètres!$C$18)</f>
        <v/>
      </c>
      <c r="I7" s="19"/>
      <c r="J7" s="19"/>
      <c r="K7" s="19"/>
      <c r="L7" s="18" t="str">
        <f>IF($B7="","",SUM(I7:K7))</f>
        <v/>
      </c>
      <c r="M7" s="18" t="str">
        <f>IF($B7="","",H7-L7)</f>
        <v/>
      </c>
      <c r="N7" s="18" t="str">
        <f>IF($B7="","",IF(R7="Ancien",0,Paramètres!$D$18))</f>
        <v/>
      </c>
      <c r="O7" s="19"/>
      <c r="P7" s="18" t="str">
        <f>IF($B7="","",N7-O7)</f>
        <v/>
      </c>
      <c r="Q7" s="8" t="str">
        <f>IF($B7="","",IF(AND(M7&lt;=0,P7&lt;=0),"Soldé","En retard"))</f>
        <v/>
      </c>
      <c r="R7" s="8"/>
    </row>
    <row r="8">
      <c r="A8" s="20"/>
      <c r="B8" s="20"/>
      <c r="C8" s="20"/>
      <c r="D8" s="21"/>
      <c r="E8" s="77"/>
      <c r="F8" s="20"/>
      <c r="G8" s="20"/>
      <c r="H8" s="18" t="str">
        <f>IF($B8="","",Paramètres!$C$18)</f>
        <v/>
      </c>
      <c r="I8" s="19"/>
      <c r="J8" s="19"/>
      <c r="K8" s="19"/>
      <c r="L8" s="18" t="str">
        <f>IF($B8="","",SUM(I8:K8))</f>
        <v/>
      </c>
      <c r="M8" s="18" t="str">
        <f>IF($B8="","",H8-L8)</f>
        <v/>
      </c>
      <c r="N8" s="18" t="str">
        <f>IF($B8="","",IF(R8="Ancien",0,Paramètres!$D$18))</f>
        <v/>
      </c>
      <c r="O8" s="19"/>
      <c r="P8" s="18" t="str">
        <f>IF($B8="","",N8-O8)</f>
        <v/>
      </c>
      <c r="Q8" s="21" t="str">
        <f>IF($B8="","",IF(AND(M8&lt;=0,P8&lt;=0),"Soldé","En retard"))</f>
        <v/>
      </c>
      <c r="R8" s="21"/>
    </row>
    <row r="9">
      <c r="A9" s="15"/>
      <c r="B9" s="15"/>
      <c r="C9" s="15"/>
      <c r="D9" s="8"/>
      <c r="E9" s="79"/>
      <c r="F9" s="15"/>
      <c r="G9" s="15"/>
      <c r="H9" s="18" t="str">
        <f>IF($B9="","",Paramètres!$C$18)</f>
        <v/>
      </c>
      <c r="I9" s="19"/>
      <c r="J9" s="19"/>
      <c r="K9" s="19"/>
      <c r="L9" s="18" t="str">
        <f>IF($B9="","",SUM(I9:K9))</f>
        <v/>
      </c>
      <c r="M9" s="18" t="str">
        <f>IF($B9="","",H9-L9)</f>
        <v/>
      </c>
      <c r="N9" s="18" t="str">
        <f>IF($B9="","",IF(R9="Ancien",0,Paramètres!$D$18))</f>
        <v/>
      </c>
      <c r="O9" s="19"/>
      <c r="P9" s="18" t="str">
        <f>IF($B9="","",N9-O9)</f>
        <v/>
      </c>
      <c r="Q9" s="8" t="str">
        <f>IF($B9="","",IF(AND(M9&lt;=0,P9&lt;=0),"Soldé","En retard"))</f>
        <v/>
      </c>
      <c r="R9" s="8"/>
    </row>
    <row r="10">
      <c r="A10" s="20"/>
      <c r="B10" s="20"/>
      <c r="C10" s="20"/>
      <c r="D10" s="21"/>
      <c r="E10" s="77"/>
      <c r="F10" s="20"/>
      <c r="G10" s="20"/>
      <c r="H10" s="18" t="str">
        <f>IF($B10="","",Paramètres!$C$18)</f>
        <v/>
      </c>
      <c r="I10" s="19"/>
      <c r="J10" s="19"/>
      <c r="K10" s="19"/>
      <c r="L10" s="18" t="str">
        <f>IF($B10="","",SUM(I10:K10))</f>
        <v/>
      </c>
      <c r="M10" s="18" t="str">
        <f>IF($B10="","",H10-L10)</f>
        <v/>
      </c>
      <c r="N10" s="18" t="str">
        <f>IF($B10="","",IF(R10="Ancien",0,Paramètres!$D$18))</f>
        <v/>
      </c>
      <c r="O10" s="19"/>
      <c r="P10" s="18" t="str">
        <f>IF($B10="","",N10-O10)</f>
        <v/>
      </c>
      <c r="Q10" s="21" t="str">
        <f>IF($B10="","",IF(AND(M10&lt;=0,P10&lt;=0),"Soldé","En retard"))</f>
        <v/>
      </c>
      <c r="R10" s="21"/>
    </row>
    <row r="11">
      <c r="A11" s="15"/>
      <c r="B11" s="15"/>
      <c r="C11" s="15"/>
      <c r="D11" s="8"/>
      <c r="E11" s="79"/>
      <c r="F11" s="15"/>
      <c r="G11" s="15"/>
      <c r="H11" s="18" t="str">
        <f>IF($B11="","",Paramètres!$C$18)</f>
        <v/>
      </c>
      <c r="I11" s="19"/>
      <c r="J11" s="19"/>
      <c r="K11" s="19"/>
      <c r="L11" s="18" t="str">
        <f>IF($B11="","",SUM(I11:K11))</f>
        <v/>
      </c>
      <c r="M11" s="18" t="str">
        <f>IF($B11="","",H11-L11)</f>
        <v/>
      </c>
      <c r="N11" s="18" t="str">
        <f>IF($B11="","",IF(R11="Ancien",0,Paramètres!$D$18))</f>
        <v/>
      </c>
      <c r="O11" s="19"/>
      <c r="P11" s="18" t="str">
        <f>IF($B11="","",N11-O11)</f>
        <v/>
      </c>
      <c r="Q11" s="8" t="str">
        <f>IF($B11="","",IF(AND(M11&lt;=0,P11&lt;=0),"Soldé","En retard"))</f>
        <v/>
      </c>
      <c r="R11" s="8"/>
    </row>
    <row r="12">
      <c r="A12" s="20"/>
      <c r="B12" s="20"/>
      <c r="C12" s="20"/>
      <c r="D12" s="21"/>
      <c r="E12" s="77"/>
      <c r="F12" s="20"/>
      <c r="G12" s="20"/>
      <c r="H12" s="18" t="str">
        <f>IF($B12="","",Paramètres!$C$18)</f>
        <v/>
      </c>
      <c r="I12" s="19"/>
      <c r="J12" s="19"/>
      <c r="K12" s="19"/>
      <c r="L12" s="18" t="str">
        <f>IF($B12="","",SUM(I12:K12))</f>
        <v/>
      </c>
      <c r="M12" s="18" t="str">
        <f>IF($B12="","",H12-L12)</f>
        <v/>
      </c>
      <c r="N12" s="18" t="str">
        <f>IF($B12="","",IF(R12="Ancien",0,Paramètres!$D$18))</f>
        <v/>
      </c>
      <c r="O12" s="19"/>
      <c r="P12" s="18" t="str">
        <f>IF($B12="","",N12-O12)</f>
        <v/>
      </c>
      <c r="Q12" s="21" t="str">
        <f>IF($B12="","",IF(AND(M12&lt;=0,P12&lt;=0),"Soldé","En retard"))</f>
        <v/>
      </c>
      <c r="R12" s="21"/>
    </row>
    <row r="13">
      <c r="A13" s="15"/>
      <c r="B13" s="15"/>
      <c r="C13" s="15"/>
      <c r="D13" s="8"/>
      <c r="E13" s="79"/>
      <c r="F13" s="15"/>
      <c r="G13" s="15"/>
      <c r="H13" s="18" t="str">
        <f>IF($B13="","",Paramètres!$C$18)</f>
        <v/>
      </c>
      <c r="I13" s="19"/>
      <c r="J13" s="19"/>
      <c r="K13" s="19"/>
      <c r="L13" s="18" t="str">
        <f>IF($B13="","",SUM(I13:K13))</f>
        <v/>
      </c>
      <c r="M13" s="18" t="str">
        <f>IF($B13="","",H13-L13)</f>
        <v/>
      </c>
      <c r="N13" s="18" t="str">
        <f>IF($B13="","",IF(R13="Ancien",0,Paramètres!$D$18))</f>
        <v/>
      </c>
      <c r="O13" s="19"/>
      <c r="P13" s="18" t="str">
        <f>IF($B13="","",N13-O13)</f>
        <v/>
      </c>
      <c r="Q13" s="8" t="str">
        <f>IF($B13="","",IF(AND(M13&lt;=0,P13&lt;=0),"Soldé","En retard"))</f>
        <v/>
      </c>
      <c r="R13" s="8"/>
    </row>
    <row r="14">
      <c r="A14" s="20"/>
      <c r="B14" s="20"/>
      <c r="C14" s="20"/>
      <c r="D14" s="21"/>
      <c r="E14" s="77"/>
      <c r="F14" s="20"/>
      <c r="G14" s="20"/>
      <c r="H14" s="18" t="str">
        <f>IF($B14="","",Paramètres!$C$18)</f>
        <v/>
      </c>
      <c r="I14" s="19"/>
      <c r="J14" s="19"/>
      <c r="K14" s="19"/>
      <c r="L14" s="18" t="str">
        <f>IF($B14="","",SUM(I14:K14))</f>
        <v/>
      </c>
      <c r="M14" s="18" t="str">
        <f>IF($B14="","",H14-L14)</f>
        <v/>
      </c>
      <c r="N14" s="18" t="str">
        <f>IF($B14="","",IF(R14="Ancien",0,Paramètres!$D$18))</f>
        <v/>
      </c>
      <c r="O14" s="19"/>
      <c r="P14" s="18" t="str">
        <f>IF($B14="","",N14-O14)</f>
        <v/>
      </c>
      <c r="Q14" s="21" t="str">
        <f>IF($B14="","",IF(AND(M14&lt;=0,P14&lt;=0),"Soldé","En retard"))</f>
        <v/>
      </c>
      <c r="R14" s="21"/>
    </row>
    <row r="15">
      <c r="A15" s="15"/>
      <c r="B15" s="15"/>
      <c r="C15" s="15"/>
      <c r="D15" s="8"/>
      <c r="E15" s="79"/>
      <c r="F15" s="15"/>
      <c r="G15" s="15"/>
      <c r="H15" s="18" t="str">
        <f>IF($B15="","",Paramètres!$C$18)</f>
        <v/>
      </c>
      <c r="I15" s="19"/>
      <c r="J15" s="19"/>
      <c r="K15" s="19"/>
      <c r="L15" s="18" t="str">
        <f>IF($B15="","",SUM(I15:K15))</f>
        <v/>
      </c>
      <c r="M15" s="18" t="str">
        <f>IF($B15="","",H15-L15)</f>
        <v/>
      </c>
      <c r="N15" s="18" t="str">
        <f>IF($B15="","",IF(R15="Ancien",0,Paramètres!$D$18))</f>
        <v/>
      </c>
      <c r="O15" s="19"/>
      <c r="P15" s="18" t="str">
        <f>IF($B15="","",N15-O15)</f>
        <v/>
      </c>
      <c r="Q15" s="8" t="str">
        <f>IF($B15="","",IF(AND(M15&lt;=0,P15&lt;=0),"Soldé","En retard"))</f>
        <v/>
      </c>
      <c r="R15" s="8"/>
    </row>
    <row r="16">
      <c r="A16" s="20"/>
      <c r="B16" s="20"/>
      <c r="C16" s="20"/>
      <c r="D16" s="21"/>
      <c r="E16" s="77"/>
      <c r="F16" s="20"/>
      <c r="G16" s="20"/>
      <c r="H16" s="18" t="str">
        <f>IF($B16="","",Paramètres!$C$18)</f>
        <v/>
      </c>
      <c r="I16" s="19"/>
      <c r="J16" s="19"/>
      <c r="K16" s="19"/>
      <c r="L16" s="18" t="str">
        <f>IF($B16="","",SUM(I16:K16))</f>
        <v/>
      </c>
      <c r="M16" s="18" t="str">
        <f>IF($B16="","",H16-L16)</f>
        <v/>
      </c>
      <c r="N16" s="18" t="str">
        <f>IF($B16="","",IF(R16="Ancien",0,Paramètres!$D$18))</f>
        <v/>
      </c>
      <c r="O16" s="19"/>
      <c r="P16" s="18" t="str">
        <f>IF($B16="","",N16-O16)</f>
        <v/>
      </c>
      <c r="Q16" s="21" t="str">
        <f>IF($B16="","",IF(AND(M16&lt;=0,P16&lt;=0),"Soldé","En retard"))</f>
        <v/>
      </c>
      <c r="R16" s="21"/>
    </row>
    <row r="17">
      <c r="A17" s="15"/>
      <c r="B17" s="15"/>
      <c r="C17" s="15"/>
      <c r="D17" s="8"/>
      <c r="E17" s="79"/>
      <c r="F17" s="15"/>
      <c r="G17" s="15"/>
      <c r="H17" s="18" t="str">
        <f>IF($B17="","",Paramètres!$C$18)</f>
        <v/>
      </c>
      <c r="I17" s="19"/>
      <c r="J17" s="19"/>
      <c r="K17" s="19"/>
      <c r="L17" s="18" t="str">
        <f>IF($B17="","",SUM(I17:K17))</f>
        <v/>
      </c>
      <c r="M17" s="18" t="str">
        <f>IF($B17="","",H17-L17)</f>
        <v/>
      </c>
      <c r="N17" s="18" t="str">
        <f>IF($B17="","",IF(R17="Ancien",0,Paramètres!$D$18))</f>
        <v/>
      </c>
      <c r="O17" s="19"/>
      <c r="P17" s="18" t="str">
        <f>IF($B17="","",N17-O17)</f>
        <v/>
      </c>
      <c r="Q17" s="8" t="str">
        <f>IF($B17="","",IF(AND(M17&lt;=0,P17&lt;=0),"Soldé","En retard"))</f>
        <v/>
      </c>
      <c r="R17" s="8"/>
    </row>
    <row r="18">
      <c r="A18" s="20"/>
      <c r="B18" s="20"/>
      <c r="C18" s="20"/>
      <c r="D18" s="21"/>
      <c r="E18" s="77"/>
      <c r="F18" s="20"/>
      <c r="G18" s="20"/>
      <c r="H18" s="18" t="str">
        <f>IF($B18="","",Paramètres!$C$18)</f>
        <v/>
      </c>
      <c r="I18" s="19"/>
      <c r="J18" s="19"/>
      <c r="K18" s="19"/>
      <c r="L18" s="18" t="str">
        <f>IF($B18="","",SUM(I18:K18))</f>
        <v/>
      </c>
      <c r="M18" s="18" t="str">
        <f>IF($B18="","",H18-L18)</f>
        <v/>
      </c>
      <c r="N18" s="18" t="str">
        <f>IF($B18="","",IF(R18="Ancien",0,Paramètres!$D$18))</f>
        <v/>
      </c>
      <c r="O18" s="19"/>
      <c r="P18" s="18" t="str">
        <f>IF($B18="","",N18-O18)</f>
        <v/>
      </c>
      <c r="Q18" s="21" t="str">
        <f>IF($B18="","",IF(AND(M18&lt;=0,P18&lt;=0),"Soldé","En retard"))</f>
        <v/>
      </c>
      <c r="R18" s="21"/>
    </row>
    <row r="19">
      <c r="A19" s="15"/>
      <c r="B19" s="15"/>
      <c r="C19" s="15"/>
      <c r="D19" s="8"/>
      <c r="E19" s="79"/>
      <c r="F19" s="15"/>
      <c r="G19" s="15"/>
      <c r="H19" s="18" t="str">
        <f>IF($B19="","",Paramètres!$C$18)</f>
        <v/>
      </c>
      <c r="I19" s="19"/>
      <c r="J19" s="19"/>
      <c r="K19" s="19"/>
      <c r="L19" s="18" t="str">
        <f>IF($B19="","",SUM(I19:K19))</f>
        <v/>
      </c>
      <c r="M19" s="18" t="str">
        <f>IF($B19="","",H19-L19)</f>
        <v/>
      </c>
      <c r="N19" s="18" t="str">
        <f>IF($B19="","",IF(R19="Ancien",0,Paramètres!$D$18))</f>
        <v/>
      </c>
      <c r="O19" s="19"/>
      <c r="P19" s="18" t="str">
        <f>IF($B19="","",N19-O19)</f>
        <v/>
      </c>
      <c r="Q19" s="8" t="str">
        <f>IF($B19="","",IF(AND(M19&lt;=0,P19&lt;=0),"Soldé","En retard"))</f>
        <v/>
      </c>
      <c r="R19" s="8"/>
    </row>
    <row r="20">
      <c r="A20" s="20"/>
      <c r="B20" s="20"/>
      <c r="C20" s="20"/>
      <c r="D20" s="21"/>
      <c r="E20" s="77"/>
      <c r="F20" s="20"/>
      <c r="G20" s="20"/>
      <c r="H20" s="18" t="str">
        <f>IF($B20="","",Paramètres!$C$18)</f>
        <v/>
      </c>
      <c r="I20" s="19"/>
      <c r="J20" s="19"/>
      <c r="K20" s="19"/>
      <c r="L20" s="18" t="str">
        <f>IF($B20="","",SUM(I20:K20))</f>
        <v/>
      </c>
      <c r="M20" s="18" t="str">
        <f>IF($B20="","",H20-L20)</f>
        <v/>
      </c>
      <c r="N20" s="18" t="str">
        <f>IF($B20="","",IF(R20="Ancien",0,Paramètres!$D$18))</f>
        <v/>
      </c>
      <c r="O20" s="19"/>
      <c r="P20" s="18" t="str">
        <f>IF($B20="","",N20-O20)</f>
        <v/>
      </c>
      <c r="Q20" s="21" t="str">
        <f>IF($B20="","",IF(AND(M20&lt;=0,P20&lt;=0),"Soldé","En retard"))</f>
        <v/>
      </c>
      <c r="R20" s="21"/>
    </row>
    <row r="21">
      <c r="A21" s="15"/>
      <c r="B21" s="15"/>
      <c r="C21" s="15"/>
      <c r="D21" s="8"/>
      <c r="E21" s="79"/>
      <c r="F21" s="15"/>
      <c r="G21" s="15"/>
      <c r="H21" s="18" t="str">
        <f>IF($B21="","",Paramètres!$C$18)</f>
        <v/>
      </c>
      <c r="I21" s="19"/>
      <c r="J21" s="19"/>
      <c r="K21" s="19"/>
      <c r="L21" s="18" t="str">
        <f>IF($B21="","",SUM(I21:K21))</f>
        <v/>
      </c>
      <c r="M21" s="18" t="str">
        <f>IF($B21="","",H21-L21)</f>
        <v/>
      </c>
      <c r="N21" s="18" t="str">
        <f>IF($B21="","",IF(R21="Ancien",0,Paramètres!$D$18))</f>
        <v/>
      </c>
      <c r="O21" s="19"/>
      <c r="P21" s="18" t="str">
        <f>IF($B21="","",N21-O21)</f>
        <v/>
      </c>
      <c r="Q21" s="8" t="str">
        <f>IF($B21="","",IF(AND(M21&lt;=0,P21&lt;=0),"Soldé","En retard"))</f>
        <v/>
      </c>
      <c r="R21" s="8"/>
    </row>
    <row r="22">
      <c r="A22" s="20"/>
      <c r="B22" s="20"/>
      <c r="C22" s="20"/>
      <c r="D22" s="21"/>
      <c r="E22" s="77"/>
      <c r="F22" s="20"/>
      <c r="G22" s="20"/>
      <c r="H22" s="18" t="str">
        <f>IF($B22="","",Paramètres!$C$18)</f>
        <v/>
      </c>
      <c r="I22" s="19"/>
      <c r="J22" s="19"/>
      <c r="K22" s="19"/>
      <c r="L22" s="18" t="str">
        <f>IF($B22="","",SUM(I22:K22))</f>
        <v/>
      </c>
      <c r="M22" s="18" t="str">
        <f>IF($B22="","",H22-L22)</f>
        <v/>
      </c>
      <c r="N22" s="18" t="str">
        <f>IF($B22="","",IF(R22="Ancien",0,Paramètres!$D$18))</f>
        <v/>
      </c>
      <c r="O22" s="19"/>
      <c r="P22" s="18" t="str">
        <f>IF($B22="","",N22-O22)</f>
        <v/>
      </c>
      <c r="Q22" s="21" t="str">
        <f>IF($B22="","",IF(AND(M22&lt;=0,P22&lt;=0),"Soldé","En retard"))</f>
        <v/>
      </c>
      <c r="R22" s="21"/>
    </row>
    <row r="23">
      <c r="A23" s="15"/>
      <c r="B23" s="15"/>
      <c r="C23" s="15"/>
      <c r="D23" s="8"/>
      <c r="E23" s="79"/>
      <c r="F23" s="15"/>
      <c r="G23" s="15"/>
      <c r="H23" s="18" t="str">
        <f>IF($B23="","",Paramètres!$C$18)</f>
        <v/>
      </c>
      <c r="I23" s="19"/>
      <c r="J23" s="19"/>
      <c r="K23" s="19"/>
      <c r="L23" s="18" t="str">
        <f>IF($B23="","",SUM(I23:K23))</f>
        <v/>
      </c>
      <c r="M23" s="18" t="str">
        <f>IF($B23="","",H23-L23)</f>
        <v/>
      </c>
      <c r="N23" s="18" t="str">
        <f>IF($B23="","",IF(R23="Ancien",0,Paramètres!$D$18))</f>
        <v/>
      </c>
      <c r="O23" s="19"/>
      <c r="P23" s="18" t="str">
        <f>IF($B23="","",N23-O23)</f>
        <v/>
      </c>
      <c r="Q23" s="8" t="str">
        <f>IF($B23="","",IF(AND(M23&lt;=0,P23&lt;=0),"Soldé","En retard"))</f>
        <v/>
      </c>
      <c r="R23" s="8"/>
    </row>
    <row r="24">
      <c r="A24" s="20"/>
      <c r="B24" s="20"/>
      <c r="C24" s="20"/>
      <c r="D24" s="21"/>
      <c r="E24" s="77"/>
      <c r="F24" s="20"/>
      <c r="G24" s="20"/>
      <c r="H24" s="18" t="str">
        <f>IF($B24="","",Paramètres!$C$18)</f>
        <v/>
      </c>
      <c r="I24" s="19"/>
      <c r="J24" s="19"/>
      <c r="K24" s="19"/>
      <c r="L24" s="18" t="str">
        <f>IF($B24="","",SUM(I24:K24))</f>
        <v/>
      </c>
      <c r="M24" s="18" t="str">
        <f>IF($B24="","",H24-L24)</f>
        <v/>
      </c>
      <c r="N24" s="18" t="str">
        <f>IF($B24="","",IF(R24="Ancien",0,Paramètres!$D$18))</f>
        <v/>
      </c>
      <c r="O24" s="19"/>
      <c r="P24" s="18" t="str">
        <f>IF($B24="","",N24-O24)</f>
        <v/>
      </c>
      <c r="Q24" s="21" t="str">
        <f>IF($B24="","",IF(AND(M24&lt;=0,P24&lt;=0),"Soldé","En retard"))</f>
        <v/>
      </c>
      <c r="R24" s="21"/>
    </row>
    <row r="25">
      <c r="A25" s="15"/>
      <c r="B25" s="15"/>
      <c r="C25" s="15"/>
      <c r="D25" s="8"/>
      <c r="E25" s="79"/>
      <c r="F25" s="15"/>
      <c r="G25" s="15"/>
      <c r="H25" s="18" t="str">
        <f>IF($B25="","",Paramètres!$C$18)</f>
        <v/>
      </c>
      <c r="I25" s="19"/>
      <c r="J25" s="19"/>
      <c r="K25" s="19"/>
      <c r="L25" s="18" t="str">
        <f>IF($B25="","",SUM(I25:K25))</f>
        <v/>
      </c>
      <c r="M25" s="18" t="str">
        <f>IF($B25="","",H25-L25)</f>
        <v/>
      </c>
      <c r="N25" s="18" t="str">
        <f>IF($B25="","",IF(R25="Ancien",0,Paramètres!$D$18))</f>
        <v/>
      </c>
      <c r="O25" s="19"/>
      <c r="P25" s="18" t="str">
        <f>IF($B25="","",N25-O25)</f>
        <v/>
      </c>
      <c r="Q25" s="8" t="str">
        <f>IF($B25="","",IF(AND(M25&lt;=0,P25&lt;=0),"Soldé","En retard"))</f>
        <v/>
      </c>
      <c r="R25" s="8"/>
    </row>
    <row r="26">
      <c r="A26" s="20"/>
      <c r="B26" s="20"/>
      <c r="C26" s="20"/>
      <c r="D26" s="21"/>
      <c r="E26" s="77"/>
      <c r="F26" s="20"/>
      <c r="G26" s="20"/>
      <c r="H26" s="18" t="str">
        <f>IF($B26="","",Paramètres!$C$18)</f>
        <v/>
      </c>
      <c r="I26" s="19"/>
      <c r="J26" s="19"/>
      <c r="K26" s="19"/>
      <c r="L26" s="18" t="str">
        <f>IF($B26="","",SUM(I26:K26))</f>
        <v/>
      </c>
      <c r="M26" s="18" t="str">
        <f>IF($B26="","",H26-L26)</f>
        <v/>
      </c>
      <c r="N26" s="18" t="str">
        <f>IF($B26="","",IF(R26="Ancien",0,Paramètres!$D$18))</f>
        <v/>
      </c>
      <c r="O26" s="19"/>
      <c r="P26" s="18" t="str">
        <f>IF($B26="","",N26-O26)</f>
        <v/>
      </c>
      <c r="Q26" s="21" t="str">
        <f>IF($B26="","",IF(AND(M26&lt;=0,P26&lt;=0),"Soldé","En retard"))</f>
        <v/>
      </c>
      <c r="R26" s="21"/>
    </row>
    <row r="27">
      <c r="A27" s="15"/>
      <c r="B27" s="15"/>
      <c r="C27" s="15"/>
      <c r="D27" s="8"/>
      <c r="E27" s="79"/>
      <c r="F27" s="15"/>
      <c r="G27" s="15"/>
      <c r="H27" s="18" t="str">
        <f>IF($B27="","",Paramètres!$C$18)</f>
        <v/>
      </c>
      <c r="I27" s="19"/>
      <c r="J27" s="19"/>
      <c r="K27" s="19"/>
      <c r="L27" s="18" t="str">
        <f>IF($B27="","",SUM(I27:K27))</f>
        <v/>
      </c>
      <c r="M27" s="18" t="str">
        <f>IF($B27="","",H27-L27)</f>
        <v/>
      </c>
      <c r="N27" s="18" t="str">
        <f>IF($B27="","",IF(R27="Ancien",0,Paramètres!$D$18))</f>
        <v/>
      </c>
      <c r="O27" s="19"/>
      <c r="P27" s="18" t="str">
        <f>IF($B27="","",N27-O27)</f>
        <v/>
      </c>
      <c r="Q27" s="8" t="str">
        <f>IF($B27="","",IF(AND(M27&lt;=0,P27&lt;=0),"Soldé","En retard"))</f>
        <v/>
      </c>
      <c r="R27" s="8"/>
    </row>
    <row r="28">
      <c r="A28" s="20"/>
      <c r="B28" s="20"/>
      <c r="C28" s="20"/>
      <c r="D28" s="21"/>
      <c r="E28" s="77"/>
      <c r="F28" s="20"/>
      <c r="G28" s="20"/>
      <c r="H28" s="18" t="str">
        <f>IF($B28="","",Paramètres!$C$18)</f>
        <v/>
      </c>
      <c r="I28" s="19"/>
      <c r="J28" s="19"/>
      <c r="K28" s="19"/>
      <c r="L28" s="18" t="str">
        <f>IF($B28="","",SUM(I28:K28))</f>
        <v/>
      </c>
      <c r="M28" s="18" t="str">
        <f>IF($B28="","",H28-L28)</f>
        <v/>
      </c>
      <c r="N28" s="18" t="str">
        <f>IF($B28="","",IF(R28="Ancien",0,Paramètres!$D$18))</f>
        <v/>
      </c>
      <c r="O28" s="19"/>
      <c r="P28" s="18" t="str">
        <f>IF($B28="","",N28-O28)</f>
        <v/>
      </c>
      <c r="Q28" s="21" t="str">
        <f>IF($B28="","",IF(AND(M28&lt;=0,P28&lt;=0),"Soldé","En retard"))</f>
        <v/>
      </c>
      <c r="R28" s="21"/>
    </row>
    <row r="29">
      <c r="A29" s="15"/>
      <c r="B29" s="15"/>
      <c r="C29" s="15"/>
      <c r="D29" s="8"/>
      <c r="E29" s="79"/>
      <c r="F29" s="15"/>
      <c r="G29" s="15"/>
      <c r="H29" s="18" t="str">
        <f>IF($B29="","",Paramètres!$C$18)</f>
        <v/>
      </c>
      <c r="I29" s="19"/>
      <c r="J29" s="19"/>
      <c r="K29" s="19"/>
      <c r="L29" s="18" t="str">
        <f>IF($B29="","",SUM(I29:K29))</f>
        <v/>
      </c>
      <c r="M29" s="18" t="str">
        <f>IF($B29="","",H29-L29)</f>
        <v/>
      </c>
      <c r="N29" s="18" t="str">
        <f>IF($B29="","",IF(R29="Ancien",0,Paramètres!$D$18))</f>
        <v/>
      </c>
      <c r="O29" s="19"/>
      <c r="P29" s="18" t="str">
        <f>IF($B29="","",N29-O29)</f>
        <v/>
      </c>
      <c r="Q29" s="8" t="str">
        <f>IF($B29="","",IF(AND(M29&lt;=0,P29&lt;=0),"Soldé","En retard"))</f>
        <v/>
      </c>
      <c r="R29" s="8"/>
    </row>
    <row r="30">
      <c r="A30" s="20"/>
      <c r="B30" s="20"/>
      <c r="C30" s="20"/>
      <c r="D30" s="21"/>
      <c r="E30" s="77"/>
      <c r="F30" s="20"/>
      <c r="G30" s="20"/>
      <c r="H30" s="18" t="str">
        <f>IF($B30="","",Paramètres!$C$18)</f>
        <v/>
      </c>
      <c r="I30" s="19"/>
      <c r="J30" s="19"/>
      <c r="K30" s="19"/>
      <c r="L30" s="18" t="str">
        <f>IF($B30="","",SUM(I30:K30))</f>
        <v/>
      </c>
      <c r="M30" s="18" t="str">
        <f>IF($B30="","",H30-L30)</f>
        <v/>
      </c>
      <c r="N30" s="18" t="str">
        <f>IF($B30="","",IF(R30="Ancien",0,Paramètres!$D$18))</f>
        <v/>
      </c>
      <c r="O30" s="19"/>
      <c r="P30" s="18" t="str">
        <f>IF($B30="","",N30-O30)</f>
        <v/>
      </c>
      <c r="Q30" s="21" t="str">
        <f>IF($B30="","",IF(AND(M30&lt;=0,P30&lt;=0),"Soldé","En retard"))</f>
        <v/>
      </c>
      <c r="R30" s="21"/>
    </row>
    <row r="31">
      <c r="A31" s="15"/>
      <c r="B31" s="15"/>
      <c r="C31" s="15"/>
      <c r="D31" s="8"/>
      <c r="E31" s="79"/>
      <c r="F31" s="15"/>
      <c r="G31" s="15"/>
      <c r="H31" s="18" t="str">
        <f>IF($B31="","",Paramètres!$C$18)</f>
        <v/>
      </c>
      <c r="I31" s="19"/>
      <c r="J31" s="19"/>
      <c r="K31" s="19"/>
      <c r="L31" s="18" t="str">
        <f>IF($B31="","",SUM(I31:K31))</f>
        <v/>
      </c>
      <c r="M31" s="18" t="str">
        <f>IF($B31="","",H31-L31)</f>
        <v/>
      </c>
      <c r="N31" s="18" t="str">
        <f>IF($B31="","",IF(R31="Ancien",0,Paramètres!$D$18))</f>
        <v/>
      </c>
      <c r="O31" s="19"/>
      <c r="P31" s="18" t="str">
        <f>IF($B31="","",N31-O31)</f>
        <v/>
      </c>
      <c r="Q31" s="8" t="str">
        <f>IF($B31="","",IF(AND(M31&lt;=0,P31&lt;=0),"Soldé","En retard"))</f>
        <v/>
      </c>
      <c r="R31" s="8"/>
    </row>
    <row r="32">
      <c r="A32" s="20"/>
      <c r="B32" s="20"/>
      <c r="C32" s="20"/>
      <c r="D32" s="21"/>
      <c r="E32" s="77"/>
      <c r="F32" s="20"/>
      <c r="G32" s="20"/>
      <c r="H32" s="18" t="str">
        <f>IF($B32="","",Paramètres!$C$18)</f>
        <v/>
      </c>
      <c r="I32" s="19"/>
      <c r="J32" s="19"/>
      <c r="K32" s="19"/>
      <c r="L32" s="18" t="str">
        <f>IF($B32="","",SUM(I32:K32))</f>
        <v/>
      </c>
      <c r="M32" s="18" t="str">
        <f>IF($B32="","",H32-L32)</f>
        <v/>
      </c>
      <c r="N32" s="18" t="str">
        <f>IF($B32="","",IF(R32="Ancien",0,Paramètres!$D$18))</f>
        <v/>
      </c>
      <c r="O32" s="19"/>
      <c r="P32" s="18" t="str">
        <f>IF($B32="","",N32-O32)</f>
        <v/>
      </c>
      <c r="Q32" s="21" t="str">
        <f>IF($B32="","",IF(AND(M32&lt;=0,P32&lt;=0),"Soldé","En retard"))</f>
        <v/>
      </c>
      <c r="R32" s="21"/>
    </row>
    <row r="33">
      <c r="A33" s="15"/>
      <c r="B33" s="15"/>
      <c r="C33" s="15"/>
      <c r="D33" s="8"/>
      <c r="E33" s="79"/>
      <c r="F33" s="15"/>
      <c r="G33" s="15"/>
      <c r="H33" s="18" t="str">
        <f>IF($B33="","",Paramètres!$C$18)</f>
        <v/>
      </c>
      <c r="I33" s="19"/>
      <c r="J33" s="19"/>
      <c r="K33" s="19"/>
      <c r="L33" s="18" t="str">
        <f>IF($B33="","",SUM(I33:K33))</f>
        <v/>
      </c>
      <c r="M33" s="18" t="str">
        <f>IF($B33="","",H33-L33)</f>
        <v/>
      </c>
      <c r="N33" s="18" t="str">
        <f>IF($B33="","",IF(R33="Ancien",0,Paramètres!$D$18))</f>
        <v/>
      </c>
      <c r="O33" s="19"/>
      <c r="P33" s="18" t="str">
        <f>IF($B33="","",N33-O33)</f>
        <v/>
      </c>
      <c r="Q33" s="8" t="str">
        <f>IF($B33="","",IF(AND(M33&lt;=0,P33&lt;=0),"Soldé","En retard"))</f>
        <v/>
      </c>
      <c r="R33" s="8"/>
    </row>
    <row r="34">
      <c r="A34" s="20"/>
      <c r="B34" s="20"/>
      <c r="C34" s="20"/>
      <c r="D34" s="21"/>
      <c r="E34" s="77"/>
      <c r="F34" s="20"/>
      <c r="G34" s="20"/>
      <c r="H34" s="18" t="str">
        <f>IF($B34="","",Paramètres!$C$18)</f>
        <v/>
      </c>
      <c r="I34" s="19"/>
      <c r="J34" s="19"/>
      <c r="K34" s="19"/>
      <c r="L34" s="18" t="str">
        <f>IF($B34="","",SUM(I34:K34))</f>
        <v/>
      </c>
      <c r="M34" s="18" t="str">
        <f>IF($B34="","",H34-L34)</f>
        <v/>
      </c>
      <c r="N34" s="18" t="str">
        <f>IF($B34="","",IF(R34="Ancien",0,Paramètres!$D$18))</f>
        <v/>
      </c>
      <c r="O34" s="19"/>
      <c r="P34" s="18" t="str">
        <f>IF($B34="","",N34-O34)</f>
        <v/>
      </c>
      <c r="Q34" s="21" t="str">
        <f>IF($B34="","",IF(AND(M34&lt;=0,P34&lt;=0),"Soldé","En retard"))</f>
        <v/>
      </c>
      <c r="R34" s="21"/>
    </row>
    <row r="35">
      <c r="A35" s="15"/>
      <c r="B35" s="15"/>
      <c r="C35" s="15"/>
      <c r="D35" s="8"/>
      <c r="E35" s="79"/>
      <c r="F35" s="15"/>
      <c r="G35" s="15"/>
      <c r="H35" s="18" t="str">
        <f>IF($B35="","",Paramètres!$C$18)</f>
        <v/>
      </c>
      <c r="I35" s="19"/>
      <c r="J35" s="19"/>
      <c r="K35" s="19"/>
      <c r="L35" s="18" t="str">
        <f>IF($B35="","",SUM(I35:K35))</f>
        <v/>
      </c>
      <c r="M35" s="18" t="str">
        <f>IF($B35="","",H35-L35)</f>
        <v/>
      </c>
      <c r="N35" s="18" t="str">
        <f>IF($B35="","",IF(R35="Ancien",0,Paramètres!$D$18))</f>
        <v/>
      </c>
      <c r="O35" s="19"/>
      <c r="P35" s="18" t="str">
        <f>IF($B35="","",N35-O35)</f>
        <v/>
      </c>
      <c r="Q35" s="8" t="str">
        <f>IF($B35="","",IF(AND(M35&lt;=0,P35&lt;=0),"Soldé","En retard"))</f>
        <v/>
      </c>
      <c r="R35" s="8"/>
    </row>
    <row r="36">
      <c r="A36" s="20"/>
      <c r="B36" s="20"/>
      <c r="C36" s="20"/>
      <c r="D36" s="21"/>
      <c r="E36" s="77"/>
      <c r="F36" s="20"/>
      <c r="G36" s="20"/>
      <c r="H36" s="18" t="str">
        <f>IF($B36="","",Paramètres!$C$18)</f>
        <v/>
      </c>
      <c r="I36" s="19"/>
      <c r="J36" s="19"/>
      <c r="K36" s="19"/>
      <c r="L36" s="18" t="str">
        <f>IF($B36="","",SUM(I36:K36))</f>
        <v/>
      </c>
      <c r="M36" s="18" t="str">
        <f>IF($B36="","",H36-L36)</f>
        <v/>
      </c>
      <c r="N36" s="18" t="str">
        <f>IF($B36="","",IF(R36="Ancien",0,Paramètres!$D$18))</f>
        <v/>
      </c>
      <c r="O36" s="19"/>
      <c r="P36" s="18" t="str">
        <f>IF($B36="","",N36-O36)</f>
        <v/>
      </c>
      <c r="Q36" s="21" t="str">
        <f>IF($B36="","",IF(AND(M36&lt;=0,P36&lt;=0),"Soldé","En retard"))</f>
        <v/>
      </c>
      <c r="R36" s="21"/>
    </row>
    <row r="37">
      <c r="A37" s="15"/>
      <c r="B37" s="15"/>
      <c r="C37" s="15"/>
      <c r="D37" s="8"/>
      <c r="E37" s="79"/>
      <c r="F37" s="15"/>
      <c r="G37" s="15"/>
      <c r="H37" s="18" t="str">
        <f>IF($B37="","",Paramètres!$C$18)</f>
        <v/>
      </c>
      <c r="I37" s="19"/>
      <c r="J37" s="19"/>
      <c r="K37" s="19"/>
      <c r="L37" s="18" t="str">
        <f>IF($B37="","",SUM(I37:K37))</f>
        <v/>
      </c>
      <c r="M37" s="18" t="str">
        <f>IF($B37="","",H37-L37)</f>
        <v/>
      </c>
      <c r="N37" s="18" t="str">
        <f>IF($B37="","",IF(R37="Ancien",0,Paramètres!$D$18))</f>
        <v/>
      </c>
      <c r="O37" s="19"/>
      <c r="P37" s="18" t="str">
        <f>IF($B37="","",N37-O37)</f>
        <v/>
      </c>
      <c r="Q37" s="8" t="str">
        <f>IF($B37="","",IF(AND(M37&lt;=0,P37&lt;=0),"Soldé","En retard"))</f>
        <v/>
      </c>
      <c r="R37" s="8"/>
    </row>
    <row r="38">
      <c r="A38" s="20"/>
      <c r="B38" s="20"/>
      <c r="C38" s="20"/>
      <c r="D38" s="21"/>
      <c r="E38" s="77"/>
      <c r="F38" s="20"/>
      <c r="G38" s="20"/>
      <c r="H38" s="18" t="str">
        <f>IF($B38="","",Paramètres!$C$18)</f>
        <v/>
      </c>
      <c r="I38" s="19"/>
      <c r="J38" s="19"/>
      <c r="K38" s="19"/>
      <c r="L38" s="18" t="str">
        <f>IF($B38="","",SUM(I38:K38))</f>
        <v/>
      </c>
      <c r="M38" s="18" t="str">
        <f>IF($B38="","",H38-L38)</f>
        <v/>
      </c>
      <c r="N38" s="18" t="str">
        <f>IF($B38="","",IF(R38="Ancien",0,Paramètres!$D$18))</f>
        <v/>
      </c>
      <c r="O38" s="19"/>
      <c r="P38" s="18" t="str">
        <f>IF($B38="","",N38-O38)</f>
        <v/>
      </c>
      <c r="Q38" s="21" t="str">
        <f>IF($B38="","",IF(AND(M38&lt;=0,P38&lt;=0),"Soldé","En retard"))</f>
        <v/>
      </c>
      <c r="R38" s="21"/>
    </row>
    <row r="39">
      <c r="A39" s="15"/>
      <c r="B39" s="15"/>
      <c r="C39" s="15"/>
      <c r="D39" s="8"/>
      <c r="E39" s="79"/>
      <c r="F39" s="15"/>
      <c r="G39" s="15"/>
      <c r="H39" s="18" t="str">
        <f>IF($B39="","",Paramètres!$C$18)</f>
        <v/>
      </c>
      <c r="I39" s="19"/>
      <c r="J39" s="19"/>
      <c r="K39" s="19"/>
      <c r="L39" s="18" t="str">
        <f>IF($B39="","",SUM(I39:K39))</f>
        <v/>
      </c>
      <c r="M39" s="18" t="str">
        <f>IF($B39="","",H39-L39)</f>
        <v/>
      </c>
      <c r="N39" s="18" t="str">
        <f>IF($B39="","",IF(R39="Ancien",0,Paramètres!$D$18))</f>
        <v/>
      </c>
      <c r="O39" s="19"/>
      <c r="P39" s="18" t="str">
        <f>IF($B39="","",N39-O39)</f>
        <v/>
      </c>
      <c r="Q39" s="8" t="str">
        <f>IF($B39="","",IF(AND(M39&lt;=0,P39&lt;=0),"Soldé","En retard"))</f>
        <v/>
      </c>
      <c r="R39" s="8"/>
    </row>
    <row r="40">
      <c r="A40" s="20"/>
      <c r="B40" s="20"/>
      <c r="C40" s="20"/>
      <c r="D40" s="21"/>
      <c r="E40" s="77"/>
      <c r="F40" s="20"/>
      <c r="G40" s="20"/>
      <c r="H40" s="18" t="str">
        <f>IF($B40="","",Paramètres!$C$18)</f>
        <v/>
      </c>
      <c r="I40" s="19"/>
      <c r="J40" s="19"/>
      <c r="K40" s="19"/>
      <c r="L40" s="18" t="str">
        <f>IF($B40="","",SUM(I40:K40))</f>
        <v/>
      </c>
      <c r="M40" s="18" t="str">
        <f>IF($B40="","",H40-L40)</f>
        <v/>
      </c>
      <c r="N40" s="18" t="str">
        <f>IF($B40="","",IF(R40="Ancien",0,Paramètres!$D$18))</f>
        <v/>
      </c>
      <c r="O40" s="19"/>
      <c r="P40" s="18" t="str">
        <f>IF($B40="","",N40-O40)</f>
        <v/>
      </c>
      <c r="Q40" s="21" t="str">
        <f>IF($B40="","",IF(AND(M40&lt;=0,P40&lt;=0),"Soldé","En retard"))</f>
        <v/>
      </c>
      <c r="R40" s="21"/>
    </row>
    <row r="41">
      <c r="A41" s="15"/>
      <c r="B41" s="15"/>
      <c r="C41" s="15"/>
      <c r="D41" s="8"/>
      <c r="E41" s="79"/>
      <c r="F41" s="15"/>
      <c r="G41" s="15"/>
      <c r="H41" s="18" t="str">
        <f>IF($B41="","",Paramètres!$C$18)</f>
        <v/>
      </c>
      <c r="I41" s="19"/>
      <c r="J41" s="19"/>
      <c r="K41" s="19"/>
      <c r="L41" s="18" t="str">
        <f>IF($B41="","",SUM(I41:K41))</f>
        <v/>
      </c>
      <c r="M41" s="18" t="str">
        <f>IF($B41="","",H41-L41)</f>
        <v/>
      </c>
      <c r="N41" s="18" t="str">
        <f>IF($B41="","",IF(R41="Ancien",0,Paramètres!$D$18))</f>
        <v/>
      </c>
      <c r="O41" s="19"/>
      <c r="P41" s="18" t="str">
        <f>IF($B41="","",N41-O41)</f>
        <v/>
      </c>
      <c r="Q41" s="8" t="str">
        <f>IF($B41="","",IF(AND(M41&lt;=0,P41&lt;=0),"Soldé","En retard"))</f>
        <v/>
      </c>
      <c r="R41" s="8"/>
    </row>
    <row r="42">
      <c r="A42" s="20"/>
      <c r="B42" s="20"/>
      <c r="C42" s="20"/>
      <c r="D42" s="21"/>
      <c r="E42" s="77"/>
      <c r="F42" s="20"/>
      <c r="G42" s="20"/>
      <c r="H42" s="18" t="str">
        <f>IF($B42="","",Paramètres!$C$18)</f>
        <v/>
      </c>
      <c r="I42" s="19"/>
      <c r="J42" s="19"/>
      <c r="K42" s="19"/>
      <c r="L42" s="18" t="str">
        <f>IF($B42="","",SUM(I42:K42))</f>
        <v/>
      </c>
      <c r="M42" s="18" t="str">
        <f>IF($B42="","",H42-L42)</f>
        <v/>
      </c>
      <c r="N42" s="18" t="str">
        <f>IF($B42="","",IF(R42="Ancien",0,Paramètres!$D$18))</f>
        <v/>
      </c>
      <c r="O42" s="19"/>
      <c r="P42" s="18" t="str">
        <f>IF($B42="","",N42-O42)</f>
        <v/>
      </c>
      <c r="Q42" s="21" t="str">
        <f>IF($B42="","",IF(AND(M42&lt;=0,P42&lt;=0),"Soldé","En retard"))</f>
        <v/>
      </c>
      <c r="R42" s="21"/>
    </row>
    <row r="43">
      <c r="A43" s="15"/>
      <c r="B43" s="15"/>
      <c r="C43" s="15"/>
      <c r="D43" s="8"/>
      <c r="E43" s="79"/>
      <c r="F43" s="15"/>
      <c r="G43" s="15"/>
      <c r="H43" s="18" t="str">
        <f>IF($B43="","",Paramètres!$C$18)</f>
        <v/>
      </c>
      <c r="I43" s="19"/>
      <c r="J43" s="19"/>
      <c r="K43" s="19"/>
      <c r="L43" s="18" t="str">
        <f>IF($B43="","",SUM(I43:K43))</f>
        <v/>
      </c>
      <c r="M43" s="18" t="str">
        <f>IF($B43="","",H43-L43)</f>
        <v/>
      </c>
      <c r="N43" s="18" t="str">
        <f>IF($B43="","",IF(R43="Ancien",0,Paramètres!$D$18))</f>
        <v/>
      </c>
      <c r="O43" s="19"/>
      <c r="P43" s="18" t="str">
        <f>IF($B43="","",N43-O43)</f>
        <v/>
      </c>
      <c r="Q43" s="8" t="str">
        <f>IF($B43="","",IF(AND(M43&lt;=0,P43&lt;=0),"Soldé","En retard"))</f>
        <v/>
      </c>
      <c r="R43" s="8"/>
    </row>
    <row r="44">
      <c r="A44" s="20"/>
      <c r="B44" s="20"/>
      <c r="C44" s="20"/>
      <c r="D44" s="21"/>
      <c r="E44" s="77"/>
      <c r="F44" s="20"/>
      <c r="G44" s="20"/>
      <c r="H44" s="18" t="str">
        <f>IF($B44="","",Paramètres!$C$18)</f>
        <v/>
      </c>
      <c r="I44" s="19"/>
      <c r="J44" s="19"/>
      <c r="K44" s="19"/>
      <c r="L44" s="18" t="str">
        <f>IF($B44="","",SUM(I44:K44))</f>
        <v/>
      </c>
      <c r="M44" s="18" t="str">
        <f>IF($B44="","",H44-L44)</f>
        <v/>
      </c>
      <c r="N44" s="18" t="str">
        <f>IF($B44="","",IF(R44="Ancien",0,Paramètres!$D$18))</f>
        <v/>
      </c>
      <c r="O44" s="19"/>
      <c r="P44" s="18" t="str">
        <f>IF($B44="","",N44-O44)</f>
        <v/>
      </c>
      <c r="Q44" s="21" t="str">
        <f>IF($B44="","",IF(AND(M44&lt;=0,P44&lt;=0),"Soldé","En retard"))</f>
        <v/>
      </c>
      <c r="R44" s="21"/>
    </row>
    <row r="45">
      <c r="A45" s="15"/>
      <c r="B45" s="15"/>
      <c r="C45" s="15"/>
      <c r="D45" s="8"/>
      <c r="E45" s="79"/>
      <c r="F45" s="15"/>
      <c r="G45" s="15"/>
      <c r="H45" s="18" t="str">
        <f>IF($B45="","",Paramètres!$C$18)</f>
        <v/>
      </c>
      <c r="I45" s="19"/>
      <c r="J45" s="19"/>
      <c r="K45" s="19"/>
      <c r="L45" s="18" t="str">
        <f>IF($B45="","",SUM(I45:K45))</f>
        <v/>
      </c>
      <c r="M45" s="18" t="str">
        <f>IF($B45="","",H45-L45)</f>
        <v/>
      </c>
      <c r="N45" s="18" t="str">
        <f>IF($B45="","",IF(R45="Ancien",0,Paramètres!$D$18))</f>
        <v/>
      </c>
      <c r="O45" s="19"/>
      <c r="P45" s="18" t="str">
        <f>IF($B45="","",N45-O45)</f>
        <v/>
      </c>
      <c r="Q45" s="8" t="str">
        <f>IF($B45="","",IF(AND(M45&lt;=0,P45&lt;=0),"Soldé","En retard"))</f>
        <v/>
      </c>
      <c r="R45" s="8"/>
    </row>
    <row r="46">
      <c r="A46" s="20"/>
      <c r="B46" s="20"/>
      <c r="C46" s="20"/>
      <c r="D46" s="21"/>
      <c r="E46" s="77"/>
      <c r="F46" s="20"/>
      <c r="G46" s="20"/>
      <c r="H46" s="18" t="str">
        <f>IF($B46="","",Paramètres!$C$18)</f>
        <v/>
      </c>
      <c r="I46" s="19"/>
      <c r="J46" s="19"/>
      <c r="K46" s="19"/>
      <c r="L46" s="18" t="str">
        <f>IF($B46="","",SUM(I46:K46))</f>
        <v/>
      </c>
      <c r="M46" s="18" t="str">
        <f>IF($B46="","",H46-L46)</f>
        <v/>
      </c>
      <c r="N46" s="18" t="str">
        <f>IF($B46="","",IF(R46="Ancien",0,Paramètres!$D$18))</f>
        <v/>
      </c>
      <c r="O46" s="19"/>
      <c r="P46" s="18" t="str">
        <f>IF($B46="","",N46-O46)</f>
        <v/>
      </c>
      <c r="Q46" s="21" t="str">
        <f>IF($B46="","",IF(AND(M46&lt;=0,P46&lt;=0),"Soldé","En retard"))</f>
        <v/>
      </c>
      <c r="R46" s="21"/>
    </row>
    <row r="47">
      <c r="A47" s="15"/>
      <c r="B47" s="15"/>
      <c r="C47" s="15"/>
      <c r="D47" s="8"/>
      <c r="E47" s="79"/>
      <c r="F47" s="15"/>
      <c r="G47" s="15"/>
      <c r="H47" s="18" t="str">
        <f>IF($B47="","",Paramètres!$C$18)</f>
        <v/>
      </c>
      <c r="I47" s="19"/>
      <c r="J47" s="19"/>
      <c r="K47" s="19"/>
      <c r="L47" s="18" t="str">
        <f>IF($B47="","",SUM(I47:K47))</f>
        <v/>
      </c>
      <c r="M47" s="18" t="str">
        <f>IF($B47="","",H47-L47)</f>
        <v/>
      </c>
      <c r="N47" s="18" t="str">
        <f>IF($B47="","",IF(R47="Ancien",0,Paramètres!$D$18))</f>
        <v/>
      </c>
      <c r="O47" s="19"/>
      <c r="P47" s="18" t="str">
        <f>IF($B47="","",N47-O47)</f>
        <v/>
      </c>
      <c r="Q47" s="8" t="str">
        <f>IF($B47="","",IF(AND(M47&lt;=0,P47&lt;=0),"Soldé","En retard"))</f>
        <v/>
      </c>
      <c r="R47" s="8"/>
    </row>
    <row r="48">
      <c r="A48" s="20"/>
      <c r="B48" s="20"/>
      <c r="C48" s="20"/>
      <c r="D48" s="21"/>
      <c r="E48" s="77"/>
      <c r="F48" s="20"/>
      <c r="G48" s="20"/>
      <c r="H48" s="18" t="str">
        <f>IF($B48="","",Paramètres!$C$18)</f>
        <v/>
      </c>
      <c r="I48" s="19"/>
      <c r="J48" s="19"/>
      <c r="K48" s="19"/>
      <c r="L48" s="18" t="str">
        <f>IF($B48="","",SUM(I48:K48))</f>
        <v/>
      </c>
      <c r="M48" s="18" t="str">
        <f>IF($B48="","",H48-L48)</f>
        <v/>
      </c>
      <c r="N48" s="18" t="str">
        <f>IF($B48="","",IF(R48="Ancien",0,Paramètres!$D$18))</f>
        <v/>
      </c>
      <c r="O48" s="19"/>
      <c r="P48" s="18" t="str">
        <f>IF($B48="","",N48-O48)</f>
        <v/>
      </c>
      <c r="Q48" s="21" t="str">
        <f>IF($B48="","",IF(AND(M48&lt;=0,P48&lt;=0),"Soldé","En retard"))</f>
        <v/>
      </c>
      <c r="R48" s="21"/>
    </row>
    <row r="49">
      <c r="A49" s="15"/>
      <c r="B49" s="15"/>
      <c r="C49" s="15"/>
      <c r="D49" s="8"/>
      <c r="E49" s="79"/>
      <c r="F49" s="15"/>
      <c r="G49" s="15"/>
      <c r="H49" s="18" t="str">
        <f>IF($B49="","",Paramètres!$C$18)</f>
        <v/>
      </c>
      <c r="I49" s="19"/>
      <c r="J49" s="19"/>
      <c r="K49" s="19"/>
      <c r="L49" s="18" t="str">
        <f>IF($B49="","",SUM(I49:K49))</f>
        <v/>
      </c>
      <c r="M49" s="18" t="str">
        <f>IF($B49="","",H49-L49)</f>
        <v/>
      </c>
      <c r="N49" s="18" t="str">
        <f>IF($B49="","",IF(R49="Ancien",0,Paramètres!$D$18))</f>
        <v/>
      </c>
      <c r="O49" s="19"/>
      <c r="P49" s="18" t="str">
        <f>IF($B49="","",N49-O49)</f>
        <v/>
      </c>
      <c r="Q49" s="8" t="str">
        <f>IF($B49="","",IF(AND(M49&lt;=0,P49&lt;=0),"Soldé","En retard"))</f>
        <v/>
      </c>
      <c r="R49" s="8"/>
    </row>
    <row r="50">
      <c r="A50" s="20"/>
      <c r="B50" s="20"/>
      <c r="C50" s="20"/>
      <c r="D50" s="21"/>
      <c r="E50" s="77"/>
      <c r="F50" s="20"/>
      <c r="G50" s="20"/>
      <c r="H50" s="18" t="str">
        <f>IF($B50="","",Paramètres!$C$18)</f>
        <v/>
      </c>
      <c r="I50" s="19"/>
      <c r="J50" s="19"/>
      <c r="K50" s="19"/>
      <c r="L50" s="18" t="str">
        <f>IF($B50="","",SUM(I50:K50))</f>
        <v/>
      </c>
      <c r="M50" s="18" t="str">
        <f>IF($B50="","",H50-L50)</f>
        <v/>
      </c>
      <c r="N50" s="18" t="str">
        <f>IF($B50="","",IF(R50="Ancien",0,Paramètres!$D$18))</f>
        <v/>
      </c>
      <c r="O50" s="19"/>
      <c r="P50" s="18" t="str">
        <f>IF($B50="","",N50-O50)</f>
        <v/>
      </c>
      <c r="Q50" s="21" t="str">
        <f>IF($B50="","",IF(AND(M50&lt;=0,P50&lt;=0),"Soldé","En retard"))</f>
        <v/>
      </c>
      <c r="R50" s="21"/>
    </row>
    <row r="51">
      <c r="A51" s="15"/>
      <c r="B51" s="15"/>
      <c r="C51" s="15"/>
      <c r="D51" s="8"/>
      <c r="E51" s="79"/>
      <c r="F51" s="15"/>
      <c r="G51" s="15"/>
      <c r="H51" s="18" t="str">
        <f>IF($B51="","",Paramètres!$C$18)</f>
        <v/>
      </c>
      <c r="I51" s="19"/>
      <c r="J51" s="19"/>
      <c r="K51" s="19"/>
      <c r="L51" s="18" t="str">
        <f>IF($B51="","",SUM(I51:K51))</f>
        <v/>
      </c>
      <c r="M51" s="18" t="str">
        <f>IF($B51="","",H51-L51)</f>
        <v/>
      </c>
      <c r="N51" s="18" t="str">
        <f>IF($B51="","",IF(R51="Ancien",0,Paramètres!$D$18))</f>
        <v/>
      </c>
      <c r="O51" s="19"/>
      <c r="P51" s="18" t="str">
        <f>IF($B51="","",N51-O51)</f>
        <v/>
      </c>
      <c r="Q51" s="8" t="str">
        <f>IF($B51="","",IF(AND(M51&lt;=0,P51&lt;=0),"Soldé","En retard"))</f>
        <v/>
      </c>
      <c r="R51" s="8"/>
    </row>
    <row r="52">
      <c r="A52" s="20"/>
      <c r="B52" s="20"/>
      <c r="C52" s="20"/>
      <c r="D52" s="21"/>
      <c r="E52" s="77"/>
      <c r="F52" s="20"/>
      <c r="G52" s="20"/>
      <c r="H52" s="18" t="str">
        <f>IF($B52="","",Paramètres!$C$18)</f>
        <v/>
      </c>
      <c r="I52" s="19"/>
      <c r="J52" s="19"/>
      <c r="K52" s="19"/>
      <c r="L52" s="18" t="str">
        <f>IF($B52="","",SUM(I52:K52))</f>
        <v/>
      </c>
      <c r="M52" s="18" t="str">
        <f>IF($B52="","",H52-L52)</f>
        <v/>
      </c>
      <c r="N52" s="18" t="str">
        <f>IF($B52="","",IF(R52="Ancien",0,Paramètres!$D$18))</f>
        <v/>
      </c>
      <c r="O52" s="19"/>
      <c r="P52" s="18" t="str">
        <f>IF($B52="","",N52-O52)</f>
        <v/>
      </c>
      <c r="Q52" s="21" t="str">
        <f>IF($B52="","",IF(AND(M52&lt;=0,P52&lt;=0),"Soldé","En retard"))</f>
        <v/>
      </c>
      <c r="R52" s="21"/>
    </row>
    <row r="53">
      <c r="A53" s="15"/>
      <c r="B53" s="15"/>
      <c r="C53" s="15"/>
      <c r="D53" s="8"/>
      <c r="E53" s="79"/>
      <c r="F53" s="15"/>
      <c r="G53" s="15"/>
      <c r="H53" s="18" t="str">
        <f>IF($B53="","",Paramètres!$C$18)</f>
        <v/>
      </c>
      <c r="I53" s="19"/>
      <c r="J53" s="19"/>
      <c r="K53" s="19"/>
      <c r="L53" s="18" t="str">
        <f>IF($B53="","",SUM(I53:K53))</f>
        <v/>
      </c>
      <c r="M53" s="18" t="str">
        <f>IF($B53="","",H53-L53)</f>
        <v/>
      </c>
      <c r="N53" s="18" t="str">
        <f>IF($B53="","",IF(R53="Ancien",0,Paramètres!$D$18))</f>
        <v/>
      </c>
      <c r="O53" s="19"/>
      <c r="P53" s="18" t="str">
        <f>IF($B53="","",N53-O53)</f>
        <v/>
      </c>
      <c r="Q53" s="8" t="str">
        <f>IF($B53="","",IF(AND(M53&lt;=0,P53&lt;=0),"Soldé","En retard"))</f>
        <v/>
      </c>
      <c r="R53" s="8"/>
    </row>
    <row r="54">
      <c r="A54" s="20"/>
      <c r="B54" s="20"/>
      <c r="C54" s="20"/>
      <c r="D54" s="21"/>
      <c r="E54" s="77"/>
      <c r="F54" s="20"/>
      <c r="G54" s="20"/>
      <c r="H54" s="18" t="str">
        <f>IF($B54="","",Paramètres!$C$18)</f>
        <v/>
      </c>
      <c r="I54" s="19"/>
      <c r="J54" s="19"/>
      <c r="K54" s="19"/>
      <c r="L54" s="18" t="str">
        <f>IF($B54="","",SUM(I54:K54))</f>
        <v/>
      </c>
      <c r="M54" s="18" t="str">
        <f>IF($B54="","",H54-L54)</f>
        <v/>
      </c>
      <c r="N54" s="18" t="str">
        <f>IF($B54="","",IF(R54="Ancien",0,Paramètres!$D$18))</f>
        <v/>
      </c>
      <c r="O54" s="19"/>
      <c r="P54" s="18" t="str">
        <f>IF($B54="","",N54-O54)</f>
        <v/>
      </c>
      <c r="Q54" s="21" t="str">
        <f>IF($B54="","",IF(AND(M54&lt;=0,P54&lt;=0),"Soldé","En retard"))</f>
        <v/>
      </c>
      <c r="R54" s="21"/>
    </row>
    <row r="55">
      <c r="A55" s="15"/>
      <c r="B55" s="15"/>
      <c r="C55" s="15"/>
      <c r="D55" s="8"/>
      <c r="E55" s="79"/>
      <c r="F55" s="15"/>
      <c r="G55" s="15"/>
      <c r="H55" s="18" t="str">
        <f>IF($B55="","",Paramètres!$C$18)</f>
        <v/>
      </c>
      <c r="I55" s="19"/>
      <c r="J55" s="19"/>
      <c r="K55" s="19"/>
      <c r="L55" s="18" t="str">
        <f>IF($B55="","",SUM(I55:K55))</f>
        <v/>
      </c>
      <c r="M55" s="18" t="str">
        <f>IF($B55="","",H55-L55)</f>
        <v/>
      </c>
      <c r="N55" s="18" t="str">
        <f>IF($B55="","",IF(R55="Ancien",0,Paramètres!$D$18))</f>
        <v/>
      </c>
      <c r="O55" s="19"/>
      <c r="P55" s="18" t="str">
        <f>IF($B55="","",N55-O55)</f>
        <v/>
      </c>
      <c r="Q55" s="8" t="str">
        <f>IF($B55="","",IF(AND(M55&lt;=0,P55&lt;=0),"Soldé","En retard"))</f>
        <v/>
      </c>
      <c r="R55" s="8"/>
    </row>
    <row r="56">
      <c r="A56" s="20"/>
      <c r="B56" s="20"/>
      <c r="C56" s="20"/>
      <c r="D56" s="21"/>
      <c r="E56" s="77"/>
      <c r="F56" s="20"/>
      <c r="G56" s="20"/>
      <c r="H56" s="18" t="str">
        <f>IF($B56="","",Paramètres!$C$18)</f>
        <v/>
      </c>
      <c r="I56" s="19"/>
      <c r="J56" s="19"/>
      <c r="K56" s="19"/>
      <c r="L56" s="18" t="str">
        <f>IF($B56="","",SUM(I56:K56))</f>
        <v/>
      </c>
      <c r="M56" s="18" t="str">
        <f>IF($B56="","",H56-L56)</f>
        <v/>
      </c>
      <c r="N56" s="18" t="str">
        <f>IF($B56="","",IF(R56="Ancien",0,Paramètres!$D$18))</f>
        <v/>
      </c>
      <c r="O56" s="19"/>
      <c r="P56" s="18" t="str">
        <f>IF($B56="","",N56-O56)</f>
        <v/>
      </c>
      <c r="Q56" s="21" t="str">
        <f>IF($B56="","",IF(AND(M56&lt;=0,P56&lt;=0),"Soldé","En retard"))</f>
        <v/>
      </c>
      <c r="R56" s="21"/>
    </row>
    <row r="57">
      <c r="A57" s="15"/>
      <c r="B57" s="15"/>
      <c r="C57" s="15"/>
      <c r="D57" s="8"/>
      <c r="E57" s="79"/>
      <c r="F57" s="15"/>
      <c r="G57" s="15"/>
      <c r="H57" s="18" t="str">
        <f>IF($B57="","",Paramètres!$C$18)</f>
        <v/>
      </c>
      <c r="I57" s="19"/>
      <c r="J57" s="19"/>
      <c r="K57" s="19"/>
      <c r="L57" s="18" t="str">
        <f>IF($B57="","",SUM(I57:K57))</f>
        <v/>
      </c>
      <c r="M57" s="18" t="str">
        <f>IF($B57="","",H57-L57)</f>
        <v/>
      </c>
      <c r="N57" s="18" t="str">
        <f>IF($B57="","",IF(R57="Ancien",0,Paramètres!$D$18))</f>
        <v/>
      </c>
      <c r="O57" s="19"/>
      <c r="P57" s="18" t="str">
        <f>IF($B57="","",N57-O57)</f>
        <v/>
      </c>
      <c r="Q57" s="8" t="str">
        <f>IF($B57="","",IF(AND(M57&lt;=0,P57&lt;=0),"Soldé","En retard"))</f>
        <v/>
      </c>
      <c r="R57" s="8"/>
    </row>
    <row r="58">
      <c r="A58" s="20"/>
      <c r="B58" s="20"/>
      <c r="C58" s="20"/>
      <c r="D58" s="21"/>
      <c r="E58" s="77"/>
      <c r="F58" s="20"/>
      <c r="G58" s="20"/>
      <c r="H58" s="18" t="str">
        <f>IF($B58="","",Paramètres!$C$18)</f>
        <v/>
      </c>
      <c r="I58" s="19"/>
      <c r="J58" s="19"/>
      <c r="K58" s="19"/>
      <c r="L58" s="18" t="str">
        <f>IF($B58="","",SUM(I58:K58))</f>
        <v/>
      </c>
      <c r="M58" s="18" t="str">
        <f>IF($B58="","",H58-L58)</f>
        <v/>
      </c>
      <c r="N58" s="18" t="str">
        <f>IF($B58="","",IF(R58="Ancien",0,Paramètres!$D$18))</f>
        <v/>
      </c>
      <c r="O58" s="19"/>
      <c r="P58" s="18" t="str">
        <f>IF($B58="","",N58-O58)</f>
        <v/>
      </c>
      <c r="Q58" s="21" t="str">
        <f>IF($B58="","",IF(AND(M58&lt;=0,P58&lt;=0),"Soldé","En retard"))</f>
        <v/>
      </c>
      <c r="R58" s="21"/>
    </row>
    <row r="59">
      <c r="A59" s="15"/>
      <c r="B59" s="15"/>
      <c r="C59" s="15"/>
      <c r="D59" s="8"/>
      <c r="E59" s="79"/>
      <c r="F59" s="15"/>
      <c r="G59" s="15"/>
      <c r="H59" s="18" t="str">
        <f>IF($B59="","",Paramètres!$C$18)</f>
        <v/>
      </c>
      <c r="I59" s="19"/>
      <c r="J59" s="19"/>
      <c r="K59" s="19"/>
      <c r="L59" s="18" t="str">
        <f>IF($B59="","",SUM(I59:K59))</f>
        <v/>
      </c>
      <c r="M59" s="18" t="str">
        <f>IF($B59="","",H59-L59)</f>
        <v/>
      </c>
      <c r="N59" s="18" t="str">
        <f>IF($B59="","",IF(R59="Ancien",0,Paramètres!$D$18))</f>
        <v/>
      </c>
      <c r="O59" s="19"/>
      <c r="P59" s="18" t="str">
        <f>IF($B59="","",N59-O59)</f>
        <v/>
      </c>
      <c r="Q59" s="8" t="str">
        <f>IF($B59="","",IF(AND(M59&lt;=0,P59&lt;=0),"Soldé","En retard"))</f>
        <v/>
      </c>
      <c r="R59" s="8"/>
    </row>
    <row r="60">
      <c r="A60" s="20"/>
      <c r="B60" s="20"/>
      <c r="C60" s="20"/>
      <c r="D60" s="21"/>
      <c r="E60" s="77"/>
      <c r="F60" s="20"/>
      <c r="G60" s="20"/>
      <c r="H60" s="18" t="str">
        <f>IF($B60="","",Paramètres!$C$18)</f>
        <v/>
      </c>
      <c r="I60" s="19"/>
      <c r="J60" s="19"/>
      <c r="K60" s="19"/>
      <c r="L60" s="18" t="str">
        <f>IF($B60="","",SUM(I60:K60))</f>
        <v/>
      </c>
      <c r="M60" s="18" t="str">
        <f>IF($B60="","",H60-L60)</f>
        <v/>
      </c>
      <c r="N60" s="18" t="str">
        <f>IF($B60="","",IF(R60="Ancien",0,Paramètres!$D$18))</f>
        <v/>
      </c>
      <c r="O60" s="19"/>
      <c r="P60" s="18" t="str">
        <f>IF($B60="","",N60-O60)</f>
        <v/>
      </c>
      <c r="Q60" s="21" t="str">
        <f>IF($B60="","",IF(AND(M60&lt;=0,P60&lt;=0),"Soldé","En retard"))</f>
        <v/>
      </c>
      <c r="R60" s="21"/>
    </row>
    <row r="61">
      <c r="A61" s="15"/>
      <c r="B61" s="15"/>
      <c r="C61" s="15"/>
      <c r="D61" s="8"/>
      <c r="E61" s="79"/>
      <c r="F61" s="15"/>
      <c r="G61" s="15"/>
      <c r="H61" s="18" t="str">
        <f>IF($B61="","",Paramètres!$C$18)</f>
        <v/>
      </c>
      <c r="I61" s="19"/>
      <c r="J61" s="19"/>
      <c r="K61" s="19"/>
      <c r="L61" s="18" t="str">
        <f>IF($B61="","",SUM(I61:K61))</f>
        <v/>
      </c>
      <c r="M61" s="18" t="str">
        <f>IF($B61="","",H61-L61)</f>
        <v/>
      </c>
      <c r="N61" s="18" t="str">
        <f>IF($B61="","",IF(R61="Ancien",0,Paramètres!$D$18))</f>
        <v/>
      </c>
      <c r="O61" s="19"/>
      <c r="P61" s="18" t="str">
        <f>IF($B61="","",N61-O61)</f>
        <v/>
      </c>
      <c r="Q61" s="8" t="str">
        <f>IF($B61="","",IF(AND(M61&lt;=0,P61&lt;=0),"Soldé","En retard"))</f>
        <v/>
      </c>
      <c r="R61" s="8"/>
    </row>
    <row r="62">
      <c r="A62" s="20"/>
      <c r="B62" s="20"/>
      <c r="C62" s="20"/>
      <c r="D62" s="21"/>
      <c r="E62" s="77"/>
      <c r="F62" s="20"/>
      <c r="G62" s="20"/>
      <c r="H62" s="18" t="str">
        <f>IF($B62="","",Paramètres!$C$18)</f>
        <v/>
      </c>
      <c r="I62" s="19"/>
      <c r="J62" s="19"/>
      <c r="K62" s="19"/>
      <c r="L62" s="18" t="str">
        <f>IF($B62="","",SUM(I62:K62))</f>
        <v/>
      </c>
      <c r="M62" s="18" t="str">
        <f>IF($B62="","",H62-L62)</f>
        <v/>
      </c>
      <c r="N62" s="18" t="str">
        <f>IF($B62="","",IF(R62="Ancien",0,Paramètres!$D$18))</f>
        <v/>
      </c>
      <c r="O62" s="19"/>
      <c r="P62" s="18" t="str">
        <f>IF($B62="","",N62-O62)</f>
        <v/>
      </c>
      <c r="Q62" s="21" t="str">
        <f>IF($B62="","",IF(AND(M62&lt;=0,P62&lt;=0),"Soldé","En retard"))</f>
        <v/>
      </c>
      <c r="R62" s="21"/>
    </row>
    <row r="63">
      <c r="A63" s="15"/>
      <c r="B63" s="15"/>
      <c r="C63" s="15"/>
      <c r="D63" s="8"/>
      <c r="E63" s="79"/>
      <c r="F63" s="15"/>
      <c r="G63" s="15"/>
      <c r="H63" s="18" t="str">
        <f>IF($B63="","",Paramètres!$C$18)</f>
        <v/>
      </c>
      <c r="I63" s="19"/>
      <c r="J63" s="19"/>
      <c r="K63" s="19"/>
      <c r="L63" s="18" t="str">
        <f>IF($B63="","",SUM(I63:K63))</f>
        <v/>
      </c>
      <c r="M63" s="18" t="str">
        <f>IF($B63="","",H63-L63)</f>
        <v/>
      </c>
      <c r="N63" s="18" t="str">
        <f>IF($B63="","",IF(R63="Ancien",0,Paramètres!$D$18))</f>
        <v/>
      </c>
      <c r="O63" s="19"/>
      <c r="P63" s="18" t="str">
        <f>IF($B63="","",N63-O63)</f>
        <v/>
      </c>
      <c r="Q63" s="8" t="str">
        <f>IF($B63="","",IF(AND(M63&lt;=0,P63&lt;=0),"Soldé","En retard"))</f>
        <v/>
      </c>
      <c r="R63" s="8"/>
    </row>
    <row r="64">
      <c r="A64" s="20"/>
      <c r="B64" s="20"/>
      <c r="C64" s="20"/>
      <c r="D64" s="21"/>
      <c r="E64" s="77"/>
      <c r="F64" s="20"/>
      <c r="G64" s="20"/>
      <c r="H64" s="18" t="str">
        <f>IF($B64="","",Paramètres!$C$18)</f>
        <v/>
      </c>
      <c r="I64" s="19"/>
      <c r="J64" s="19"/>
      <c r="K64" s="19"/>
      <c r="L64" s="18" t="str">
        <f>IF($B64="","",SUM(I64:K64))</f>
        <v/>
      </c>
      <c r="M64" s="18" t="str">
        <f>IF($B64="","",H64-L64)</f>
        <v/>
      </c>
      <c r="N64" s="18" t="str">
        <f>IF($B64="","",IF(R64="Ancien",0,Paramètres!$D$18))</f>
        <v/>
      </c>
      <c r="O64" s="19"/>
      <c r="P64" s="18" t="str">
        <f>IF($B64="","",N64-O64)</f>
        <v/>
      </c>
      <c r="Q64" s="21" t="str">
        <f>IF($B64="","",IF(AND(M64&lt;=0,P64&lt;=0),"Soldé","En retard"))</f>
        <v/>
      </c>
      <c r="R64" s="21"/>
    </row>
    <row r="65">
      <c r="A65" s="15"/>
      <c r="B65" s="15"/>
      <c r="C65" s="15"/>
      <c r="D65" s="8"/>
      <c r="E65" s="79"/>
      <c r="F65" s="15"/>
      <c r="G65" s="15"/>
      <c r="H65" s="18" t="str">
        <f>IF($B65="","",Paramètres!$C$18)</f>
        <v/>
      </c>
      <c r="I65" s="19"/>
      <c r="J65" s="19"/>
      <c r="K65" s="19"/>
      <c r="L65" s="18" t="str">
        <f>IF($B65="","",SUM(I65:K65))</f>
        <v/>
      </c>
      <c r="M65" s="18" t="str">
        <f>IF($B65="","",H65-L65)</f>
        <v/>
      </c>
      <c r="N65" s="18" t="str">
        <f>IF($B65="","",IF(R65="Ancien",0,Paramètres!$D$18))</f>
        <v/>
      </c>
      <c r="O65" s="19"/>
      <c r="P65" s="18" t="str">
        <f>IF($B65="","",N65-O65)</f>
        <v/>
      </c>
      <c r="Q65" s="8" t="str">
        <f>IF($B65="","",IF(AND(M65&lt;=0,P65&lt;=0),"Soldé","En retard"))</f>
        <v/>
      </c>
      <c r="R65" s="8"/>
    </row>
    <row r="66">
      <c r="A66" s="20"/>
      <c r="B66" s="20"/>
      <c r="C66" s="20"/>
      <c r="D66" s="21"/>
      <c r="E66" s="77"/>
      <c r="F66" s="20"/>
      <c r="G66" s="20"/>
      <c r="H66" s="18" t="str">
        <f>IF($B66="","",Paramètres!$C$18)</f>
        <v/>
      </c>
      <c r="I66" s="19"/>
      <c r="J66" s="19"/>
      <c r="K66" s="19"/>
      <c r="L66" s="18" t="str">
        <f>IF($B66="","",SUM(I66:K66))</f>
        <v/>
      </c>
      <c r="M66" s="18" t="str">
        <f>IF($B66="","",H66-L66)</f>
        <v/>
      </c>
      <c r="N66" s="18" t="str">
        <f>IF($B66="","",IF(R66="Ancien",0,Paramètres!$D$18))</f>
        <v/>
      </c>
      <c r="O66" s="19"/>
      <c r="P66" s="18" t="str">
        <f>IF($B66="","",N66-O66)</f>
        <v/>
      </c>
      <c r="Q66" s="21" t="str">
        <f>IF($B66="","",IF(AND(M66&lt;=0,P66&lt;=0),"Soldé","En retard"))</f>
        <v/>
      </c>
      <c r="R66" s="21"/>
    </row>
    <row r="67">
      <c r="A67" s="15"/>
      <c r="B67" s="15"/>
      <c r="C67" s="15"/>
      <c r="D67" s="8"/>
      <c r="E67" s="79"/>
      <c r="F67" s="15"/>
      <c r="G67" s="15"/>
      <c r="H67" s="18" t="str">
        <f>IF($B67="","",Paramètres!$C$18)</f>
        <v/>
      </c>
      <c r="I67" s="19"/>
      <c r="J67" s="19"/>
      <c r="K67" s="19"/>
      <c r="L67" s="18" t="str">
        <f>IF($B67="","",SUM(I67:K67))</f>
        <v/>
      </c>
      <c r="M67" s="18" t="str">
        <f>IF($B67="","",H67-L67)</f>
        <v/>
      </c>
      <c r="N67" s="18" t="str">
        <f>IF($B67="","",IF(R67="Ancien",0,Paramètres!$D$18))</f>
        <v/>
      </c>
      <c r="O67" s="19"/>
      <c r="P67" s="18" t="str">
        <f>IF($B67="","",N67-O67)</f>
        <v/>
      </c>
      <c r="Q67" s="8" t="str">
        <f>IF($B67="","",IF(AND(M67&lt;=0,P67&lt;=0),"Soldé","En retard"))</f>
        <v/>
      </c>
      <c r="R67" s="8"/>
    </row>
    <row r="68">
      <c r="A68" s="20"/>
      <c r="B68" s="20"/>
      <c r="C68" s="20"/>
      <c r="D68" s="21"/>
      <c r="E68" s="77"/>
      <c r="F68" s="20"/>
      <c r="G68" s="20"/>
      <c r="H68" s="18" t="str">
        <f>IF($B68="","",Paramètres!$C$18)</f>
        <v/>
      </c>
      <c r="I68" s="19"/>
      <c r="J68" s="19"/>
      <c r="K68" s="19"/>
      <c r="L68" s="18" t="str">
        <f>IF($B68="","",SUM(I68:K68))</f>
        <v/>
      </c>
      <c r="M68" s="18" t="str">
        <f>IF($B68="","",H68-L68)</f>
        <v/>
      </c>
      <c r="N68" s="18" t="str">
        <f>IF($B68="","",IF(R68="Ancien",0,Paramètres!$D$18))</f>
        <v/>
      </c>
      <c r="O68" s="19"/>
      <c r="P68" s="18" t="str">
        <f>IF($B68="","",N68-O68)</f>
        <v/>
      </c>
      <c r="Q68" s="21" t="str">
        <f>IF($B68="","",IF(AND(M68&lt;=0,P68&lt;=0),"Soldé","En retard"))</f>
        <v/>
      </c>
      <c r="R68" s="21"/>
    </row>
    <row r="69">
      <c r="A69" s="15"/>
      <c r="B69" s="15"/>
      <c r="C69" s="15"/>
      <c r="D69" s="8"/>
      <c r="E69" s="79"/>
      <c r="F69" s="15"/>
      <c r="G69" s="15"/>
      <c r="H69" s="18" t="str">
        <f>IF($B69="","",Paramètres!$C$18)</f>
        <v/>
      </c>
      <c r="I69" s="19"/>
      <c r="J69" s="19"/>
      <c r="K69" s="19"/>
      <c r="L69" s="18" t="str">
        <f>IF($B69="","",SUM(I69:K69))</f>
        <v/>
      </c>
      <c r="M69" s="18" t="str">
        <f>IF($B69="","",H69-L69)</f>
        <v/>
      </c>
      <c r="N69" s="18" t="str">
        <f>IF($B69="","",IF(R69="Ancien",0,Paramètres!$D$18))</f>
        <v/>
      </c>
      <c r="O69" s="19"/>
      <c r="P69" s="18" t="str">
        <f>IF($B69="","",N69-O69)</f>
        <v/>
      </c>
      <c r="Q69" s="8" t="str">
        <f>IF($B69="","",IF(AND(M69&lt;=0,P69&lt;=0),"Soldé","En retard"))</f>
        <v/>
      </c>
      <c r="R69" s="8"/>
    </row>
    <row r="70">
      <c r="A70" s="20"/>
      <c r="B70" s="20"/>
      <c r="C70" s="20"/>
      <c r="D70" s="21"/>
      <c r="E70" s="77"/>
      <c r="F70" s="20"/>
      <c r="G70" s="20"/>
      <c r="H70" s="18" t="str">
        <f>IF($B70="","",Paramètres!$C$18)</f>
        <v/>
      </c>
      <c r="I70" s="19"/>
      <c r="J70" s="19"/>
      <c r="K70" s="19"/>
      <c r="L70" s="18" t="str">
        <f>IF($B70="","",SUM(I70:K70))</f>
        <v/>
      </c>
      <c r="M70" s="18" t="str">
        <f>IF($B70="","",H70-L70)</f>
        <v/>
      </c>
      <c r="N70" s="18" t="str">
        <f>IF($B70="","",IF(R70="Ancien",0,Paramètres!$D$18))</f>
        <v/>
      </c>
      <c r="O70" s="19"/>
      <c r="P70" s="18" t="str">
        <f>IF($B70="","",N70-O70)</f>
        <v/>
      </c>
      <c r="Q70" s="21" t="str">
        <f>IF($B70="","",IF(AND(M70&lt;=0,P70&lt;=0),"Soldé","En retard"))</f>
        <v/>
      </c>
      <c r="R70" s="21"/>
    </row>
    <row r="71">
      <c r="A71" s="15"/>
      <c r="B71" s="15"/>
      <c r="C71" s="15"/>
      <c r="D71" s="8"/>
      <c r="E71" s="79"/>
      <c r="F71" s="15"/>
      <c r="G71" s="15"/>
      <c r="H71" s="18" t="str">
        <f>IF($B71="","",Paramètres!$C$18)</f>
        <v/>
      </c>
      <c r="I71" s="19"/>
      <c r="J71" s="19"/>
      <c r="K71" s="19"/>
      <c r="L71" s="18" t="str">
        <f>IF($B71="","",SUM(I71:K71))</f>
        <v/>
      </c>
      <c r="M71" s="18" t="str">
        <f>IF($B71="","",H71-L71)</f>
        <v/>
      </c>
      <c r="N71" s="18" t="str">
        <f>IF($B71="","",IF(R71="Ancien",0,Paramètres!$D$18))</f>
        <v/>
      </c>
      <c r="O71" s="19"/>
      <c r="P71" s="18" t="str">
        <f>IF($B71="","",N71-O71)</f>
        <v/>
      </c>
      <c r="Q71" s="8" t="str">
        <f>IF($B71="","",IF(AND(M71&lt;=0,P71&lt;=0),"Soldé","En retard"))</f>
        <v/>
      </c>
      <c r="R71" s="8"/>
    </row>
    <row r="72">
      <c r="A72" s="20"/>
      <c r="B72" s="20"/>
      <c r="C72" s="20"/>
      <c r="D72" s="21"/>
      <c r="E72" s="77"/>
      <c r="F72" s="20"/>
      <c r="G72" s="20"/>
      <c r="H72" s="18" t="str">
        <f>IF($B72="","",Paramètres!$C$18)</f>
        <v/>
      </c>
      <c r="I72" s="19"/>
      <c r="J72" s="19"/>
      <c r="K72" s="19"/>
      <c r="L72" s="18" t="str">
        <f>IF($B72="","",SUM(I72:K72))</f>
        <v/>
      </c>
      <c r="M72" s="18" t="str">
        <f>IF($B72="","",H72-L72)</f>
        <v/>
      </c>
      <c r="N72" s="18" t="str">
        <f>IF($B72="","",IF(R72="Ancien",0,Paramètres!$D$18))</f>
        <v/>
      </c>
      <c r="O72" s="19"/>
      <c r="P72" s="18" t="str">
        <f>IF($B72="","",N72-O72)</f>
        <v/>
      </c>
      <c r="Q72" s="21" t="str">
        <f>IF($B72="","",IF(AND(M72&lt;=0,P72&lt;=0),"Soldé","En retard"))</f>
        <v/>
      </c>
      <c r="R72" s="21"/>
    </row>
    <row r="73">
      <c r="A73" s="15"/>
      <c r="B73" s="15"/>
      <c r="C73" s="15"/>
      <c r="D73" s="8"/>
      <c r="E73" s="79"/>
      <c r="F73" s="15"/>
      <c r="G73" s="15"/>
      <c r="H73" s="18" t="str">
        <f>IF($B73="","",Paramètres!$C$18)</f>
        <v/>
      </c>
      <c r="I73" s="19"/>
      <c r="J73" s="19"/>
      <c r="K73" s="19"/>
      <c r="L73" s="18" t="str">
        <f>IF($B73="","",SUM(I73:K73))</f>
        <v/>
      </c>
      <c r="M73" s="18" t="str">
        <f>IF($B73="","",H73-L73)</f>
        <v/>
      </c>
      <c r="N73" s="18" t="str">
        <f>IF($B73="","",IF(R73="Ancien",0,Paramètres!$D$18))</f>
        <v/>
      </c>
      <c r="O73" s="19"/>
      <c r="P73" s="18" t="str">
        <f>IF($B73="","",N73-O73)</f>
        <v/>
      </c>
      <c r="Q73" s="8" t="str">
        <f>IF($B73="","",IF(AND(M73&lt;=0,P73&lt;=0),"Soldé","En retard"))</f>
        <v/>
      </c>
      <c r="R73" s="8"/>
    </row>
    <row r="74">
      <c r="A74" s="20"/>
      <c r="B74" s="20"/>
      <c r="C74" s="20"/>
      <c r="D74" s="21"/>
      <c r="E74" s="77"/>
      <c r="F74" s="20"/>
      <c r="G74" s="20"/>
      <c r="H74" s="18" t="str">
        <f>IF($B74="","",Paramètres!$C$18)</f>
        <v/>
      </c>
      <c r="I74" s="19"/>
      <c r="J74" s="19"/>
      <c r="K74" s="19"/>
      <c r="L74" s="18" t="str">
        <f>IF($B74="","",SUM(I74:K74))</f>
        <v/>
      </c>
      <c r="M74" s="18" t="str">
        <f>IF($B74="","",H74-L74)</f>
        <v/>
      </c>
      <c r="N74" s="18" t="str">
        <f>IF($B74="","",IF(R74="Ancien",0,Paramètres!$D$18))</f>
        <v/>
      </c>
      <c r="O74" s="19"/>
      <c r="P74" s="18" t="str">
        <f>IF($B74="","",N74-O74)</f>
        <v/>
      </c>
      <c r="Q74" s="21" t="str">
        <f>IF($B74="","",IF(AND(M74&lt;=0,P74&lt;=0),"Soldé","En retard"))</f>
        <v/>
      </c>
      <c r="R74" s="21"/>
    </row>
    <row r="75">
      <c r="A75" s="15"/>
      <c r="B75" s="15"/>
      <c r="C75" s="15"/>
      <c r="D75" s="8"/>
      <c r="E75" s="79"/>
      <c r="F75" s="15"/>
      <c r="G75" s="15"/>
      <c r="H75" s="18" t="str">
        <f>IF($B75="","",Paramètres!$C$18)</f>
        <v/>
      </c>
      <c r="I75" s="19"/>
      <c r="J75" s="19"/>
      <c r="K75" s="19"/>
      <c r="L75" s="18" t="str">
        <f>IF($B75="","",SUM(I75:K75))</f>
        <v/>
      </c>
      <c r="M75" s="18" t="str">
        <f>IF($B75="","",H75-L75)</f>
        <v/>
      </c>
      <c r="N75" s="18" t="str">
        <f>IF($B75="","",IF(R75="Ancien",0,Paramètres!$D$18))</f>
        <v/>
      </c>
      <c r="O75" s="19"/>
      <c r="P75" s="18" t="str">
        <f>IF($B75="","",N75-O75)</f>
        <v/>
      </c>
      <c r="Q75" s="8" t="str">
        <f>IF($B75="","",IF(AND(M75&lt;=0,P75&lt;=0),"Soldé","En retard"))</f>
        <v/>
      </c>
      <c r="R75" s="8"/>
    </row>
    <row r="76">
      <c r="A76" s="20"/>
      <c r="B76" s="20"/>
      <c r="C76" s="20"/>
      <c r="D76" s="21"/>
      <c r="E76" s="77"/>
      <c r="F76" s="20"/>
      <c r="G76" s="20"/>
      <c r="H76" s="18" t="str">
        <f>IF($B76="","",Paramètres!$C$18)</f>
        <v/>
      </c>
      <c r="I76" s="19"/>
      <c r="J76" s="19"/>
      <c r="K76" s="19"/>
      <c r="L76" s="18" t="str">
        <f>IF($B76="","",SUM(I76:K76))</f>
        <v/>
      </c>
      <c r="M76" s="18" t="str">
        <f>IF($B76="","",H76-L76)</f>
        <v/>
      </c>
      <c r="N76" s="18" t="str">
        <f>IF($B76="","",IF(R76="Ancien",0,Paramètres!$D$18))</f>
        <v/>
      </c>
      <c r="O76" s="19"/>
      <c r="P76" s="18" t="str">
        <f>IF($B76="","",N76-O76)</f>
        <v/>
      </c>
      <c r="Q76" s="21" t="str">
        <f>IF($B76="","",IF(AND(M76&lt;=0,P76&lt;=0),"Soldé","En retard"))</f>
        <v/>
      </c>
      <c r="R76" s="21"/>
    </row>
    <row r="77">
      <c r="A77" s="15"/>
      <c r="B77" s="15"/>
      <c r="C77" s="15"/>
      <c r="D77" s="8"/>
      <c r="E77" s="79"/>
      <c r="F77" s="15"/>
      <c r="G77" s="15"/>
      <c r="H77" s="18" t="str">
        <f>IF($B77="","",Paramètres!$C$18)</f>
        <v/>
      </c>
      <c r="I77" s="19"/>
      <c r="J77" s="19"/>
      <c r="K77" s="19"/>
      <c r="L77" s="18" t="str">
        <f>IF($B77="","",SUM(I77:K77))</f>
        <v/>
      </c>
      <c r="M77" s="18" t="str">
        <f>IF($B77="","",H77-L77)</f>
        <v/>
      </c>
      <c r="N77" s="18" t="str">
        <f>IF($B77="","",IF(R77="Ancien",0,Paramètres!$D$18))</f>
        <v/>
      </c>
      <c r="O77" s="19"/>
      <c r="P77" s="18" t="str">
        <f>IF($B77="","",N77-O77)</f>
        <v/>
      </c>
      <c r="Q77" s="8" t="str">
        <f>IF($B77="","",IF(AND(M77&lt;=0,P77&lt;=0),"Soldé","En retard"))</f>
        <v/>
      </c>
      <c r="R77" s="8"/>
    </row>
    <row r="78">
      <c r="A78" s="20"/>
      <c r="B78" s="20"/>
      <c r="C78" s="20"/>
      <c r="D78" s="21"/>
      <c r="E78" s="77"/>
      <c r="F78" s="20"/>
      <c r="G78" s="20"/>
      <c r="H78" s="18" t="str">
        <f>IF($B78="","",Paramètres!$C$18)</f>
        <v/>
      </c>
      <c r="I78" s="19"/>
      <c r="J78" s="19"/>
      <c r="K78" s="19"/>
      <c r="L78" s="18" t="str">
        <f>IF($B78="","",SUM(I78:K78))</f>
        <v/>
      </c>
      <c r="M78" s="18" t="str">
        <f>IF($B78="","",H78-L78)</f>
        <v/>
      </c>
      <c r="N78" s="18" t="str">
        <f>IF($B78="","",IF(R78="Ancien",0,Paramètres!$D$18))</f>
        <v/>
      </c>
      <c r="O78" s="19"/>
      <c r="P78" s="18" t="str">
        <f>IF($B78="","",N78-O78)</f>
        <v/>
      </c>
      <c r="Q78" s="21" t="str">
        <f>IF($B78="","",IF(AND(M78&lt;=0,P78&lt;=0),"Soldé","En retard"))</f>
        <v/>
      </c>
      <c r="R78" s="21"/>
    </row>
    <row r="79">
      <c r="A79" s="15"/>
      <c r="B79" s="15"/>
      <c r="C79" s="15"/>
      <c r="D79" s="8"/>
      <c r="E79" s="79"/>
      <c r="F79" s="15"/>
      <c r="G79" s="15"/>
      <c r="H79" s="18" t="str">
        <f>IF($B79="","",Paramètres!$C$18)</f>
        <v/>
      </c>
      <c r="I79" s="19"/>
      <c r="J79" s="19"/>
      <c r="K79" s="19"/>
      <c r="L79" s="18" t="str">
        <f>IF($B79="","",SUM(I79:K79))</f>
        <v/>
      </c>
      <c r="M79" s="18" t="str">
        <f>IF($B79="","",H79-L79)</f>
        <v/>
      </c>
      <c r="N79" s="18" t="str">
        <f>IF($B79="","",IF(R79="Ancien",0,Paramètres!$D$18))</f>
        <v/>
      </c>
      <c r="O79" s="19"/>
      <c r="P79" s="18" t="str">
        <f>IF($B79="","",N79-O79)</f>
        <v/>
      </c>
      <c r="Q79" s="8" t="str">
        <f>IF($B79="","",IF(AND(M79&lt;=0,P79&lt;=0),"Soldé","En retard"))</f>
        <v/>
      </c>
      <c r="R79" s="8"/>
    </row>
    <row r="80">
      <c r="A80" s="20"/>
      <c r="B80" s="20"/>
      <c r="C80" s="20"/>
      <c r="D80" s="21"/>
      <c r="E80" s="77"/>
      <c r="F80" s="20"/>
      <c r="G80" s="20"/>
      <c r="H80" s="18" t="str">
        <f>IF($B80="","",Paramètres!$C$18)</f>
        <v/>
      </c>
      <c r="I80" s="19"/>
      <c r="J80" s="19"/>
      <c r="K80" s="19"/>
      <c r="L80" s="18" t="str">
        <f>IF($B80="","",SUM(I80:K80))</f>
        <v/>
      </c>
      <c r="M80" s="18" t="str">
        <f>IF($B80="","",H80-L80)</f>
        <v/>
      </c>
      <c r="N80" s="18" t="str">
        <f>IF($B80="","",IF(R80="Ancien",0,Paramètres!$D$18))</f>
        <v/>
      </c>
      <c r="O80" s="19"/>
      <c r="P80" s="18" t="str">
        <f>IF($B80="","",N80-O80)</f>
        <v/>
      </c>
      <c r="Q80" s="21" t="str">
        <f>IF($B80="","",IF(AND(M80&lt;=0,P80&lt;=0),"Soldé","En retard"))</f>
        <v/>
      </c>
      <c r="R80" s="21"/>
    </row>
    <row r="81">
      <c r="A81" s="15"/>
      <c r="B81" s="15"/>
      <c r="C81" s="15"/>
      <c r="D81" s="8"/>
      <c r="E81" s="79"/>
      <c r="F81" s="15"/>
      <c r="G81" s="15"/>
      <c r="H81" s="18" t="str">
        <f>IF($B81="","",Paramètres!$C$18)</f>
        <v/>
      </c>
      <c r="I81" s="19"/>
      <c r="J81" s="19"/>
      <c r="K81" s="19"/>
      <c r="L81" s="18" t="str">
        <f>IF($B81="","",SUM(I81:K81))</f>
        <v/>
      </c>
      <c r="M81" s="18" t="str">
        <f>IF($B81="","",H81-L81)</f>
        <v/>
      </c>
      <c r="N81" s="18" t="str">
        <f>IF($B81="","",IF(R81="Ancien",0,Paramètres!$D$18))</f>
        <v/>
      </c>
      <c r="O81" s="19"/>
      <c r="P81" s="18" t="str">
        <f>IF($B81="","",N81-O81)</f>
        <v/>
      </c>
      <c r="Q81" s="8" t="str">
        <f>IF($B81="","",IF(AND(M81&lt;=0,P81&lt;=0),"Soldé","En retard"))</f>
        <v/>
      </c>
      <c r="R81" s="8"/>
    </row>
    <row r="82">
      <c r="A82" s="20"/>
      <c r="B82" s="20"/>
      <c r="C82" s="20"/>
      <c r="D82" s="21"/>
      <c r="E82" s="77"/>
      <c r="F82" s="20"/>
      <c r="G82" s="20"/>
      <c r="H82" s="18" t="str">
        <f>IF($B82="","",Paramètres!$C$18)</f>
        <v/>
      </c>
      <c r="I82" s="19"/>
      <c r="J82" s="19"/>
      <c r="K82" s="19"/>
      <c r="L82" s="18" t="str">
        <f>IF($B82="","",SUM(I82:K82))</f>
        <v/>
      </c>
      <c r="M82" s="18" t="str">
        <f>IF($B82="","",H82-L82)</f>
        <v/>
      </c>
      <c r="N82" s="18" t="str">
        <f>IF($B82="","",IF(R82="Ancien",0,Paramètres!$D$18))</f>
        <v/>
      </c>
      <c r="O82" s="19"/>
      <c r="P82" s="18" t="str">
        <f>IF($B82="","",N82-O82)</f>
        <v/>
      </c>
      <c r="Q82" s="21" t="str">
        <f>IF($B82="","",IF(AND(M82&lt;=0,P82&lt;=0),"Soldé","En retard"))</f>
        <v/>
      </c>
      <c r="R82" s="21"/>
    </row>
    <row r="83">
      <c r="A83" s="15"/>
      <c r="B83" s="15"/>
      <c r="C83" s="15"/>
      <c r="D83" s="8"/>
      <c r="E83" s="79"/>
      <c r="F83" s="15"/>
      <c r="G83" s="15"/>
      <c r="H83" s="18" t="str">
        <f>IF($B83="","",Paramètres!$C$18)</f>
        <v/>
      </c>
      <c r="I83" s="19"/>
      <c r="J83" s="19"/>
      <c r="K83" s="19"/>
      <c r="L83" s="18" t="str">
        <f>IF($B83="","",SUM(I83:K83))</f>
        <v/>
      </c>
      <c r="M83" s="18" t="str">
        <f>IF($B83="","",H83-L83)</f>
        <v/>
      </c>
      <c r="N83" s="18" t="str">
        <f>IF($B83="","",IF(R83="Ancien",0,Paramètres!$D$18))</f>
        <v/>
      </c>
      <c r="O83" s="19"/>
      <c r="P83" s="18" t="str">
        <f>IF($B83="","",N83-O83)</f>
        <v/>
      </c>
      <c r="Q83" s="8" t="str">
        <f>IF($B83="","",IF(AND(M83&lt;=0,P83&lt;=0),"Soldé","En retard"))</f>
        <v/>
      </c>
      <c r="R83" s="8"/>
    </row>
  </sheetData>
  <mergeCells count="2">
    <mergeCell ref="A1:R1"/>
    <mergeCell ref="A2:R2"/>
  </mergeCells>
  <conditionalFormatting sqref="M4:M83 P4:P83">
    <cfRule type="cellIs" dxfId="10" priority="3" operator="greaterThan">
      <formula>0</formula>
    </cfRule>
  </conditionalFormatting>
  <conditionalFormatting sqref="Q4:Q83">
    <cfRule type="cellIs" dxfId="9" priority="1" operator="equal">
      <formula>"Soldé"</formula>
    </cfRule>
    <cfRule type="cellIs" dxfId="8" priority="2" operator="equal">
      <formula>"En retard"</formula>
    </cfRule>
  </conditionalFormatting>
  <dataValidations count="2">
    <dataValidation type="list" allowBlank="1" showErrorMessage="1" errorTitle="Sexe non valide" error="Choisissez M ou F." sqref="D4:D83">
      <formula1>"M,F"</formula1>
    </dataValidation>
    <dataValidation type="list" allowBlank="1" showErrorMessage="1" errorTitle="Statut non valide" error="Choisissez Nouveau ou Ancien. Un élève marqué Ancien ne paie pas les frais d'inscription." sqref="R4:R83">
      <formula1>"Nouveau,Ancien"</formula1>
    </dataValidation>
  </dataValidations>
  <pageMargins left="0.5" right="0.5" top="0.75" bottom="0.75" header="0.3" footer="0.3"/>
  <pageSetup paperSize="9" orientation="landscape" fitToHeight="0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R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7" customWidth="1"/>
    <col min="5" max="5" width="14" customWidth="1"/>
    <col min="6" max="6" width="18" customWidth="1"/>
    <col min="7" max="7" width="16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3" customWidth="1"/>
    <col min="18" max="18" width="16" customWidth="1"/>
  </cols>
  <sheetData>
    <row r="1" ht="27.75" customHeight="1">
      <c r="A1" s="53" t="str">
        <f>"INSCRIPTIONS — "&amp;Paramètres!$A$19</f>
        <v>INSCRIPTIONS — CE1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ht="18" customHeight="1">
      <c r="A2" s="54" t="str">
        <f>"Année scolaire "&amp;Paramètres!$C$11&amp;"   •   Effectif : "&amp;COUNTIF($B$4:$B$83,"?*")&amp;"   •   Cellules jaunes = montants à saisir ; colonnes grises = calcul automatique"</f>
        <v>Année scolaire 2025-2026   •   Effectif : 0   •   Cellules jaunes = montants à saisir ; colonnes grises = calcul automatique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Sexe</t>
        </is>
      </c>
      <c r="E3" s="3" t="inlineStr">
        <is>
          <t>Date de naissance</t>
        </is>
      </c>
      <c r="F3" s="3" t="inlineStr">
        <is>
          <t>Nom du tuteur</t>
        </is>
      </c>
      <c r="G3" s="3" t="inlineStr">
        <is>
          <t>Téléphone</t>
        </is>
      </c>
      <c r="H3" s="3" t="inlineStr">
        <is>
          <t>Scolarité due</t>
        </is>
      </c>
      <c r="I3" s="3" t="inlineStr">
        <is>
          <t>Tranche 1</t>
        </is>
      </c>
      <c r="J3" s="3" t="inlineStr">
        <is>
          <t>Tranche 2</t>
        </is>
      </c>
      <c r="K3" s="3" t="inlineStr">
        <is>
          <t>Tranche 3</t>
        </is>
      </c>
      <c r="L3" s="3" t="inlineStr">
        <is>
          <t>Total payé</t>
        </is>
      </c>
      <c r="M3" s="3" t="inlineStr">
        <is>
          <t>Reste à payer</t>
        </is>
      </c>
      <c r="N3" s="3" t="inlineStr">
        <is>
          <t>Inscription due</t>
        </is>
      </c>
      <c r="O3" s="3" t="inlineStr">
        <is>
          <t>Inscription payée</t>
        </is>
      </c>
      <c r="P3" s="3" t="inlineStr">
        <is>
          <t>Reste inscription</t>
        </is>
      </c>
      <c r="Q3" s="3" t="inlineStr">
        <is>
          <t>Statut</t>
        </is>
      </c>
      <c r="R3" s="3" t="inlineStr">
        <is>
          <t>Nouveau / Ancien</t>
        </is>
      </c>
    </row>
    <row r="4">
      <c r="A4" s="20"/>
      <c r="B4" s="20"/>
      <c r="C4" s="20"/>
      <c r="D4" s="21"/>
      <c r="E4" s="77"/>
      <c r="F4" s="20"/>
      <c r="G4" s="20"/>
      <c r="H4" s="18" t="str">
        <f>IF($B4="","",Paramètres!$C$19)</f>
        <v/>
      </c>
      <c r="I4" s="19"/>
      <c r="J4" s="19"/>
      <c r="K4" s="19"/>
      <c r="L4" s="18" t="str">
        <f>IF($B4="","",SUM(I4:K4))</f>
        <v/>
      </c>
      <c r="M4" s="18" t="str">
        <f>IF($B4="","",H4-L4)</f>
        <v/>
      </c>
      <c r="N4" s="18" t="str">
        <f>IF($B4="","",IF(R4="Ancien",0,Paramètres!$D$19))</f>
        <v/>
      </c>
      <c r="O4" s="19"/>
      <c r="P4" s="18" t="str">
        <f>IF($B4="","",N4-O4)</f>
        <v/>
      </c>
      <c r="Q4" s="21" t="str">
        <f>IF($B4="","",IF(AND(M4&lt;=0,P4&lt;=0),"Soldé","En retard"))</f>
        <v/>
      </c>
      <c r="R4" s="21"/>
    </row>
    <row r="5">
      <c r="A5" s="15"/>
      <c r="B5" s="15"/>
      <c r="C5" s="15"/>
      <c r="D5" s="8"/>
      <c r="E5" s="79"/>
      <c r="F5" s="15"/>
      <c r="G5" s="15"/>
      <c r="H5" s="18" t="str">
        <f>IF($B5="","",Paramètres!$C$19)</f>
        <v/>
      </c>
      <c r="I5" s="19"/>
      <c r="J5" s="19"/>
      <c r="K5" s="19"/>
      <c r="L5" s="18" t="str">
        <f>IF($B5="","",SUM(I5:K5))</f>
        <v/>
      </c>
      <c r="M5" s="18" t="str">
        <f>IF($B5="","",H5-L5)</f>
        <v/>
      </c>
      <c r="N5" s="18" t="str">
        <f>IF($B5="","",IF(R5="Ancien",0,Paramètres!$D$19))</f>
        <v/>
      </c>
      <c r="O5" s="19"/>
      <c r="P5" s="18" t="str">
        <f>IF($B5="","",N5-O5)</f>
        <v/>
      </c>
      <c r="Q5" s="8" t="str">
        <f>IF($B5="","",IF(AND(M5&lt;=0,P5&lt;=0),"Soldé","En retard"))</f>
        <v/>
      </c>
      <c r="R5" s="8"/>
    </row>
    <row r="6">
      <c r="A6" s="20"/>
      <c r="B6" s="20"/>
      <c r="C6" s="20"/>
      <c r="D6" s="21"/>
      <c r="E6" s="77"/>
      <c r="F6" s="20"/>
      <c r="G6" s="20"/>
      <c r="H6" s="18" t="str">
        <f>IF($B6="","",Paramètres!$C$19)</f>
        <v/>
      </c>
      <c r="I6" s="19"/>
      <c r="J6" s="19"/>
      <c r="K6" s="19"/>
      <c r="L6" s="18" t="str">
        <f>IF($B6="","",SUM(I6:K6))</f>
        <v/>
      </c>
      <c r="M6" s="18" t="str">
        <f>IF($B6="","",H6-L6)</f>
        <v/>
      </c>
      <c r="N6" s="18" t="str">
        <f>IF($B6="","",IF(R6="Ancien",0,Paramètres!$D$19))</f>
        <v/>
      </c>
      <c r="O6" s="19"/>
      <c r="P6" s="18" t="str">
        <f>IF($B6="","",N6-O6)</f>
        <v/>
      </c>
      <c r="Q6" s="21" t="str">
        <f>IF($B6="","",IF(AND(M6&lt;=0,P6&lt;=0),"Soldé","En retard"))</f>
        <v/>
      </c>
      <c r="R6" s="21"/>
    </row>
    <row r="7">
      <c r="A7" s="15"/>
      <c r="B7" s="15"/>
      <c r="C7" s="15"/>
      <c r="D7" s="8"/>
      <c r="E7" s="79"/>
      <c r="F7" s="15"/>
      <c r="G7" s="15"/>
      <c r="H7" s="18" t="str">
        <f>IF($B7="","",Paramètres!$C$19)</f>
        <v/>
      </c>
      <c r="I7" s="19"/>
      <c r="J7" s="19"/>
      <c r="K7" s="19"/>
      <c r="L7" s="18" t="str">
        <f>IF($B7="","",SUM(I7:K7))</f>
        <v/>
      </c>
      <c r="M7" s="18" t="str">
        <f>IF($B7="","",H7-L7)</f>
        <v/>
      </c>
      <c r="N7" s="18" t="str">
        <f>IF($B7="","",IF(R7="Ancien",0,Paramètres!$D$19))</f>
        <v/>
      </c>
      <c r="O7" s="19"/>
      <c r="P7" s="18" t="str">
        <f>IF($B7="","",N7-O7)</f>
        <v/>
      </c>
      <c r="Q7" s="8" t="str">
        <f>IF($B7="","",IF(AND(M7&lt;=0,P7&lt;=0),"Soldé","En retard"))</f>
        <v/>
      </c>
      <c r="R7" s="8"/>
    </row>
    <row r="8">
      <c r="A8" s="20"/>
      <c r="B8" s="20"/>
      <c r="C8" s="20"/>
      <c r="D8" s="21"/>
      <c r="E8" s="77"/>
      <c r="F8" s="20"/>
      <c r="G8" s="20"/>
      <c r="H8" s="18" t="str">
        <f>IF($B8="","",Paramètres!$C$19)</f>
        <v/>
      </c>
      <c r="I8" s="19"/>
      <c r="J8" s="19"/>
      <c r="K8" s="19"/>
      <c r="L8" s="18" t="str">
        <f>IF($B8="","",SUM(I8:K8))</f>
        <v/>
      </c>
      <c r="M8" s="18" t="str">
        <f>IF($B8="","",H8-L8)</f>
        <v/>
      </c>
      <c r="N8" s="18" t="str">
        <f>IF($B8="","",IF(R8="Ancien",0,Paramètres!$D$19))</f>
        <v/>
      </c>
      <c r="O8" s="19"/>
      <c r="P8" s="18" t="str">
        <f>IF($B8="","",N8-O8)</f>
        <v/>
      </c>
      <c r="Q8" s="21" t="str">
        <f>IF($B8="","",IF(AND(M8&lt;=0,P8&lt;=0),"Soldé","En retard"))</f>
        <v/>
      </c>
      <c r="R8" s="21"/>
    </row>
    <row r="9">
      <c r="A9" s="15"/>
      <c r="B9" s="15"/>
      <c r="C9" s="15"/>
      <c r="D9" s="8"/>
      <c r="E9" s="79"/>
      <c r="F9" s="15"/>
      <c r="G9" s="15"/>
      <c r="H9" s="18" t="str">
        <f>IF($B9="","",Paramètres!$C$19)</f>
        <v/>
      </c>
      <c r="I9" s="19"/>
      <c r="J9" s="19"/>
      <c r="K9" s="19"/>
      <c r="L9" s="18" t="str">
        <f>IF($B9="","",SUM(I9:K9))</f>
        <v/>
      </c>
      <c r="M9" s="18" t="str">
        <f>IF($B9="","",H9-L9)</f>
        <v/>
      </c>
      <c r="N9" s="18" t="str">
        <f>IF($B9="","",IF(R9="Ancien",0,Paramètres!$D$19))</f>
        <v/>
      </c>
      <c r="O9" s="19"/>
      <c r="P9" s="18" t="str">
        <f>IF($B9="","",N9-O9)</f>
        <v/>
      </c>
      <c r="Q9" s="8" t="str">
        <f>IF($B9="","",IF(AND(M9&lt;=0,P9&lt;=0),"Soldé","En retard"))</f>
        <v/>
      </c>
      <c r="R9" s="8"/>
    </row>
    <row r="10">
      <c r="A10" s="20"/>
      <c r="B10" s="20"/>
      <c r="C10" s="20"/>
      <c r="D10" s="21"/>
      <c r="E10" s="77"/>
      <c r="F10" s="20"/>
      <c r="G10" s="20"/>
      <c r="H10" s="18" t="str">
        <f>IF($B10="","",Paramètres!$C$19)</f>
        <v/>
      </c>
      <c r="I10" s="19"/>
      <c r="J10" s="19"/>
      <c r="K10" s="19"/>
      <c r="L10" s="18" t="str">
        <f>IF($B10="","",SUM(I10:K10))</f>
        <v/>
      </c>
      <c r="M10" s="18" t="str">
        <f>IF($B10="","",H10-L10)</f>
        <v/>
      </c>
      <c r="N10" s="18" t="str">
        <f>IF($B10="","",IF(R10="Ancien",0,Paramètres!$D$19))</f>
        <v/>
      </c>
      <c r="O10" s="19"/>
      <c r="P10" s="18" t="str">
        <f>IF($B10="","",N10-O10)</f>
        <v/>
      </c>
      <c r="Q10" s="21" t="str">
        <f>IF($B10="","",IF(AND(M10&lt;=0,P10&lt;=0),"Soldé","En retard"))</f>
        <v/>
      </c>
      <c r="R10" s="21"/>
    </row>
    <row r="11">
      <c r="A11" s="15"/>
      <c r="B11" s="15"/>
      <c r="C11" s="15"/>
      <c r="D11" s="8"/>
      <c r="E11" s="79"/>
      <c r="F11" s="15"/>
      <c r="G11" s="15"/>
      <c r="H11" s="18" t="str">
        <f>IF($B11="","",Paramètres!$C$19)</f>
        <v/>
      </c>
      <c r="I11" s="19"/>
      <c r="J11" s="19"/>
      <c r="K11" s="19"/>
      <c r="L11" s="18" t="str">
        <f>IF($B11="","",SUM(I11:K11))</f>
        <v/>
      </c>
      <c r="M11" s="18" t="str">
        <f>IF($B11="","",H11-L11)</f>
        <v/>
      </c>
      <c r="N11" s="18" t="str">
        <f>IF($B11="","",IF(R11="Ancien",0,Paramètres!$D$19))</f>
        <v/>
      </c>
      <c r="O11" s="19"/>
      <c r="P11" s="18" t="str">
        <f>IF($B11="","",N11-O11)</f>
        <v/>
      </c>
      <c r="Q11" s="8" t="str">
        <f>IF($B11="","",IF(AND(M11&lt;=0,P11&lt;=0),"Soldé","En retard"))</f>
        <v/>
      </c>
      <c r="R11" s="8"/>
    </row>
    <row r="12">
      <c r="A12" s="20"/>
      <c r="B12" s="20"/>
      <c r="C12" s="20"/>
      <c r="D12" s="21"/>
      <c r="E12" s="77"/>
      <c r="F12" s="20"/>
      <c r="G12" s="20"/>
      <c r="H12" s="18" t="str">
        <f>IF($B12="","",Paramètres!$C$19)</f>
        <v/>
      </c>
      <c r="I12" s="19"/>
      <c r="J12" s="19"/>
      <c r="K12" s="19"/>
      <c r="L12" s="18" t="str">
        <f>IF($B12="","",SUM(I12:K12))</f>
        <v/>
      </c>
      <c r="M12" s="18" t="str">
        <f>IF($B12="","",H12-L12)</f>
        <v/>
      </c>
      <c r="N12" s="18" t="str">
        <f>IF($B12="","",IF(R12="Ancien",0,Paramètres!$D$19))</f>
        <v/>
      </c>
      <c r="O12" s="19"/>
      <c r="P12" s="18" t="str">
        <f>IF($B12="","",N12-O12)</f>
        <v/>
      </c>
      <c r="Q12" s="21" t="str">
        <f>IF($B12="","",IF(AND(M12&lt;=0,P12&lt;=0),"Soldé","En retard"))</f>
        <v/>
      </c>
      <c r="R12" s="21"/>
    </row>
    <row r="13">
      <c r="A13" s="15"/>
      <c r="B13" s="15"/>
      <c r="C13" s="15"/>
      <c r="D13" s="8"/>
      <c r="E13" s="79"/>
      <c r="F13" s="15"/>
      <c r="G13" s="15"/>
      <c r="H13" s="18" t="str">
        <f>IF($B13="","",Paramètres!$C$19)</f>
        <v/>
      </c>
      <c r="I13" s="19"/>
      <c r="J13" s="19"/>
      <c r="K13" s="19"/>
      <c r="L13" s="18" t="str">
        <f>IF($B13="","",SUM(I13:K13))</f>
        <v/>
      </c>
      <c r="M13" s="18" t="str">
        <f>IF($B13="","",H13-L13)</f>
        <v/>
      </c>
      <c r="N13" s="18" t="str">
        <f>IF($B13="","",IF(R13="Ancien",0,Paramètres!$D$19))</f>
        <v/>
      </c>
      <c r="O13" s="19"/>
      <c r="P13" s="18" t="str">
        <f>IF($B13="","",N13-O13)</f>
        <v/>
      </c>
      <c r="Q13" s="8" t="str">
        <f>IF($B13="","",IF(AND(M13&lt;=0,P13&lt;=0),"Soldé","En retard"))</f>
        <v/>
      </c>
      <c r="R13" s="8"/>
    </row>
    <row r="14">
      <c r="A14" s="20"/>
      <c r="B14" s="20"/>
      <c r="C14" s="20"/>
      <c r="D14" s="21"/>
      <c r="E14" s="77"/>
      <c r="F14" s="20"/>
      <c r="G14" s="20"/>
      <c r="H14" s="18" t="str">
        <f>IF($B14="","",Paramètres!$C$19)</f>
        <v/>
      </c>
      <c r="I14" s="19"/>
      <c r="J14" s="19"/>
      <c r="K14" s="19"/>
      <c r="L14" s="18" t="str">
        <f>IF($B14="","",SUM(I14:K14))</f>
        <v/>
      </c>
      <c r="M14" s="18" t="str">
        <f>IF($B14="","",H14-L14)</f>
        <v/>
      </c>
      <c r="N14" s="18" t="str">
        <f>IF($B14="","",IF(R14="Ancien",0,Paramètres!$D$19))</f>
        <v/>
      </c>
      <c r="O14" s="19"/>
      <c r="P14" s="18" t="str">
        <f>IF($B14="","",N14-O14)</f>
        <v/>
      </c>
      <c r="Q14" s="21" t="str">
        <f>IF($B14="","",IF(AND(M14&lt;=0,P14&lt;=0),"Soldé","En retard"))</f>
        <v/>
      </c>
      <c r="R14" s="21"/>
    </row>
    <row r="15">
      <c r="A15" s="15"/>
      <c r="B15" s="15"/>
      <c r="C15" s="15"/>
      <c r="D15" s="8"/>
      <c r="E15" s="79"/>
      <c r="F15" s="15"/>
      <c r="G15" s="15"/>
      <c r="H15" s="18" t="str">
        <f>IF($B15="","",Paramètres!$C$19)</f>
        <v/>
      </c>
      <c r="I15" s="19"/>
      <c r="J15" s="19"/>
      <c r="K15" s="19"/>
      <c r="L15" s="18" t="str">
        <f>IF($B15="","",SUM(I15:K15))</f>
        <v/>
      </c>
      <c r="M15" s="18" t="str">
        <f>IF($B15="","",H15-L15)</f>
        <v/>
      </c>
      <c r="N15" s="18" t="str">
        <f>IF($B15="","",IF(R15="Ancien",0,Paramètres!$D$19))</f>
        <v/>
      </c>
      <c r="O15" s="19"/>
      <c r="P15" s="18" t="str">
        <f>IF($B15="","",N15-O15)</f>
        <v/>
      </c>
      <c r="Q15" s="8" t="str">
        <f>IF($B15="","",IF(AND(M15&lt;=0,P15&lt;=0),"Soldé","En retard"))</f>
        <v/>
      </c>
      <c r="R15" s="8"/>
    </row>
    <row r="16">
      <c r="A16" s="20"/>
      <c r="B16" s="20"/>
      <c r="C16" s="20"/>
      <c r="D16" s="21"/>
      <c r="E16" s="77"/>
      <c r="F16" s="20"/>
      <c r="G16" s="20"/>
      <c r="H16" s="18" t="str">
        <f>IF($B16="","",Paramètres!$C$19)</f>
        <v/>
      </c>
      <c r="I16" s="19"/>
      <c r="J16" s="19"/>
      <c r="K16" s="19"/>
      <c r="L16" s="18" t="str">
        <f>IF($B16="","",SUM(I16:K16))</f>
        <v/>
      </c>
      <c r="M16" s="18" t="str">
        <f>IF($B16="","",H16-L16)</f>
        <v/>
      </c>
      <c r="N16" s="18" t="str">
        <f>IF($B16="","",IF(R16="Ancien",0,Paramètres!$D$19))</f>
        <v/>
      </c>
      <c r="O16" s="19"/>
      <c r="P16" s="18" t="str">
        <f>IF($B16="","",N16-O16)</f>
        <v/>
      </c>
      <c r="Q16" s="21" t="str">
        <f>IF($B16="","",IF(AND(M16&lt;=0,P16&lt;=0),"Soldé","En retard"))</f>
        <v/>
      </c>
      <c r="R16" s="21"/>
    </row>
    <row r="17">
      <c r="A17" s="15"/>
      <c r="B17" s="15"/>
      <c r="C17" s="15"/>
      <c r="D17" s="8"/>
      <c r="E17" s="79"/>
      <c r="F17" s="15"/>
      <c r="G17" s="15"/>
      <c r="H17" s="18" t="str">
        <f>IF($B17="","",Paramètres!$C$19)</f>
        <v/>
      </c>
      <c r="I17" s="19"/>
      <c r="J17" s="19"/>
      <c r="K17" s="19"/>
      <c r="L17" s="18" t="str">
        <f>IF($B17="","",SUM(I17:K17))</f>
        <v/>
      </c>
      <c r="M17" s="18" t="str">
        <f>IF($B17="","",H17-L17)</f>
        <v/>
      </c>
      <c r="N17" s="18" t="str">
        <f>IF($B17="","",IF(R17="Ancien",0,Paramètres!$D$19))</f>
        <v/>
      </c>
      <c r="O17" s="19"/>
      <c r="P17" s="18" t="str">
        <f>IF($B17="","",N17-O17)</f>
        <v/>
      </c>
      <c r="Q17" s="8" t="str">
        <f>IF($B17="","",IF(AND(M17&lt;=0,P17&lt;=0),"Soldé","En retard"))</f>
        <v/>
      </c>
      <c r="R17" s="8"/>
    </row>
    <row r="18">
      <c r="A18" s="20"/>
      <c r="B18" s="20"/>
      <c r="C18" s="20"/>
      <c r="D18" s="21"/>
      <c r="E18" s="77"/>
      <c r="F18" s="20"/>
      <c r="G18" s="20"/>
      <c r="H18" s="18" t="str">
        <f>IF($B18="","",Paramètres!$C$19)</f>
        <v/>
      </c>
      <c r="I18" s="19"/>
      <c r="J18" s="19"/>
      <c r="K18" s="19"/>
      <c r="L18" s="18" t="str">
        <f>IF($B18="","",SUM(I18:K18))</f>
        <v/>
      </c>
      <c r="M18" s="18" t="str">
        <f>IF($B18="","",H18-L18)</f>
        <v/>
      </c>
      <c r="N18" s="18" t="str">
        <f>IF($B18="","",IF(R18="Ancien",0,Paramètres!$D$19))</f>
        <v/>
      </c>
      <c r="O18" s="19"/>
      <c r="P18" s="18" t="str">
        <f>IF($B18="","",N18-O18)</f>
        <v/>
      </c>
      <c r="Q18" s="21" t="str">
        <f>IF($B18="","",IF(AND(M18&lt;=0,P18&lt;=0),"Soldé","En retard"))</f>
        <v/>
      </c>
      <c r="R18" s="21"/>
    </row>
    <row r="19">
      <c r="A19" s="15"/>
      <c r="B19" s="15"/>
      <c r="C19" s="15"/>
      <c r="D19" s="8"/>
      <c r="E19" s="79"/>
      <c r="F19" s="15"/>
      <c r="G19" s="15"/>
      <c r="H19" s="18" t="str">
        <f>IF($B19="","",Paramètres!$C$19)</f>
        <v/>
      </c>
      <c r="I19" s="19"/>
      <c r="J19" s="19"/>
      <c r="K19" s="19"/>
      <c r="L19" s="18" t="str">
        <f>IF($B19="","",SUM(I19:K19))</f>
        <v/>
      </c>
      <c r="M19" s="18" t="str">
        <f>IF($B19="","",H19-L19)</f>
        <v/>
      </c>
      <c r="N19" s="18" t="str">
        <f>IF($B19="","",IF(R19="Ancien",0,Paramètres!$D$19))</f>
        <v/>
      </c>
      <c r="O19" s="19"/>
      <c r="P19" s="18" t="str">
        <f>IF($B19="","",N19-O19)</f>
        <v/>
      </c>
      <c r="Q19" s="8" t="str">
        <f>IF($B19="","",IF(AND(M19&lt;=0,P19&lt;=0),"Soldé","En retard"))</f>
        <v/>
      </c>
      <c r="R19" s="8"/>
    </row>
    <row r="20">
      <c r="A20" s="20"/>
      <c r="B20" s="20"/>
      <c r="C20" s="20"/>
      <c r="D20" s="21"/>
      <c r="E20" s="77"/>
      <c r="F20" s="20"/>
      <c r="G20" s="20"/>
      <c r="H20" s="18" t="str">
        <f>IF($B20="","",Paramètres!$C$19)</f>
        <v/>
      </c>
      <c r="I20" s="19"/>
      <c r="J20" s="19"/>
      <c r="K20" s="19"/>
      <c r="L20" s="18" t="str">
        <f>IF($B20="","",SUM(I20:K20))</f>
        <v/>
      </c>
      <c r="M20" s="18" t="str">
        <f>IF($B20="","",H20-L20)</f>
        <v/>
      </c>
      <c r="N20" s="18" t="str">
        <f>IF($B20="","",IF(R20="Ancien",0,Paramètres!$D$19))</f>
        <v/>
      </c>
      <c r="O20" s="19"/>
      <c r="P20" s="18" t="str">
        <f>IF($B20="","",N20-O20)</f>
        <v/>
      </c>
      <c r="Q20" s="21" t="str">
        <f>IF($B20="","",IF(AND(M20&lt;=0,P20&lt;=0),"Soldé","En retard"))</f>
        <v/>
      </c>
      <c r="R20" s="21"/>
    </row>
    <row r="21">
      <c r="A21" s="15"/>
      <c r="B21" s="15"/>
      <c r="C21" s="15"/>
      <c r="D21" s="8"/>
      <c r="E21" s="79"/>
      <c r="F21" s="15"/>
      <c r="G21" s="15"/>
      <c r="H21" s="18" t="str">
        <f>IF($B21="","",Paramètres!$C$19)</f>
        <v/>
      </c>
      <c r="I21" s="19"/>
      <c r="J21" s="19"/>
      <c r="K21" s="19"/>
      <c r="L21" s="18" t="str">
        <f>IF($B21="","",SUM(I21:K21))</f>
        <v/>
      </c>
      <c r="M21" s="18" t="str">
        <f>IF($B21="","",H21-L21)</f>
        <v/>
      </c>
      <c r="N21" s="18" t="str">
        <f>IF($B21="","",IF(R21="Ancien",0,Paramètres!$D$19))</f>
        <v/>
      </c>
      <c r="O21" s="19"/>
      <c r="P21" s="18" t="str">
        <f>IF($B21="","",N21-O21)</f>
        <v/>
      </c>
      <c r="Q21" s="8" t="str">
        <f>IF($B21="","",IF(AND(M21&lt;=0,P21&lt;=0),"Soldé","En retard"))</f>
        <v/>
      </c>
      <c r="R21" s="8"/>
    </row>
    <row r="22">
      <c r="A22" s="20"/>
      <c r="B22" s="20"/>
      <c r="C22" s="20"/>
      <c r="D22" s="21"/>
      <c r="E22" s="77"/>
      <c r="F22" s="20"/>
      <c r="G22" s="20"/>
      <c r="H22" s="18" t="str">
        <f>IF($B22="","",Paramètres!$C$19)</f>
        <v/>
      </c>
      <c r="I22" s="19"/>
      <c r="J22" s="19"/>
      <c r="K22" s="19"/>
      <c r="L22" s="18" t="str">
        <f>IF($B22="","",SUM(I22:K22))</f>
        <v/>
      </c>
      <c r="M22" s="18" t="str">
        <f>IF($B22="","",H22-L22)</f>
        <v/>
      </c>
      <c r="N22" s="18" t="str">
        <f>IF($B22="","",IF(R22="Ancien",0,Paramètres!$D$19))</f>
        <v/>
      </c>
      <c r="O22" s="19"/>
      <c r="P22" s="18" t="str">
        <f>IF($B22="","",N22-O22)</f>
        <v/>
      </c>
      <c r="Q22" s="21" t="str">
        <f>IF($B22="","",IF(AND(M22&lt;=0,P22&lt;=0),"Soldé","En retard"))</f>
        <v/>
      </c>
      <c r="R22" s="21"/>
    </row>
    <row r="23">
      <c r="A23" s="15"/>
      <c r="B23" s="15"/>
      <c r="C23" s="15"/>
      <c r="D23" s="8"/>
      <c r="E23" s="79"/>
      <c r="F23" s="15"/>
      <c r="G23" s="15"/>
      <c r="H23" s="18" t="str">
        <f>IF($B23="","",Paramètres!$C$19)</f>
        <v/>
      </c>
      <c r="I23" s="19"/>
      <c r="J23" s="19"/>
      <c r="K23" s="19"/>
      <c r="L23" s="18" t="str">
        <f>IF($B23="","",SUM(I23:K23))</f>
        <v/>
      </c>
      <c r="M23" s="18" t="str">
        <f>IF($B23="","",H23-L23)</f>
        <v/>
      </c>
      <c r="N23" s="18" t="str">
        <f>IF($B23="","",IF(R23="Ancien",0,Paramètres!$D$19))</f>
        <v/>
      </c>
      <c r="O23" s="19"/>
      <c r="P23" s="18" t="str">
        <f>IF($B23="","",N23-O23)</f>
        <v/>
      </c>
      <c r="Q23" s="8" t="str">
        <f>IF($B23="","",IF(AND(M23&lt;=0,P23&lt;=0),"Soldé","En retard"))</f>
        <v/>
      </c>
      <c r="R23" s="8"/>
    </row>
    <row r="24">
      <c r="A24" s="20"/>
      <c r="B24" s="20"/>
      <c r="C24" s="20"/>
      <c r="D24" s="21"/>
      <c r="E24" s="77"/>
      <c r="F24" s="20"/>
      <c r="G24" s="20"/>
      <c r="H24" s="18" t="str">
        <f>IF($B24="","",Paramètres!$C$19)</f>
        <v/>
      </c>
      <c r="I24" s="19"/>
      <c r="J24" s="19"/>
      <c r="K24" s="19"/>
      <c r="L24" s="18" t="str">
        <f>IF($B24="","",SUM(I24:K24))</f>
        <v/>
      </c>
      <c r="M24" s="18" t="str">
        <f>IF($B24="","",H24-L24)</f>
        <v/>
      </c>
      <c r="N24" s="18" t="str">
        <f>IF($B24="","",IF(R24="Ancien",0,Paramètres!$D$19))</f>
        <v/>
      </c>
      <c r="O24" s="19"/>
      <c r="P24" s="18" t="str">
        <f>IF($B24="","",N24-O24)</f>
        <v/>
      </c>
      <c r="Q24" s="21" t="str">
        <f>IF($B24="","",IF(AND(M24&lt;=0,P24&lt;=0),"Soldé","En retard"))</f>
        <v/>
      </c>
      <c r="R24" s="21"/>
    </row>
    <row r="25">
      <c r="A25" s="15"/>
      <c r="B25" s="15"/>
      <c r="C25" s="15"/>
      <c r="D25" s="8"/>
      <c r="E25" s="79"/>
      <c r="F25" s="15"/>
      <c r="G25" s="15"/>
      <c r="H25" s="18" t="str">
        <f>IF($B25="","",Paramètres!$C$19)</f>
        <v/>
      </c>
      <c r="I25" s="19"/>
      <c r="J25" s="19"/>
      <c r="K25" s="19"/>
      <c r="L25" s="18" t="str">
        <f>IF($B25="","",SUM(I25:K25))</f>
        <v/>
      </c>
      <c r="M25" s="18" t="str">
        <f>IF($B25="","",H25-L25)</f>
        <v/>
      </c>
      <c r="N25" s="18" t="str">
        <f>IF($B25="","",IF(R25="Ancien",0,Paramètres!$D$19))</f>
        <v/>
      </c>
      <c r="O25" s="19"/>
      <c r="P25" s="18" t="str">
        <f>IF($B25="","",N25-O25)</f>
        <v/>
      </c>
      <c r="Q25" s="8" t="str">
        <f>IF($B25="","",IF(AND(M25&lt;=0,P25&lt;=0),"Soldé","En retard"))</f>
        <v/>
      </c>
      <c r="R25" s="8"/>
    </row>
    <row r="26">
      <c r="A26" s="20"/>
      <c r="B26" s="20"/>
      <c r="C26" s="20"/>
      <c r="D26" s="21"/>
      <c r="E26" s="77"/>
      <c r="F26" s="20"/>
      <c r="G26" s="20"/>
      <c r="H26" s="18" t="str">
        <f>IF($B26="","",Paramètres!$C$19)</f>
        <v/>
      </c>
      <c r="I26" s="19"/>
      <c r="J26" s="19"/>
      <c r="K26" s="19"/>
      <c r="L26" s="18" t="str">
        <f>IF($B26="","",SUM(I26:K26))</f>
        <v/>
      </c>
      <c r="M26" s="18" t="str">
        <f>IF($B26="","",H26-L26)</f>
        <v/>
      </c>
      <c r="N26" s="18" t="str">
        <f>IF($B26="","",IF(R26="Ancien",0,Paramètres!$D$19))</f>
        <v/>
      </c>
      <c r="O26" s="19"/>
      <c r="P26" s="18" t="str">
        <f>IF($B26="","",N26-O26)</f>
        <v/>
      </c>
      <c r="Q26" s="21" t="str">
        <f>IF($B26="","",IF(AND(M26&lt;=0,P26&lt;=0),"Soldé","En retard"))</f>
        <v/>
      </c>
      <c r="R26" s="21"/>
    </row>
    <row r="27">
      <c r="A27" s="15"/>
      <c r="B27" s="15"/>
      <c r="C27" s="15"/>
      <c r="D27" s="8"/>
      <c r="E27" s="79"/>
      <c r="F27" s="15"/>
      <c r="G27" s="15"/>
      <c r="H27" s="18" t="str">
        <f>IF($B27="","",Paramètres!$C$19)</f>
        <v/>
      </c>
      <c r="I27" s="19"/>
      <c r="J27" s="19"/>
      <c r="K27" s="19"/>
      <c r="L27" s="18" t="str">
        <f>IF($B27="","",SUM(I27:K27))</f>
        <v/>
      </c>
      <c r="M27" s="18" t="str">
        <f>IF($B27="","",H27-L27)</f>
        <v/>
      </c>
      <c r="N27" s="18" t="str">
        <f>IF($B27="","",IF(R27="Ancien",0,Paramètres!$D$19))</f>
        <v/>
      </c>
      <c r="O27" s="19"/>
      <c r="P27" s="18" t="str">
        <f>IF($B27="","",N27-O27)</f>
        <v/>
      </c>
      <c r="Q27" s="8" t="str">
        <f>IF($B27="","",IF(AND(M27&lt;=0,P27&lt;=0),"Soldé","En retard"))</f>
        <v/>
      </c>
      <c r="R27" s="8"/>
    </row>
    <row r="28">
      <c r="A28" s="20"/>
      <c r="B28" s="20"/>
      <c r="C28" s="20"/>
      <c r="D28" s="21"/>
      <c r="E28" s="77"/>
      <c r="F28" s="20"/>
      <c r="G28" s="20"/>
      <c r="H28" s="18" t="str">
        <f>IF($B28="","",Paramètres!$C$19)</f>
        <v/>
      </c>
      <c r="I28" s="19"/>
      <c r="J28" s="19"/>
      <c r="K28" s="19"/>
      <c r="L28" s="18" t="str">
        <f>IF($B28="","",SUM(I28:K28))</f>
        <v/>
      </c>
      <c r="M28" s="18" t="str">
        <f>IF($B28="","",H28-L28)</f>
        <v/>
      </c>
      <c r="N28" s="18" t="str">
        <f>IF($B28="","",IF(R28="Ancien",0,Paramètres!$D$19))</f>
        <v/>
      </c>
      <c r="O28" s="19"/>
      <c r="P28" s="18" t="str">
        <f>IF($B28="","",N28-O28)</f>
        <v/>
      </c>
      <c r="Q28" s="21" t="str">
        <f>IF($B28="","",IF(AND(M28&lt;=0,P28&lt;=0),"Soldé","En retard"))</f>
        <v/>
      </c>
      <c r="R28" s="21"/>
    </row>
    <row r="29">
      <c r="A29" s="15"/>
      <c r="B29" s="15"/>
      <c r="C29" s="15"/>
      <c r="D29" s="8"/>
      <c r="E29" s="79"/>
      <c r="F29" s="15"/>
      <c r="G29" s="15"/>
      <c r="H29" s="18" t="str">
        <f>IF($B29="","",Paramètres!$C$19)</f>
        <v/>
      </c>
      <c r="I29" s="19"/>
      <c r="J29" s="19"/>
      <c r="K29" s="19"/>
      <c r="L29" s="18" t="str">
        <f>IF($B29="","",SUM(I29:K29))</f>
        <v/>
      </c>
      <c r="M29" s="18" t="str">
        <f>IF($B29="","",H29-L29)</f>
        <v/>
      </c>
      <c r="N29" s="18" t="str">
        <f>IF($B29="","",IF(R29="Ancien",0,Paramètres!$D$19))</f>
        <v/>
      </c>
      <c r="O29" s="19"/>
      <c r="P29" s="18" t="str">
        <f>IF($B29="","",N29-O29)</f>
        <v/>
      </c>
      <c r="Q29" s="8" t="str">
        <f>IF($B29="","",IF(AND(M29&lt;=0,P29&lt;=0),"Soldé","En retard"))</f>
        <v/>
      </c>
      <c r="R29" s="8"/>
    </row>
    <row r="30">
      <c r="A30" s="20"/>
      <c r="B30" s="20"/>
      <c r="C30" s="20"/>
      <c r="D30" s="21"/>
      <c r="E30" s="77"/>
      <c r="F30" s="20"/>
      <c r="G30" s="20"/>
      <c r="H30" s="18" t="str">
        <f>IF($B30="","",Paramètres!$C$19)</f>
        <v/>
      </c>
      <c r="I30" s="19"/>
      <c r="J30" s="19"/>
      <c r="K30" s="19"/>
      <c r="L30" s="18" t="str">
        <f>IF($B30="","",SUM(I30:K30))</f>
        <v/>
      </c>
      <c r="M30" s="18" t="str">
        <f>IF($B30="","",H30-L30)</f>
        <v/>
      </c>
      <c r="N30" s="18" t="str">
        <f>IF($B30="","",IF(R30="Ancien",0,Paramètres!$D$19))</f>
        <v/>
      </c>
      <c r="O30" s="19"/>
      <c r="P30" s="18" t="str">
        <f>IF($B30="","",N30-O30)</f>
        <v/>
      </c>
      <c r="Q30" s="21" t="str">
        <f>IF($B30="","",IF(AND(M30&lt;=0,P30&lt;=0),"Soldé","En retard"))</f>
        <v/>
      </c>
      <c r="R30" s="21"/>
    </row>
    <row r="31">
      <c r="A31" s="15"/>
      <c r="B31" s="15"/>
      <c r="C31" s="15"/>
      <c r="D31" s="8"/>
      <c r="E31" s="79"/>
      <c r="F31" s="15"/>
      <c r="G31" s="15"/>
      <c r="H31" s="18" t="str">
        <f>IF($B31="","",Paramètres!$C$19)</f>
        <v/>
      </c>
      <c r="I31" s="19"/>
      <c r="J31" s="19"/>
      <c r="K31" s="19"/>
      <c r="L31" s="18" t="str">
        <f>IF($B31="","",SUM(I31:K31))</f>
        <v/>
      </c>
      <c r="M31" s="18" t="str">
        <f>IF($B31="","",H31-L31)</f>
        <v/>
      </c>
      <c r="N31" s="18" t="str">
        <f>IF($B31="","",IF(R31="Ancien",0,Paramètres!$D$19))</f>
        <v/>
      </c>
      <c r="O31" s="19"/>
      <c r="P31" s="18" t="str">
        <f>IF($B31="","",N31-O31)</f>
        <v/>
      </c>
      <c r="Q31" s="8" t="str">
        <f>IF($B31="","",IF(AND(M31&lt;=0,P31&lt;=0),"Soldé","En retard"))</f>
        <v/>
      </c>
      <c r="R31" s="8"/>
    </row>
    <row r="32">
      <c r="A32" s="20"/>
      <c r="B32" s="20"/>
      <c r="C32" s="20"/>
      <c r="D32" s="21"/>
      <c r="E32" s="77"/>
      <c r="F32" s="20"/>
      <c r="G32" s="20"/>
      <c r="H32" s="18" t="str">
        <f>IF($B32="","",Paramètres!$C$19)</f>
        <v/>
      </c>
      <c r="I32" s="19"/>
      <c r="J32" s="19"/>
      <c r="K32" s="19"/>
      <c r="L32" s="18" t="str">
        <f>IF($B32="","",SUM(I32:K32))</f>
        <v/>
      </c>
      <c r="M32" s="18" t="str">
        <f>IF($B32="","",H32-L32)</f>
        <v/>
      </c>
      <c r="N32" s="18" t="str">
        <f>IF($B32="","",IF(R32="Ancien",0,Paramètres!$D$19))</f>
        <v/>
      </c>
      <c r="O32" s="19"/>
      <c r="P32" s="18" t="str">
        <f>IF($B32="","",N32-O32)</f>
        <v/>
      </c>
      <c r="Q32" s="21" t="str">
        <f>IF($B32="","",IF(AND(M32&lt;=0,P32&lt;=0),"Soldé","En retard"))</f>
        <v/>
      </c>
      <c r="R32" s="21"/>
    </row>
    <row r="33">
      <c r="A33" s="15"/>
      <c r="B33" s="15"/>
      <c r="C33" s="15"/>
      <c r="D33" s="8"/>
      <c r="E33" s="79"/>
      <c r="F33" s="15"/>
      <c r="G33" s="15"/>
      <c r="H33" s="18" t="str">
        <f>IF($B33="","",Paramètres!$C$19)</f>
        <v/>
      </c>
      <c r="I33" s="19"/>
      <c r="J33" s="19"/>
      <c r="K33" s="19"/>
      <c r="L33" s="18" t="str">
        <f>IF($B33="","",SUM(I33:K33))</f>
        <v/>
      </c>
      <c r="M33" s="18" t="str">
        <f>IF($B33="","",H33-L33)</f>
        <v/>
      </c>
      <c r="N33" s="18" t="str">
        <f>IF($B33="","",IF(R33="Ancien",0,Paramètres!$D$19))</f>
        <v/>
      </c>
      <c r="O33" s="19"/>
      <c r="P33" s="18" t="str">
        <f>IF($B33="","",N33-O33)</f>
        <v/>
      </c>
      <c r="Q33" s="8" t="str">
        <f>IF($B33="","",IF(AND(M33&lt;=0,P33&lt;=0),"Soldé","En retard"))</f>
        <v/>
      </c>
      <c r="R33" s="8"/>
    </row>
    <row r="34">
      <c r="A34" s="20"/>
      <c r="B34" s="20"/>
      <c r="C34" s="20"/>
      <c r="D34" s="21"/>
      <c r="E34" s="77"/>
      <c r="F34" s="20"/>
      <c r="G34" s="20"/>
      <c r="H34" s="18" t="str">
        <f>IF($B34="","",Paramètres!$C$19)</f>
        <v/>
      </c>
      <c r="I34" s="19"/>
      <c r="J34" s="19"/>
      <c r="K34" s="19"/>
      <c r="L34" s="18" t="str">
        <f>IF($B34="","",SUM(I34:K34))</f>
        <v/>
      </c>
      <c r="M34" s="18" t="str">
        <f>IF($B34="","",H34-L34)</f>
        <v/>
      </c>
      <c r="N34" s="18" t="str">
        <f>IF($B34="","",IF(R34="Ancien",0,Paramètres!$D$19))</f>
        <v/>
      </c>
      <c r="O34" s="19"/>
      <c r="P34" s="18" t="str">
        <f>IF($B34="","",N34-O34)</f>
        <v/>
      </c>
      <c r="Q34" s="21" t="str">
        <f>IF($B34="","",IF(AND(M34&lt;=0,P34&lt;=0),"Soldé","En retard"))</f>
        <v/>
      </c>
      <c r="R34" s="21"/>
    </row>
    <row r="35">
      <c r="A35" s="15"/>
      <c r="B35" s="15"/>
      <c r="C35" s="15"/>
      <c r="D35" s="8"/>
      <c r="E35" s="79"/>
      <c r="F35" s="15"/>
      <c r="G35" s="15"/>
      <c r="H35" s="18" t="str">
        <f>IF($B35="","",Paramètres!$C$19)</f>
        <v/>
      </c>
      <c r="I35" s="19"/>
      <c r="J35" s="19"/>
      <c r="K35" s="19"/>
      <c r="L35" s="18" t="str">
        <f>IF($B35="","",SUM(I35:K35))</f>
        <v/>
      </c>
      <c r="M35" s="18" t="str">
        <f>IF($B35="","",H35-L35)</f>
        <v/>
      </c>
      <c r="N35" s="18" t="str">
        <f>IF($B35="","",IF(R35="Ancien",0,Paramètres!$D$19))</f>
        <v/>
      </c>
      <c r="O35" s="19"/>
      <c r="P35" s="18" t="str">
        <f>IF($B35="","",N35-O35)</f>
        <v/>
      </c>
      <c r="Q35" s="8" t="str">
        <f>IF($B35="","",IF(AND(M35&lt;=0,P35&lt;=0),"Soldé","En retard"))</f>
        <v/>
      </c>
      <c r="R35" s="8"/>
    </row>
    <row r="36">
      <c r="A36" s="20"/>
      <c r="B36" s="20"/>
      <c r="C36" s="20"/>
      <c r="D36" s="21"/>
      <c r="E36" s="77"/>
      <c r="F36" s="20"/>
      <c r="G36" s="20"/>
      <c r="H36" s="18" t="str">
        <f>IF($B36="","",Paramètres!$C$19)</f>
        <v/>
      </c>
      <c r="I36" s="19"/>
      <c r="J36" s="19"/>
      <c r="K36" s="19"/>
      <c r="L36" s="18" t="str">
        <f>IF($B36="","",SUM(I36:K36))</f>
        <v/>
      </c>
      <c r="M36" s="18" t="str">
        <f>IF($B36="","",H36-L36)</f>
        <v/>
      </c>
      <c r="N36" s="18" t="str">
        <f>IF($B36="","",IF(R36="Ancien",0,Paramètres!$D$19))</f>
        <v/>
      </c>
      <c r="O36" s="19"/>
      <c r="P36" s="18" t="str">
        <f>IF($B36="","",N36-O36)</f>
        <v/>
      </c>
      <c r="Q36" s="21" t="str">
        <f>IF($B36="","",IF(AND(M36&lt;=0,P36&lt;=0),"Soldé","En retard"))</f>
        <v/>
      </c>
      <c r="R36" s="21"/>
    </row>
    <row r="37">
      <c r="A37" s="15"/>
      <c r="B37" s="15"/>
      <c r="C37" s="15"/>
      <c r="D37" s="8"/>
      <c r="E37" s="79"/>
      <c r="F37" s="15"/>
      <c r="G37" s="15"/>
      <c r="H37" s="18" t="str">
        <f>IF($B37="","",Paramètres!$C$19)</f>
        <v/>
      </c>
      <c r="I37" s="19"/>
      <c r="J37" s="19"/>
      <c r="K37" s="19"/>
      <c r="L37" s="18" t="str">
        <f>IF($B37="","",SUM(I37:K37))</f>
        <v/>
      </c>
      <c r="M37" s="18" t="str">
        <f>IF($B37="","",H37-L37)</f>
        <v/>
      </c>
      <c r="N37" s="18" t="str">
        <f>IF($B37="","",IF(R37="Ancien",0,Paramètres!$D$19))</f>
        <v/>
      </c>
      <c r="O37" s="19"/>
      <c r="P37" s="18" t="str">
        <f>IF($B37="","",N37-O37)</f>
        <v/>
      </c>
      <c r="Q37" s="8" t="str">
        <f>IF($B37="","",IF(AND(M37&lt;=0,P37&lt;=0),"Soldé","En retard"))</f>
        <v/>
      </c>
      <c r="R37" s="8"/>
    </row>
    <row r="38">
      <c r="A38" s="20"/>
      <c r="B38" s="20"/>
      <c r="C38" s="20"/>
      <c r="D38" s="21"/>
      <c r="E38" s="77"/>
      <c r="F38" s="20"/>
      <c r="G38" s="20"/>
      <c r="H38" s="18" t="str">
        <f>IF($B38="","",Paramètres!$C$19)</f>
        <v/>
      </c>
      <c r="I38" s="19"/>
      <c r="J38" s="19"/>
      <c r="K38" s="19"/>
      <c r="L38" s="18" t="str">
        <f>IF($B38="","",SUM(I38:K38))</f>
        <v/>
      </c>
      <c r="M38" s="18" t="str">
        <f>IF($B38="","",H38-L38)</f>
        <v/>
      </c>
      <c r="N38" s="18" t="str">
        <f>IF($B38="","",IF(R38="Ancien",0,Paramètres!$D$19))</f>
        <v/>
      </c>
      <c r="O38" s="19"/>
      <c r="P38" s="18" t="str">
        <f>IF($B38="","",N38-O38)</f>
        <v/>
      </c>
      <c r="Q38" s="21" t="str">
        <f>IF($B38="","",IF(AND(M38&lt;=0,P38&lt;=0),"Soldé","En retard"))</f>
        <v/>
      </c>
      <c r="R38" s="21"/>
    </row>
    <row r="39">
      <c r="A39" s="15"/>
      <c r="B39" s="15"/>
      <c r="C39" s="15"/>
      <c r="D39" s="8"/>
      <c r="E39" s="79"/>
      <c r="F39" s="15"/>
      <c r="G39" s="15"/>
      <c r="H39" s="18" t="str">
        <f>IF($B39="","",Paramètres!$C$19)</f>
        <v/>
      </c>
      <c r="I39" s="19"/>
      <c r="J39" s="19"/>
      <c r="K39" s="19"/>
      <c r="L39" s="18" t="str">
        <f>IF($B39="","",SUM(I39:K39))</f>
        <v/>
      </c>
      <c r="M39" s="18" t="str">
        <f>IF($B39="","",H39-L39)</f>
        <v/>
      </c>
      <c r="N39" s="18" t="str">
        <f>IF($B39="","",IF(R39="Ancien",0,Paramètres!$D$19))</f>
        <v/>
      </c>
      <c r="O39" s="19"/>
      <c r="P39" s="18" t="str">
        <f>IF($B39="","",N39-O39)</f>
        <v/>
      </c>
      <c r="Q39" s="8" t="str">
        <f>IF($B39="","",IF(AND(M39&lt;=0,P39&lt;=0),"Soldé","En retard"))</f>
        <v/>
      </c>
      <c r="R39" s="8"/>
    </row>
    <row r="40">
      <c r="A40" s="20"/>
      <c r="B40" s="20"/>
      <c r="C40" s="20"/>
      <c r="D40" s="21"/>
      <c r="E40" s="77"/>
      <c r="F40" s="20"/>
      <c r="G40" s="20"/>
      <c r="H40" s="18" t="str">
        <f>IF($B40="","",Paramètres!$C$19)</f>
        <v/>
      </c>
      <c r="I40" s="19"/>
      <c r="J40" s="19"/>
      <c r="K40" s="19"/>
      <c r="L40" s="18" t="str">
        <f>IF($B40="","",SUM(I40:K40))</f>
        <v/>
      </c>
      <c r="M40" s="18" t="str">
        <f>IF($B40="","",H40-L40)</f>
        <v/>
      </c>
      <c r="N40" s="18" t="str">
        <f>IF($B40="","",IF(R40="Ancien",0,Paramètres!$D$19))</f>
        <v/>
      </c>
      <c r="O40" s="19"/>
      <c r="P40" s="18" t="str">
        <f>IF($B40="","",N40-O40)</f>
        <v/>
      </c>
      <c r="Q40" s="21" t="str">
        <f>IF($B40="","",IF(AND(M40&lt;=0,P40&lt;=0),"Soldé","En retard"))</f>
        <v/>
      </c>
      <c r="R40" s="21"/>
    </row>
    <row r="41">
      <c r="A41" s="15"/>
      <c r="B41" s="15"/>
      <c r="C41" s="15"/>
      <c r="D41" s="8"/>
      <c r="E41" s="79"/>
      <c r="F41" s="15"/>
      <c r="G41" s="15"/>
      <c r="H41" s="18" t="str">
        <f>IF($B41="","",Paramètres!$C$19)</f>
        <v/>
      </c>
      <c r="I41" s="19"/>
      <c r="J41" s="19"/>
      <c r="K41" s="19"/>
      <c r="L41" s="18" t="str">
        <f>IF($B41="","",SUM(I41:K41))</f>
        <v/>
      </c>
      <c r="M41" s="18" t="str">
        <f>IF($B41="","",H41-L41)</f>
        <v/>
      </c>
      <c r="N41" s="18" t="str">
        <f>IF($B41="","",IF(R41="Ancien",0,Paramètres!$D$19))</f>
        <v/>
      </c>
      <c r="O41" s="19"/>
      <c r="P41" s="18" t="str">
        <f>IF($B41="","",N41-O41)</f>
        <v/>
      </c>
      <c r="Q41" s="8" t="str">
        <f>IF($B41="","",IF(AND(M41&lt;=0,P41&lt;=0),"Soldé","En retard"))</f>
        <v/>
      </c>
      <c r="R41" s="8"/>
    </row>
    <row r="42">
      <c r="A42" s="20"/>
      <c r="B42" s="20"/>
      <c r="C42" s="20"/>
      <c r="D42" s="21"/>
      <c r="E42" s="77"/>
      <c r="F42" s="20"/>
      <c r="G42" s="20"/>
      <c r="H42" s="18" t="str">
        <f>IF($B42="","",Paramètres!$C$19)</f>
        <v/>
      </c>
      <c r="I42" s="19"/>
      <c r="J42" s="19"/>
      <c r="K42" s="19"/>
      <c r="L42" s="18" t="str">
        <f>IF($B42="","",SUM(I42:K42))</f>
        <v/>
      </c>
      <c r="M42" s="18" t="str">
        <f>IF($B42="","",H42-L42)</f>
        <v/>
      </c>
      <c r="N42" s="18" t="str">
        <f>IF($B42="","",IF(R42="Ancien",0,Paramètres!$D$19))</f>
        <v/>
      </c>
      <c r="O42" s="19"/>
      <c r="P42" s="18" t="str">
        <f>IF($B42="","",N42-O42)</f>
        <v/>
      </c>
      <c r="Q42" s="21" t="str">
        <f>IF($B42="","",IF(AND(M42&lt;=0,P42&lt;=0),"Soldé","En retard"))</f>
        <v/>
      </c>
      <c r="R42" s="21"/>
    </row>
    <row r="43">
      <c r="A43" s="15"/>
      <c r="B43" s="15"/>
      <c r="C43" s="15"/>
      <c r="D43" s="8"/>
      <c r="E43" s="79"/>
      <c r="F43" s="15"/>
      <c r="G43" s="15"/>
      <c r="H43" s="18" t="str">
        <f>IF($B43="","",Paramètres!$C$19)</f>
        <v/>
      </c>
      <c r="I43" s="19"/>
      <c r="J43" s="19"/>
      <c r="K43" s="19"/>
      <c r="L43" s="18" t="str">
        <f>IF($B43="","",SUM(I43:K43))</f>
        <v/>
      </c>
      <c r="M43" s="18" t="str">
        <f>IF($B43="","",H43-L43)</f>
        <v/>
      </c>
      <c r="N43" s="18" t="str">
        <f>IF($B43="","",IF(R43="Ancien",0,Paramètres!$D$19))</f>
        <v/>
      </c>
      <c r="O43" s="19"/>
      <c r="P43" s="18" t="str">
        <f>IF($B43="","",N43-O43)</f>
        <v/>
      </c>
      <c r="Q43" s="8" t="str">
        <f>IF($B43="","",IF(AND(M43&lt;=0,P43&lt;=0),"Soldé","En retard"))</f>
        <v/>
      </c>
      <c r="R43" s="8"/>
    </row>
    <row r="44">
      <c r="A44" s="20"/>
      <c r="B44" s="20"/>
      <c r="C44" s="20"/>
      <c r="D44" s="21"/>
      <c r="E44" s="77"/>
      <c r="F44" s="20"/>
      <c r="G44" s="20"/>
      <c r="H44" s="18" t="str">
        <f>IF($B44="","",Paramètres!$C$19)</f>
        <v/>
      </c>
      <c r="I44" s="19"/>
      <c r="J44" s="19"/>
      <c r="K44" s="19"/>
      <c r="L44" s="18" t="str">
        <f>IF($B44="","",SUM(I44:K44))</f>
        <v/>
      </c>
      <c r="M44" s="18" t="str">
        <f>IF($B44="","",H44-L44)</f>
        <v/>
      </c>
      <c r="N44" s="18" t="str">
        <f>IF($B44="","",IF(R44="Ancien",0,Paramètres!$D$19))</f>
        <v/>
      </c>
      <c r="O44" s="19"/>
      <c r="P44" s="18" t="str">
        <f>IF($B44="","",N44-O44)</f>
        <v/>
      </c>
      <c r="Q44" s="21" t="str">
        <f>IF($B44="","",IF(AND(M44&lt;=0,P44&lt;=0),"Soldé","En retard"))</f>
        <v/>
      </c>
      <c r="R44" s="21"/>
    </row>
    <row r="45">
      <c r="A45" s="15"/>
      <c r="B45" s="15"/>
      <c r="C45" s="15"/>
      <c r="D45" s="8"/>
      <c r="E45" s="79"/>
      <c r="F45" s="15"/>
      <c r="G45" s="15"/>
      <c r="H45" s="18" t="str">
        <f>IF($B45="","",Paramètres!$C$19)</f>
        <v/>
      </c>
      <c r="I45" s="19"/>
      <c r="J45" s="19"/>
      <c r="K45" s="19"/>
      <c r="L45" s="18" t="str">
        <f>IF($B45="","",SUM(I45:K45))</f>
        <v/>
      </c>
      <c r="M45" s="18" t="str">
        <f>IF($B45="","",H45-L45)</f>
        <v/>
      </c>
      <c r="N45" s="18" t="str">
        <f>IF($B45="","",IF(R45="Ancien",0,Paramètres!$D$19))</f>
        <v/>
      </c>
      <c r="O45" s="19"/>
      <c r="P45" s="18" t="str">
        <f>IF($B45="","",N45-O45)</f>
        <v/>
      </c>
      <c r="Q45" s="8" t="str">
        <f>IF($B45="","",IF(AND(M45&lt;=0,P45&lt;=0),"Soldé","En retard"))</f>
        <v/>
      </c>
      <c r="R45" s="8"/>
    </row>
    <row r="46">
      <c r="A46" s="20"/>
      <c r="B46" s="20"/>
      <c r="C46" s="20"/>
      <c r="D46" s="21"/>
      <c r="E46" s="77"/>
      <c r="F46" s="20"/>
      <c r="G46" s="20"/>
      <c r="H46" s="18" t="str">
        <f>IF($B46="","",Paramètres!$C$19)</f>
        <v/>
      </c>
      <c r="I46" s="19"/>
      <c r="J46" s="19"/>
      <c r="K46" s="19"/>
      <c r="L46" s="18" t="str">
        <f>IF($B46="","",SUM(I46:K46))</f>
        <v/>
      </c>
      <c r="M46" s="18" t="str">
        <f>IF($B46="","",H46-L46)</f>
        <v/>
      </c>
      <c r="N46" s="18" t="str">
        <f>IF($B46="","",IF(R46="Ancien",0,Paramètres!$D$19))</f>
        <v/>
      </c>
      <c r="O46" s="19"/>
      <c r="P46" s="18" t="str">
        <f>IF($B46="","",N46-O46)</f>
        <v/>
      </c>
      <c r="Q46" s="21" t="str">
        <f>IF($B46="","",IF(AND(M46&lt;=0,P46&lt;=0),"Soldé","En retard"))</f>
        <v/>
      </c>
      <c r="R46" s="21"/>
    </row>
    <row r="47">
      <c r="A47" s="15"/>
      <c r="B47" s="15"/>
      <c r="C47" s="15"/>
      <c r="D47" s="8"/>
      <c r="E47" s="79"/>
      <c r="F47" s="15"/>
      <c r="G47" s="15"/>
      <c r="H47" s="18" t="str">
        <f>IF($B47="","",Paramètres!$C$19)</f>
        <v/>
      </c>
      <c r="I47" s="19"/>
      <c r="J47" s="19"/>
      <c r="K47" s="19"/>
      <c r="L47" s="18" t="str">
        <f>IF($B47="","",SUM(I47:K47))</f>
        <v/>
      </c>
      <c r="M47" s="18" t="str">
        <f>IF($B47="","",H47-L47)</f>
        <v/>
      </c>
      <c r="N47" s="18" t="str">
        <f>IF($B47="","",IF(R47="Ancien",0,Paramètres!$D$19))</f>
        <v/>
      </c>
      <c r="O47" s="19"/>
      <c r="P47" s="18" t="str">
        <f>IF($B47="","",N47-O47)</f>
        <v/>
      </c>
      <c r="Q47" s="8" t="str">
        <f>IF($B47="","",IF(AND(M47&lt;=0,P47&lt;=0),"Soldé","En retard"))</f>
        <v/>
      </c>
      <c r="R47" s="8"/>
    </row>
    <row r="48">
      <c r="A48" s="20"/>
      <c r="B48" s="20"/>
      <c r="C48" s="20"/>
      <c r="D48" s="21"/>
      <c r="E48" s="77"/>
      <c r="F48" s="20"/>
      <c r="G48" s="20"/>
      <c r="H48" s="18" t="str">
        <f>IF($B48="","",Paramètres!$C$19)</f>
        <v/>
      </c>
      <c r="I48" s="19"/>
      <c r="J48" s="19"/>
      <c r="K48" s="19"/>
      <c r="L48" s="18" t="str">
        <f>IF($B48="","",SUM(I48:K48))</f>
        <v/>
      </c>
      <c r="M48" s="18" t="str">
        <f>IF($B48="","",H48-L48)</f>
        <v/>
      </c>
      <c r="N48" s="18" t="str">
        <f>IF($B48="","",IF(R48="Ancien",0,Paramètres!$D$19))</f>
        <v/>
      </c>
      <c r="O48" s="19"/>
      <c r="P48" s="18" t="str">
        <f>IF($B48="","",N48-O48)</f>
        <v/>
      </c>
      <c r="Q48" s="21" t="str">
        <f>IF($B48="","",IF(AND(M48&lt;=0,P48&lt;=0),"Soldé","En retard"))</f>
        <v/>
      </c>
      <c r="R48" s="21"/>
    </row>
    <row r="49">
      <c r="A49" s="15"/>
      <c r="B49" s="15"/>
      <c r="C49" s="15"/>
      <c r="D49" s="8"/>
      <c r="E49" s="79"/>
      <c r="F49" s="15"/>
      <c r="G49" s="15"/>
      <c r="H49" s="18" t="str">
        <f>IF($B49="","",Paramètres!$C$19)</f>
        <v/>
      </c>
      <c r="I49" s="19"/>
      <c r="J49" s="19"/>
      <c r="K49" s="19"/>
      <c r="L49" s="18" t="str">
        <f>IF($B49="","",SUM(I49:K49))</f>
        <v/>
      </c>
      <c r="M49" s="18" t="str">
        <f>IF($B49="","",H49-L49)</f>
        <v/>
      </c>
      <c r="N49" s="18" t="str">
        <f>IF($B49="","",IF(R49="Ancien",0,Paramètres!$D$19))</f>
        <v/>
      </c>
      <c r="O49" s="19"/>
      <c r="P49" s="18" t="str">
        <f>IF($B49="","",N49-O49)</f>
        <v/>
      </c>
      <c r="Q49" s="8" t="str">
        <f>IF($B49="","",IF(AND(M49&lt;=0,P49&lt;=0),"Soldé","En retard"))</f>
        <v/>
      </c>
      <c r="R49" s="8"/>
    </row>
    <row r="50">
      <c r="A50" s="20"/>
      <c r="B50" s="20"/>
      <c r="C50" s="20"/>
      <c r="D50" s="21"/>
      <c r="E50" s="77"/>
      <c r="F50" s="20"/>
      <c r="G50" s="20"/>
      <c r="H50" s="18" t="str">
        <f>IF($B50="","",Paramètres!$C$19)</f>
        <v/>
      </c>
      <c r="I50" s="19"/>
      <c r="J50" s="19"/>
      <c r="K50" s="19"/>
      <c r="L50" s="18" t="str">
        <f>IF($B50="","",SUM(I50:K50))</f>
        <v/>
      </c>
      <c r="M50" s="18" t="str">
        <f>IF($B50="","",H50-L50)</f>
        <v/>
      </c>
      <c r="N50" s="18" t="str">
        <f>IF($B50="","",IF(R50="Ancien",0,Paramètres!$D$19))</f>
        <v/>
      </c>
      <c r="O50" s="19"/>
      <c r="P50" s="18" t="str">
        <f>IF($B50="","",N50-O50)</f>
        <v/>
      </c>
      <c r="Q50" s="21" t="str">
        <f>IF($B50="","",IF(AND(M50&lt;=0,P50&lt;=0),"Soldé","En retard"))</f>
        <v/>
      </c>
      <c r="R50" s="21"/>
    </row>
    <row r="51">
      <c r="A51" s="15"/>
      <c r="B51" s="15"/>
      <c r="C51" s="15"/>
      <c r="D51" s="8"/>
      <c r="E51" s="79"/>
      <c r="F51" s="15"/>
      <c r="G51" s="15"/>
      <c r="H51" s="18" t="str">
        <f>IF($B51="","",Paramètres!$C$19)</f>
        <v/>
      </c>
      <c r="I51" s="19"/>
      <c r="J51" s="19"/>
      <c r="K51" s="19"/>
      <c r="L51" s="18" t="str">
        <f>IF($B51="","",SUM(I51:K51))</f>
        <v/>
      </c>
      <c r="M51" s="18" t="str">
        <f>IF($B51="","",H51-L51)</f>
        <v/>
      </c>
      <c r="N51" s="18" t="str">
        <f>IF($B51="","",IF(R51="Ancien",0,Paramètres!$D$19))</f>
        <v/>
      </c>
      <c r="O51" s="19"/>
      <c r="P51" s="18" t="str">
        <f>IF($B51="","",N51-O51)</f>
        <v/>
      </c>
      <c r="Q51" s="8" t="str">
        <f>IF($B51="","",IF(AND(M51&lt;=0,P51&lt;=0),"Soldé","En retard"))</f>
        <v/>
      </c>
      <c r="R51" s="8"/>
    </row>
    <row r="52">
      <c r="A52" s="20"/>
      <c r="B52" s="20"/>
      <c r="C52" s="20"/>
      <c r="D52" s="21"/>
      <c r="E52" s="77"/>
      <c r="F52" s="20"/>
      <c r="G52" s="20"/>
      <c r="H52" s="18" t="str">
        <f>IF($B52="","",Paramètres!$C$19)</f>
        <v/>
      </c>
      <c r="I52" s="19"/>
      <c r="J52" s="19"/>
      <c r="K52" s="19"/>
      <c r="L52" s="18" t="str">
        <f>IF($B52="","",SUM(I52:K52))</f>
        <v/>
      </c>
      <c r="M52" s="18" t="str">
        <f>IF($B52="","",H52-L52)</f>
        <v/>
      </c>
      <c r="N52" s="18" t="str">
        <f>IF($B52="","",IF(R52="Ancien",0,Paramètres!$D$19))</f>
        <v/>
      </c>
      <c r="O52" s="19"/>
      <c r="P52" s="18" t="str">
        <f>IF($B52="","",N52-O52)</f>
        <v/>
      </c>
      <c r="Q52" s="21" t="str">
        <f>IF($B52="","",IF(AND(M52&lt;=0,P52&lt;=0),"Soldé","En retard"))</f>
        <v/>
      </c>
      <c r="R52" s="21"/>
    </row>
    <row r="53">
      <c r="A53" s="15"/>
      <c r="B53" s="15"/>
      <c r="C53" s="15"/>
      <c r="D53" s="8"/>
      <c r="E53" s="79"/>
      <c r="F53" s="15"/>
      <c r="G53" s="15"/>
      <c r="H53" s="18" t="str">
        <f>IF($B53="","",Paramètres!$C$19)</f>
        <v/>
      </c>
      <c r="I53" s="19"/>
      <c r="J53" s="19"/>
      <c r="K53" s="19"/>
      <c r="L53" s="18" t="str">
        <f>IF($B53="","",SUM(I53:K53))</f>
        <v/>
      </c>
      <c r="M53" s="18" t="str">
        <f>IF($B53="","",H53-L53)</f>
        <v/>
      </c>
      <c r="N53" s="18" t="str">
        <f>IF($B53="","",IF(R53="Ancien",0,Paramètres!$D$19))</f>
        <v/>
      </c>
      <c r="O53" s="19"/>
      <c r="P53" s="18" t="str">
        <f>IF($B53="","",N53-O53)</f>
        <v/>
      </c>
      <c r="Q53" s="8" t="str">
        <f>IF($B53="","",IF(AND(M53&lt;=0,P53&lt;=0),"Soldé","En retard"))</f>
        <v/>
      </c>
      <c r="R53" s="8"/>
    </row>
    <row r="54">
      <c r="A54" s="20"/>
      <c r="B54" s="20"/>
      <c r="C54" s="20"/>
      <c r="D54" s="21"/>
      <c r="E54" s="77"/>
      <c r="F54" s="20"/>
      <c r="G54" s="20"/>
      <c r="H54" s="18" t="str">
        <f>IF($B54="","",Paramètres!$C$19)</f>
        <v/>
      </c>
      <c r="I54" s="19"/>
      <c r="J54" s="19"/>
      <c r="K54" s="19"/>
      <c r="L54" s="18" t="str">
        <f>IF($B54="","",SUM(I54:K54))</f>
        <v/>
      </c>
      <c r="M54" s="18" t="str">
        <f>IF($B54="","",H54-L54)</f>
        <v/>
      </c>
      <c r="N54" s="18" t="str">
        <f>IF($B54="","",IF(R54="Ancien",0,Paramètres!$D$19))</f>
        <v/>
      </c>
      <c r="O54" s="19"/>
      <c r="P54" s="18" t="str">
        <f>IF($B54="","",N54-O54)</f>
        <v/>
      </c>
      <c r="Q54" s="21" t="str">
        <f>IF($B54="","",IF(AND(M54&lt;=0,P54&lt;=0),"Soldé","En retard"))</f>
        <v/>
      </c>
      <c r="R54" s="21"/>
    </row>
    <row r="55">
      <c r="A55" s="15"/>
      <c r="B55" s="15"/>
      <c r="C55" s="15"/>
      <c r="D55" s="8"/>
      <c r="E55" s="79"/>
      <c r="F55" s="15"/>
      <c r="G55" s="15"/>
      <c r="H55" s="18" t="str">
        <f>IF($B55="","",Paramètres!$C$19)</f>
        <v/>
      </c>
      <c r="I55" s="19"/>
      <c r="J55" s="19"/>
      <c r="K55" s="19"/>
      <c r="L55" s="18" t="str">
        <f>IF($B55="","",SUM(I55:K55))</f>
        <v/>
      </c>
      <c r="M55" s="18" t="str">
        <f>IF($B55="","",H55-L55)</f>
        <v/>
      </c>
      <c r="N55" s="18" t="str">
        <f>IF($B55="","",IF(R55="Ancien",0,Paramètres!$D$19))</f>
        <v/>
      </c>
      <c r="O55" s="19"/>
      <c r="P55" s="18" t="str">
        <f>IF($B55="","",N55-O55)</f>
        <v/>
      </c>
      <c r="Q55" s="8" t="str">
        <f>IF($B55="","",IF(AND(M55&lt;=0,P55&lt;=0),"Soldé","En retard"))</f>
        <v/>
      </c>
      <c r="R55" s="8"/>
    </row>
    <row r="56">
      <c r="A56" s="20"/>
      <c r="B56" s="20"/>
      <c r="C56" s="20"/>
      <c r="D56" s="21"/>
      <c r="E56" s="77"/>
      <c r="F56" s="20"/>
      <c r="G56" s="20"/>
      <c r="H56" s="18" t="str">
        <f>IF($B56="","",Paramètres!$C$19)</f>
        <v/>
      </c>
      <c r="I56" s="19"/>
      <c r="J56" s="19"/>
      <c r="K56" s="19"/>
      <c r="L56" s="18" t="str">
        <f>IF($B56="","",SUM(I56:K56))</f>
        <v/>
      </c>
      <c r="M56" s="18" t="str">
        <f>IF($B56="","",H56-L56)</f>
        <v/>
      </c>
      <c r="N56" s="18" t="str">
        <f>IF($B56="","",IF(R56="Ancien",0,Paramètres!$D$19))</f>
        <v/>
      </c>
      <c r="O56" s="19"/>
      <c r="P56" s="18" t="str">
        <f>IF($B56="","",N56-O56)</f>
        <v/>
      </c>
      <c r="Q56" s="21" t="str">
        <f>IF($B56="","",IF(AND(M56&lt;=0,P56&lt;=0),"Soldé","En retard"))</f>
        <v/>
      </c>
      <c r="R56" s="21"/>
    </row>
    <row r="57">
      <c r="A57" s="15"/>
      <c r="B57" s="15"/>
      <c r="C57" s="15"/>
      <c r="D57" s="8"/>
      <c r="E57" s="79"/>
      <c r="F57" s="15"/>
      <c r="G57" s="15"/>
      <c r="H57" s="18" t="str">
        <f>IF($B57="","",Paramètres!$C$19)</f>
        <v/>
      </c>
      <c r="I57" s="19"/>
      <c r="J57" s="19"/>
      <c r="K57" s="19"/>
      <c r="L57" s="18" t="str">
        <f>IF($B57="","",SUM(I57:K57))</f>
        <v/>
      </c>
      <c r="M57" s="18" t="str">
        <f>IF($B57="","",H57-L57)</f>
        <v/>
      </c>
      <c r="N57" s="18" t="str">
        <f>IF($B57="","",IF(R57="Ancien",0,Paramètres!$D$19))</f>
        <v/>
      </c>
      <c r="O57" s="19"/>
      <c r="P57" s="18" t="str">
        <f>IF($B57="","",N57-O57)</f>
        <v/>
      </c>
      <c r="Q57" s="8" t="str">
        <f>IF($B57="","",IF(AND(M57&lt;=0,P57&lt;=0),"Soldé","En retard"))</f>
        <v/>
      </c>
      <c r="R57" s="8"/>
    </row>
    <row r="58">
      <c r="A58" s="20"/>
      <c r="B58" s="20"/>
      <c r="C58" s="20"/>
      <c r="D58" s="21"/>
      <c r="E58" s="77"/>
      <c r="F58" s="20"/>
      <c r="G58" s="20"/>
      <c r="H58" s="18" t="str">
        <f>IF($B58="","",Paramètres!$C$19)</f>
        <v/>
      </c>
      <c r="I58" s="19"/>
      <c r="J58" s="19"/>
      <c r="K58" s="19"/>
      <c r="L58" s="18" t="str">
        <f>IF($B58="","",SUM(I58:K58))</f>
        <v/>
      </c>
      <c r="M58" s="18" t="str">
        <f>IF($B58="","",H58-L58)</f>
        <v/>
      </c>
      <c r="N58" s="18" t="str">
        <f>IF($B58="","",IF(R58="Ancien",0,Paramètres!$D$19))</f>
        <v/>
      </c>
      <c r="O58" s="19"/>
      <c r="P58" s="18" t="str">
        <f>IF($B58="","",N58-O58)</f>
        <v/>
      </c>
      <c r="Q58" s="21" t="str">
        <f>IF($B58="","",IF(AND(M58&lt;=0,P58&lt;=0),"Soldé","En retard"))</f>
        <v/>
      </c>
      <c r="R58" s="21"/>
    </row>
    <row r="59">
      <c r="A59" s="15"/>
      <c r="B59" s="15"/>
      <c r="C59" s="15"/>
      <c r="D59" s="8"/>
      <c r="E59" s="79"/>
      <c r="F59" s="15"/>
      <c r="G59" s="15"/>
      <c r="H59" s="18" t="str">
        <f>IF($B59="","",Paramètres!$C$19)</f>
        <v/>
      </c>
      <c r="I59" s="19"/>
      <c r="J59" s="19"/>
      <c r="K59" s="19"/>
      <c r="L59" s="18" t="str">
        <f>IF($B59="","",SUM(I59:K59))</f>
        <v/>
      </c>
      <c r="M59" s="18" t="str">
        <f>IF($B59="","",H59-L59)</f>
        <v/>
      </c>
      <c r="N59" s="18" t="str">
        <f>IF($B59="","",IF(R59="Ancien",0,Paramètres!$D$19))</f>
        <v/>
      </c>
      <c r="O59" s="19"/>
      <c r="P59" s="18" t="str">
        <f>IF($B59="","",N59-O59)</f>
        <v/>
      </c>
      <c r="Q59" s="8" t="str">
        <f>IF($B59="","",IF(AND(M59&lt;=0,P59&lt;=0),"Soldé","En retard"))</f>
        <v/>
      </c>
      <c r="R59" s="8"/>
    </row>
    <row r="60">
      <c r="A60" s="20"/>
      <c r="B60" s="20"/>
      <c r="C60" s="20"/>
      <c r="D60" s="21"/>
      <c r="E60" s="77"/>
      <c r="F60" s="20"/>
      <c r="G60" s="20"/>
      <c r="H60" s="18" t="str">
        <f>IF($B60="","",Paramètres!$C$19)</f>
        <v/>
      </c>
      <c r="I60" s="19"/>
      <c r="J60" s="19"/>
      <c r="K60" s="19"/>
      <c r="L60" s="18" t="str">
        <f>IF($B60="","",SUM(I60:K60))</f>
        <v/>
      </c>
      <c r="M60" s="18" t="str">
        <f>IF($B60="","",H60-L60)</f>
        <v/>
      </c>
      <c r="N60" s="18" t="str">
        <f>IF($B60="","",IF(R60="Ancien",0,Paramètres!$D$19))</f>
        <v/>
      </c>
      <c r="O60" s="19"/>
      <c r="P60" s="18" t="str">
        <f>IF($B60="","",N60-O60)</f>
        <v/>
      </c>
      <c r="Q60" s="21" t="str">
        <f>IF($B60="","",IF(AND(M60&lt;=0,P60&lt;=0),"Soldé","En retard"))</f>
        <v/>
      </c>
      <c r="R60" s="21"/>
    </row>
    <row r="61">
      <c r="A61" s="15"/>
      <c r="B61" s="15"/>
      <c r="C61" s="15"/>
      <c r="D61" s="8"/>
      <c r="E61" s="79"/>
      <c r="F61" s="15"/>
      <c r="G61" s="15"/>
      <c r="H61" s="18" t="str">
        <f>IF($B61="","",Paramètres!$C$19)</f>
        <v/>
      </c>
      <c r="I61" s="19"/>
      <c r="J61" s="19"/>
      <c r="K61" s="19"/>
      <c r="L61" s="18" t="str">
        <f>IF($B61="","",SUM(I61:K61))</f>
        <v/>
      </c>
      <c r="M61" s="18" t="str">
        <f>IF($B61="","",H61-L61)</f>
        <v/>
      </c>
      <c r="N61" s="18" t="str">
        <f>IF($B61="","",IF(R61="Ancien",0,Paramètres!$D$19))</f>
        <v/>
      </c>
      <c r="O61" s="19"/>
      <c r="P61" s="18" t="str">
        <f>IF($B61="","",N61-O61)</f>
        <v/>
      </c>
      <c r="Q61" s="8" t="str">
        <f>IF($B61="","",IF(AND(M61&lt;=0,P61&lt;=0),"Soldé","En retard"))</f>
        <v/>
      </c>
      <c r="R61" s="8"/>
    </row>
    <row r="62">
      <c r="A62" s="20"/>
      <c r="B62" s="20"/>
      <c r="C62" s="20"/>
      <c r="D62" s="21"/>
      <c r="E62" s="77"/>
      <c r="F62" s="20"/>
      <c r="G62" s="20"/>
      <c r="H62" s="18" t="str">
        <f>IF($B62="","",Paramètres!$C$19)</f>
        <v/>
      </c>
      <c r="I62" s="19"/>
      <c r="J62" s="19"/>
      <c r="K62" s="19"/>
      <c r="L62" s="18" t="str">
        <f>IF($B62="","",SUM(I62:K62))</f>
        <v/>
      </c>
      <c r="M62" s="18" t="str">
        <f>IF($B62="","",H62-L62)</f>
        <v/>
      </c>
      <c r="N62" s="18" t="str">
        <f>IF($B62="","",IF(R62="Ancien",0,Paramètres!$D$19))</f>
        <v/>
      </c>
      <c r="O62" s="19"/>
      <c r="P62" s="18" t="str">
        <f>IF($B62="","",N62-O62)</f>
        <v/>
      </c>
      <c r="Q62" s="21" t="str">
        <f>IF($B62="","",IF(AND(M62&lt;=0,P62&lt;=0),"Soldé","En retard"))</f>
        <v/>
      </c>
      <c r="R62" s="21"/>
    </row>
    <row r="63">
      <c r="A63" s="15"/>
      <c r="B63" s="15"/>
      <c r="C63" s="15"/>
      <c r="D63" s="8"/>
      <c r="E63" s="79"/>
      <c r="F63" s="15"/>
      <c r="G63" s="15"/>
      <c r="H63" s="18" t="str">
        <f>IF($B63="","",Paramètres!$C$19)</f>
        <v/>
      </c>
      <c r="I63" s="19"/>
      <c r="J63" s="19"/>
      <c r="K63" s="19"/>
      <c r="L63" s="18" t="str">
        <f>IF($B63="","",SUM(I63:K63))</f>
        <v/>
      </c>
      <c r="M63" s="18" t="str">
        <f>IF($B63="","",H63-L63)</f>
        <v/>
      </c>
      <c r="N63" s="18" t="str">
        <f>IF($B63="","",IF(R63="Ancien",0,Paramètres!$D$19))</f>
        <v/>
      </c>
      <c r="O63" s="19"/>
      <c r="P63" s="18" t="str">
        <f>IF($B63="","",N63-O63)</f>
        <v/>
      </c>
      <c r="Q63" s="8" t="str">
        <f>IF($B63="","",IF(AND(M63&lt;=0,P63&lt;=0),"Soldé","En retard"))</f>
        <v/>
      </c>
      <c r="R63" s="8"/>
    </row>
    <row r="64">
      <c r="A64" s="20"/>
      <c r="B64" s="20"/>
      <c r="C64" s="20"/>
      <c r="D64" s="21"/>
      <c r="E64" s="77"/>
      <c r="F64" s="20"/>
      <c r="G64" s="20"/>
      <c r="H64" s="18" t="str">
        <f>IF($B64="","",Paramètres!$C$19)</f>
        <v/>
      </c>
      <c r="I64" s="19"/>
      <c r="J64" s="19"/>
      <c r="K64" s="19"/>
      <c r="L64" s="18" t="str">
        <f>IF($B64="","",SUM(I64:K64))</f>
        <v/>
      </c>
      <c r="M64" s="18" t="str">
        <f>IF($B64="","",H64-L64)</f>
        <v/>
      </c>
      <c r="N64" s="18" t="str">
        <f>IF($B64="","",IF(R64="Ancien",0,Paramètres!$D$19))</f>
        <v/>
      </c>
      <c r="O64" s="19"/>
      <c r="P64" s="18" t="str">
        <f>IF($B64="","",N64-O64)</f>
        <v/>
      </c>
      <c r="Q64" s="21" t="str">
        <f>IF($B64="","",IF(AND(M64&lt;=0,P64&lt;=0),"Soldé","En retard"))</f>
        <v/>
      </c>
      <c r="R64" s="21"/>
    </row>
    <row r="65">
      <c r="A65" s="15"/>
      <c r="B65" s="15"/>
      <c r="C65" s="15"/>
      <c r="D65" s="8"/>
      <c r="E65" s="79"/>
      <c r="F65" s="15"/>
      <c r="G65" s="15"/>
      <c r="H65" s="18" t="str">
        <f>IF($B65="","",Paramètres!$C$19)</f>
        <v/>
      </c>
      <c r="I65" s="19"/>
      <c r="J65" s="19"/>
      <c r="K65" s="19"/>
      <c r="L65" s="18" t="str">
        <f>IF($B65="","",SUM(I65:K65))</f>
        <v/>
      </c>
      <c r="M65" s="18" t="str">
        <f>IF($B65="","",H65-L65)</f>
        <v/>
      </c>
      <c r="N65" s="18" t="str">
        <f>IF($B65="","",IF(R65="Ancien",0,Paramètres!$D$19))</f>
        <v/>
      </c>
      <c r="O65" s="19"/>
      <c r="P65" s="18" t="str">
        <f>IF($B65="","",N65-O65)</f>
        <v/>
      </c>
      <c r="Q65" s="8" t="str">
        <f>IF($B65="","",IF(AND(M65&lt;=0,P65&lt;=0),"Soldé","En retard"))</f>
        <v/>
      </c>
      <c r="R65" s="8"/>
    </row>
    <row r="66">
      <c r="A66" s="20"/>
      <c r="B66" s="20"/>
      <c r="C66" s="20"/>
      <c r="D66" s="21"/>
      <c r="E66" s="77"/>
      <c r="F66" s="20"/>
      <c r="G66" s="20"/>
      <c r="H66" s="18" t="str">
        <f>IF($B66="","",Paramètres!$C$19)</f>
        <v/>
      </c>
      <c r="I66" s="19"/>
      <c r="J66" s="19"/>
      <c r="K66" s="19"/>
      <c r="L66" s="18" t="str">
        <f>IF($B66="","",SUM(I66:K66))</f>
        <v/>
      </c>
      <c r="M66" s="18" t="str">
        <f>IF($B66="","",H66-L66)</f>
        <v/>
      </c>
      <c r="N66" s="18" t="str">
        <f>IF($B66="","",IF(R66="Ancien",0,Paramètres!$D$19))</f>
        <v/>
      </c>
      <c r="O66" s="19"/>
      <c r="P66" s="18" t="str">
        <f>IF($B66="","",N66-O66)</f>
        <v/>
      </c>
      <c r="Q66" s="21" t="str">
        <f>IF($B66="","",IF(AND(M66&lt;=0,P66&lt;=0),"Soldé","En retard"))</f>
        <v/>
      </c>
      <c r="R66" s="21"/>
    </row>
    <row r="67">
      <c r="A67" s="15"/>
      <c r="B67" s="15"/>
      <c r="C67" s="15"/>
      <c r="D67" s="8"/>
      <c r="E67" s="79"/>
      <c r="F67" s="15"/>
      <c r="G67" s="15"/>
      <c r="H67" s="18" t="str">
        <f>IF($B67="","",Paramètres!$C$19)</f>
        <v/>
      </c>
      <c r="I67" s="19"/>
      <c r="J67" s="19"/>
      <c r="K67" s="19"/>
      <c r="L67" s="18" t="str">
        <f>IF($B67="","",SUM(I67:K67))</f>
        <v/>
      </c>
      <c r="M67" s="18" t="str">
        <f>IF($B67="","",H67-L67)</f>
        <v/>
      </c>
      <c r="N67" s="18" t="str">
        <f>IF($B67="","",IF(R67="Ancien",0,Paramètres!$D$19))</f>
        <v/>
      </c>
      <c r="O67" s="19"/>
      <c r="P67" s="18" t="str">
        <f>IF($B67="","",N67-O67)</f>
        <v/>
      </c>
      <c r="Q67" s="8" t="str">
        <f>IF($B67="","",IF(AND(M67&lt;=0,P67&lt;=0),"Soldé","En retard"))</f>
        <v/>
      </c>
      <c r="R67" s="8"/>
    </row>
    <row r="68">
      <c r="A68" s="20"/>
      <c r="B68" s="20"/>
      <c r="C68" s="20"/>
      <c r="D68" s="21"/>
      <c r="E68" s="77"/>
      <c r="F68" s="20"/>
      <c r="G68" s="20"/>
      <c r="H68" s="18" t="str">
        <f>IF($B68="","",Paramètres!$C$19)</f>
        <v/>
      </c>
      <c r="I68" s="19"/>
      <c r="J68" s="19"/>
      <c r="K68" s="19"/>
      <c r="L68" s="18" t="str">
        <f>IF($B68="","",SUM(I68:K68))</f>
        <v/>
      </c>
      <c r="M68" s="18" t="str">
        <f>IF($B68="","",H68-L68)</f>
        <v/>
      </c>
      <c r="N68" s="18" t="str">
        <f>IF($B68="","",IF(R68="Ancien",0,Paramètres!$D$19))</f>
        <v/>
      </c>
      <c r="O68" s="19"/>
      <c r="P68" s="18" t="str">
        <f>IF($B68="","",N68-O68)</f>
        <v/>
      </c>
      <c r="Q68" s="21" t="str">
        <f>IF($B68="","",IF(AND(M68&lt;=0,P68&lt;=0),"Soldé","En retard"))</f>
        <v/>
      </c>
      <c r="R68" s="21"/>
    </row>
    <row r="69">
      <c r="A69" s="15"/>
      <c r="B69" s="15"/>
      <c r="C69" s="15"/>
      <c r="D69" s="8"/>
      <c r="E69" s="79"/>
      <c r="F69" s="15"/>
      <c r="G69" s="15"/>
      <c r="H69" s="18" t="str">
        <f>IF($B69="","",Paramètres!$C$19)</f>
        <v/>
      </c>
      <c r="I69" s="19"/>
      <c r="J69" s="19"/>
      <c r="K69" s="19"/>
      <c r="L69" s="18" t="str">
        <f>IF($B69="","",SUM(I69:K69))</f>
        <v/>
      </c>
      <c r="M69" s="18" t="str">
        <f>IF($B69="","",H69-L69)</f>
        <v/>
      </c>
      <c r="N69" s="18" t="str">
        <f>IF($B69="","",IF(R69="Ancien",0,Paramètres!$D$19))</f>
        <v/>
      </c>
      <c r="O69" s="19"/>
      <c r="P69" s="18" t="str">
        <f>IF($B69="","",N69-O69)</f>
        <v/>
      </c>
      <c r="Q69" s="8" t="str">
        <f>IF($B69="","",IF(AND(M69&lt;=0,P69&lt;=0),"Soldé","En retard"))</f>
        <v/>
      </c>
      <c r="R69" s="8"/>
    </row>
    <row r="70">
      <c r="A70" s="20"/>
      <c r="B70" s="20"/>
      <c r="C70" s="20"/>
      <c r="D70" s="21"/>
      <c r="E70" s="77"/>
      <c r="F70" s="20"/>
      <c r="G70" s="20"/>
      <c r="H70" s="18" t="str">
        <f>IF($B70="","",Paramètres!$C$19)</f>
        <v/>
      </c>
      <c r="I70" s="19"/>
      <c r="J70" s="19"/>
      <c r="K70" s="19"/>
      <c r="L70" s="18" t="str">
        <f>IF($B70="","",SUM(I70:K70))</f>
        <v/>
      </c>
      <c r="M70" s="18" t="str">
        <f>IF($B70="","",H70-L70)</f>
        <v/>
      </c>
      <c r="N70" s="18" t="str">
        <f>IF($B70="","",IF(R70="Ancien",0,Paramètres!$D$19))</f>
        <v/>
      </c>
      <c r="O70" s="19"/>
      <c r="P70" s="18" t="str">
        <f>IF($B70="","",N70-O70)</f>
        <v/>
      </c>
      <c r="Q70" s="21" t="str">
        <f>IF($B70="","",IF(AND(M70&lt;=0,P70&lt;=0),"Soldé","En retard"))</f>
        <v/>
      </c>
      <c r="R70" s="21"/>
    </row>
    <row r="71">
      <c r="A71" s="15"/>
      <c r="B71" s="15"/>
      <c r="C71" s="15"/>
      <c r="D71" s="8"/>
      <c r="E71" s="79"/>
      <c r="F71" s="15"/>
      <c r="G71" s="15"/>
      <c r="H71" s="18" t="str">
        <f>IF($B71="","",Paramètres!$C$19)</f>
        <v/>
      </c>
      <c r="I71" s="19"/>
      <c r="J71" s="19"/>
      <c r="K71" s="19"/>
      <c r="L71" s="18" t="str">
        <f>IF($B71="","",SUM(I71:K71))</f>
        <v/>
      </c>
      <c r="M71" s="18" t="str">
        <f>IF($B71="","",H71-L71)</f>
        <v/>
      </c>
      <c r="N71" s="18" t="str">
        <f>IF($B71="","",IF(R71="Ancien",0,Paramètres!$D$19))</f>
        <v/>
      </c>
      <c r="O71" s="19"/>
      <c r="P71" s="18" t="str">
        <f>IF($B71="","",N71-O71)</f>
        <v/>
      </c>
      <c r="Q71" s="8" t="str">
        <f>IF($B71="","",IF(AND(M71&lt;=0,P71&lt;=0),"Soldé","En retard"))</f>
        <v/>
      </c>
      <c r="R71" s="8"/>
    </row>
    <row r="72">
      <c r="A72" s="20"/>
      <c r="B72" s="20"/>
      <c r="C72" s="20"/>
      <c r="D72" s="21"/>
      <c r="E72" s="77"/>
      <c r="F72" s="20"/>
      <c r="G72" s="20"/>
      <c r="H72" s="18" t="str">
        <f>IF($B72="","",Paramètres!$C$19)</f>
        <v/>
      </c>
      <c r="I72" s="19"/>
      <c r="J72" s="19"/>
      <c r="K72" s="19"/>
      <c r="L72" s="18" t="str">
        <f>IF($B72="","",SUM(I72:K72))</f>
        <v/>
      </c>
      <c r="M72" s="18" t="str">
        <f>IF($B72="","",H72-L72)</f>
        <v/>
      </c>
      <c r="N72" s="18" t="str">
        <f>IF($B72="","",IF(R72="Ancien",0,Paramètres!$D$19))</f>
        <v/>
      </c>
      <c r="O72" s="19"/>
      <c r="P72" s="18" t="str">
        <f>IF($B72="","",N72-O72)</f>
        <v/>
      </c>
      <c r="Q72" s="21" t="str">
        <f>IF($B72="","",IF(AND(M72&lt;=0,P72&lt;=0),"Soldé","En retard"))</f>
        <v/>
      </c>
      <c r="R72" s="21"/>
    </row>
    <row r="73">
      <c r="A73" s="15"/>
      <c r="B73" s="15"/>
      <c r="C73" s="15"/>
      <c r="D73" s="8"/>
      <c r="E73" s="79"/>
      <c r="F73" s="15"/>
      <c r="G73" s="15"/>
      <c r="H73" s="18" t="str">
        <f>IF($B73="","",Paramètres!$C$19)</f>
        <v/>
      </c>
      <c r="I73" s="19"/>
      <c r="J73" s="19"/>
      <c r="K73" s="19"/>
      <c r="L73" s="18" t="str">
        <f>IF($B73="","",SUM(I73:K73))</f>
        <v/>
      </c>
      <c r="M73" s="18" t="str">
        <f>IF($B73="","",H73-L73)</f>
        <v/>
      </c>
      <c r="N73" s="18" t="str">
        <f>IF($B73="","",IF(R73="Ancien",0,Paramètres!$D$19))</f>
        <v/>
      </c>
      <c r="O73" s="19"/>
      <c r="P73" s="18" t="str">
        <f>IF($B73="","",N73-O73)</f>
        <v/>
      </c>
      <c r="Q73" s="8" t="str">
        <f>IF($B73="","",IF(AND(M73&lt;=0,P73&lt;=0),"Soldé","En retard"))</f>
        <v/>
      </c>
      <c r="R73" s="8"/>
    </row>
    <row r="74">
      <c r="A74" s="20"/>
      <c r="B74" s="20"/>
      <c r="C74" s="20"/>
      <c r="D74" s="21"/>
      <c r="E74" s="77"/>
      <c r="F74" s="20"/>
      <c r="G74" s="20"/>
      <c r="H74" s="18" t="str">
        <f>IF($B74="","",Paramètres!$C$19)</f>
        <v/>
      </c>
      <c r="I74" s="19"/>
      <c r="J74" s="19"/>
      <c r="K74" s="19"/>
      <c r="L74" s="18" t="str">
        <f>IF($B74="","",SUM(I74:K74))</f>
        <v/>
      </c>
      <c r="M74" s="18" t="str">
        <f>IF($B74="","",H74-L74)</f>
        <v/>
      </c>
      <c r="N74" s="18" t="str">
        <f>IF($B74="","",IF(R74="Ancien",0,Paramètres!$D$19))</f>
        <v/>
      </c>
      <c r="O74" s="19"/>
      <c r="P74" s="18" t="str">
        <f>IF($B74="","",N74-O74)</f>
        <v/>
      </c>
      <c r="Q74" s="21" t="str">
        <f>IF($B74="","",IF(AND(M74&lt;=0,P74&lt;=0),"Soldé","En retard"))</f>
        <v/>
      </c>
      <c r="R74" s="21"/>
    </row>
    <row r="75">
      <c r="A75" s="15"/>
      <c r="B75" s="15"/>
      <c r="C75" s="15"/>
      <c r="D75" s="8"/>
      <c r="E75" s="79"/>
      <c r="F75" s="15"/>
      <c r="G75" s="15"/>
      <c r="H75" s="18" t="str">
        <f>IF($B75="","",Paramètres!$C$19)</f>
        <v/>
      </c>
      <c r="I75" s="19"/>
      <c r="J75" s="19"/>
      <c r="K75" s="19"/>
      <c r="L75" s="18" t="str">
        <f>IF($B75="","",SUM(I75:K75))</f>
        <v/>
      </c>
      <c r="M75" s="18" t="str">
        <f>IF($B75="","",H75-L75)</f>
        <v/>
      </c>
      <c r="N75" s="18" t="str">
        <f>IF($B75="","",IF(R75="Ancien",0,Paramètres!$D$19))</f>
        <v/>
      </c>
      <c r="O75" s="19"/>
      <c r="P75" s="18" t="str">
        <f>IF($B75="","",N75-O75)</f>
        <v/>
      </c>
      <c r="Q75" s="8" t="str">
        <f>IF($B75="","",IF(AND(M75&lt;=0,P75&lt;=0),"Soldé","En retard"))</f>
        <v/>
      </c>
      <c r="R75" s="8"/>
    </row>
    <row r="76">
      <c r="A76" s="20"/>
      <c r="B76" s="20"/>
      <c r="C76" s="20"/>
      <c r="D76" s="21"/>
      <c r="E76" s="77"/>
      <c r="F76" s="20"/>
      <c r="G76" s="20"/>
      <c r="H76" s="18" t="str">
        <f>IF($B76="","",Paramètres!$C$19)</f>
        <v/>
      </c>
      <c r="I76" s="19"/>
      <c r="J76" s="19"/>
      <c r="K76" s="19"/>
      <c r="L76" s="18" t="str">
        <f>IF($B76="","",SUM(I76:K76))</f>
        <v/>
      </c>
      <c r="M76" s="18" t="str">
        <f>IF($B76="","",H76-L76)</f>
        <v/>
      </c>
      <c r="N76" s="18" t="str">
        <f>IF($B76="","",IF(R76="Ancien",0,Paramètres!$D$19))</f>
        <v/>
      </c>
      <c r="O76" s="19"/>
      <c r="P76" s="18" t="str">
        <f>IF($B76="","",N76-O76)</f>
        <v/>
      </c>
      <c r="Q76" s="21" t="str">
        <f>IF($B76="","",IF(AND(M76&lt;=0,P76&lt;=0),"Soldé","En retard"))</f>
        <v/>
      </c>
      <c r="R76" s="21"/>
    </row>
    <row r="77">
      <c r="A77" s="15"/>
      <c r="B77" s="15"/>
      <c r="C77" s="15"/>
      <c r="D77" s="8"/>
      <c r="E77" s="79"/>
      <c r="F77" s="15"/>
      <c r="G77" s="15"/>
      <c r="H77" s="18" t="str">
        <f>IF($B77="","",Paramètres!$C$19)</f>
        <v/>
      </c>
      <c r="I77" s="19"/>
      <c r="J77" s="19"/>
      <c r="K77" s="19"/>
      <c r="L77" s="18" t="str">
        <f>IF($B77="","",SUM(I77:K77))</f>
        <v/>
      </c>
      <c r="M77" s="18" t="str">
        <f>IF($B77="","",H77-L77)</f>
        <v/>
      </c>
      <c r="N77" s="18" t="str">
        <f>IF($B77="","",IF(R77="Ancien",0,Paramètres!$D$19))</f>
        <v/>
      </c>
      <c r="O77" s="19"/>
      <c r="P77" s="18" t="str">
        <f>IF($B77="","",N77-O77)</f>
        <v/>
      </c>
      <c r="Q77" s="8" t="str">
        <f>IF($B77="","",IF(AND(M77&lt;=0,P77&lt;=0),"Soldé","En retard"))</f>
        <v/>
      </c>
      <c r="R77" s="8"/>
    </row>
    <row r="78">
      <c r="A78" s="20"/>
      <c r="B78" s="20"/>
      <c r="C78" s="20"/>
      <c r="D78" s="21"/>
      <c r="E78" s="77"/>
      <c r="F78" s="20"/>
      <c r="G78" s="20"/>
      <c r="H78" s="18" t="str">
        <f>IF($B78="","",Paramètres!$C$19)</f>
        <v/>
      </c>
      <c r="I78" s="19"/>
      <c r="J78" s="19"/>
      <c r="K78" s="19"/>
      <c r="L78" s="18" t="str">
        <f>IF($B78="","",SUM(I78:K78))</f>
        <v/>
      </c>
      <c r="M78" s="18" t="str">
        <f>IF($B78="","",H78-L78)</f>
        <v/>
      </c>
      <c r="N78" s="18" t="str">
        <f>IF($B78="","",IF(R78="Ancien",0,Paramètres!$D$19))</f>
        <v/>
      </c>
      <c r="O78" s="19"/>
      <c r="P78" s="18" t="str">
        <f>IF($B78="","",N78-O78)</f>
        <v/>
      </c>
      <c r="Q78" s="21" t="str">
        <f>IF($B78="","",IF(AND(M78&lt;=0,P78&lt;=0),"Soldé","En retard"))</f>
        <v/>
      </c>
      <c r="R78" s="21"/>
    </row>
    <row r="79">
      <c r="A79" s="15"/>
      <c r="B79" s="15"/>
      <c r="C79" s="15"/>
      <c r="D79" s="8"/>
      <c r="E79" s="79"/>
      <c r="F79" s="15"/>
      <c r="G79" s="15"/>
      <c r="H79" s="18" t="str">
        <f>IF($B79="","",Paramètres!$C$19)</f>
        <v/>
      </c>
      <c r="I79" s="19"/>
      <c r="J79" s="19"/>
      <c r="K79" s="19"/>
      <c r="L79" s="18" t="str">
        <f>IF($B79="","",SUM(I79:K79))</f>
        <v/>
      </c>
      <c r="M79" s="18" t="str">
        <f>IF($B79="","",H79-L79)</f>
        <v/>
      </c>
      <c r="N79" s="18" t="str">
        <f>IF($B79="","",IF(R79="Ancien",0,Paramètres!$D$19))</f>
        <v/>
      </c>
      <c r="O79" s="19"/>
      <c r="P79" s="18" t="str">
        <f>IF($B79="","",N79-O79)</f>
        <v/>
      </c>
      <c r="Q79" s="8" t="str">
        <f>IF($B79="","",IF(AND(M79&lt;=0,P79&lt;=0),"Soldé","En retard"))</f>
        <v/>
      </c>
      <c r="R79" s="8"/>
    </row>
    <row r="80">
      <c r="A80" s="20"/>
      <c r="B80" s="20"/>
      <c r="C80" s="20"/>
      <c r="D80" s="21"/>
      <c r="E80" s="77"/>
      <c r="F80" s="20"/>
      <c r="G80" s="20"/>
      <c r="H80" s="18" t="str">
        <f>IF($B80="","",Paramètres!$C$19)</f>
        <v/>
      </c>
      <c r="I80" s="19"/>
      <c r="J80" s="19"/>
      <c r="K80" s="19"/>
      <c r="L80" s="18" t="str">
        <f>IF($B80="","",SUM(I80:K80))</f>
        <v/>
      </c>
      <c r="M80" s="18" t="str">
        <f>IF($B80="","",H80-L80)</f>
        <v/>
      </c>
      <c r="N80" s="18" t="str">
        <f>IF($B80="","",IF(R80="Ancien",0,Paramètres!$D$19))</f>
        <v/>
      </c>
      <c r="O80" s="19"/>
      <c r="P80" s="18" t="str">
        <f>IF($B80="","",N80-O80)</f>
        <v/>
      </c>
      <c r="Q80" s="21" t="str">
        <f>IF($B80="","",IF(AND(M80&lt;=0,P80&lt;=0),"Soldé","En retard"))</f>
        <v/>
      </c>
      <c r="R80" s="21"/>
    </row>
    <row r="81">
      <c r="A81" s="15"/>
      <c r="B81" s="15"/>
      <c r="C81" s="15"/>
      <c r="D81" s="8"/>
      <c r="E81" s="79"/>
      <c r="F81" s="15"/>
      <c r="G81" s="15"/>
      <c r="H81" s="18" t="str">
        <f>IF($B81="","",Paramètres!$C$19)</f>
        <v/>
      </c>
      <c r="I81" s="19"/>
      <c r="J81" s="19"/>
      <c r="K81" s="19"/>
      <c r="L81" s="18" t="str">
        <f>IF($B81="","",SUM(I81:K81))</f>
        <v/>
      </c>
      <c r="M81" s="18" t="str">
        <f>IF($B81="","",H81-L81)</f>
        <v/>
      </c>
      <c r="N81" s="18" t="str">
        <f>IF($B81="","",IF(R81="Ancien",0,Paramètres!$D$19))</f>
        <v/>
      </c>
      <c r="O81" s="19"/>
      <c r="P81" s="18" t="str">
        <f>IF($B81="","",N81-O81)</f>
        <v/>
      </c>
      <c r="Q81" s="8" t="str">
        <f>IF($B81="","",IF(AND(M81&lt;=0,P81&lt;=0),"Soldé","En retard"))</f>
        <v/>
      </c>
      <c r="R81" s="8"/>
    </row>
    <row r="82">
      <c r="A82" s="20"/>
      <c r="B82" s="20"/>
      <c r="C82" s="20"/>
      <c r="D82" s="21"/>
      <c r="E82" s="77"/>
      <c r="F82" s="20"/>
      <c r="G82" s="20"/>
      <c r="H82" s="18" t="str">
        <f>IF($B82="","",Paramètres!$C$19)</f>
        <v/>
      </c>
      <c r="I82" s="19"/>
      <c r="J82" s="19"/>
      <c r="K82" s="19"/>
      <c r="L82" s="18" t="str">
        <f>IF($B82="","",SUM(I82:K82))</f>
        <v/>
      </c>
      <c r="M82" s="18" t="str">
        <f>IF($B82="","",H82-L82)</f>
        <v/>
      </c>
      <c r="N82" s="18" t="str">
        <f>IF($B82="","",IF(R82="Ancien",0,Paramètres!$D$19))</f>
        <v/>
      </c>
      <c r="O82" s="19"/>
      <c r="P82" s="18" t="str">
        <f>IF($B82="","",N82-O82)</f>
        <v/>
      </c>
      <c r="Q82" s="21" t="str">
        <f>IF($B82="","",IF(AND(M82&lt;=0,P82&lt;=0),"Soldé","En retard"))</f>
        <v/>
      </c>
      <c r="R82" s="21"/>
    </row>
    <row r="83">
      <c r="A83" s="15"/>
      <c r="B83" s="15"/>
      <c r="C83" s="15"/>
      <c r="D83" s="8"/>
      <c r="E83" s="79"/>
      <c r="F83" s="15"/>
      <c r="G83" s="15"/>
      <c r="H83" s="18" t="str">
        <f>IF($B83="","",Paramètres!$C$19)</f>
        <v/>
      </c>
      <c r="I83" s="19"/>
      <c r="J83" s="19"/>
      <c r="K83" s="19"/>
      <c r="L83" s="18" t="str">
        <f>IF($B83="","",SUM(I83:K83))</f>
        <v/>
      </c>
      <c r="M83" s="18" t="str">
        <f>IF($B83="","",H83-L83)</f>
        <v/>
      </c>
      <c r="N83" s="18" t="str">
        <f>IF($B83="","",IF(R83="Ancien",0,Paramètres!$D$19))</f>
        <v/>
      </c>
      <c r="O83" s="19"/>
      <c r="P83" s="18" t="str">
        <f>IF($B83="","",N83-O83)</f>
        <v/>
      </c>
      <c r="Q83" s="8" t="str">
        <f>IF($B83="","",IF(AND(M83&lt;=0,P83&lt;=0),"Soldé","En retard"))</f>
        <v/>
      </c>
      <c r="R83" s="8"/>
    </row>
  </sheetData>
  <mergeCells count="2">
    <mergeCell ref="A1:R1"/>
    <mergeCell ref="A2:R2"/>
  </mergeCells>
  <conditionalFormatting sqref="M4:M83 P4:P83">
    <cfRule type="cellIs" dxfId="10" priority="3" operator="greaterThan">
      <formula>0</formula>
    </cfRule>
  </conditionalFormatting>
  <conditionalFormatting sqref="Q4:Q83">
    <cfRule type="cellIs" dxfId="9" priority="1" operator="equal">
      <formula>"Soldé"</formula>
    </cfRule>
    <cfRule type="cellIs" dxfId="8" priority="2" operator="equal">
      <formula>"En retard"</formula>
    </cfRule>
  </conditionalFormatting>
  <dataValidations count="2">
    <dataValidation type="list" allowBlank="1" showErrorMessage="1" errorTitle="Sexe non valide" error="Choisissez M ou F." sqref="D4:D83">
      <formula1>"M,F"</formula1>
    </dataValidation>
    <dataValidation type="list" allowBlank="1" showErrorMessage="1" errorTitle="Statut non valide" error="Choisissez Nouveau ou Ancien. Un élève marqué Ancien ne paie pas les frais d'inscription." sqref="R4:R83">
      <formula1>"Nouveau,Ancien"</formula1>
    </dataValidation>
  </dataValidations>
  <pageMargins left="0.5" right="0.5" top="0.75" bottom="0.75" header="0.3" footer="0.3"/>
  <pageSetup paperSize="9" orientation="landscape" fitToHeight="0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R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7" customWidth="1"/>
    <col min="5" max="5" width="14" customWidth="1"/>
    <col min="6" max="6" width="18" customWidth="1"/>
    <col min="7" max="7" width="16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3" customWidth="1"/>
    <col min="18" max="18" width="16" customWidth="1"/>
  </cols>
  <sheetData>
    <row r="1" ht="27.75" customHeight="1">
      <c r="A1" s="53" t="str">
        <f>"INSCRIPTIONS — "&amp;Paramètres!$A$20</f>
        <v>INSCRIPTIONS — CE2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ht="18" customHeight="1">
      <c r="A2" s="54" t="str">
        <f>"Année scolaire "&amp;Paramètres!$C$11&amp;"   •   Effectif : "&amp;COUNTIF($B$4:$B$83,"?*")&amp;"   •   Cellules jaunes = montants à saisir ; colonnes grises = calcul automatique"</f>
        <v>Année scolaire 2025-2026   •   Effectif : 0   •   Cellules jaunes = montants à saisir ; colonnes grises = calcul automatique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Sexe</t>
        </is>
      </c>
      <c r="E3" s="3" t="inlineStr">
        <is>
          <t>Date de naissance</t>
        </is>
      </c>
      <c r="F3" s="3" t="inlineStr">
        <is>
          <t>Nom du tuteur</t>
        </is>
      </c>
      <c r="G3" s="3" t="inlineStr">
        <is>
          <t>Téléphone</t>
        </is>
      </c>
      <c r="H3" s="3" t="inlineStr">
        <is>
          <t>Scolarité due</t>
        </is>
      </c>
      <c r="I3" s="3" t="inlineStr">
        <is>
          <t>Tranche 1</t>
        </is>
      </c>
      <c r="J3" s="3" t="inlineStr">
        <is>
          <t>Tranche 2</t>
        </is>
      </c>
      <c r="K3" s="3" t="inlineStr">
        <is>
          <t>Tranche 3</t>
        </is>
      </c>
      <c r="L3" s="3" t="inlineStr">
        <is>
          <t>Total payé</t>
        </is>
      </c>
      <c r="M3" s="3" t="inlineStr">
        <is>
          <t>Reste à payer</t>
        </is>
      </c>
      <c r="N3" s="3" t="inlineStr">
        <is>
          <t>Inscription due</t>
        </is>
      </c>
      <c r="O3" s="3" t="inlineStr">
        <is>
          <t>Inscription payée</t>
        </is>
      </c>
      <c r="P3" s="3" t="inlineStr">
        <is>
          <t>Reste inscription</t>
        </is>
      </c>
      <c r="Q3" s="3" t="inlineStr">
        <is>
          <t>Statut</t>
        </is>
      </c>
      <c r="R3" s="3" t="inlineStr">
        <is>
          <t>Nouveau / Ancien</t>
        </is>
      </c>
    </row>
    <row r="4">
      <c r="A4" s="20"/>
      <c r="B4" s="20"/>
      <c r="C4" s="20"/>
      <c r="D4" s="21"/>
      <c r="E4" s="77"/>
      <c r="F4" s="20"/>
      <c r="G4" s="20"/>
      <c r="H4" s="18" t="str">
        <f>IF($B4="","",Paramètres!$C$20)</f>
        <v/>
      </c>
      <c r="I4" s="19"/>
      <c r="J4" s="19"/>
      <c r="K4" s="19"/>
      <c r="L4" s="18" t="str">
        <f>IF($B4="","",SUM(I4:K4))</f>
        <v/>
      </c>
      <c r="M4" s="18" t="str">
        <f>IF($B4="","",H4-L4)</f>
        <v/>
      </c>
      <c r="N4" s="18" t="str">
        <f>IF($B4="","",IF(R4="Ancien",0,Paramètres!$D$20))</f>
        <v/>
      </c>
      <c r="O4" s="19"/>
      <c r="P4" s="18" t="str">
        <f>IF($B4="","",N4-O4)</f>
        <v/>
      </c>
      <c r="Q4" s="21" t="str">
        <f>IF($B4="","",IF(AND(M4&lt;=0,P4&lt;=0),"Soldé","En retard"))</f>
        <v/>
      </c>
      <c r="R4" s="21"/>
    </row>
    <row r="5">
      <c r="A5" s="15"/>
      <c r="B5" s="15"/>
      <c r="C5" s="15"/>
      <c r="D5" s="8"/>
      <c r="E5" s="79"/>
      <c r="F5" s="15"/>
      <c r="G5" s="15"/>
      <c r="H5" s="18" t="str">
        <f>IF($B5="","",Paramètres!$C$20)</f>
        <v/>
      </c>
      <c r="I5" s="19"/>
      <c r="J5" s="19"/>
      <c r="K5" s="19"/>
      <c r="L5" s="18" t="str">
        <f>IF($B5="","",SUM(I5:K5))</f>
        <v/>
      </c>
      <c r="M5" s="18" t="str">
        <f>IF($B5="","",H5-L5)</f>
        <v/>
      </c>
      <c r="N5" s="18" t="str">
        <f>IF($B5="","",IF(R5="Ancien",0,Paramètres!$D$20))</f>
        <v/>
      </c>
      <c r="O5" s="19"/>
      <c r="P5" s="18" t="str">
        <f>IF($B5="","",N5-O5)</f>
        <v/>
      </c>
      <c r="Q5" s="8" t="str">
        <f>IF($B5="","",IF(AND(M5&lt;=0,P5&lt;=0),"Soldé","En retard"))</f>
        <v/>
      </c>
      <c r="R5" s="8"/>
    </row>
    <row r="6">
      <c r="A6" s="20"/>
      <c r="B6" s="20"/>
      <c r="C6" s="20"/>
      <c r="D6" s="21"/>
      <c r="E6" s="77"/>
      <c r="F6" s="20"/>
      <c r="G6" s="20"/>
      <c r="H6" s="18" t="str">
        <f>IF($B6="","",Paramètres!$C$20)</f>
        <v/>
      </c>
      <c r="I6" s="19"/>
      <c r="J6" s="19"/>
      <c r="K6" s="19"/>
      <c r="L6" s="18" t="str">
        <f>IF($B6="","",SUM(I6:K6))</f>
        <v/>
      </c>
      <c r="M6" s="18" t="str">
        <f>IF($B6="","",H6-L6)</f>
        <v/>
      </c>
      <c r="N6" s="18" t="str">
        <f>IF($B6="","",IF(R6="Ancien",0,Paramètres!$D$20))</f>
        <v/>
      </c>
      <c r="O6" s="19"/>
      <c r="P6" s="18" t="str">
        <f>IF($B6="","",N6-O6)</f>
        <v/>
      </c>
      <c r="Q6" s="21" t="str">
        <f>IF($B6="","",IF(AND(M6&lt;=0,P6&lt;=0),"Soldé","En retard"))</f>
        <v/>
      </c>
      <c r="R6" s="21"/>
    </row>
    <row r="7">
      <c r="A7" s="15"/>
      <c r="B7" s="15"/>
      <c r="C7" s="15"/>
      <c r="D7" s="8"/>
      <c r="E7" s="79"/>
      <c r="F7" s="15"/>
      <c r="G7" s="15"/>
      <c r="H7" s="18" t="str">
        <f>IF($B7="","",Paramètres!$C$20)</f>
        <v/>
      </c>
      <c r="I7" s="19"/>
      <c r="J7" s="19"/>
      <c r="K7" s="19"/>
      <c r="L7" s="18" t="str">
        <f>IF($B7="","",SUM(I7:K7))</f>
        <v/>
      </c>
      <c r="M7" s="18" t="str">
        <f>IF($B7="","",H7-L7)</f>
        <v/>
      </c>
      <c r="N7" s="18" t="str">
        <f>IF($B7="","",IF(R7="Ancien",0,Paramètres!$D$20))</f>
        <v/>
      </c>
      <c r="O7" s="19"/>
      <c r="P7" s="18" t="str">
        <f>IF($B7="","",N7-O7)</f>
        <v/>
      </c>
      <c r="Q7" s="8" t="str">
        <f>IF($B7="","",IF(AND(M7&lt;=0,P7&lt;=0),"Soldé","En retard"))</f>
        <v/>
      </c>
      <c r="R7" s="8"/>
    </row>
    <row r="8">
      <c r="A8" s="20"/>
      <c r="B8" s="20"/>
      <c r="C8" s="20"/>
      <c r="D8" s="21"/>
      <c r="E8" s="77"/>
      <c r="F8" s="20"/>
      <c r="G8" s="20"/>
      <c r="H8" s="18" t="str">
        <f>IF($B8="","",Paramètres!$C$20)</f>
        <v/>
      </c>
      <c r="I8" s="19"/>
      <c r="J8" s="19"/>
      <c r="K8" s="19"/>
      <c r="L8" s="18" t="str">
        <f>IF($B8="","",SUM(I8:K8))</f>
        <v/>
      </c>
      <c r="M8" s="18" t="str">
        <f>IF($B8="","",H8-L8)</f>
        <v/>
      </c>
      <c r="N8" s="18" t="str">
        <f>IF($B8="","",IF(R8="Ancien",0,Paramètres!$D$20))</f>
        <v/>
      </c>
      <c r="O8" s="19"/>
      <c r="P8" s="18" t="str">
        <f>IF($B8="","",N8-O8)</f>
        <v/>
      </c>
      <c r="Q8" s="21" t="str">
        <f>IF($B8="","",IF(AND(M8&lt;=0,P8&lt;=0),"Soldé","En retard"))</f>
        <v/>
      </c>
      <c r="R8" s="21"/>
    </row>
    <row r="9">
      <c r="A9" s="15"/>
      <c r="B9" s="15"/>
      <c r="C9" s="15"/>
      <c r="D9" s="8"/>
      <c r="E9" s="79"/>
      <c r="F9" s="15"/>
      <c r="G9" s="15"/>
      <c r="H9" s="18" t="str">
        <f>IF($B9="","",Paramètres!$C$20)</f>
        <v/>
      </c>
      <c r="I9" s="19"/>
      <c r="J9" s="19"/>
      <c r="K9" s="19"/>
      <c r="L9" s="18" t="str">
        <f>IF($B9="","",SUM(I9:K9))</f>
        <v/>
      </c>
      <c r="M9" s="18" t="str">
        <f>IF($B9="","",H9-L9)</f>
        <v/>
      </c>
      <c r="N9" s="18" t="str">
        <f>IF($B9="","",IF(R9="Ancien",0,Paramètres!$D$20))</f>
        <v/>
      </c>
      <c r="O9" s="19"/>
      <c r="P9" s="18" t="str">
        <f>IF($B9="","",N9-O9)</f>
        <v/>
      </c>
      <c r="Q9" s="8" t="str">
        <f>IF($B9="","",IF(AND(M9&lt;=0,P9&lt;=0),"Soldé","En retard"))</f>
        <v/>
      </c>
      <c r="R9" s="8"/>
    </row>
    <row r="10">
      <c r="A10" s="20"/>
      <c r="B10" s="20"/>
      <c r="C10" s="20"/>
      <c r="D10" s="21"/>
      <c r="E10" s="77"/>
      <c r="F10" s="20"/>
      <c r="G10" s="20"/>
      <c r="H10" s="18" t="str">
        <f>IF($B10="","",Paramètres!$C$20)</f>
        <v/>
      </c>
      <c r="I10" s="19"/>
      <c r="J10" s="19"/>
      <c r="K10" s="19"/>
      <c r="L10" s="18" t="str">
        <f>IF($B10="","",SUM(I10:K10))</f>
        <v/>
      </c>
      <c r="M10" s="18" t="str">
        <f>IF($B10="","",H10-L10)</f>
        <v/>
      </c>
      <c r="N10" s="18" t="str">
        <f>IF($B10="","",IF(R10="Ancien",0,Paramètres!$D$20))</f>
        <v/>
      </c>
      <c r="O10" s="19"/>
      <c r="P10" s="18" t="str">
        <f>IF($B10="","",N10-O10)</f>
        <v/>
      </c>
      <c r="Q10" s="21" t="str">
        <f>IF($B10="","",IF(AND(M10&lt;=0,P10&lt;=0),"Soldé","En retard"))</f>
        <v/>
      </c>
      <c r="R10" s="21"/>
    </row>
    <row r="11">
      <c r="A11" s="15"/>
      <c r="B11" s="15"/>
      <c r="C11" s="15"/>
      <c r="D11" s="8"/>
      <c r="E11" s="79"/>
      <c r="F11" s="15"/>
      <c r="G11" s="15"/>
      <c r="H11" s="18" t="str">
        <f>IF($B11="","",Paramètres!$C$20)</f>
        <v/>
      </c>
      <c r="I11" s="19"/>
      <c r="J11" s="19"/>
      <c r="K11" s="19"/>
      <c r="L11" s="18" t="str">
        <f>IF($B11="","",SUM(I11:K11))</f>
        <v/>
      </c>
      <c r="M11" s="18" t="str">
        <f>IF($B11="","",H11-L11)</f>
        <v/>
      </c>
      <c r="N11" s="18" t="str">
        <f>IF($B11="","",IF(R11="Ancien",0,Paramètres!$D$20))</f>
        <v/>
      </c>
      <c r="O11" s="19"/>
      <c r="P11" s="18" t="str">
        <f>IF($B11="","",N11-O11)</f>
        <v/>
      </c>
      <c r="Q11" s="8" t="str">
        <f>IF($B11="","",IF(AND(M11&lt;=0,P11&lt;=0),"Soldé","En retard"))</f>
        <v/>
      </c>
      <c r="R11" s="8"/>
    </row>
    <row r="12">
      <c r="A12" s="20"/>
      <c r="B12" s="20"/>
      <c r="C12" s="20"/>
      <c r="D12" s="21"/>
      <c r="E12" s="77"/>
      <c r="F12" s="20"/>
      <c r="G12" s="20"/>
      <c r="H12" s="18" t="str">
        <f>IF($B12="","",Paramètres!$C$20)</f>
        <v/>
      </c>
      <c r="I12" s="19"/>
      <c r="J12" s="19"/>
      <c r="K12" s="19"/>
      <c r="L12" s="18" t="str">
        <f>IF($B12="","",SUM(I12:K12))</f>
        <v/>
      </c>
      <c r="M12" s="18" t="str">
        <f>IF($B12="","",H12-L12)</f>
        <v/>
      </c>
      <c r="N12" s="18" t="str">
        <f>IF($B12="","",IF(R12="Ancien",0,Paramètres!$D$20))</f>
        <v/>
      </c>
      <c r="O12" s="19"/>
      <c r="P12" s="18" t="str">
        <f>IF($B12="","",N12-O12)</f>
        <v/>
      </c>
      <c r="Q12" s="21" t="str">
        <f>IF($B12="","",IF(AND(M12&lt;=0,P12&lt;=0),"Soldé","En retard"))</f>
        <v/>
      </c>
      <c r="R12" s="21"/>
    </row>
    <row r="13">
      <c r="A13" s="15"/>
      <c r="B13" s="15"/>
      <c r="C13" s="15"/>
      <c r="D13" s="8"/>
      <c r="E13" s="79"/>
      <c r="F13" s="15"/>
      <c r="G13" s="15"/>
      <c r="H13" s="18" t="str">
        <f>IF($B13="","",Paramètres!$C$20)</f>
        <v/>
      </c>
      <c r="I13" s="19"/>
      <c r="J13" s="19"/>
      <c r="K13" s="19"/>
      <c r="L13" s="18" t="str">
        <f>IF($B13="","",SUM(I13:K13))</f>
        <v/>
      </c>
      <c r="M13" s="18" t="str">
        <f>IF($B13="","",H13-L13)</f>
        <v/>
      </c>
      <c r="N13" s="18" t="str">
        <f>IF($B13="","",IF(R13="Ancien",0,Paramètres!$D$20))</f>
        <v/>
      </c>
      <c r="O13" s="19"/>
      <c r="P13" s="18" t="str">
        <f>IF($B13="","",N13-O13)</f>
        <v/>
      </c>
      <c r="Q13" s="8" t="str">
        <f>IF($B13="","",IF(AND(M13&lt;=0,P13&lt;=0),"Soldé","En retard"))</f>
        <v/>
      </c>
      <c r="R13" s="8"/>
    </row>
    <row r="14">
      <c r="A14" s="20"/>
      <c r="B14" s="20"/>
      <c r="C14" s="20"/>
      <c r="D14" s="21"/>
      <c r="E14" s="77"/>
      <c r="F14" s="20"/>
      <c r="G14" s="20"/>
      <c r="H14" s="18" t="str">
        <f>IF($B14="","",Paramètres!$C$20)</f>
        <v/>
      </c>
      <c r="I14" s="19"/>
      <c r="J14" s="19"/>
      <c r="K14" s="19"/>
      <c r="L14" s="18" t="str">
        <f>IF($B14="","",SUM(I14:K14))</f>
        <v/>
      </c>
      <c r="M14" s="18" t="str">
        <f>IF($B14="","",H14-L14)</f>
        <v/>
      </c>
      <c r="N14" s="18" t="str">
        <f>IF($B14="","",IF(R14="Ancien",0,Paramètres!$D$20))</f>
        <v/>
      </c>
      <c r="O14" s="19"/>
      <c r="P14" s="18" t="str">
        <f>IF($B14="","",N14-O14)</f>
        <v/>
      </c>
      <c r="Q14" s="21" t="str">
        <f>IF($B14="","",IF(AND(M14&lt;=0,P14&lt;=0),"Soldé","En retard"))</f>
        <v/>
      </c>
      <c r="R14" s="21"/>
    </row>
    <row r="15">
      <c r="A15" s="15"/>
      <c r="B15" s="15"/>
      <c r="C15" s="15"/>
      <c r="D15" s="8"/>
      <c r="E15" s="79"/>
      <c r="F15" s="15"/>
      <c r="G15" s="15"/>
      <c r="H15" s="18" t="str">
        <f>IF($B15="","",Paramètres!$C$20)</f>
        <v/>
      </c>
      <c r="I15" s="19"/>
      <c r="J15" s="19"/>
      <c r="K15" s="19"/>
      <c r="L15" s="18" t="str">
        <f>IF($B15="","",SUM(I15:K15))</f>
        <v/>
      </c>
      <c r="M15" s="18" t="str">
        <f>IF($B15="","",H15-L15)</f>
        <v/>
      </c>
      <c r="N15" s="18" t="str">
        <f>IF($B15="","",IF(R15="Ancien",0,Paramètres!$D$20))</f>
        <v/>
      </c>
      <c r="O15" s="19"/>
      <c r="P15" s="18" t="str">
        <f>IF($B15="","",N15-O15)</f>
        <v/>
      </c>
      <c r="Q15" s="8" t="str">
        <f>IF($B15="","",IF(AND(M15&lt;=0,P15&lt;=0),"Soldé","En retard"))</f>
        <v/>
      </c>
      <c r="R15" s="8"/>
    </row>
    <row r="16">
      <c r="A16" s="20"/>
      <c r="B16" s="20"/>
      <c r="C16" s="20"/>
      <c r="D16" s="21"/>
      <c r="E16" s="77"/>
      <c r="F16" s="20"/>
      <c r="G16" s="20"/>
      <c r="H16" s="18" t="str">
        <f>IF($B16="","",Paramètres!$C$20)</f>
        <v/>
      </c>
      <c r="I16" s="19"/>
      <c r="J16" s="19"/>
      <c r="K16" s="19"/>
      <c r="L16" s="18" t="str">
        <f>IF($B16="","",SUM(I16:K16))</f>
        <v/>
      </c>
      <c r="M16" s="18" t="str">
        <f>IF($B16="","",H16-L16)</f>
        <v/>
      </c>
      <c r="N16" s="18" t="str">
        <f>IF($B16="","",IF(R16="Ancien",0,Paramètres!$D$20))</f>
        <v/>
      </c>
      <c r="O16" s="19"/>
      <c r="P16" s="18" t="str">
        <f>IF($B16="","",N16-O16)</f>
        <v/>
      </c>
      <c r="Q16" s="21" t="str">
        <f>IF($B16="","",IF(AND(M16&lt;=0,P16&lt;=0),"Soldé","En retard"))</f>
        <v/>
      </c>
      <c r="R16" s="21"/>
    </row>
    <row r="17">
      <c r="A17" s="15"/>
      <c r="B17" s="15"/>
      <c r="C17" s="15"/>
      <c r="D17" s="8"/>
      <c r="E17" s="79"/>
      <c r="F17" s="15"/>
      <c r="G17" s="15"/>
      <c r="H17" s="18" t="str">
        <f>IF($B17="","",Paramètres!$C$20)</f>
        <v/>
      </c>
      <c r="I17" s="19"/>
      <c r="J17" s="19"/>
      <c r="K17" s="19"/>
      <c r="L17" s="18" t="str">
        <f>IF($B17="","",SUM(I17:K17))</f>
        <v/>
      </c>
      <c r="M17" s="18" t="str">
        <f>IF($B17="","",H17-L17)</f>
        <v/>
      </c>
      <c r="N17" s="18" t="str">
        <f>IF($B17="","",IF(R17="Ancien",0,Paramètres!$D$20))</f>
        <v/>
      </c>
      <c r="O17" s="19"/>
      <c r="P17" s="18" t="str">
        <f>IF($B17="","",N17-O17)</f>
        <v/>
      </c>
      <c r="Q17" s="8" t="str">
        <f>IF($B17="","",IF(AND(M17&lt;=0,P17&lt;=0),"Soldé","En retard"))</f>
        <v/>
      </c>
      <c r="R17" s="8"/>
    </row>
    <row r="18">
      <c r="A18" s="20"/>
      <c r="B18" s="20"/>
      <c r="C18" s="20"/>
      <c r="D18" s="21"/>
      <c r="E18" s="77"/>
      <c r="F18" s="20"/>
      <c r="G18" s="20"/>
      <c r="H18" s="18" t="str">
        <f>IF($B18="","",Paramètres!$C$20)</f>
        <v/>
      </c>
      <c r="I18" s="19"/>
      <c r="J18" s="19"/>
      <c r="K18" s="19"/>
      <c r="L18" s="18" t="str">
        <f>IF($B18="","",SUM(I18:K18))</f>
        <v/>
      </c>
      <c r="M18" s="18" t="str">
        <f>IF($B18="","",H18-L18)</f>
        <v/>
      </c>
      <c r="N18" s="18" t="str">
        <f>IF($B18="","",IF(R18="Ancien",0,Paramètres!$D$20))</f>
        <v/>
      </c>
      <c r="O18" s="19"/>
      <c r="P18" s="18" t="str">
        <f>IF($B18="","",N18-O18)</f>
        <v/>
      </c>
      <c r="Q18" s="21" t="str">
        <f>IF($B18="","",IF(AND(M18&lt;=0,P18&lt;=0),"Soldé","En retard"))</f>
        <v/>
      </c>
      <c r="R18" s="21"/>
    </row>
    <row r="19">
      <c r="A19" s="15"/>
      <c r="B19" s="15"/>
      <c r="C19" s="15"/>
      <c r="D19" s="8"/>
      <c r="E19" s="79"/>
      <c r="F19" s="15"/>
      <c r="G19" s="15"/>
      <c r="H19" s="18" t="str">
        <f>IF($B19="","",Paramètres!$C$20)</f>
        <v/>
      </c>
      <c r="I19" s="19"/>
      <c r="J19" s="19"/>
      <c r="K19" s="19"/>
      <c r="L19" s="18" t="str">
        <f>IF($B19="","",SUM(I19:K19))</f>
        <v/>
      </c>
      <c r="M19" s="18" t="str">
        <f>IF($B19="","",H19-L19)</f>
        <v/>
      </c>
      <c r="N19" s="18" t="str">
        <f>IF($B19="","",IF(R19="Ancien",0,Paramètres!$D$20))</f>
        <v/>
      </c>
      <c r="O19" s="19"/>
      <c r="P19" s="18" t="str">
        <f>IF($B19="","",N19-O19)</f>
        <v/>
      </c>
      <c r="Q19" s="8" t="str">
        <f>IF($B19="","",IF(AND(M19&lt;=0,P19&lt;=0),"Soldé","En retard"))</f>
        <v/>
      </c>
      <c r="R19" s="8"/>
    </row>
    <row r="20">
      <c r="A20" s="20"/>
      <c r="B20" s="20"/>
      <c r="C20" s="20"/>
      <c r="D20" s="21"/>
      <c r="E20" s="77"/>
      <c r="F20" s="20"/>
      <c r="G20" s="20"/>
      <c r="H20" s="18" t="str">
        <f>IF($B20="","",Paramètres!$C$20)</f>
        <v/>
      </c>
      <c r="I20" s="19"/>
      <c r="J20" s="19"/>
      <c r="K20" s="19"/>
      <c r="L20" s="18" t="str">
        <f>IF($B20="","",SUM(I20:K20))</f>
        <v/>
      </c>
      <c r="M20" s="18" t="str">
        <f>IF($B20="","",H20-L20)</f>
        <v/>
      </c>
      <c r="N20" s="18" t="str">
        <f>IF($B20="","",IF(R20="Ancien",0,Paramètres!$D$20))</f>
        <v/>
      </c>
      <c r="O20" s="19"/>
      <c r="P20" s="18" t="str">
        <f>IF($B20="","",N20-O20)</f>
        <v/>
      </c>
      <c r="Q20" s="21" t="str">
        <f>IF($B20="","",IF(AND(M20&lt;=0,P20&lt;=0),"Soldé","En retard"))</f>
        <v/>
      </c>
      <c r="R20" s="21"/>
    </row>
    <row r="21">
      <c r="A21" s="15"/>
      <c r="B21" s="15"/>
      <c r="C21" s="15"/>
      <c r="D21" s="8"/>
      <c r="E21" s="79"/>
      <c r="F21" s="15"/>
      <c r="G21" s="15"/>
      <c r="H21" s="18" t="str">
        <f>IF($B21="","",Paramètres!$C$20)</f>
        <v/>
      </c>
      <c r="I21" s="19"/>
      <c r="J21" s="19"/>
      <c r="K21" s="19"/>
      <c r="L21" s="18" t="str">
        <f>IF($B21="","",SUM(I21:K21))</f>
        <v/>
      </c>
      <c r="M21" s="18" t="str">
        <f>IF($B21="","",H21-L21)</f>
        <v/>
      </c>
      <c r="N21" s="18" t="str">
        <f>IF($B21="","",IF(R21="Ancien",0,Paramètres!$D$20))</f>
        <v/>
      </c>
      <c r="O21" s="19"/>
      <c r="P21" s="18" t="str">
        <f>IF($B21="","",N21-O21)</f>
        <v/>
      </c>
      <c r="Q21" s="8" t="str">
        <f>IF($B21="","",IF(AND(M21&lt;=0,P21&lt;=0),"Soldé","En retard"))</f>
        <v/>
      </c>
      <c r="R21" s="8"/>
    </row>
    <row r="22">
      <c r="A22" s="20"/>
      <c r="B22" s="20"/>
      <c r="C22" s="20"/>
      <c r="D22" s="21"/>
      <c r="E22" s="77"/>
      <c r="F22" s="20"/>
      <c r="G22" s="20"/>
      <c r="H22" s="18" t="str">
        <f>IF($B22="","",Paramètres!$C$20)</f>
        <v/>
      </c>
      <c r="I22" s="19"/>
      <c r="J22" s="19"/>
      <c r="K22" s="19"/>
      <c r="L22" s="18" t="str">
        <f>IF($B22="","",SUM(I22:K22))</f>
        <v/>
      </c>
      <c r="M22" s="18" t="str">
        <f>IF($B22="","",H22-L22)</f>
        <v/>
      </c>
      <c r="N22" s="18" t="str">
        <f>IF($B22="","",IF(R22="Ancien",0,Paramètres!$D$20))</f>
        <v/>
      </c>
      <c r="O22" s="19"/>
      <c r="P22" s="18" t="str">
        <f>IF($B22="","",N22-O22)</f>
        <v/>
      </c>
      <c r="Q22" s="21" t="str">
        <f>IF($B22="","",IF(AND(M22&lt;=0,P22&lt;=0),"Soldé","En retard"))</f>
        <v/>
      </c>
      <c r="R22" s="21"/>
    </row>
    <row r="23">
      <c r="A23" s="15"/>
      <c r="B23" s="15"/>
      <c r="C23" s="15"/>
      <c r="D23" s="8"/>
      <c r="E23" s="79"/>
      <c r="F23" s="15"/>
      <c r="G23" s="15"/>
      <c r="H23" s="18" t="str">
        <f>IF($B23="","",Paramètres!$C$20)</f>
        <v/>
      </c>
      <c r="I23" s="19"/>
      <c r="J23" s="19"/>
      <c r="K23" s="19"/>
      <c r="L23" s="18" t="str">
        <f>IF($B23="","",SUM(I23:K23))</f>
        <v/>
      </c>
      <c r="M23" s="18" t="str">
        <f>IF($B23="","",H23-L23)</f>
        <v/>
      </c>
      <c r="N23" s="18" t="str">
        <f>IF($B23="","",IF(R23="Ancien",0,Paramètres!$D$20))</f>
        <v/>
      </c>
      <c r="O23" s="19"/>
      <c r="P23" s="18" t="str">
        <f>IF($B23="","",N23-O23)</f>
        <v/>
      </c>
      <c r="Q23" s="8" t="str">
        <f>IF($B23="","",IF(AND(M23&lt;=0,P23&lt;=0),"Soldé","En retard"))</f>
        <v/>
      </c>
      <c r="R23" s="8"/>
    </row>
    <row r="24">
      <c r="A24" s="20"/>
      <c r="B24" s="20"/>
      <c r="C24" s="20"/>
      <c r="D24" s="21"/>
      <c r="E24" s="77"/>
      <c r="F24" s="20"/>
      <c r="G24" s="20"/>
      <c r="H24" s="18" t="str">
        <f>IF($B24="","",Paramètres!$C$20)</f>
        <v/>
      </c>
      <c r="I24" s="19"/>
      <c r="J24" s="19"/>
      <c r="K24" s="19"/>
      <c r="L24" s="18" t="str">
        <f>IF($B24="","",SUM(I24:K24))</f>
        <v/>
      </c>
      <c r="M24" s="18" t="str">
        <f>IF($B24="","",H24-L24)</f>
        <v/>
      </c>
      <c r="N24" s="18" t="str">
        <f>IF($B24="","",IF(R24="Ancien",0,Paramètres!$D$20))</f>
        <v/>
      </c>
      <c r="O24" s="19"/>
      <c r="P24" s="18" t="str">
        <f>IF($B24="","",N24-O24)</f>
        <v/>
      </c>
      <c r="Q24" s="21" t="str">
        <f>IF($B24="","",IF(AND(M24&lt;=0,P24&lt;=0),"Soldé","En retard"))</f>
        <v/>
      </c>
      <c r="R24" s="21"/>
    </row>
    <row r="25">
      <c r="A25" s="15"/>
      <c r="B25" s="15"/>
      <c r="C25" s="15"/>
      <c r="D25" s="8"/>
      <c r="E25" s="79"/>
      <c r="F25" s="15"/>
      <c r="G25" s="15"/>
      <c r="H25" s="18" t="str">
        <f>IF($B25="","",Paramètres!$C$20)</f>
        <v/>
      </c>
      <c r="I25" s="19"/>
      <c r="J25" s="19"/>
      <c r="K25" s="19"/>
      <c r="L25" s="18" t="str">
        <f>IF($B25="","",SUM(I25:K25))</f>
        <v/>
      </c>
      <c r="M25" s="18" t="str">
        <f>IF($B25="","",H25-L25)</f>
        <v/>
      </c>
      <c r="N25" s="18" t="str">
        <f>IF($B25="","",IF(R25="Ancien",0,Paramètres!$D$20))</f>
        <v/>
      </c>
      <c r="O25" s="19"/>
      <c r="P25" s="18" t="str">
        <f>IF($B25="","",N25-O25)</f>
        <v/>
      </c>
      <c r="Q25" s="8" t="str">
        <f>IF($B25="","",IF(AND(M25&lt;=0,P25&lt;=0),"Soldé","En retard"))</f>
        <v/>
      </c>
      <c r="R25" s="8"/>
    </row>
    <row r="26">
      <c r="A26" s="20"/>
      <c r="B26" s="20"/>
      <c r="C26" s="20"/>
      <c r="D26" s="21"/>
      <c r="E26" s="77"/>
      <c r="F26" s="20"/>
      <c r="G26" s="20"/>
      <c r="H26" s="18" t="str">
        <f>IF($B26="","",Paramètres!$C$20)</f>
        <v/>
      </c>
      <c r="I26" s="19"/>
      <c r="J26" s="19"/>
      <c r="K26" s="19"/>
      <c r="L26" s="18" t="str">
        <f>IF($B26="","",SUM(I26:K26))</f>
        <v/>
      </c>
      <c r="M26" s="18" t="str">
        <f>IF($B26="","",H26-L26)</f>
        <v/>
      </c>
      <c r="N26" s="18" t="str">
        <f>IF($B26="","",IF(R26="Ancien",0,Paramètres!$D$20))</f>
        <v/>
      </c>
      <c r="O26" s="19"/>
      <c r="P26" s="18" t="str">
        <f>IF($B26="","",N26-O26)</f>
        <v/>
      </c>
      <c r="Q26" s="21" t="str">
        <f>IF($B26="","",IF(AND(M26&lt;=0,P26&lt;=0),"Soldé","En retard"))</f>
        <v/>
      </c>
      <c r="R26" s="21"/>
    </row>
    <row r="27">
      <c r="A27" s="15"/>
      <c r="B27" s="15"/>
      <c r="C27" s="15"/>
      <c r="D27" s="8"/>
      <c r="E27" s="79"/>
      <c r="F27" s="15"/>
      <c r="G27" s="15"/>
      <c r="H27" s="18" t="str">
        <f>IF($B27="","",Paramètres!$C$20)</f>
        <v/>
      </c>
      <c r="I27" s="19"/>
      <c r="J27" s="19"/>
      <c r="K27" s="19"/>
      <c r="L27" s="18" t="str">
        <f>IF($B27="","",SUM(I27:K27))</f>
        <v/>
      </c>
      <c r="M27" s="18" t="str">
        <f>IF($B27="","",H27-L27)</f>
        <v/>
      </c>
      <c r="N27" s="18" t="str">
        <f>IF($B27="","",IF(R27="Ancien",0,Paramètres!$D$20))</f>
        <v/>
      </c>
      <c r="O27" s="19"/>
      <c r="P27" s="18" t="str">
        <f>IF($B27="","",N27-O27)</f>
        <v/>
      </c>
      <c r="Q27" s="8" t="str">
        <f>IF($B27="","",IF(AND(M27&lt;=0,P27&lt;=0),"Soldé","En retard"))</f>
        <v/>
      </c>
      <c r="R27" s="8"/>
    </row>
    <row r="28">
      <c r="A28" s="20"/>
      <c r="B28" s="20"/>
      <c r="C28" s="20"/>
      <c r="D28" s="21"/>
      <c r="E28" s="77"/>
      <c r="F28" s="20"/>
      <c r="G28" s="20"/>
      <c r="H28" s="18" t="str">
        <f>IF($B28="","",Paramètres!$C$20)</f>
        <v/>
      </c>
      <c r="I28" s="19"/>
      <c r="J28" s="19"/>
      <c r="K28" s="19"/>
      <c r="L28" s="18" t="str">
        <f>IF($B28="","",SUM(I28:K28))</f>
        <v/>
      </c>
      <c r="M28" s="18" t="str">
        <f>IF($B28="","",H28-L28)</f>
        <v/>
      </c>
      <c r="N28" s="18" t="str">
        <f>IF($B28="","",IF(R28="Ancien",0,Paramètres!$D$20))</f>
        <v/>
      </c>
      <c r="O28" s="19"/>
      <c r="P28" s="18" t="str">
        <f>IF($B28="","",N28-O28)</f>
        <v/>
      </c>
      <c r="Q28" s="21" t="str">
        <f>IF($B28="","",IF(AND(M28&lt;=0,P28&lt;=0),"Soldé","En retard"))</f>
        <v/>
      </c>
      <c r="R28" s="21"/>
    </row>
    <row r="29">
      <c r="A29" s="15"/>
      <c r="B29" s="15"/>
      <c r="C29" s="15"/>
      <c r="D29" s="8"/>
      <c r="E29" s="79"/>
      <c r="F29" s="15"/>
      <c r="G29" s="15"/>
      <c r="H29" s="18" t="str">
        <f>IF($B29="","",Paramètres!$C$20)</f>
        <v/>
      </c>
      <c r="I29" s="19"/>
      <c r="J29" s="19"/>
      <c r="K29" s="19"/>
      <c r="L29" s="18" t="str">
        <f>IF($B29="","",SUM(I29:K29))</f>
        <v/>
      </c>
      <c r="M29" s="18" t="str">
        <f>IF($B29="","",H29-L29)</f>
        <v/>
      </c>
      <c r="N29" s="18" t="str">
        <f>IF($B29="","",IF(R29="Ancien",0,Paramètres!$D$20))</f>
        <v/>
      </c>
      <c r="O29" s="19"/>
      <c r="P29" s="18" t="str">
        <f>IF($B29="","",N29-O29)</f>
        <v/>
      </c>
      <c r="Q29" s="8" t="str">
        <f>IF($B29="","",IF(AND(M29&lt;=0,P29&lt;=0),"Soldé","En retard"))</f>
        <v/>
      </c>
      <c r="R29" s="8"/>
    </row>
    <row r="30">
      <c r="A30" s="20"/>
      <c r="B30" s="20"/>
      <c r="C30" s="20"/>
      <c r="D30" s="21"/>
      <c r="E30" s="77"/>
      <c r="F30" s="20"/>
      <c r="G30" s="20"/>
      <c r="H30" s="18" t="str">
        <f>IF($B30="","",Paramètres!$C$20)</f>
        <v/>
      </c>
      <c r="I30" s="19"/>
      <c r="J30" s="19"/>
      <c r="K30" s="19"/>
      <c r="L30" s="18" t="str">
        <f>IF($B30="","",SUM(I30:K30))</f>
        <v/>
      </c>
      <c r="M30" s="18" t="str">
        <f>IF($B30="","",H30-L30)</f>
        <v/>
      </c>
      <c r="N30" s="18" t="str">
        <f>IF($B30="","",IF(R30="Ancien",0,Paramètres!$D$20))</f>
        <v/>
      </c>
      <c r="O30" s="19"/>
      <c r="P30" s="18" t="str">
        <f>IF($B30="","",N30-O30)</f>
        <v/>
      </c>
      <c r="Q30" s="21" t="str">
        <f>IF($B30="","",IF(AND(M30&lt;=0,P30&lt;=0),"Soldé","En retard"))</f>
        <v/>
      </c>
      <c r="R30" s="21"/>
    </row>
    <row r="31">
      <c r="A31" s="15"/>
      <c r="B31" s="15"/>
      <c r="C31" s="15"/>
      <c r="D31" s="8"/>
      <c r="E31" s="79"/>
      <c r="F31" s="15"/>
      <c r="G31" s="15"/>
      <c r="H31" s="18" t="str">
        <f>IF($B31="","",Paramètres!$C$20)</f>
        <v/>
      </c>
      <c r="I31" s="19"/>
      <c r="J31" s="19"/>
      <c r="K31" s="19"/>
      <c r="L31" s="18" t="str">
        <f>IF($B31="","",SUM(I31:K31))</f>
        <v/>
      </c>
      <c r="M31" s="18" t="str">
        <f>IF($B31="","",H31-L31)</f>
        <v/>
      </c>
      <c r="N31" s="18" t="str">
        <f>IF($B31="","",IF(R31="Ancien",0,Paramètres!$D$20))</f>
        <v/>
      </c>
      <c r="O31" s="19"/>
      <c r="P31" s="18" t="str">
        <f>IF($B31="","",N31-O31)</f>
        <v/>
      </c>
      <c r="Q31" s="8" t="str">
        <f>IF($B31="","",IF(AND(M31&lt;=0,P31&lt;=0),"Soldé","En retard"))</f>
        <v/>
      </c>
      <c r="R31" s="8"/>
    </row>
    <row r="32">
      <c r="A32" s="20"/>
      <c r="B32" s="20"/>
      <c r="C32" s="20"/>
      <c r="D32" s="21"/>
      <c r="E32" s="77"/>
      <c r="F32" s="20"/>
      <c r="G32" s="20"/>
      <c r="H32" s="18" t="str">
        <f>IF($B32="","",Paramètres!$C$20)</f>
        <v/>
      </c>
      <c r="I32" s="19"/>
      <c r="J32" s="19"/>
      <c r="K32" s="19"/>
      <c r="L32" s="18" t="str">
        <f>IF($B32="","",SUM(I32:K32))</f>
        <v/>
      </c>
      <c r="M32" s="18" t="str">
        <f>IF($B32="","",H32-L32)</f>
        <v/>
      </c>
      <c r="N32" s="18" t="str">
        <f>IF($B32="","",IF(R32="Ancien",0,Paramètres!$D$20))</f>
        <v/>
      </c>
      <c r="O32" s="19"/>
      <c r="P32" s="18" t="str">
        <f>IF($B32="","",N32-O32)</f>
        <v/>
      </c>
      <c r="Q32" s="21" t="str">
        <f>IF($B32="","",IF(AND(M32&lt;=0,P32&lt;=0),"Soldé","En retard"))</f>
        <v/>
      </c>
      <c r="R32" s="21"/>
    </row>
    <row r="33">
      <c r="A33" s="15"/>
      <c r="B33" s="15"/>
      <c r="C33" s="15"/>
      <c r="D33" s="8"/>
      <c r="E33" s="79"/>
      <c r="F33" s="15"/>
      <c r="G33" s="15"/>
      <c r="H33" s="18" t="str">
        <f>IF($B33="","",Paramètres!$C$20)</f>
        <v/>
      </c>
      <c r="I33" s="19"/>
      <c r="J33" s="19"/>
      <c r="K33" s="19"/>
      <c r="L33" s="18" t="str">
        <f>IF($B33="","",SUM(I33:K33))</f>
        <v/>
      </c>
      <c r="M33" s="18" t="str">
        <f>IF($B33="","",H33-L33)</f>
        <v/>
      </c>
      <c r="N33" s="18" t="str">
        <f>IF($B33="","",IF(R33="Ancien",0,Paramètres!$D$20))</f>
        <v/>
      </c>
      <c r="O33" s="19"/>
      <c r="P33" s="18" t="str">
        <f>IF($B33="","",N33-O33)</f>
        <v/>
      </c>
      <c r="Q33" s="8" t="str">
        <f>IF($B33="","",IF(AND(M33&lt;=0,P33&lt;=0),"Soldé","En retard"))</f>
        <v/>
      </c>
      <c r="R33" s="8"/>
    </row>
    <row r="34">
      <c r="A34" s="20"/>
      <c r="B34" s="20"/>
      <c r="C34" s="20"/>
      <c r="D34" s="21"/>
      <c r="E34" s="77"/>
      <c r="F34" s="20"/>
      <c r="G34" s="20"/>
      <c r="H34" s="18" t="str">
        <f>IF($B34="","",Paramètres!$C$20)</f>
        <v/>
      </c>
      <c r="I34" s="19"/>
      <c r="J34" s="19"/>
      <c r="K34" s="19"/>
      <c r="L34" s="18" t="str">
        <f>IF($B34="","",SUM(I34:K34))</f>
        <v/>
      </c>
      <c r="M34" s="18" t="str">
        <f>IF($B34="","",H34-L34)</f>
        <v/>
      </c>
      <c r="N34" s="18" t="str">
        <f>IF($B34="","",IF(R34="Ancien",0,Paramètres!$D$20))</f>
        <v/>
      </c>
      <c r="O34" s="19"/>
      <c r="P34" s="18" t="str">
        <f>IF($B34="","",N34-O34)</f>
        <v/>
      </c>
      <c r="Q34" s="21" t="str">
        <f>IF($B34="","",IF(AND(M34&lt;=0,P34&lt;=0),"Soldé","En retard"))</f>
        <v/>
      </c>
      <c r="R34" s="21"/>
    </row>
    <row r="35">
      <c r="A35" s="15"/>
      <c r="B35" s="15"/>
      <c r="C35" s="15"/>
      <c r="D35" s="8"/>
      <c r="E35" s="79"/>
      <c r="F35" s="15"/>
      <c r="G35" s="15"/>
      <c r="H35" s="18" t="str">
        <f>IF($B35="","",Paramètres!$C$20)</f>
        <v/>
      </c>
      <c r="I35" s="19"/>
      <c r="J35" s="19"/>
      <c r="K35" s="19"/>
      <c r="L35" s="18" t="str">
        <f>IF($B35="","",SUM(I35:K35))</f>
        <v/>
      </c>
      <c r="M35" s="18" t="str">
        <f>IF($B35="","",H35-L35)</f>
        <v/>
      </c>
      <c r="N35" s="18" t="str">
        <f>IF($B35="","",IF(R35="Ancien",0,Paramètres!$D$20))</f>
        <v/>
      </c>
      <c r="O35" s="19"/>
      <c r="P35" s="18" t="str">
        <f>IF($B35="","",N35-O35)</f>
        <v/>
      </c>
      <c r="Q35" s="8" t="str">
        <f>IF($B35="","",IF(AND(M35&lt;=0,P35&lt;=0),"Soldé","En retard"))</f>
        <v/>
      </c>
      <c r="R35" s="8"/>
    </row>
    <row r="36">
      <c r="A36" s="20"/>
      <c r="B36" s="20"/>
      <c r="C36" s="20"/>
      <c r="D36" s="21"/>
      <c r="E36" s="77"/>
      <c r="F36" s="20"/>
      <c r="G36" s="20"/>
      <c r="H36" s="18" t="str">
        <f>IF($B36="","",Paramètres!$C$20)</f>
        <v/>
      </c>
      <c r="I36" s="19"/>
      <c r="J36" s="19"/>
      <c r="K36" s="19"/>
      <c r="L36" s="18" t="str">
        <f>IF($B36="","",SUM(I36:K36))</f>
        <v/>
      </c>
      <c r="M36" s="18" t="str">
        <f>IF($B36="","",H36-L36)</f>
        <v/>
      </c>
      <c r="N36" s="18" t="str">
        <f>IF($B36="","",IF(R36="Ancien",0,Paramètres!$D$20))</f>
        <v/>
      </c>
      <c r="O36" s="19"/>
      <c r="P36" s="18" t="str">
        <f>IF($B36="","",N36-O36)</f>
        <v/>
      </c>
      <c r="Q36" s="21" t="str">
        <f>IF($B36="","",IF(AND(M36&lt;=0,P36&lt;=0),"Soldé","En retard"))</f>
        <v/>
      </c>
      <c r="R36" s="21"/>
    </row>
    <row r="37">
      <c r="A37" s="15"/>
      <c r="B37" s="15"/>
      <c r="C37" s="15"/>
      <c r="D37" s="8"/>
      <c r="E37" s="79"/>
      <c r="F37" s="15"/>
      <c r="G37" s="15"/>
      <c r="H37" s="18" t="str">
        <f>IF($B37="","",Paramètres!$C$20)</f>
        <v/>
      </c>
      <c r="I37" s="19"/>
      <c r="J37" s="19"/>
      <c r="K37" s="19"/>
      <c r="L37" s="18" t="str">
        <f>IF($B37="","",SUM(I37:K37))</f>
        <v/>
      </c>
      <c r="M37" s="18" t="str">
        <f>IF($B37="","",H37-L37)</f>
        <v/>
      </c>
      <c r="N37" s="18" t="str">
        <f>IF($B37="","",IF(R37="Ancien",0,Paramètres!$D$20))</f>
        <v/>
      </c>
      <c r="O37" s="19"/>
      <c r="P37" s="18" t="str">
        <f>IF($B37="","",N37-O37)</f>
        <v/>
      </c>
      <c r="Q37" s="8" t="str">
        <f>IF($B37="","",IF(AND(M37&lt;=0,P37&lt;=0),"Soldé","En retard"))</f>
        <v/>
      </c>
      <c r="R37" s="8"/>
    </row>
    <row r="38">
      <c r="A38" s="20"/>
      <c r="B38" s="20"/>
      <c r="C38" s="20"/>
      <c r="D38" s="21"/>
      <c r="E38" s="77"/>
      <c r="F38" s="20"/>
      <c r="G38" s="20"/>
      <c r="H38" s="18" t="str">
        <f>IF($B38="","",Paramètres!$C$20)</f>
        <v/>
      </c>
      <c r="I38" s="19"/>
      <c r="J38" s="19"/>
      <c r="K38" s="19"/>
      <c r="L38" s="18" t="str">
        <f>IF($B38="","",SUM(I38:K38))</f>
        <v/>
      </c>
      <c r="M38" s="18" t="str">
        <f>IF($B38="","",H38-L38)</f>
        <v/>
      </c>
      <c r="N38" s="18" t="str">
        <f>IF($B38="","",IF(R38="Ancien",0,Paramètres!$D$20))</f>
        <v/>
      </c>
      <c r="O38" s="19"/>
      <c r="P38" s="18" t="str">
        <f>IF($B38="","",N38-O38)</f>
        <v/>
      </c>
      <c r="Q38" s="21" t="str">
        <f>IF($B38="","",IF(AND(M38&lt;=0,P38&lt;=0),"Soldé","En retard"))</f>
        <v/>
      </c>
      <c r="R38" s="21"/>
    </row>
    <row r="39">
      <c r="A39" s="15"/>
      <c r="B39" s="15"/>
      <c r="C39" s="15"/>
      <c r="D39" s="8"/>
      <c r="E39" s="79"/>
      <c r="F39" s="15"/>
      <c r="G39" s="15"/>
      <c r="H39" s="18" t="str">
        <f>IF($B39="","",Paramètres!$C$20)</f>
        <v/>
      </c>
      <c r="I39" s="19"/>
      <c r="J39" s="19"/>
      <c r="K39" s="19"/>
      <c r="L39" s="18" t="str">
        <f>IF($B39="","",SUM(I39:K39))</f>
        <v/>
      </c>
      <c r="M39" s="18" t="str">
        <f>IF($B39="","",H39-L39)</f>
        <v/>
      </c>
      <c r="N39" s="18" t="str">
        <f>IF($B39="","",IF(R39="Ancien",0,Paramètres!$D$20))</f>
        <v/>
      </c>
      <c r="O39" s="19"/>
      <c r="P39" s="18" t="str">
        <f>IF($B39="","",N39-O39)</f>
        <v/>
      </c>
      <c r="Q39" s="8" t="str">
        <f>IF($B39="","",IF(AND(M39&lt;=0,P39&lt;=0),"Soldé","En retard"))</f>
        <v/>
      </c>
      <c r="R39" s="8"/>
    </row>
    <row r="40">
      <c r="A40" s="20"/>
      <c r="B40" s="20"/>
      <c r="C40" s="20"/>
      <c r="D40" s="21"/>
      <c r="E40" s="77"/>
      <c r="F40" s="20"/>
      <c r="G40" s="20"/>
      <c r="H40" s="18" t="str">
        <f>IF($B40="","",Paramètres!$C$20)</f>
        <v/>
      </c>
      <c r="I40" s="19"/>
      <c r="J40" s="19"/>
      <c r="K40" s="19"/>
      <c r="L40" s="18" t="str">
        <f>IF($B40="","",SUM(I40:K40))</f>
        <v/>
      </c>
      <c r="M40" s="18" t="str">
        <f>IF($B40="","",H40-L40)</f>
        <v/>
      </c>
      <c r="N40" s="18" t="str">
        <f>IF($B40="","",IF(R40="Ancien",0,Paramètres!$D$20))</f>
        <v/>
      </c>
      <c r="O40" s="19"/>
      <c r="P40" s="18" t="str">
        <f>IF($B40="","",N40-O40)</f>
        <v/>
      </c>
      <c r="Q40" s="21" t="str">
        <f>IF($B40="","",IF(AND(M40&lt;=0,P40&lt;=0),"Soldé","En retard"))</f>
        <v/>
      </c>
      <c r="R40" s="21"/>
    </row>
    <row r="41">
      <c r="A41" s="15"/>
      <c r="B41" s="15"/>
      <c r="C41" s="15"/>
      <c r="D41" s="8"/>
      <c r="E41" s="79"/>
      <c r="F41" s="15"/>
      <c r="G41" s="15"/>
      <c r="H41" s="18" t="str">
        <f>IF($B41="","",Paramètres!$C$20)</f>
        <v/>
      </c>
      <c r="I41" s="19"/>
      <c r="J41" s="19"/>
      <c r="K41" s="19"/>
      <c r="L41" s="18" t="str">
        <f>IF($B41="","",SUM(I41:K41))</f>
        <v/>
      </c>
      <c r="M41" s="18" t="str">
        <f>IF($B41="","",H41-L41)</f>
        <v/>
      </c>
      <c r="N41" s="18" t="str">
        <f>IF($B41="","",IF(R41="Ancien",0,Paramètres!$D$20))</f>
        <v/>
      </c>
      <c r="O41" s="19"/>
      <c r="P41" s="18" t="str">
        <f>IF($B41="","",N41-O41)</f>
        <v/>
      </c>
      <c r="Q41" s="8" t="str">
        <f>IF($B41="","",IF(AND(M41&lt;=0,P41&lt;=0),"Soldé","En retard"))</f>
        <v/>
      </c>
      <c r="R41" s="8"/>
    </row>
    <row r="42">
      <c r="A42" s="20"/>
      <c r="B42" s="20"/>
      <c r="C42" s="20"/>
      <c r="D42" s="21"/>
      <c r="E42" s="77"/>
      <c r="F42" s="20"/>
      <c r="G42" s="20"/>
      <c r="H42" s="18" t="str">
        <f>IF($B42="","",Paramètres!$C$20)</f>
        <v/>
      </c>
      <c r="I42" s="19"/>
      <c r="J42" s="19"/>
      <c r="K42" s="19"/>
      <c r="L42" s="18" t="str">
        <f>IF($B42="","",SUM(I42:K42))</f>
        <v/>
      </c>
      <c r="M42" s="18" t="str">
        <f>IF($B42="","",H42-L42)</f>
        <v/>
      </c>
      <c r="N42" s="18" t="str">
        <f>IF($B42="","",IF(R42="Ancien",0,Paramètres!$D$20))</f>
        <v/>
      </c>
      <c r="O42" s="19"/>
      <c r="P42" s="18" t="str">
        <f>IF($B42="","",N42-O42)</f>
        <v/>
      </c>
      <c r="Q42" s="21" t="str">
        <f>IF($B42="","",IF(AND(M42&lt;=0,P42&lt;=0),"Soldé","En retard"))</f>
        <v/>
      </c>
      <c r="R42" s="21"/>
    </row>
    <row r="43">
      <c r="A43" s="15"/>
      <c r="B43" s="15"/>
      <c r="C43" s="15"/>
      <c r="D43" s="8"/>
      <c r="E43" s="79"/>
      <c r="F43" s="15"/>
      <c r="G43" s="15"/>
      <c r="H43" s="18" t="str">
        <f>IF($B43="","",Paramètres!$C$20)</f>
        <v/>
      </c>
      <c r="I43" s="19"/>
      <c r="J43" s="19"/>
      <c r="K43" s="19"/>
      <c r="L43" s="18" t="str">
        <f>IF($B43="","",SUM(I43:K43))</f>
        <v/>
      </c>
      <c r="M43" s="18" t="str">
        <f>IF($B43="","",H43-L43)</f>
        <v/>
      </c>
      <c r="N43" s="18" t="str">
        <f>IF($B43="","",IF(R43="Ancien",0,Paramètres!$D$20))</f>
        <v/>
      </c>
      <c r="O43" s="19"/>
      <c r="P43" s="18" t="str">
        <f>IF($B43="","",N43-O43)</f>
        <v/>
      </c>
      <c r="Q43" s="8" t="str">
        <f>IF($B43="","",IF(AND(M43&lt;=0,P43&lt;=0),"Soldé","En retard"))</f>
        <v/>
      </c>
      <c r="R43" s="8"/>
    </row>
    <row r="44">
      <c r="A44" s="20"/>
      <c r="B44" s="20"/>
      <c r="C44" s="20"/>
      <c r="D44" s="21"/>
      <c r="E44" s="77"/>
      <c r="F44" s="20"/>
      <c r="G44" s="20"/>
      <c r="H44" s="18" t="str">
        <f>IF($B44="","",Paramètres!$C$20)</f>
        <v/>
      </c>
      <c r="I44" s="19"/>
      <c r="J44" s="19"/>
      <c r="K44" s="19"/>
      <c r="L44" s="18" t="str">
        <f>IF($B44="","",SUM(I44:K44))</f>
        <v/>
      </c>
      <c r="M44" s="18" t="str">
        <f>IF($B44="","",H44-L44)</f>
        <v/>
      </c>
      <c r="N44" s="18" t="str">
        <f>IF($B44="","",IF(R44="Ancien",0,Paramètres!$D$20))</f>
        <v/>
      </c>
      <c r="O44" s="19"/>
      <c r="P44" s="18" t="str">
        <f>IF($B44="","",N44-O44)</f>
        <v/>
      </c>
      <c r="Q44" s="21" t="str">
        <f>IF($B44="","",IF(AND(M44&lt;=0,P44&lt;=0),"Soldé","En retard"))</f>
        <v/>
      </c>
      <c r="R44" s="21"/>
    </row>
    <row r="45">
      <c r="A45" s="15"/>
      <c r="B45" s="15"/>
      <c r="C45" s="15"/>
      <c r="D45" s="8"/>
      <c r="E45" s="79"/>
      <c r="F45" s="15"/>
      <c r="G45" s="15"/>
      <c r="H45" s="18" t="str">
        <f>IF($B45="","",Paramètres!$C$20)</f>
        <v/>
      </c>
      <c r="I45" s="19"/>
      <c r="J45" s="19"/>
      <c r="K45" s="19"/>
      <c r="L45" s="18" t="str">
        <f>IF($B45="","",SUM(I45:K45))</f>
        <v/>
      </c>
      <c r="M45" s="18" t="str">
        <f>IF($B45="","",H45-L45)</f>
        <v/>
      </c>
      <c r="N45" s="18" t="str">
        <f>IF($B45="","",IF(R45="Ancien",0,Paramètres!$D$20))</f>
        <v/>
      </c>
      <c r="O45" s="19"/>
      <c r="P45" s="18" t="str">
        <f>IF($B45="","",N45-O45)</f>
        <v/>
      </c>
      <c r="Q45" s="8" t="str">
        <f>IF($B45="","",IF(AND(M45&lt;=0,P45&lt;=0),"Soldé","En retard"))</f>
        <v/>
      </c>
      <c r="R45" s="8"/>
    </row>
    <row r="46">
      <c r="A46" s="20"/>
      <c r="B46" s="20"/>
      <c r="C46" s="20"/>
      <c r="D46" s="21"/>
      <c r="E46" s="77"/>
      <c r="F46" s="20"/>
      <c r="G46" s="20"/>
      <c r="H46" s="18" t="str">
        <f>IF($B46="","",Paramètres!$C$20)</f>
        <v/>
      </c>
      <c r="I46" s="19"/>
      <c r="J46" s="19"/>
      <c r="K46" s="19"/>
      <c r="L46" s="18" t="str">
        <f>IF($B46="","",SUM(I46:K46))</f>
        <v/>
      </c>
      <c r="M46" s="18" t="str">
        <f>IF($B46="","",H46-L46)</f>
        <v/>
      </c>
      <c r="N46" s="18" t="str">
        <f>IF($B46="","",IF(R46="Ancien",0,Paramètres!$D$20))</f>
        <v/>
      </c>
      <c r="O46" s="19"/>
      <c r="P46" s="18" t="str">
        <f>IF($B46="","",N46-O46)</f>
        <v/>
      </c>
      <c r="Q46" s="21" t="str">
        <f>IF($B46="","",IF(AND(M46&lt;=0,P46&lt;=0),"Soldé","En retard"))</f>
        <v/>
      </c>
      <c r="R46" s="21"/>
    </row>
    <row r="47">
      <c r="A47" s="15"/>
      <c r="B47" s="15"/>
      <c r="C47" s="15"/>
      <c r="D47" s="8"/>
      <c r="E47" s="79"/>
      <c r="F47" s="15"/>
      <c r="G47" s="15"/>
      <c r="H47" s="18" t="str">
        <f>IF($B47="","",Paramètres!$C$20)</f>
        <v/>
      </c>
      <c r="I47" s="19"/>
      <c r="J47" s="19"/>
      <c r="K47" s="19"/>
      <c r="L47" s="18" t="str">
        <f>IF($B47="","",SUM(I47:K47))</f>
        <v/>
      </c>
      <c r="M47" s="18" t="str">
        <f>IF($B47="","",H47-L47)</f>
        <v/>
      </c>
      <c r="N47" s="18" t="str">
        <f>IF($B47="","",IF(R47="Ancien",0,Paramètres!$D$20))</f>
        <v/>
      </c>
      <c r="O47" s="19"/>
      <c r="P47" s="18" t="str">
        <f>IF($B47="","",N47-O47)</f>
        <v/>
      </c>
      <c r="Q47" s="8" t="str">
        <f>IF($B47="","",IF(AND(M47&lt;=0,P47&lt;=0),"Soldé","En retard"))</f>
        <v/>
      </c>
      <c r="R47" s="8"/>
    </row>
    <row r="48">
      <c r="A48" s="20"/>
      <c r="B48" s="20"/>
      <c r="C48" s="20"/>
      <c r="D48" s="21"/>
      <c r="E48" s="77"/>
      <c r="F48" s="20"/>
      <c r="G48" s="20"/>
      <c r="H48" s="18" t="str">
        <f>IF($B48="","",Paramètres!$C$20)</f>
        <v/>
      </c>
      <c r="I48" s="19"/>
      <c r="J48" s="19"/>
      <c r="K48" s="19"/>
      <c r="L48" s="18" t="str">
        <f>IF($B48="","",SUM(I48:K48))</f>
        <v/>
      </c>
      <c r="M48" s="18" t="str">
        <f>IF($B48="","",H48-L48)</f>
        <v/>
      </c>
      <c r="N48" s="18" t="str">
        <f>IF($B48="","",IF(R48="Ancien",0,Paramètres!$D$20))</f>
        <v/>
      </c>
      <c r="O48" s="19"/>
      <c r="P48" s="18" t="str">
        <f>IF($B48="","",N48-O48)</f>
        <v/>
      </c>
      <c r="Q48" s="21" t="str">
        <f>IF($B48="","",IF(AND(M48&lt;=0,P48&lt;=0),"Soldé","En retard"))</f>
        <v/>
      </c>
      <c r="R48" s="21"/>
    </row>
    <row r="49">
      <c r="A49" s="15"/>
      <c r="B49" s="15"/>
      <c r="C49" s="15"/>
      <c r="D49" s="8"/>
      <c r="E49" s="79"/>
      <c r="F49" s="15"/>
      <c r="G49" s="15"/>
      <c r="H49" s="18" t="str">
        <f>IF($B49="","",Paramètres!$C$20)</f>
        <v/>
      </c>
      <c r="I49" s="19"/>
      <c r="J49" s="19"/>
      <c r="K49" s="19"/>
      <c r="L49" s="18" t="str">
        <f>IF($B49="","",SUM(I49:K49))</f>
        <v/>
      </c>
      <c r="M49" s="18" t="str">
        <f>IF($B49="","",H49-L49)</f>
        <v/>
      </c>
      <c r="N49" s="18" t="str">
        <f>IF($B49="","",IF(R49="Ancien",0,Paramètres!$D$20))</f>
        <v/>
      </c>
      <c r="O49" s="19"/>
      <c r="P49" s="18" t="str">
        <f>IF($B49="","",N49-O49)</f>
        <v/>
      </c>
      <c r="Q49" s="8" t="str">
        <f>IF($B49="","",IF(AND(M49&lt;=0,P49&lt;=0),"Soldé","En retard"))</f>
        <v/>
      </c>
      <c r="R49" s="8"/>
    </row>
    <row r="50">
      <c r="A50" s="20"/>
      <c r="B50" s="20"/>
      <c r="C50" s="20"/>
      <c r="D50" s="21"/>
      <c r="E50" s="77"/>
      <c r="F50" s="20"/>
      <c r="G50" s="20"/>
      <c r="H50" s="18" t="str">
        <f>IF($B50="","",Paramètres!$C$20)</f>
        <v/>
      </c>
      <c r="I50" s="19"/>
      <c r="J50" s="19"/>
      <c r="K50" s="19"/>
      <c r="L50" s="18" t="str">
        <f>IF($B50="","",SUM(I50:K50))</f>
        <v/>
      </c>
      <c r="M50" s="18" t="str">
        <f>IF($B50="","",H50-L50)</f>
        <v/>
      </c>
      <c r="N50" s="18" t="str">
        <f>IF($B50="","",IF(R50="Ancien",0,Paramètres!$D$20))</f>
        <v/>
      </c>
      <c r="O50" s="19"/>
      <c r="P50" s="18" t="str">
        <f>IF($B50="","",N50-O50)</f>
        <v/>
      </c>
      <c r="Q50" s="21" t="str">
        <f>IF($B50="","",IF(AND(M50&lt;=0,P50&lt;=0),"Soldé","En retard"))</f>
        <v/>
      </c>
      <c r="R50" s="21"/>
    </row>
    <row r="51">
      <c r="A51" s="15"/>
      <c r="B51" s="15"/>
      <c r="C51" s="15"/>
      <c r="D51" s="8"/>
      <c r="E51" s="79"/>
      <c r="F51" s="15"/>
      <c r="G51" s="15"/>
      <c r="H51" s="18" t="str">
        <f>IF($B51="","",Paramètres!$C$20)</f>
        <v/>
      </c>
      <c r="I51" s="19"/>
      <c r="J51" s="19"/>
      <c r="K51" s="19"/>
      <c r="L51" s="18" t="str">
        <f>IF($B51="","",SUM(I51:K51))</f>
        <v/>
      </c>
      <c r="M51" s="18" t="str">
        <f>IF($B51="","",H51-L51)</f>
        <v/>
      </c>
      <c r="N51" s="18" t="str">
        <f>IF($B51="","",IF(R51="Ancien",0,Paramètres!$D$20))</f>
        <v/>
      </c>
      <c r="O51" s="19"/>
      <c r="P51" s="18" t="str">
        <f>IF($B51="","",N51-O51)</f>
        <v/>
      </c>
      <c r="Q51" s="8" t="str">
        <f>IF($B51="","",IF(AND(M51&lt;=0,P51&lt;=0),"Soldé","En retard"))</f>
        <v/>
      </c>
      <c r="R51" s="8"/>
    </row>
    <row r="52">
      <c r="A52" s="20"/>
      <c r="B52" s="20"/>
      <c r="C52" s="20"/>
      <c r="D52" s="21"/>
      <c r="E52" s="77"/>
      <c r="F52" s="20"/>
      <c r="G52" s="20"/>
      <c r="H52" s="18" t="str">
        <f>IF($B52="","",Paramètres!$C$20)</f>
        <v/>
      </c>
      <c r="I52" s="19"/>
      <c r="J52" s="19"/>
      <c r="K52" s="19"/>
      <c r="L52" s="18" t="str">
        <f>IF($B52="","",SUM(I52:K52))</f>
        <v/>
      </c>
      <c r="M52" s="18" t="str">
        <f>IF($B52="","",H52-L52)</f>
        <v/>
      </c>
      <c r="N52" s="18" t="str">
        <f>IF($B52="","",IF(R52="Ancien",0,Paramètres!$D$20))</f>
        <v/>
      </c>
      <c r="O52" s="19"/>
      <c r="P52" s="18" t="str">
        <f>IF($B52="","",N52-O52)</f>
        <v/>
      </c>
      <c r="Q52" s="21" t="str">
        <f>IF($B52="","",IF(AND(M52&lt;=0,P52&lt;=0),"Soldé","En retard"))</f>
        <v/>
      </c>
      <c r="R52" s="21"/>
    </row>
    <row r="53">
      <c r="A53" s="15"/>
      <c r="B53" s="15"/>
      <c r="C53" s="15"/>
      <c r="D53" s="8"/>
      <c r="E53" s="79"/>
      <c r="F53" s="15"/>
      <c r="G53" s="15"/>
      <c r="H53" s="18" t="str">
        <f>IF($B53="","",Paramètres!$C$20)</f>
        <v/>
      </c>
      <c r="I53" s="19"/>
      <c r="J53" s="19"/>
      <c r="K53" s="19"/>
      <c r="L53" s="18" t="str">
        <f>IF($B53="","",SUM(I53:K53))</f>
        <v/>
      </c>
      <c r="M53" s="18" t="str">
        <f>IF($B53="","",H53-L53)</f>
        <v/>
      </c>
      <c r="N53" s="18" t="str">
        <f>IF($B53="","",IF(R53="Ancien",0,Paramètres!$D$20))</f>
        <v/>
      </c>
      <c r="O53" s="19"/>
      <c r="P53" s="18" t="str">
        <f>IF($B53="","",N53-O53)</f>
        <v/>
      </c>
      <c r="Q53" s="8" t="str">
        <f>IF($B53="","",IF(AND(M53&lt;=0,P53&lt;=0),"Soldé","En retard"))</f>
        <v/>
      </c>
      <c r="R53" s="8"/>
    </row>
    <row r="54">
      <c r="A54" s="20"/>
      <c r="B54" s="20"/>
      <c r="C54" s="20"/>
      <c r="D54" s="21"/>
      <c r="E54" s="77"/>
      <c r="F54" s="20"/>
      <c r="G54" s="20"/>
      <c r="H54" s="18" t="str">
        <f>IF($B54="","",Paramètres!$C$20)</f>
        <v/>
      </c>
      <c r="I54" s="19"/>
      <c r="J54" s="19"/>
      <c r="K54" s="19"/>
      <c r="L54" s="18" t="str">
        <f>IF($B54="","",SUM(I54:K54))</f>
        <v/>
      </c>
      <c r="M54" s="18" t="str">
        <f>IF($B54="","",H54-L54)</f>
        <v/>
      </c>
      <c r="N54" s="18" t="str">
        <f>IF($B54="","",IF(R54="Ancien",0,Paramètres!$D$20))</f>
        <v/>
      </c>
      <c r="O54" s="19"/>
      <c r="P54" s="18" t="str">
        <f>IF($B54="","",N54-O54)</f>
        <v/>
      </c>
      <c r="Q54" s="21" t="str">
        <f>IF($B54="","",IF(AND(M54&lt;=0,P54&lt;=0),"Soldé","En retard"))</f>
        <v/>
      </c>
      <c r="R54" s="21"/>
    </row>
    <row r="55">
      <c r="A55" s="15"/>
      <c r="B55" s="15"/>
      <c r="C55" s="15"/>
      <c r="D55" s="8"/>
      <c r="E55" s="79"/>
      <c r="F55" s="15"/>
      <c r="G55" s="15"/>
      <c r="H55" s="18" t="str">
        <f>IF($B55="","",Paramètres!$C$20)</f>
        <v/>
      </c>
      <c r="I55" s="19"/>
      <c r="J55" s="19"/>
      <c r="K55" s="19"/>
      <c r="L55" s="18" t="str">
        <f>IF($B55="","",SUM(I55:K55))</f>
        <v/>
      </c>
      <c r="M55" s="18" t="str">
        <f>IF($B55="","",H55-L55)</f>
        <v/>
      </c>
      <c r="N55" s="18" t="str">
        <f>IF($B55="","",IF(R55="Ancien",0,Paramètres!$D$20))</f>
        <v/>
      </c>
      <c r="O55" s="19"/>
      <c r="P55" s="18" t="str">
        <f>IF($B55="","",N55-O55)</f>
        <v/>
      </c>
      <c r="Q55" s="8" t="str">
        <f>IF($B55="","",IF(AND(M55&lt;=0,P55&lt;=0),"Soldé","En retard"))</f>
        <v/>
      </c>
      <c r="R55" s="8"/>
    </row>
    <row r="56">
      <c r="A56" s="20"/>
      <c r="B56" s="20"/>
      <c r="C56" s="20"/>
      <c r="D56" s="21"/>
      <c r="E56" s="77"/>
      <c r="F56" s="20"/>
      <c r="G56" s="20"/>
      <c r="H56" s="18" t="str">
        <f>IF($B56="","",Paramètres!$C$20)</f>
        <v/>
      </c>
      <c r="I56" s="19"/>
      <c r="J56" s="19"/>
      <c r="K56" s="19"/>
      <c r="L56" s="18" t="str">
        <f>IF($B56="","",SUM(I56:K56))</f>
        <v/>
      </c>
      <c r="M56" s="18" t="str">
        <f>IF($B56="","",H56-L56)</f>
        <v/>
      </c>
      <c r="N56" s="18" t="str">
        <f>IF($B56="","",IF(R56="Ancien",0,Paramètres!$D$20))</f>
        <v/>
      </c>
      <c r="O56" s="19"/>
      <c r="P56" s="18" t="str">
        <f>IF($B56="","",N56-O56)</f>
        <v/>
      </c>
      <c r="Q56" s="21" t="str">
        <f>IF($B56="","",IF(AND(M56&lt;=0,P56&lt;=0),"Soldé","En retard"))</f>
        <v/>
      </c>
      <c r="R56" s="21"/>
    </row>
    <row r="57">
      <c r="A57" s="15"/>
      <c r="B57" s="15"/>
      <c r="C57" s="15"/>
      <c r="D57" s="8"/>
      <c r="E57" s="79"/>
      <c r="F57" s="15"/>
      <c r="G57" s="15"/>
      <c r="H57" s="18" t="str">
        <f>IF($B57="","",Paramètres!$C$20)</f>
        <v/>
      </c>
      <c r="I57" s="19"/>
      <c r="J57" s="19"/>
      <c r="K57" s="19"/>
      <c r="L57" s="18" t="str">
        <f>IF($B57="","",SUM(I57:K57))</f>
        <v/>
      </c>
      <c r="M57" s="18" t="str">
        <f>IF($B57="","",H57-L57)</f>
        <v/>
      </c>
      <c r="N57" s="18" t="str">
        <f>IF($B57="","",IF(R57="Ancien",0,Paramètres!$D$20))</f>
        <v/>
      </c>
      <c r="O57" s="19"/>
      <c r="P57" s="18" t="str">
        <f>IF($B57="","",N57-O57)</f>
        <v/>
      </c>
      <c r="Q57" s="8" t="str">
        <f>IF($B57="","",IF(AND(M57&lt;=0,P57&lt;=0),"Soldé","En retard"))</f>
        <v/>
      </c>
      <c r="R57" s="8"/>
    </row>
    <row r="58">
      <c r="A58" s="20"/>
      <c r="B58" s="20"/>
      <c r="C58" s="20"/>
      <c r="D58" s="21"/>
      <c r="E58" s="77"/>
      <c r="F58" s="20"/>
      <c r="G58" s="20"/>
      <c r="H58" s="18" t="str">
        <f>IF($B58="","",Paramètres!$C$20)</f>
        <v/>
      </c>
      <c r="I58" s="19"/>
      <c r="J58" s="19"/>
      <c r="K58" s="19"/>
      <c r="L58" s="18" t="str">
        <f>IF($B58="","",SUM(I58:K58))</f>
        <v/>
      </c>
      <c r="M58" s="18" t="str">
        <f>IF($B58="","",H58-L58)</f>
        <v/>
      </c>
      <c r="N58" s="18" t="str">
        <f>IF($B58="","",IF(R58="Ancien",0,Paramètres!$D$20))</f>
        <v/>
      </c>
      <c r="O58" s="19"/>
      <c r="P58" s="18" t="str">
        <f>IF($B58="","",N58-O58)</f>
        <v/>
      </c>
      <c r="Q58" s="21" t="str">
        <f>IF($B58="","",IF(AND(M58&lt;=0,P58&lt;=0),"Soldé","En retard"))</f>
        <v/>
      </c>
      <c r="R58" s="21"/>
    </row>
    <row r="59">
      <c r="A59" s="15"/>
      <c r="B59" s="15"/>
      <c r="C59" s="15"/>
      <c r="D59" s="8"/>
      <c r="E59" s="79"/>
      <c r="F59" s="15"/>
      <c r="G59" s="15"/>
      <c r="H59" s="18" t="str">
        <f>IF($B59="","",Paramètres!$C$20)</f>
        <v/>
      </c>
      <c r="I59" s="19"/>
      <c r="J59" s="19"/>
      <c r="K59" s="19"/>
      <c r="L59" s="18" t="str">
        <f>IF($B59="","",SUM(I59:K59))</f>
        <v/>
      </c>
      <c r="M59" s="18" t="str">
        <f>IF($B59="","",H59-L59)</f>
        <v/>
      </c>
      <c r="N59" s="18" t="str">
        <f>IF($B59="","",IF(R59="Ancien",0,Paramètres!$D$20))</f>
        <v/>
      </c>
      <c r="O59" s="19"/>
      <c r="P59" s="18" t="str">
        <f>IF($B59="","",N59-O59)</f>
        <v/>
      </c>
      <c r="Q59" s="8" t="str">
        <f>IF($B59="","",IF(AND(M59&lt;=0,P59&lt;=0),"Soldé","En retard"))</f>
        <v/>
      </c>
      <c r="R59" s="8"/>
    </row>
    <row r="60">
      <c r="A60" s="20"/>
      <c r="B60" s="20"/>
      <c r="C60" s="20"/>
      <c r="D60" s="21"/>
      <c r="E60" s="77"/>
      <c r="F60" s="20"/>
      <c r="G60" s="20"/>
      <c r="H60" s="18" t="str">
        <f>IF($B60="","",Paramètres!$C$20)</f>
        <v/>
      </c>
      <c r="I60" s="19"/>
      <c r="J60" s="19"/>
      <c r="K60" s="19"/>
      <c r="L60" s="18" t="str">
        <f>IF($B60="","",SUM(I60:K60))</f>
        <v/>
      </c>
      <c r="M60" s="18" t="str">
        <f>IF($B60="","",H60-L60)</f>
        <v/>
      </c>
      <c r="N60" s="18" t="str">
        <f>IF($B60="","",IF(R60="Ancien",0,Paramètres!$D$20))</f>
        <v/>
      </c>
      <c r="O60" s="19"/>
      <c r="P60" s="18" t="str">
        <f>IF($B60="","",N60-O60)</f>
        <v/>
      </c>
      <c r="Q60" s="21" t="str">
        <f>IF($B60="","",IF(AND(M60&lt;=0,P60&lt;=0),"Soldé","En retard"))</f>
        <v/>
      </c>
      <c r="R60" s="21"/>
    </row>
    <row r="61">
      <c r="A61" s="15"/>
      <c r="B61" s="15"/>
      <c r="C61" s="15"/>
      <c r="D61" s="8"/>
      <c r="E61" s="79"/>
      <c r="F61" s="15"/>
      <c r="G61" s="15"/>
      <c r="H61" s="18" t="str">
        <f>IF($B61="","",Paramètres!$C$20)</f>
        <v/>
      </c>
      <c r="I61" s="19"/>
      <c r="J61" s="19"/>
      <c r="K61" s="19"/>
      <c r="L61" s="18" t="str">
        <f>IF($B61="","",SUM(I61:K61))</f>
        <v/>
      </c>
      <c r="M61" s="18" t="str">
        <f>IF($B61="","",H61-L61)</f>
        <v/>
      </c>
      <c r="N61" s="18" t="str">
        <f>IF($B61="","",IF(R61="Ancien",0,Paramètres!$D$20))</f>
        <v/>
      </c>
      <c r="O61" s="19"/>
      <c r="P61" s="18" t="str">
        <f>IF($B61="","",N61-O61)</f>
        <v/>
      </c>
      <c r="Q61" s="8" t="str">
        <f>IF($B61="","",IF(AND(M61&lt;=0,P61&lt;=0),"Soldé","En retard"))</f>
        <v/>
      </c>
      <c r="R61" s="8"/>
    </row>
    <row r="62">
      <c r="A62" s="20"/>
      <c r="B62" s="20"/>
      <c r="C62" s="20"/>
      <c r="D62" s="21"/>
      <c r="E62" s="77"/>
      <c r="F62" s="20"/>
      <c r="G62" s="20"/>
      <c r="H62" s="18" t="str">
        <f>IF($B62="","",Paramètres!$C$20)</f>
        <v/>
      </c>
      <c r="I62" s="19"/>
      <c r="J62" s="19"/>
      <c r="K62" s="19"/>
      <c r="L62" s="18" t="str">
        <f>IF($B62="","",SUM(I62:K62))</f>
        <v/>
      </c>
      <c r="M62" s="18" t="str">
        <f>IF($B62="","",H62-L62)</f>
        <v/>
      </c>
      <c r="N62" s="18" t="str">
        <f>IF($B62="","",IF(R62="Ancien",0,Paramètres!$D$20))</f>
        <v/>
      </c>
      <c r="O62" s="19"/>
      <c r="P62" s="18" t="str">
        <f>IF($B62="","",N62-O62)</f>
        <v/>
      </c>
      <c r="Q62" s="21" t="str">
        <f>IF($B62="","",IF(AND(M62&lt;=0,P62&lt;=0),"Soldé","En retard"))</f>
        <v/>
      </c>
      <c r="R62" s="21"/>
    </row>
    <row r="63">
      <c r="A63" s="15"/>
      <c r="B63" s="15"/>
      <c r="C63" s="15"/>
      <c r="D63" s="8"/>
      <c r="E63" s="79"/>
      <c r="F63" s="15"/>
      <c r="G63" s="15"/>
      <c r="H63" s="18" t="str">
        <f>IF($B63="","",Paramètres!$C$20)</f>
        <v/>
      </c>
      <c r="I63" s="19"/>
      <c r="J63" s="19"/>
      <c r="K63" s="19"/>
      <c r="L63" s="18" t="str">
        <f>IF($B63="","",SUM(I63:K63))</f>
        <v/>
      </c>
      <c r="M63" s="18" t="str">
        <f>IF($B63="","",H63-L63)</f>
        <v/>
      </c>
      <c r="N63" s="18" t="str">
        <f>IF($B63="","",IF(R63="Ancien",0,Paramètres!$D$20))</f>
        <v/>
      </c>
      <c r="O63" s="19"/>
      <c r="P63" s="18" t="str">
        <f>IF($B63="","",N63-O63)</f>
        <v/>
      </c>
      <c r="Q63" s="8" t="str">
        <f>IF($B63="","",IF(AND(M63&lt;=0,P63&lt;=0),"Soldé","En retard"))</f>
        <v/>
      </c>
      <c r="R63" s="8"/>
    </row>
    <row r="64">
      <c r="A64" s="20"/>
      <c r="B64" s="20"/>
      <c r="C64" s="20"/>
      <c r="D64" s="21"/>
      <c r="E64" s="77"/>
      <c r="F64" s="20"/>
      <c r="G64" s="20"/>
      <c r="H64" s="18" t="str">
        <f>IF($B64="","",Paramètres!$C$20)</f>
        <v/>
      </c>
      <c r="I64" s="19"/>
      <c r="J64" s="19"/>
      <c r="K64" s="19"/>
      <c r="L64" s="18" t="str">
        <f>IF($B64="","",SUM(I64:K64))</f>
        <v/>
      </c>
      <c r="M64" s="18" t="str">
        <f>IF($B64="","",H64-L64)</f>
        <v/>
      </c>
      <c r="N64" s="18" t="str">
        <f>IF($B64="","",IF(R64="Ancien",0,Paramètres!$D$20))</f>
        <v/>
      </c>
      <c r="O64" s="19"/>
      <c r="P64" s="18" t="str">
        <f>IF($B64="","",N64-O64)</f>
        <v/>
      </c>
      <c r="Q64" s="21" t="str">
        <f>IF($B64="","",IF(AND(M64&lt;=0,P64&lt;=0),"Soldé","En retard"))</f>
        <v/>
      </c>
      <c r="R64" s="21"/>
    </row>
    <row r="65">
      <c r="A65" s="15"/>
      <c r="B65" s="15"/>
      <c r="C65" s="15"/>
      <c r="D65" s="8"/>
      <c r="E65" s="79"/>
      <c r="F65" s="15"/>
      <c r="G65" s="15"/>
      <c r="H65" s="18" t="str">
        <f>IF($B65="","",Paramètres!$C$20)</f>
        <v/>
      </c>
      <c r="I65" s="19"/>
      <c r="J65" s="19"/>
      <c r="K65" s="19"/>
      <c r="L65" s="18" t="str">
        <f>IF($B65="","",SUM(I65:K65))</f>
        <v/>
      </c>
      <c r="M65" s="18" t="str">
        <f>IF($B65="","",H65-L65)</f>
        <v/>
      </c>
      <c r="N65" s="18" t="str">
        <f>IF($B65="","",IF(R65="Ancien",0,Paramètres!$D$20))</f>
        <v/>
      </c>
      <c r="O65" s="19"/>
      <c r="P65" s="18" t="str">
        <f>IF($B65="","",N65-O65)</f>
        <v/>
      </c>
      <c r="Q65" s="8" t="str">
        <f>IF($B65="","",IF(AND(M65&lt;=0,P65&lt;=0),"Soldé","En retard"))</f>
        <v/>
      </c>
      <c r="R65" s="8"/>
    </row>
    <row r="66">
      <c r="A66" s="20"/>
      <c r="B66" s="20"/>
      <c r="C66" s="20"/>
      <c r="D66" s="21"/>
      <c r="E66" s="77"/>
      <c r="F66" s="20"/>
      <c r="G66" s="20"/>
      <c r="H66" s="18" t="str">
        <f>IF($B66="","",Paramètres!$C$20)</f>
        <v/>
      </c>
      <c r="I66" s="19"/>
      <c r="J66" s="19"/>
      <c r="K66" s="19"/>
      <c r="L66" s="18" t="str">
        <f>IF($B66="","",SUM(I66:K66))</f>
        <v/>
      </c>
      <c r="M66" s="18" t="str">
        <f>IF($B66="","",H66-L66)</f>
        <v/>
      </c>
      <c r="N66" s="18" t="str">
        <f>IF($B66="","",IF(R66="Ancien",0,Paramètres!$D$20))</f>
        <v/>
      </c>
      <c r="O66" s="19"/>
      <c r="P66" s="18" t="str">
        <f>IF($B66="","",N66-O66)</f>
        <v/>
      </c>
      <c r="Q66" s="21" t="str">
        <f>IF($B66="","",IF(AND(M66&lt;=0,P66&lt;=0),"Soldé","En retard"))</f>
        <v/>
      </c>
      <c r="R66" s="21"/>
    </row>
    <row r="67">
      <c r="A67" s="15"/>
      <c r="B67" s="15"/>
      <c r="C67" s="15"/>
      <c r="D67" s="8"/>
      <c r="E67" s="79"/>
      <c r="F67" s="15"/>
      <c r="G67" s="15"/>
      <c r="H67" s="18" t="str">
        <f>IF($B67="","",Paramètres!$C$20)</f>
        <v/>
      </c>
      <c r="I67" s="19"/>
      <c r="J67" s="19"/>
      <c r="K67" s="19"/>
      <c r="L67" s="18" t="str">
        <f>IF($B67="","",SUM(I67:K67))</f>
        <v/>
      </c>
      <c r="M67" s="18" t="str">
        <f>IF($B67="","",H67-L67)</f>
        <v/>
      </c>
      <c r="N67" s="18" t="str">
        <f>IF($B67="","",IF(R67="Ancien",0,Paramètres!$D$20))</f>
        <v/>
      </c>
      <c r="O67" s="19"/>
      <c r="P67" s="18" t="str">
        <f>IF($B67="","",N67-O67)</f>
        <v/>
      </c>
      <c r="Q67" s="8" t="str">
        <f>IF($B67="","",IF(AND(M67&lt;=0,P67&lt;=0),"Soldé","En retard"))</f>
        <v/>
      </c>
      <c r="R67" s="8"/>
    </row>
    <row r="68">
      <c r="A68" s="20"/>
      <c r="B68" s="20"/>
      <c r="C68" s="20"/>
      <c r="D68" s="21"/>
      <c r="E68" s="77"/>
      <c r="F68" s="20"/>
      <c r="G68" s="20"/>
      <c r="H68" s="18" t="str">
        <f>IF($B68="","",Paramètres!$C$20)</f>
        <v/>
      </c>
      <c r="I68" s="19"/>
      <c r="J68" s="19"/>
      <c r="K68" s="19"/>
      <c r="L68" s="18" t="str">
        <f>IF($B68="","",SUM(I68:K68))</f>
        <v/>
      </c>
      <c r="M68" s="18" t="str">
        <f>IF($B68="","",H68-L68)</f>
        <v/>
      </c>
      <c r="N68" s="18" t="str">
        <f>IF($B68="","",IF(R68="Ancien",0,Paramètres!$D$20))</f>
        <v/>
      </c>
      <c r="O68" s="19"/>
      <c r="P68" s="18" t="str">
        <f>IF($B68="","",N68-O68)</f>
        <v/>
      </c>
      <c r="Q68" s="21" t="str">
        <f>IF($B68="","",IF(AND(M68&lt;=0,P68&lt;=0),"Soldé","En retard"))</f>
        <v/>
      </c>
      <c r="R68" s="21"/>
    </row>
    <row r="69">
      <c r="A69" s="15"/>
      <c r="B69" s="15"/>
      <c r="C69" s="15"/>
      <c r="D69" s="8"/>
      <c r="E69" s="79"/>
      <c r="F69" s="15"/>
      <c r="G69" s="15"/>
      <c r="H69" s="18" t="str">
        <f>IF($B69="","",Paramètres!$C$20)</f>
        <v/>
      </c>
      <c r="I69" s="19"/>
      <c r="J69" s="19"/>
      <c r="K69" s="19"/>
      <c r="L69" s="18" t="str">
        <f>IF($B69="","",SUM(I69:K69))</f>
        <v/>
      </c>
      <c r="M69" s="18" t="str">
        <f>IF($B69="","",H69-L69)</f>
        <v/>
      </c>
      <c r="N69" s="18" t="str">
        <f>IF($B69="","",IF(R69="Ancien",0,Paramètres!$D$20))</f>
        <v/>
      </c>
      <c r="O69" s="19"/>
      <c r="P69" s="18" t="str">
        <f>IF($B69="","",N69-O69)</f>
        <v/>
      </c>
      <c r="Q69" s="8" t="str">
        <f>IF($B69="","",IF(AND(M69&lt;=0,P69&lt;=0),"Soldé","En retard"))</f>
        <v/>
      </c>
      <c r="R69" s="8"/>
    </row>
    <row r="70">
      <c r="A70" s="20"/>
      <c r="B70" s="20"/>
      <c r="C70" s="20"/>
      <c r="D70" s="21"/>
      <c r="E70" s="77"/>
      <c r="F70" s="20"/>
      <c r="G70" s="20"/>
      <c r="H70" s="18" t="str">
        <f>IF($B70="","",Paramètres!$C$20)</f>
        <v/>
      </c>
      <c r="I70" s="19"/>
      <c r="J70" s="19"/>
      <c r="K70" s="19"/>
      <c r="L70" s="18" t="str">
        <f>IF($B70="","",SUM(I70:K70))</f>
        <v/>
      </c>
      <c r="M70" s="18" t="str">
        <f>IF($B70="","",H70-L70)</f>
        <v/>
      </c>
      <c r="N70" s="18" t="str">
        <f>IF($B70="","",IF(R70="Ancien",0,Paramètres!$D$20))</f>
        <v/>
      </c>
      <c r="O70" s="19"/>
      <c r="P70" s="18" t="str">
        <f>IF($B70="","",N70-O70)</f>
        <v/>
      </c>
      <c r="Q70" s="21" t="str">
        <f>IF($B70="","",IF(AND(M70&lt;=0,P70&lt;=0),"Soldé","En retard"))</f>
        <v/>
      </c>
      <c r="R70" s="21"/>
    </row>
    <row r="71">
      <c r="A71" s="15"/>
      <c r="B71" s="15"/>
      <c r="C71" s="15"/>
      <c r="D71" s="8"/>
      <c r="E71" s="79"/>
      <c r="F71" s="15"/>
      <c r="G71" s="15"/>
      <c r="H71" s="18" t="str">
        <f>IF($B71="","",Paramètres!$C$20)</f>
        <v/>
      </c>
      <c r="I71" s="19"/>
      <c r="J71" s="19"/>
      <c r="K71" s="19"/>
      <c r="L71" s="18" t="str">
        <f>IF($B71="","",SUM(I71:K71))</f>
        <v/>
      </c>
      <c r="M71" s="18" t="str">
        <f>IF($B71="","",H71-L71)</f>
        <v/>
      </c>
      <c r="N71" s="18" t="str">
        <f>IF($B71="","",IF(R71="Ancien",0,Paramètres!$D$20))</f>
        <v/>
      </c>
      <c r="O71" s="19"/>
      <c r="P71" s="18" t="str">
        <f>IF($B71="","",N71-O71)</f>
        <v/>
      </c>
      <c r="Q71" s="8" t="str">
        <f>IF($B71="","",IF(AND(M71&lt;=0,P71&lt;=0),"Soldé","En retard"))</f>
        <v/>
      </c>
      <c r="R71" s="8"/>
    </row>
    <row r="72">
      <c r="A72" s="20"/>
      <c r="B72" s="20"/>
      <c r="C72" s="20"/>
      <c r="D72" s="21"/>
      <c r="E72" s="77"/>
      <c r="F72" s="20"/>
      <c r="G72" s="20"/>
      <c r="H72" s="18" t="str">
        <f>IF($B72="","",Paramètres!$C$20)</f>
        <v/>
      </c>
      <c r="I72" s="19"/>
      <c r="J72" s="19"/>
      <c r="K72" s="19"/>
      <c r="L72" s="18" t="str">
        <f>IF($B72="","",SUM(I72:K72))</f>
        <v/>
      </c>
      <c r="M72" s="18" t="str">
        <f>IF($B72="","",H72-L72)</f>
        <v/>
      </c>
      <c r="N72" s="18" t="str">
        <f>IF($B72="","",IF(R72="Ancien",0,Paramètres!$D$20))</f>
        <v/>
      </c>
      <c r="O72" s="19"/>
      <c r="P72" s="18" t="str">
        <f>IF($B72="","",N72-O72)</f>
        <v/>
      </c>
      <c r="Q72" s="21" t="str">
        <f>IF($B72="","",IF(AND(M72&lt;=0,P72&lt;=0),"Soldé","En retard"))</f>
        <v/>
      </c>
      <c r="R72" s="21"/>
    </row>
    <row r="73">
      <c r="A73" s="15"/>
      <c r="B73" s="15"/>
      <c r="C73" s="15"/>
      <c r="D73" s="8"/>
      <c r="E73" s="79"/>
      <c r="F73" s="15"/>
      <c r="G73" s="15"/>
      <c r="H73" s="18" t="str">
        <f>IF($B73="","",Paramètres!$C$20)</f>
        <v/>
      </c>
      <c r="I73" s="19"/>
      <c r="J73" s="19"/>
      <c r="K73" s="19"/>
      <c r="L73" s="18" t="str">
        <f>IF($B73="","",SUM(I73:K73))</f>
        <v/>
      </c>
      <c r="M73" s="18" t="str">
        <f>IF($B73="","",H73-L73)</f>
        <v/>
      </c>
      <c r="N73" s="18" t="str">
        <f>IF($B73="","",IF(R73="Ancien",0,Paramètres!$D$20))</f>
        <v/>
      </c>
      <c r="O73" s="19"/>
      <c r="P73" s="18" t="str">
        <f>IF($B73="","",N73-O73)</f>
        <v/>
      </c>
      <c r="Q73" s="8" t="str">
        <f>IF($B73="","",IF(AND(M73&lt;=0,P73&lt;=0),"Soldé","En retard"))</f>
        <v/>
      </c>
      <c r="R73" s="8"/>
    </row>
    <row r="74">
      <c r="A74" s="20"/>
      <c r="B74" s="20"/>
      <c r="C74" s="20"/>
      <c r="D74" s="21"/>
      <c r="E74" s="77"/>
      <c r="F74" s="20"/>
      <c r="G74" s="20"/>
      <c r="H74" s="18" t="str">
        <f>IF($B74="","",Paramètres!$C$20)</f>
        <v/>
      </c>
      <c r="I74" s="19"/>
      <c r="J74" s="19"/>
      <c r="K74" s="19"/>
      <c r="L74" s="18" t="str">
        <f>IF($B74="","",SUM(I74:K74))</f>
        <v/>
      </c>
      <c r="M74" s="18" t="str">
        <f>IF($B74="","",H74-L74)</f>
        <v/>
      </c>
      <c r="N74" s="18" t="str">
        <f>IF($B74="","",IF(R74="Ancien",0,Paramètres!$D$20))</f>
        <v/>
      </c>
      <c r="O74" s="19"/>
      <c r="P74" s="18" t="str">
        <f>IF($B74="","",N74-O74)</f>
        <v/>
      </c>
      <c r="Q74" s="21" t="str">
        <f>IF($B74="","",IF(AND(M74&lt;=0,P74&lt;=0),"Soldé","En retard"))</f>
        <v/>
      </c>
      <c r="R74" s="21"/>
    </row>
    <row r="75">
      <c r="A75" s="15"/>
      <c r="B75" s="15"/>
      <c r="C75" s="15"/>
      <c r="D75" s="8"/>
      <c r="E75" s="79"/>
      <c r="F75" s="15"/>
      <c r="G75" s="15"/>
      <c r="H75" s="18" t="str">
        <f>IF($B75="","",Paramètres!$C$20)</f>
        <v/>
      </c>
      <c r="I75" s="19"/>
      <c r="J75" s="19"/>
      <c r="K75" s="19"/>
      <c r="L75" s="18" t="str">
        <f>IF($B75="","",SUM(I75:K75))</f>
        <v/>
      </c>
      <c r="M75" s="18" t="str">
        <f>IF($B75="","",H75-L75)</f>
        <v/>
      </c>
      <c r="N75" s="18" t="str">
        <f>IF($B75="","",IF(R75="Ancien",0,Paramètres!$D$20))</f>
        <v/>
      </c>
      <c r="O75" s="19"/>
      <c r="P75" s="18" t="str">
        <f>IF($B75="","",N75-O75)</f>
        <v/>
      </c>
      <c r="Q75" s="8" t="str">
        <f>IF($B75="","",IF(AND(M75&lt;=0,P75&lt;=0),"Soldé","En retard"))</f>
        <v/>
      </c>
      <c r="R75" s="8"/>
    </row>
    <row r="76">
      <c r="A76" s="20"/>
      <c r="B76" s="20"/>
      <c r="C76" s="20"/>
      <c r="D76" s="21"/>
      <c r="E76" s="77"/>
      <c r="F76" s="20"/>
      <c r="G76" s="20"/>
      <c r="H76" s="18" t="str">
        <f>IF($B76="","",Paramètres!$C$20)</f>
        <v/>
      </c>
      <c r="I76" s="19"/>
      <c r="J76" s="19"/>
      <c r="K76" s="19"/>
      <c r="L76" s="18" t="str">
        <f>IF($B76="","",SUM(I76:K76))</f>
        <v/>
      </c>
      <c r="M76" s="18" t="str">
        <f>IF($B76="","",H76-L76)</f>
        <v/>
      </c>
      <c r="N76" s="18" t="str">
        <f>IF($B76="","",IF(R76="Ancien",0,Paramètres!$D$20))</f>
        <v/>
      </c>
      <c r="O76" s="19"/>
      <c r="P76" s="18" t="str">
        <f>IF($B76="","",N76-O76)</f>
        <v/>
      </c>
      <c r="Q76" s="21" t="str">
        <f>IF($B76="","",IF(AND(M76&lt;=0,P76&lt;=0),"Soldé","En retard"))</f>
        <v/>
      </c>
      <c r="R76" s="21"/>
    </row>
    <row r="77">
      <c r="A77" s="15"/>
      <c r="B77" s="15"/>
      <c r="C77" s="15"/>
      <c r="D77" s="8"/>
      <c r="E77" s="79"/>
      <c r="F77" s="15"/>
      <c r="G77" s="15"/>
      <c r="H77" s="18" t="str">
        <f>IF($B77="","",Paramètres!$C$20)</f>
        <v/>
      </c>
      <c r="I77" s="19"/>
      <c r="J77" s="19"/>
      <c r="K77" s="19"/>
      <c r="L77" s="18" t="str">
        <f>IF($B77="","",SUM(I77:K77))</f>
        <v/>
      </c>
      <c r="M77" s="18" t="str">
        <f>IF($B77="","",H77-L77)</f>
        <v/>
      </c>
      <c r="N77" s="18" t="str">
        <f>IF($B77="","",IF(R77="Ancien",0,Paramètres!$D$20))</f>
        <v/>
      </c>
      <c r="O77" s="19"/>
      <c r="P77" s="18" t="str">
        <f>IF($B77="","",N77-O77)</f>
        <v/>
      </c>
      <c r="Q77" s="8" t="str">
        <f>IF($B77="","",IF(AND(M77&lt;=0,P77&lt;=0),"Soldé","En retard"))</f>
        <v/>
      </c>
      <c r="R77" s="8"/>
    </row>
    <row r="78">
      <c r="A78" s="20"/>
      <c r="B78" s="20"/>
      <c r="C78" s="20"/>
      <c r="D78" s="21"/>
      <c r="E78" s="77"/>
      <c r="F78" s="20"/>
      <c r="G78" s="20"/>
      <c r="H78" s="18" t="str">
        <f>IF($B78="","",Paramètres!$C$20)</f>
        <v/>
      </c>
      <c r="I78" s="19"/>
      <c r="J78" s="19"/>
      <c r="K78" s="19"/>
      <c r="L78" s="18" t="str">
        <f>IF($B78="","",SUM(I78:K78))</f>
        <v/>
      </c>
      <c r="M78" s="18" t="str">
        <f>IF($B78="","",H78-L78)</f>
        <v/>
      </c>
      <c r="N78" s="18" t="str">
        <f>IF($B78="","",IF(R78="Ancien",0,Paramètres!$D$20))</f>
        <v/>
      </c>
      <c r="O78" s="19"/>
      <c r="P78" s="18" t="str">
        <f>IF($B78="","",N78-O78)</f>
        <v/>
      </c>
      <c r="Q78" s="21" t="str">
        <f>IF($B78="","",IF(AND(M78&lt;=0,P78&lt;=0),"Soldé","En retard"))</f>
        <v/>
      </c>
      <c r="R78" s="21"/>
    </row>
    <row r="79">
      <c r="A79" s="15"/>
      <c r="B79" s="15"/>
      <c r="C79" s="15"/>
      <c r="D79" s="8"/>
      <c r="E79" s="79"/>
      <c r="F79" s="15"/>
      <c r="G79" s="15"/>
      <c r="H79" s="18" t="str">
        <f>IF($B79="","",Paramètres!$C$20)</f>
        <v/>
      </c>
      <c r="I79" s="19"/>
      <c r="J79" s="19"/>
      <c r="K79" s="19"/>
      <c r="L79" s="18" t="str">
        <f>IF($B79="","",SUM(I79:K79))</f>
        <v/>
      </c>
      <c r="M79" s="18" t="str">
        <f>IF($B79="","",H79-L79)</f>
        <v/>
      </c>
      <c r="N79" s="18" t="str">
        <f>IF($B79="","",IF(R79="Ancien",0,Paramètres!$D$20))</f>
        <v/>
      </c>
      <c r="O79" s="19"/>
      <c r="P79" s="18" t="str">
        <f>IF($B79="","",N79-O79)</f>
        <v/>
      </c>
      <c r="Q79" s="8" t="str">
        <f>IF($B79="","",IF(AND(M79&lt;=0,P79&lt;=0),"Soldé","En retard"))</f>
        <v/>
      </c>
      <c r="R79" s="8"/>
    </row>
    <row r="80">
      <c r="A80" s="20"/>
      <c r="B80" s="20"/>
      <c r="C80" s="20"/>
      <c r="D80" s="21"/>
      <c r="E80" s="77"/>
      <c r="F80" s="20"/>
      <c r="G80" s="20"/>
      <c r="H80" s="18" t="str">
        <f>IF($B80="","",Paramètres!$C$20)</f>
        <v/>
      </c>
      <c r="I80" s="19"/>
      <c r="J80" s="19"/>
      <c r="K80" s="19"/>
      <c r="L80" s="18" t="str">
        <f>IF($B80="","",SUM(I80:K80))</f>
        <v/>
      </c>
      <c r="M80" s="18" t="str">
        <f>IF($B80="","",H80-L80)</f>
        <v/>
      </c>
      <c r="N80" s="18" t="str">
        <f>IF($B80="","",IF(R80="Ancien",0,Paramètres!$D$20))</f>
        <v/>
      </c>
      <c r="O80" s="19"/>
      <c r="P80" s="18" t="str">
        <f>IF($B80="","",N80-O80)</f>
        <v/>
      </c>
      <c r="Q80" s="21" t="str">
        <f>IF($B80="","",IF(AND(M80&lt;=0,P80&lt;=0),"Soldé","En retard"))</f>
        <v/>
      </c>
      <c r="R80" s="21"/>
    </row>
    <row r="81">
      <c r="A81" s="15"/>
      <c r="B81" s="15"/>
      <c r="C81" s="15"/>
      <c r="D81" s="8"/>
      <c r="E81" s="79"/>
      <c r="F81" s="15"/>
      <c r="G81" s="15"/>
      <c r="H81" s="18" t="str">
        <f>IF($B81="","",Paramètres!$C$20)</f>
        <v/>
      </c>
      <c r="I81" s="19"/>
      <c r="J81" s="19"/>
      <c r="K81" s="19"/>
      <c r="L81" s="18" t="str">
        <f>IF($B81="","",SUM(I81:K81))</f>
        <v/>
      </c>
      <c r="M81" s="18" t="str">
        <f>IF($B81="","",H81-L81)</f>
        <v/>
      </c>
      <c r="N81" s="18" t="str">
        <f>IF($B81="","",IF(R81="Ancien",0,Paramètres!$D$20))</f>
        <v/>
      </c>
      <c r="O81" s="19"/>
      <c r="P81" s="18" t="str">
        <f>IF($B81="","",N81-O81)</f>
        <v/>
      </c>
      <c r="Q81" s="8" t="str">
        <f>IF($B81="","",IF(AND(M81&lt;=0,P81&lt;=0),"Soldé","En retard"))</f>
        <v/>
      </c>
      <c r="R81" s="8"/>
    </row>
    <row r="82">
      <c r="A82" s="20"/>
      <c r="B82" s="20"/>
      <c r="C82" s="20"/>
      <c r="D82" s="21"/>
      <c r="E82" s="77"/>
      <c r="F82" s="20"/>
      <c r="G82" s="20"/>
      <c r="H82" s="18" t="str">
        <f>IF($B82="","",Paramètres!$C$20)</f>
        <v/>
      </c>
      <c r="I82" s="19"/>
      <c r="J82" s="19"/>
      <c r="K82" s="19"/>
      <c r="L82" s="18" t="str">
        <f>IF($B82="","",SUM(I82:K82))</f>
        <v/>
      </c>
      <c r="M82" s="18" t="str">
        <f>IF($B82="","",H82-L82)</f>
        <v/>
      </c>
      <c r="N82" s="18" t="str">
        <f>IF($B82="","",IF(R82="Ancien",0,Paramètres!$D$20))</f>
        <v/>
      </c>
      <c r="O82" s="19"/>
      <c r="P82" s="18" t="str">
        <f>IF($B82="","",N82-O82)</f>
        <v/>
      </c>
      <c r="Q82" s="21" t="str">
        <f>IF($B82="","",IF(AND(M82&lt;=0,P82&lt;=0),"Soldé","En retard"))</f>
        <v/>
      </c>
      <c r="R82" s="21"/>
    </row>
    <row r="83">
      <c r="A83" s="15"/>
      <c r="B83" s="15"/>
      <c r="C83" s="15"/>
      <c r="D83" s="8"/>
      <c r="E83" s="79"/>
      <c r="F83" s="15"/>
      <c r="G83" s="15"/>
      <c r="H83" s="18" t="str">
        <f>IF($B83="","",Paramètres!$C$20)</f>
        <v/>
      </c>
      <c r="I83" s="19"/>
      <c r="J83" s="19"/>
      <c r="K83" s="19"/>
      <c r="L83" s="18" t="str">
        <f>IF($B83="","",SUM(I83:K83))</f>
        <v/>
      </c>
      <c r="M83" s="18" t="str">
        <f>IF($B83="","",H83-L83)</f>
        <v/>
      </c>
      <c r="N83" s="18" t="str">
        <f>IF($B83="","",IF(R83="Ancien",0,Paramètres!$D$20))</f>
        <v/>
      </c>
      <c r="O83" s="19"/>
      <c r="P83" s="18" t="str">
        <f>IF($B83="","",N83-O83)</f>
        <v/>
      </c>
      <c r="Q83" s="8" t="str">
        <f>IF($B83="","",IF(AND(M83&lt;=0,P83&lt;=0),"Soldé","En retard"))</f>
        <v/>
      </c>
      <c r="R83" s="8"/>
    </row>
  </sheetData>
  <mergeCells count="2">
    <mergeCell ref="A1:R1"/>
    <mergeCell ref="A2:R2"/>
  </mergeCells>
  <conditionalFormatting sqref="M4:M83 P4:P83">
    <cfRule type="cellIs" dxfId="10" priority="3" operator="greaterThan">
      <formula>0</formula>
    </cfRule>
  </conditionalFormatting>
  <conditionalFormatting sqref="Q4:Q83">
    <cfRule type="cellIs" dxfId="9" priority="1" operator="equal">
      <formula>"Soldé"</formula>
    </cfRule>
    <cfRule type="cellIs" dxfId="8" priority="2" operator="equal">
      <formula>"En retard"</formula>
    </cfRule>
  </conditionalFormatting>
  <dataValidations count="2">
    <dataValidation type="list" allowBlank="1" showErrorMessage="1" errorTitle="Sexe non valide" error="Choisissez M ou F." sqref="D4:D83">
      <formula1>"M,F"</formula1>
    </dataValidation>
    <dataValidation type="list" allowBlank="1" showErrorMessage="1" errorTitle="Statut non valide" error="Choisissez Nouveau ou Ancien. Un élève marqué Ancien ne paie pas les frais d'inscription." sqref="R4:R83">
      <formula1>"Nouveau,Ancien"</formula1>
    </dataValidation>
  </dataValidations>
  <pageMargins left="0.5" right="0.5" top="0.75" bottom="0.75" header="0.3" footer="0.3"/>
  <pageSetup paperSize="9" orientation="landscape" fitToHeight="0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R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7" customWidth="1"/>
    <col min="5" max="5" width="14" customWidth="1"/>
    <col min="6" max="6" width="18" customWidth="1"/>
    <col min="7" max="7" width="16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3" customWidth="1"/>
    <col min="18" max="18" width="16" customWidth="1"/>
  </cols>
  <sheetData>
    <row r="1" ht="27.75" customHeight="1">
      <c r="A1" s="53" t="str">
        <f>"INSCRIPTIONS — "&amp;Paramètres!$A$21</f>
        <v>INSCRIPTIONS — CM1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ht="18" customHeight="1">
      <c r="A2" s="54" t="str">
        <f>"Année scolaire "&amp;Paramètres!$C$11&amp;"   •   Effectif : "&amp;COUNTIF($B$4:$B$83,"?*")&amp;"   •   Cellules jaunes = montants à saisir ; colonnes grises = calcul automatique"</f>
        <v>Année scolaire 2025-2026   •   Effectif : 0   •   Cellules jaunes = montants à saisir ; colonnes grises = calcul automatique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Sexe</t>
        </is>
      </c>
      <c r="E3" s="3" t="inlineStr">
        <is>
          <t>Date de naissance</t>
        </is>
      </c>
      <c r="F3" s="3" t="inlineStr">
        <is>
          <t>Nom du tuteur</t>
        </is>
      </c>
      <c r="G3" s="3" t="inlineStr">
        <is>
          <t>Téléphone</t>
        </is>
      </c>
      <c r="H3" s="3" t="inlineStr">
        <is>
          <t>Scolarité due</t>
        </is>
      </c>
      <c r="I3" s="3" t="inlineStr">
        <is>
          <t>Tranche 1</t>
        </is>
      </c>
      <c r="J3" s="3" t="inlineStr">
        <is>
          <t>Tranche 2</t>
        </is>
      </c>
      <c r="K3" s="3" t="inlineStr">
        <is>
          <t>Tranche 3</t>
        </is>
      </c>
      <c r="L3" s="3" t="inlineStr">
        <is>
          <t>Total payé</t>
        </is>
      </c>
      <c r="M3" s="3" t="inlineStr">
        <is>
          <t>Reste à payer</t>
        </is>
      </c>
      <c r="N3" s="3" t="inlineStr">
        <is>
          <t>Inscription due</t>
        </is>
      </c>
      <c r="O3" s="3" t="inlineStr">
        <is>
          <t>Inscription payée</t>
        </is>
      </c>
      <c r="P3" s="3" t="inlineStr">
        <is>
          <t>Reste inscription</t>
        </is>
      </c>
      <c r="Q3" s="3" t="inlineStr">
        <is>
          <t>Statut</t>
        </is>
      </c>
      <c r="R3" s="3" t="inlineStr">
        <is>
          <t>Nouveau / Ancien</t>
        </is>
      </c>
    </row>
    <row r="4">
      <c r="A4" s="20"/>
      <c r="B4" s="20"/>
      <c r="C4" s="20"/>
      <c r="D4" s="21"/>
      <c r="E4" s="77"/>
      <c r="F4" s="20"/>
      <c r="G4" s="20"/>
      <c r="H4" s="18" t="str">
        <f>IF($B4="","",Paramètres!$C$21)</f>
        <v/>
      </c>
      <c r="I4" s="19"/>
      <c r="J4" s="19"/>
      <c r="K4" s="19"/>
      <c r="L4" s="18" t="str">
        <f>IF($B4="","",SUM(I4:K4))</f>
        <v/>
      </c>
      <c r="M4" s="18" t="str">
        <f>IF($B4="","",H4-L4)</f>
        <v/>
      </c>
      <c r="N4" s="18" t="str">
        <f>IF($B4="","",IF(R4="Ancien",0,Paramètres!$D$21))</f>
        <v/>
      </c>
      <c r="O4" s="19"/>
      <c r="P4" s="18" t="str">
        <f>IF($B4="","",N4-O4)</f>
        <v/>
      </c>
      <c r="Q4" s="21" t="str">
        <f>IF($B4="","",IF(AND(M4&lt;=0,P4&lt;=0),"Soldé","En retard"))</f>
        <v/>
      </c>
      <c r="R4" s="21"/>
    </row>
    <row r="5">
      <c r="A5" s="15"/>
      <c r="B5" s="15"/>
      <c r="C5" s="15"/>
      <c r="D5" s="8"/>
      <c r="E5" s="79"/>
      <c r="F5" s="15"/>
      <c r="G5" s="15"/>
      <c r="H5" s="18" t="str">
        <f>IF($B5="","",Paramètres!$C$21)</f>
        <v/>
      </c>
      <c r="I5" s="19"/>
      <c r="J5" s="19"/>
      <c r="K5" s="19"/>
      <c r="L5" s="18" t="str">
        <f>IF($B5="","",SUM(I5:K5))</f>
        <v/>
      </c>
      <c r="M5" s="18" t="str">
        <f>IF($B5="","",H5-L5)</f>
        <v/>
      </c>
      <c r="N5" s="18" t="str">
        <f>IF($B5="","",IF(R5="Ancien",0,Paramètres!$D$21))</f>
        <v/>
      </c>
      <c r="O5" s="19"/>
      <c r="P5" s="18" t="str">
        <f>IF($B5="","",N5-O5)</f>
        <v/>
      </c>
      <c r="Q5" s="8" t="str">
        <f>IF($B5="","",IF(AND(M5&lt;=0,P5&lt;=0),"Soldé","En retard"))</f>
        <v/>
      </c>
      <c r="R5" s="8"/>
    </row>
    <row r="6">
      <c r="A6" s="20"/>
      <c r="B6" s="20"/>
      <c r="C6" s="20"/>
      <c r="D6" s="21"/>
      <c r="E6" s="77"/>
      <c r="F6" s="20"/>
      <c r="G6" s="20"/>
      <c r="H6" s="18" t="str">
        <f>IF($B6="","",Paramètres!$C$21)</f>
        <v/>
      </c>
      <c r="I6" s="19"/>
      <c r="J6" s="19"/>
      <c r="K6" s="19"/>
      <c r="L6" s="18" t="str">
        <f>IF($B6="","",SUM(I6:K6))</f>
        <v/>
      </c>
      <c r="M6" s="18" t="str">
        <f>IF($B6="","",H6-L6)</f>
        <v/>
      </c>
      <c r="N6" s="18" t="str">
        <f>IF($B6="","",IF(R6="Ancien",0,Paramètres!$D$21))</f>
        <v/>
      </c>
      <c r="O6" s="19"/>
      <c r="P6" s="18" t="str">
        <f>IF($B6="","",N6-O6)</f>
        <v/>
      </c>
      <c r="Q6" s="21" t="str">
        <f>IF($B6="","",IF(AND(M6&lt;=0,P6&lt;=0),"Soldé","En retard"))</f>
        <v/>
      </c>
      <c r="R6" s="21"/>
    </row>
    <row r="7">
      <c r="A7" s="15"/>
      <c r="B7" s="15"/>
      <c r="C7" s="15"/>
      <c r="D7" s="8"/>
      <c r="E7" s="79"/>
      <c r="F7" s="15"/>
      <c r="G7" s="15"/>
      <c r="H7" s="18" t="str">
        <f>IF($B7="","",Paramètres!$C$21)</f>
        <v/>
      </c>
      <c r="I7" s="19"/>
      <c r="J7" s="19"/>
      <c r="K7" s="19"/>
      <c r="L7" s="18" t="str">
        <f>IF($B7="","",SUM(I7:K7))</f>
        <v/>
      </c>
      <c r="M7" s="18" t="str">
        <f>IF($B7="","",H7-L7)</f>
        <v/>
      </c>
      <c r="N7" s="18" t="str">
        <f>IF($B7="","",IF(R7="Ancien",0,Paramètres!$D$21))</f>
        <v/>
      </c>
      <c r="O7" s="19"/>
      <c r="P7" s="18" t="str">
        <f>IF($B7="","",N7-O7)</f>
        <v/>
      </c>
      <c r="Q7" s="8" t="str">
        <f>IF($B7="","",IF(AND(M7&lt;=0,P7&lt;=0),"Soldé","En retard"))</f>
        <v/>
      </c>
      <c r="R7" s="8"/>
    </row>
    <row r="8">
      <c r="A8" s="20"/>
      <c r="B8" s="20"/>
      <c r="C8" s="20"/>
      <c r="D8" s="21"/>
      <c r="E8" s="77"/>
      <c r="F8" s="20"/>
      <c r="G8" s="20"/>
      <c r="H8" s="18" t="str">
        <f>IF($B8="","",Paramètres!$C$21)</f>
        <v/>
      </c>
      <c r="I8" s="19"/>
      <c r="J8" s="19"/>
      <c r="K8" s="19"/>
      <c r="L8" s="18" t="str">
        <f>IF($B8="","",SUM(I8:K8))</f>
        <v/>
      </c>
      <c r="M8" s="18" t="str">
        <f>IF($B8="","",H8-L8)</f>
        <v/>
      </c>
      <c r="N8" s="18" t="str">
        <f>IF($B8="","",IF(R8="Ancien",0,Paramètres!$D$21))</f>
        <v/>
      </c>
      <c r="O8" s="19"/>
      <c r="P8" s="18" t="str">
        <f>IF($B8="","",N8-O8)</f>
        <v/>
      </c>
      <c r="Q8" s="21" t="str">
        <f>IF($B8="","",IF(AND(M8&lt;=0,P8&lt;=0),"Soldé","En retard"))</f>
        <v/>
      </c>
      <c r="R8" s="21"/>
    </row>
    <row r="9">
      <c r="A9" s="15"/>
      <c r="B9" s="15"/>
      <c r="C9" s="15"/>
      <c r="D9" s="8"/>
      <c r="E9" s="79"/>
      <c r="F9" s="15"/>
      <c r="G9" s="15"/>
      <c r="H9" s="18" t="str">
        <f>IF($B9="","",Paramètres!$C$21)</f>
        <v/>
      </c>
      <c r="I9" s="19"/>
      <c r="J9" s="19"/>
      <c r="K9" s="19"/>
      <c r="L9" s="18" t="str">
        <f>IF($B9="","",SUM(I9:K9))</f>
        <v/>
      </c>
      <c r="M9" s="18" t="str">
        <f>IF($B9="","",H9-L9)</f>
        <v/>
      </c>
      <c r="N9" s="18" t="str">
        <f>IF($B9="","",IF(R9="Ancien",0,Paramètres!$D$21))</f>
        <v/>
      </c>
      <c r="O9" s="19"/>
      <c r="P9" s="18" t="str">
        <f>IF($B9="","",N9-O9)</f>
        <v/>
      </c>
      <c r="Q9" s="8" t="str">
        <f>IF($B9="","",IF(AND(M9&lt;=0,P9&lt;=0),"Soldé","En retard"))</f>
        <v/>
      </c>
      <c r="R9" s="8"/>
    </row>
    <row r="10">
      <c r="A10" s="20"/>
      <c r="B10" s="20"/>
      <c r="C10" s="20"/>
      <c r="D10" s="21"/>
      <c r="E10" s="77"/>
      <c r="F10" s="20"/>
      <c r="G10" s="20"/>
      <c r="H10" s="18" t="str">
        <f>IF($B10="","",Paramètres!$C$21)</f>
        <v/>
      </c>
      <c r="I10" s="19"/>
      <c r="J10" s="19"/>
      <c r="K10" s="19"/>
      <c r="L10" s="18" t="str">
        <f>IF($B10="","",SUM(I10:K10))</f>
        <v/>
      </c>
      <c r="M10" s="18" t="str">
        <f>IF($B10="","",H10-L10)</f>
        <v/>
      </c>
      <c r="N10" s="18" t="str">
        <f>IF($B10="","",IF(R10="Ancien",0,Paramètres!$D$21))</f>
        <v/>
      </c>
      <c r="O10" s="19"/>
      <c r="P10" s="18" t="str">
        <f>IF($B10="","",N10-O10)</f>
        <v/>
      </c>
      <c r="Q10" s="21" t="str">
        <f>IF($B10="","",IF(AND(M10&lt;=0,P10&lt;=0),"Soldé","En retard"))</f>
        <v/>
      </c>
      <c r="R10" s="21"/>
    </row>
    <row r="11">
      <c r="A11" s="15"/>
      <c r="B11" s="15"/>
      <c r="C11" s="15"/>
      <c r="D11" s="8"/>
      <c r="E11" s="79"/>
      <c r="F11" s="15"/>
      <c r="G11" s="15"/>
      <c r="H11" s="18" t="str">
        <f>IF($B11="","",Paramètres!$C$21)</f>
        <v/>
      </c>
      <c r="I11" s="19"/>
      <c r="J11" s="19"/>
      <c r="K11" s="19"/>
      <c r="L11" s="18" t="str">
        <f>IF($B11="","",SUM(I11:K11))</f>
        <v/>
      </c>
      <c r="M11" s="18" t="str">
        <f>IF($B11="","",H11-L11)</f>
        <v/>
      </c>
      <c r="N11" s="18" t="str">
        <f>IF($B11="","",IF(R11="Ancien",0,Paramètres!$D$21))</f>
        <v/>
      </c>
      <c r="O11" s="19"/>
      <c r="P11" s="18" t="str">
        <f>IF($B11="","",N11-O11)</f>
        <v/>
      </c>
      <c r="Q11" s="8" t="str">
        <f>IF($B11="","",IF(AND(M11&lt;=0,P11&lt;=0),"Soldé","En retard"))</f>
        <v/>
      </c>
      <c r="R11" s="8"/>
    </row>
    <row r="12">
      <c r="A12" s="20"/>
      <c r="B12" s="20"/>
      <c r="C12" s="20"/>
      <c r="D12" s="21"/>
      <c r="E12" s="77"/>
      <c r="F12" s="20"/>
      <c r="G12" s="20"/>
      <c r="H12" s="18" t="str">
        <f>IF($B12="","",Paramètres!$C$21)</f>
        <v/>
      </c>
      <c r="I12" s="19"/>
      <c r="J12" s="19"/>
      <c r="K12" s="19"/>
      <c r="L12" s="18" t="str">
        <f>IF($B12="","",SUM(I12:K12))</f>
        <v/>
      </c>
      <c r="M12" s="18" t="str">
        <f>IF($B12="","",H12-L12)</f>
        <v/>
      </c>
      <c r="N12" s="18" t="str">
        <f>IF($B12="","",IF(R12="Ancien",0,Paramètres!$D$21))</f>
        <v/>
      </c>
      <c r="O12" s="19"/>
      <c r="P12" s="18" t="str">
        <f>IF($B12="","",N12-O12)</f>
        <v/>
      </c>
      <c r="Q12" s="21" t="str">
        <f>IF($B12="","",IF(AND(M12&lt;=0,P12&lt;=0),"Soldé","En retard"))</f>
        <v/>
      </c>
      <c r="R12" s="21"/>
    </row>
    <row r="13">
      <c r="A13" s="15"/>
      <c r="B13" s="15"/>
      <c r="C13" s="15"/>
      <c r="D13" s="8"/>
      <c r="E13" s="79"/>
      <c r="F13" s="15"/>
      <c r="G13" s="15"/>
      <c r="H13" s="18" t="str">
        <f>IF($B13="","",Paramètres!$C$21)</f>
        <v/>
      </c>
      <c r="I13" s="19"/>
      <c r="J13" s="19"/>
      <c r="K13" s="19"/>
      <c r="L13" s="18" t="str">
        <f>IF($B13="","",SUM(I13:K13))</f>
        <v/>
      </c>
      <c r="M13" s="18" t="str">
        <f>IF($B13="","",H13-L13)</f>
        <v/>
      </c>
      <c r="N13" s="18" t="str">
        <f>IF($B13="","",IF(R13="Ancien",0,Paramètres!$D$21))</f>
        <v/>
      </c>
      <c r="O13" s="19"/>
      <c r="P13" s="18" t="str">
        <f>IF($B13="","",N13-O13)</f>
        <v/>
      </c>
      <c r="Q13" s="8" t="str">
        <f>IF($B13="","",IF(AND(M13&lt;=0,P13&lt;=0),"Soldé","En retard"))</f>
        <v/>
      </c>
      <c r="R13" s="8"/>
    </row>
    <row r="14">
      <c r="A14" s="20"/>
      <c r="B14" s="20"/>
      <c r="C14" s="20"/>
      <c r="D14" s="21"/>
      <c r="E14" s="77"/>
      <c r="F14" s="20"/>
      <c r="G14" s="20"/>
      <c r="H14" s="18" t="str">
        <f>IF($B14="","",Paramètres!$C$21)</f>
        <v/>
      </c>
      <c r="I14" s="19"/>
      <c r="J14" s="19"/>
      <c r="K14" s="19"/>
      <c r="L14" s="18" t="str">
        <f>IF($B14="","",SUM(I14:K14))</f>
        <v/>
      </c>
      <c r="M14" s="18" t="str">
        <f>IF($B14="","",H14-L14)</f>
        <v/>
      </c>
      <c r="N14" s="18" t="str">
        <f>IF($B14="","",IF(R14="Ancien",0,Paramètres!$D$21))</f>
        <v/>
      </c>
      <c r="O14" s="19"/>
      <c r="P14" s="18" t="str">
        <f>IF($B14="","",N14-O14)</f>
        <v/>
      </c>
      <c r="Q14" s="21" t="str">
        <f>IF($B14="","",IF(AND(M14&lt;=0,P14&lt;=0),"Soldé","En retard"))</f>
        <v/>
      </c>
      <c r="R14" s="21"/>
    </row>
    <row r="15">
      <c r="A15" s="15"/>
      <c r="B15" s="15"/>
      <c r="C15" s="15"/>
      <c r="D15" s="8"/>
      <c r="E15" s="79"/>
      <c r="F15" s="15"/>
      <c r="G15" s="15"/>
      <c r="H15" s="18" t="str">
        <f>IF($B15="","",Paramètres!$C$21)</f>
        <v/>
      </c>
      <c r="I15" s="19"/>
      <c r="J15" s="19"/>
      <c r="K15" s="19"/>
      <c r="L15" s="18" t="str">
        <f>IF($B15="","",SUM(I15:K15))</f>
        <v/>
      </c>
      <c r="M15" s="18" t="str">
        <f>IF($B15="","",H15-L15)</f>
        <v/>
      </c>
      <c r="N15" s="18" t="str">
        <f>IF($B15="","",IF(R15="Ancien",0,Paramètres!$D$21))</f>
        <v/>
      </c>
      <c r="O15" s="19"/>
      <c r="P15" s="18" t="str">
        <f>IF($B15="","",N15-O15)</f>
        <v/>
      </c>
      <c r="Q15" s="8" t="str">
        <f>IF($B15="","",IF(AND(M15&lt;=0,P15&lt;=0),"Soldé","En retard"))</f>
        <v/>
      </c>
      <c r="R15" s="8"/>
    </row>
    <row r="16">
      <c r="A16" s="20"/>
      <c r="B16" s="20"/>
      <c r="C16" s="20"/>
      <c r="D16" s="21"/>
      <c r="E16" s="77"/>
      <c r="F16" s="20"/>
      <c r="G16" s="20"/>
      <c r="H16" s="18" t="str">
        <f>IF($B16="","",Paramètres!$C$21)</f>
        <v/>
      </c>
      <c r="I16" s="19"/>
      <c r="J16" s="19"/>
      <c r="K16" s="19"/>
      <c r="L16" s="18" t="str">
        <f>IF($B16="","",SUM(I16:K16))</f>
        <v/>
      </c>
      <c r="M16" s="18" t="str">
        <f>IF($B16="","",H16-L16)</f>
        <v/>
      </c>
      <c r="N16" s="18" t="str">
        <f>IF($B16="","",IF(R16="Ancien",0,Paramètres!$D$21))</f>
        <v/>
      </c>
      <c r="O16" s="19"/>
      <c r="P16" s="18" t="str">
        <f>IF($B16="","",N16-O16)</f>
        <v/>
      </c>
      <c r="Q16" s="21" t="str">
        <f>IF($B16="","",IF(AND(M16&lt;=0,P16&lt;=0),"Soldé","En retard"))</f>
        <v/>
      </c>
      <c r="R16" s="21"/>
    </row>
    <row r="17">
      <c r="A17" s="15"/>
      <c r="B17" s="15"/>
      <c r="C17" s="15"/>
      <c r="D17" s="8"/>
      <c r="E17" s="79"/>
      <c r="F17" s="15"/>
      <c r="G17" s="15"/>
      <c r="H17" s="18" t="str">
        <f>IF($B17="","",Paramètres!$C$21)</f>
        <v/>
      </c>
      <c r="I17" s="19"/>
      <c r="J17" s="19"/>
      <c r="K17" s="19"/>
      <c r="L17" s="18" t="str">
        <f>IF($B17="","",SUM(I17:K17))</f>
        <v/>
      </c>
      <c r="M17" s="18" t="str">
        <f>IF($B17="","",H17-L17)</f>
        <v/>
      </c>
      <c r="N17" s="18" t="str">
        <f>IF($B17="","",IF(R17="Ancien",0,Paramètres!$D$21))</f>
        <v/>
      </c>
      <c r="O17" s="19"/>
      <c r="P17" s="18" t="str">
        <f>IF($B17="","",N17-O17)</f>
        <v/>
      </c>
      <c r="Q17" s="8" t="str">
        <f>IF($B17="","",IF(AND(M17&lt;=0,P17&lt;=0),"Soldé","En retard"))</f>
        <v/>
      </c>
      <c r="R17" s="8"/>
    </row>
    <row r="18">
      <c r="A18" s="20"/>
      <c r="B18" s="20"/>
      <c r="C18" s="20"/>
      <c r="D18" s="21"/>
      <c r="E18" s="77"/>
      <c r="F18" s="20"/>
      <c r="G18" s="20"/>
      <c r="H18" s="18" t="str">
        <f>IF($B18="","",Paramètres!$C$21)</f>
        <v/>
      </c>
      <c r="I18" s="19"/>
      <c r="J18" s="19"/>
      <c r="K18" s="19"/>
      <c r="L18" s="18" t="str">
        <f>IF($B18="","",SUM(I18:K18))</f>
        <v/>
      </c>
      <c r="M18" s="18" t="str">
        <f>IF($B18="","",H18-L18)</f>
        <v/>
      </c>
      <c r="N18" s="18" t="str">
        <f>IF($B18="","",IF(R18="Ancien",0,Paramètres!$D$21))</f>
        <v/>
      </c>
      <c r="O18" s="19"/>
      <c r="P18" s="18" t="str">
        <f>IF($B18="","",N18-O18)</f>
        <v/>
      </c>
      <c r="Q18" s="21" t="str">
        <f>IF($B18="","",IF(AND(M18&lt;=0,P18&lt;=0),"Soldé","En retard"))</f>
        <v/>
      </c>
      <c r="R18" s="21"/>
    </row>
    <row r="19">
      <c r="A19" s="15"/>
      <c r="B19" s="15"/>
      <c r="C19" s="15"/>
      <c r="D19" s="8"/>
      <c r="E19" s="79"/>
      <c r="F19" s="15"/>
      <c r="G19" s="15"/>
      <c r="H19" s="18" t="str">
        <f>IF($B19="","",Paramètres!$C$21)</f>
        <v/>
      </c>
      <c r="I19" s="19"/>
      <c r="J19" s="19"/>
      <c r="K19" s="19"/>
      <c r="L19" s="18" t="str">
        <f>IF($B19="","",SUM(I19:K19))</f>
        <v/>
      </c>
      <c r="M19" s="18" t="str">
        <f>IF($B19="","",H19-L19)</f>
        <v/>
      </c>
      <c r="N19" s="18" t="str">
        <f>IF($B19="","",IF(R19="Ancien",0,Paramètres!$D$21))</f>
        <v/>
      </c>
      <c r="O19" s="19"/>
      <c r="P19" s="18" t="str">
        <f>IF($B19="","",N19-O19)</f>
        <v/>
      </c>
      <c r="Q19" s="8" t="str">
        <f>IF($B19="","",IF(AND(M19&lt;=0,P19&lt;=0),"Soldé","En retard"))</f>
        <v/>
      </c>
      <c r="R19" s="8"/>
    </row>
    <row r="20">
      <c r="A20" s="20"/>
      <c r="B20" s="20"/>
      <c r="C20" s="20"/>
      <c r="D20" s="21"/>
      <c r="E20" s="77"/>
      <c r="F20" s="20"/>
      <c r="G20" s="20"/>
      <c r="H20" s="18" t="str">
        <f>IF($B20="","",Paramètres!$C$21)</f>
        <v/>
      </c>
      <c r="I20" s="19"/>
      <c r="J20" s="19"/>
      <c r="K20" s="19"/>
      <c r="L20" s="18" t="str">
        <f>IF($B20="","",SUM(I20:K20))</f>
        <v/>
      </c>
      <c r="M20" s="18" t="str">
        <f>IF($B20="","",H20-L20)</f>
        <v/>
      </c>
      <c r="N20" s="18" t="str">
        <f>IF($B20="","",IF(R20="Ancien",0,Paramètres!$D$21))</f>
        <v/>
      </c>
      <c r="O20" s="19"/>
      <c r="P20" s="18" t="str">
        <f>IF($B20="","",N20-O20)</f>
        <v/>
      </c>
      <c r="Q20" s="21" t="str">
        <f>IF($B20="","",IF(AND(M20&lt;=0,P20&lt;=0),"Soldé","En retard"))</f>
        <v/>
      </c>
      <c r="R20" s="21"/>
    </row>
    <row r="21">
      <c r="A21" s="15"/>
      <c r="B21" s="15"/>
      <c r="C21" s="15"/>
      <c r="D21" s="8"/>
      <c r="E21" s="79"/>
      <c r="F21" s="15"/>
      <c r="G21" s="15"/>
      <c r="H21" s="18" t="str">
        <f>IF($B21="","",Paramètres!$C$21)</f>
        <v/>
      </c>
      <c r="I21" s="19"/>
      <c r="J21" s="19"/>
      <c r="K21" s="19"/>
      <c r="L21" s="18" t="str">
        <f>IF($B21="","",SUM(I21:K21))</f>
        <v/>
      </c>
      <c r="M21" s="18" t="str">
        <f>IF($B21="","",H21-L21)</f>
        <v/>
      </c>
      <c r="N21" s="18" t="str">
        <f>IF($B21="","",IF(R21="Ancien",0,Paramètres!$D$21))</f>
        <v/>
      </c>
      <c r="O21" s="19"/>
      <c r="P21" s="18" t="str">
        <f>IF($B21="","",N21-O21)</f>
        <v/>
      </c>
      <c r="Q21" s="8" t="str">
        <f>IF($B21="","",IF(AND(M21&lt;=0,P21&lt;=0),"Soldé","En retard"))</f>
        <v/>
      </c>
      <c r="R21" s="8"/>
    </row>
    <row r="22">
      <c r="A22" s="20"/>
      <c r="B22" s="20"/>
      <c r="C22" s="20"/>
      <c r="D22" s="21"/>
      <c r="E22" s="77"/>
      <c r="F22" s="20"/>
      <c r="G22" s="20"/>
      <c r="H22" s="18" t="str">
        <f>IF($B22="","",Paramètres!$C$21)</f>
        <v/>
      </c>
      <c r="I22" s="19"/>
      <c r="J22" s="19"/>
      <c r="K22" s="19"/>
      <c r="L22" s="18" t="str">
        <f>IF($B22="","",SUM(I22:K22))</f>
        <v/>
      </c>
      <c r="M22" s="18" t="str">
        <f>IF($B22="","",H22-L22)</f>
        <v/>
      </c>
      <c r="N22" s="18" t="str">
        <f>IF($B22="","",IF(R22="Ancien",0,Paramètres!$D$21))</f>
        <v/>
      </c>
      <c r="O22" s="19"/>
      <c r="P22" s="18" t="str">
        <f>IF($B22="","",N22-O22)</f>
        <v/>
      </c>
      <c r="Q22" s="21" t="str">
        <f>IF($B22="","",IF(AND(M22&lt;=0,P22&lt;=0),"Soldé","En retard"))</f>
        <v/>
      </c>
      <c r="R22" s="21"/>
    </row>
    <row r="23">
      <c r="A23" s="15"/>
      <c r="B23" s="15"/>
      <c r="C23" s="15"/>
      <c r="D23" s="8"/>
      <c r="E23" s="79"/>
      <c r="F23" s="15"/>
      <c r="G23" s="15"/>
      <c r="H23" s="18" t="str">
        <f>IF($B23="","",Paramètres!$C$21)</f>
        <v/>
      </c>
      <c r="I23" s="19"/>
      <c r="J23" s="19"/>
      <c r="K23" s="19"/>
      <c r="L23" s="18" t="str">
        <f>IF($B23="","",SUM(I23:K23))</f>
        <v/>
      </c>
      <c r="M23" s="18" t="str">
        <f>IF($B23="","",H23-L23)</f>
        <v/>
      </c>
      <c r="N23" s="18" t="str">
        <f>IF($B23="","",IF(R23="Ancien",0,Paramètres!$D$21))</f>
        <v/>
      </c>
      <c r="O23" s="19"/>
      <c r="P23" s="18" t="str">
        <f>IF($B23="","",N23-O23)</f>
        <v/>
      </c>
      <c r="Q23" s="8" t="str">
        <f>IF($B23="","",IF(AND(M23&lt;=0,P23&lt;=0),"Soldé","En retard"))</f>
        <v/>
      </c>
      <c r="R23" s="8"/>
    </row>
    <row r="24">
      <c r="A24" s="20"/>
      <c r="B24" s="20"/>
      <c r="C24" s="20"/>
      <c r="D24" s="21"/>
      <c r="E24" s="77"/>
      <c r="F24" s="20"/>
      <c r="G24" s="20"/>
      <c r="H24" s="18" t="str">
        <f>IF($B24="","",Paramètres!$C$21)</f>
        <v/>
      </c>
      <c r="I24" s="19"/>
      <c r="J24" s="19"/>
      <c r="K24" s="19"/>
      <c r="L24" s="18" t="str">
        <f>IF($B24="","",SUM(I24:K24))</f>
        <v/>
      </c>
      <c r="M24" s="18" t="str">
        <f>IF($B24="","",H24-L24)</f>
        <v/>
      </c>
      <c r="N24" s="18" t="str">
        <f>IF($B24="","",IF(R24="Ancien",0,Paramètres!$D$21))</f>
        <v/>
      </c>
      <c r="O24" s="19"/>
      <c r="P24" s="18" t="str">
        <f>IF($B24="","",N24-O24)</f>
        <v/>
      </c>
      <c r="Q24" s="21" t="str">
        <f>IF($B24="","",IF(AND(M24&lt;=0,P24&lt;=0),"Soldé","En retard"))</f>
        <v/>
      </c>
      <c r="R24" s="21"/>
    </row>
    <row r="25">
      <c r="A25" s="15"/>
      <c r="B25" s="15"/>
      <c r="C25" s="15"/>
      <c r="D25" s="8"/>
      <c r="E25" s="79"/>
      <c r="F25" s="15"/>
      <c r="G25" s="15"/>
      <c r="H25" s="18" t="str">
        <f>IF($B25="","",Paramètres!$C$21)</f>
        <v/>
      </c>
      <c r="I25" s="19"/>
      <c r="J25" s="19"/>
      <c r="K25" s="19"/>
      <c r="L25" s="18" t="str">
        <f>IF($B25="","",SUM(I25:K25))</f>
        <v/>
      </c>
      <c r="M25" s="18" t="str">
        <f>IF($B25="","",H25-L25)</f>
        <v/>
      </c>
      <c r="N25" s="18" t="str">
        <f>IF($B25="","",IF(R25="Ancien",0,Paramètres!$D$21))</f>
        <v/>
      </c>
      <c r="O25" s="19"/>
      <c r="P25" s="18" t="str">
        <f>IF($B25="","",N25-O25)</f>
        <v/>
      </c>
      <c r="Q25" s="8" t="str">
        <f>IF($B25="","",IF(AND(M25&lt;=0,P25&lt;=0),"Soldé","En retard"))</f>
        <v/>
      </c>
      <c r="R25" s="8"/>
    </row>
    <row r="26">
      <c r="A26" s="20"/>
      <c r="B26" s="20"/>
      <c r="C26" s="20"/>
      <c r="D26" s="21"/>
      <c r="E26" s="77"/>
      <c r="F26" s="20"/>
      <c r="G26" s="20"/>
      <c r="H26" s="18" t="str">
        <f>IF($B26="","",Paramètres!$C$21)</f>
        <v/>
      </c>
      <c r="I26" s="19"/>
      <c r="J26" s="19"/>
      <c r="K26" s="19"/>
      <c r="L26" s="18" t="str">
        <f>IF($B26="","",SUM(I26:K26))</f>
        <v/>
      </c>
      <c r="M26" s="18" t="str">
        <f>IF($B26="","",H26-L26)</f>
        <v/>
      </c>
      <c r="N26" s="18" t="str">
        <f>IF($B26="","",IF(R26="Ancien",0,Paramètres!$D$21))</f>
        <v/>
      </c>
      <c r="O26" s="19"/>
      <c r="P26" s="18" t="str">
        <f>IF($B26="","",N26-O26)</f>
        <v/>
      </c>
      <c r="Q26" s="21" t="str">
        <f>IF($B26="","",IF(AND(M26&lt;=0,P26&lt;=0),"Soldé","En retard"))</f>
        <v/>
      </c>
      <c r="R26" s="21"/>
    </row>
    <row r="27">
      <c r="A27" s="15"/>
      <c r="B27" s="15"/>
      <c r="C27" s="15"/>
      <c r="D27" s="8"/>
      <c r="E27" s="79"/>
      <c r="F27" s="15"/>
      <c r="G27" s="15"/>
      <c r="H27" s="18" t="str">
        <f>IF($B27="","",Paramètres!$C$21)</f>
        <v/>
      </c>
      <c r="I27" s="19"/>
      <c r="J27" s="19"/>
      <c r="K27" s="19"/>
      <c r="L27" s="18" t="str">
        <f>IF($B27="","",SUM(I27:K27))</f>
        <v/>
      </c>
      <c r="M27" s="18" t="str">
        <f>IF($B27="","",H27-L27)</f>
        <v/>
      </c>
      <c r="N27" s="18" t="str">
        <f>IF($B27="","",IF(R27="Ancien",0,Paramètres!$D$21))</f>
        <v/>
      </c>
      <c r="O27" s="19"/>
      <c r="P27" s="18" t="str">
        <f>IF($B27="","",N27-O27)</f>
        <v/>
      </c>
      <c r="Q27" s="8" t="str">
        <f>IF($B27="","",IF(AND(M27&lt;=0,P27&lt;=0),"Soldé","En retard"))</f>
        <v/>
      </c>
      <c r="R27" s="8"/>
    </row>
    <row r="28">
      <c r="A28" s="20"/>
      <c r="B28" s="20"/>
      <c r="C28" s="20"/>
      <c r="D28" s="21"/>
      <c r="E28" s="77"/>
      <c r="F28" s="20"/>
      <c r="G28" s="20"/>
      <c r="H28" s="18" t="str">
        <f>IF($B28="","",Paramètres!$C$21)</f>
        <v/>
      </c>
      <c r="I28" s="19"/>
      <c r="J28" s="19"/>
      <c r="K28" s="19"/>
      <c r="L28" s="18" t="str">
        <f>IF($B28="","",SUM(I28:K28))</f>
        <v/>
      </c>
      <c r="M28" s="18" t="str">
        <f>IF($B28="","",H28-L28)</f>
        <v/>
      </c>
      <c r="N28" s="18" t="str">
        <f>IF($B28="","",IF(R28="Ancien",0,Paramètres!$D$21))</f>
        <v/>
      </c>
      <c r="O28" s="19"/>
      <c r="P28" s="18" t="str">
        <f>IF($B28="","",N28-O28)</f>
        <v/>
      </c>
      <c r="Q28" s="21" t="str">
        <f>IF($B28="","",IF(AND(M28&lt;=0,P28&lt;=0),"Soldé","En retard"))</f>
        <v/>
      </c>
      <c r="R28" s="21"/>
    </row>
    <row r="29">
      <c r="A29" s="15"/>
      <c r="B29" s="15"/>
      <c r="C29" s="15"/>
      <c r="D29" s="8"/>
      <c r="E29" s="79"/>
      <c r="F29" s="15"/>
      <c r="G29" s="15"/>
      <c r="H29" s="18" t="str">
        <f>IF($B29="","",Paramètres!$C$21)</f>
        <v/>
      </c>
      <c r="I29" s="19"/>
      <c r="J29" s="19"/>
      <c r="K29" s="19"/>
      <c r="L29" s="18" t="str">
        <f>IF($B29="","",SUM(I29:K29))</f>
        <v/>
      </c>
      <c r="M29" s="18" t="str">
        <f>IF($B29="","",H29-L29)</f>
        <v/>
      </c>
      <c r="N29" s="18" t="str">
        <f>IF($B29="","",IF(R29="Ancien",0,Paramètres!$D$21))</f>
        <v/>
      </c>
      <c r="O29" s="19"/>
      <c r="P29" s="18" t="str">
        <f>IF($B29="","",N29-O29)</f>
        <v/>
      </c>
      <c r="Q29" s="8" t="str">
        <f>IF($B29="","",IF(AND(M29&lt;=0,P29&lt;=0),"Soldé","En retard"))</f>
        <v/>
      </c>
      <c r="R29" s="8"/>
    </row>
    <row r="30">
      <c r="A30" s="20"/>
      <c r="B30" s="20"/>
      <c r="C30" s="20"/>
      <c r="D30" s="21"/>
      <c r="E30" s="77"/>
      <c r="F30" s="20"/>
      <c r="G30" s="20"/>
      <c r="H30" s="18" t="str">
        <f>IF($B30="","",Paramètres!$C$21)</f>
        <v/>
      </c>
      <c r="I30" s="19"/>
      <c r="J30" s="19"/>
      <c r="K30" s="19"/>
      <c r="L30" s="18" t="str">
        <f>IF($B30="","",SUM(I30:K30))</f>
        <v/>
      </c>
      <c r="M30" s="18" t="str">
        <f>IF($B30="","",H30-L30)</f>
        <v/>
      </c>
      <c r="N30" s="18" t="str">
        <f>IF($B30="","",IF(R30="Ancien",0,Paramètres!$D$21))</f>
        <v/>
      </c>
      <c r="O30" s="19"/>
      <c r="P30" s="18" t="str">
        <f>IF($B30="","",N30-O30)</f>
        <v/>
      </c>
      <c r="Q30" s="21" t="str">
        <f>IF($B30="","",IF(AND(M30&lt;=0,P30&lt;=0),"Soldé","En retard"))</f>
        <v/>
      </c>
      <c r="R30" s="21"/>
    </row>
    <row r="31">
      <c r="A31" s="15"/>
      <c r="B31" s="15"/>
      <c r="C31" s="15"/>
      <c r="D31" s="8"/>
      <c r="E31" s="79"/>
      <c r="F31" s="15"/>
      <c r="G31" s="15"/>
      <c r="H31" s="18" t="str">
        <f>IF($B31="","",Paramètres!$C$21)</f>
        <v/>
      </c>
      <c r="I31" s="19"/>
      <c r="J31" s="19"/>
      <c r="K31" s="19"/>
      <c r="L31" s="18" t="str">
        <f>IF($B31="","",SUM(I31:K31))</f>
        <v/>
      </c>
      <c r="M31" s="18" t="str">
        <f>IF($B31="","",H31-L31)</f>
        <v/>
      </c>
      <c r="N31" s="18" t="str">
        <f>IF($B31="","",IF(R31="Ancien",0,Paramètres!$D$21))</f>
        <v/>
      </c>
      <c r="O31" s="19"/>
      <c r="P31" s="18" t="str">
        <f>IF($B31="","",N31-O31)</f>
        <v/>
      </c>
      <c r="Q31" s="8" t="str">
        <f>IF($B31="","",IF(AND(M31&lt;=0,P31&lt;=0),"Soldé","En retard"))</f>
        <v/>
      </c>
      <c r="R31" s="8"/>
    </row>
    <row r="32">
      <c r="A32" s="20"/>
      <c r="B32" s="20"/>
      <c r="C32" s="20"/>
      <c r="D32" s="21"/>
      <c r="E32" s="77"/>
      <c r="F32" s="20"/>
      <c r="G32" s="20"/>
      <c r="H32" s="18" t="str">
        <f>IF($B32="","",Paramètres!$C$21)</f>
        <v/>
      </c>
      <c r="I32" s="19"/>
      <c r="J32" s="19"/>
      <c r="K32" s="19"/>
      <c r="L32" s="18" t="str">
        <f>IF($B32="","",SUM(I32:K32))</f>
        <v/>
      </c>
      <c r="M32" s="18" t="str">
        <f>IF($B32="","",H32-L32)</f>
        <v/>
      </c>
      <c r="N32" s="18" t="str">
        <f>IF($B32="","",IF(R32="Ancien",0,Paramètres!$D$21))</f>
        <v/>
      </c>
      <c r="O32" s="19"/>
      <c r="P32" s="18" t="str">
        <f>IF($B32="","",N32-O32)</f>
        <v/>
      </c>
      <c r="Q32" s="21" t="str">
        <f>IF($B32="","",IF(AND(M32&lt;=0,P32&lt;=0),"Soldé","En retard"))</f>
        <v/>
      </c>
      <c r="R32" s="21"/>
    </row>
    <row r="33">
      <c r="A33" s="15"/>
      <c r="B33" s="15"/>
      <c r="C33" s="15"/>
      <c r="D33" s="8"/>
      <c r="E33" s="79"/>
      <c r="F33" s="15"/>
      <c r="G33" s="15"/>
      <c r="H33" s="18" t="str">
        <f>IF($B33="","",Paramètres!$C$21)</f>
        <v/>
      </c>
      <c r="I33" s="19"/>
      <c r="J33" s="19"/>
      <c r="K33" s="19"/>
      <c r="L33" s="18" t="str">
        <f>IF($B33="","",SUM(I33:K33))</f>
        <v/>
      </c>
      <c r="M33" s="18" t="str">
        <f>IF($B33="","",H33-L33)</f>
        <v/>
      </c>
      <c r="N33" s="18" t="str">
        <f>IF($B33="","",IF(R33="Ancien",0,Paramètres!$D$21))</f>
        <v/>
      </c>
      <c r="O33" s="19"/>
      <c r="P33" s="18" t="str">
        <f>IF($B33="","",N33-O33)</f>
        <v/>
      </c>
      <c r="Q33" s="8" t="str">
        <f>IF($B33="","",IF(AND(M33&lt;=0,P33&lt;=0),"Soldé","En retard"))</f>
        <v/>
      </c>
      <c r="R33" s="8"/>
    </row>
    <row r="34">
      <c r="A34" s="20"/>
      <c r="B34" s="20"/>
      <c r="C34" s="20"/>
      <c r="D34" s="21"/>
      <c r="E34" s="77"/>
      <c r="F34" s="20"/>
      <c r="G34" s="20"/>
      <c r="H34" s="18" t="str">
        <f>IF($B34="","",Paramètres!$C$21)</f>
        <v/>
      </c>
      <c r="I34" s="19"/>
      <c r="J34" s="19"/>
      <c r="K34" s="19"/>
      <c r="L34" s="18" t="str">
        <f>IF($B34="","",SUM(I34:K34))</f>
        <v/>
      </c>
      <c r="M34" s="18" t="str">
        <f>IF($B34="","",H34-L34)</f>
        <v/>
      </c>
      <c r="N34" s="18" t="str">
        <f>IF($B34="","",IF(R34="Ancien",0,Paramètres!$D$21))</f>
        <v/>
      </c>
      <c r="O34" s="19"/>
      <c r="P34" s="18" t="str">
        <f>IF($B34="","",N34-O34)</f>
        <v/>
      </c>
      <c r="Q34" s="21" t="str">
        <f>IF($B34="","",IF(AND(M34&lt;=0,P34&lt;=0),"Soldé","En retard"))</f>
        <v/>
      </c>
      <c r="R34" s="21"/>
    </row>
    <row r="35">
      <c r="A35" s="15"/>
      <c r="B35" s="15"/>
      <c r="C35" s="15"/>
      <c r="D35" s="8"/>
      <c r="E35" s="79"/>
      <c r="F35" s="15"/>
      <c r="G35" s="15"/>
      <c r="H35" s="18" t="str">
        <f>IF($B35="","",Paramètres!$C$21)</f>
        <v/>
      </c>
      <c r="I35" s="19"/>
      <c r="J35" s="19"/>
      <c r="K35" s="19"/>
      <c r="L35" s="18" t="str">
        <f>IF($B35="","",SUM(I35:K35))</f>
        <v/>
      </c>
      <c r="M35" s="18" t="str">
        <f>IF($B35="","",H35-L35)</f>
        <v/>
      </c>
      <c r="N35" s="18" t="str">
        <f>IF($B35="","",IF(R35="Ancien",0,Paramètres!$D$21))</f>
        <v/>
      </c>
      <c r="O35" s="19"/>
      <c r="P35" s="18" t="str">
        <f>IF($B35="","",N35-O35)</f>
        <v/>
      </c>
      <c r="Q35" s="8" t="str">
        <f>IF($B35="","",IF(AND(M35&lt;=0,P35&lt;=0),"Soldé","En retard"))</f>
        <v/>
      </c>
      <c r="R35" s="8"/>
    </row>
    <row r="36">
      <c r="A36" s="20"/>
      <c r="B36" s="20"/>
      <c r="C36" s="20"/>
      <c r="D36" s="21"/>
      <c r="E36" s="77"/>
      <c r="F36" s="20"/>
      <c r="G36" s="20"/>
      <c r="H36" s="18" t="str">
        <f>IF($B36="","",Paramètres!$C$21)</f>
        <v/>
      </c>
      <c r="I36" s="19"/>
      <c r="J36" s="19"/>
      <c r="K36" s="19"/>
      <c r="L36" s="18" t="str">
        <f>IF($B36="","",SUM(I36:K36))</f>
        <v/>
      </c>
      <c r="M36" s="18" t="str">
        <f>IF($B36="","",H36-L36)</f>
        <v/>
      </c>
      <c r="N36" s="18" t="str">
        <f>IF($B36="","",IF(R36="Ancien",0,Paramètres!$D$21))</f>
        <v/>
      </c>
      <c r="O36" s="19"/>
      <c r="P36" s="18" t="str">
        <f>IF($B36="","",N36-O36)</f>
        <v/>
      </c>
      <c r="Q36" s="21" t="str">
        <f>IF($B36="","",IF(AND(M36&lt;=0,P36&lt;=0),"Soldé","En retard"))</f>
        <v/>
      </c>
      <c r="R36" s="21"/>
    </row>
    <row r="37">
      <c r="A37" s="15"/>
      <c r="B37" s="15"/>
      <c r="C37" s="15"/>
      <c r="D37" s="8"/>
      <c r="E37" s="79"/>
      <c r="F37" s="15"/>
      <c r="G37" s="15"/>
      <c r="H37" s="18" t="str">
        <f>IF($B37="","",Paramètres!$C$21)</f>
        <v/>
      </c>
      <c r="I37" s="19"/>
      <c r="J37" s="19"/>
      <c r="K37" s="19"/>
      <c r="L37" s="18" t="str">
        <f>IF($B37="","",SUM(I37:K37))</f>
        <v/>
      </c>
      <c r="M37" s="18" t="str">
        <f>IF($B37="","",H37-L37)</f>
        <v/>
      </c>
      <c r="N37" s="18" t="str">
        <f>IF($B37="","",IF(R37="Ancien",0,Paramètres!$D$21))</f>
        <v/>
      </c>
      <c r="O37" s="19"/>
      <c r="P37" s="18" t="str">
        <f>IF($B37="","",N37-O37)</f>
        <v/>
      </c>
      <c r="Q37" s="8" t="str">
        <f>IF($B37="","",IF(AND(M37&lt;=0,P37&lt;=0),"Soldé","En retard"))</f>
        <v/>
      </c>
      <c r="R37" s="8"/>
    </row>
    <row r="38">
      <c r="A38" s="20"/>
      <c r="B38" s="20"/>
      <c r="C38" s="20"/>
      <c r="D38" s="21"/>
      <c r="E38" s="77"/>
      <c r="F38" s="20"/>
      <c r="G38" s="20"/>
      <c r="H38" s="18" t="str">
        <f>IF($B38="","",Paramètres!$C$21)</f>
        <v/>
      </c>
      <c r="I38" s="19"/>
      <c r="J38" s="19"/>
      <c r="K38" s="19"/>
      <c r="L38" s="18" t="str">
        <f>IF($B38="","",SUM(I38:K38))</f>
        <v/>
      </c>
      <c r="M38" s="18" t="str">
        <f>IF($B38="","",H38-L38)</f>
        <v/>
      </c>
      <c r="N38" s="18" t="str">
        <f>IF($B38="","",IF(R38="Ancien",0,Paramètres!$D$21))</f>
        <v/>
      </c>
      <c r="O38" s="19"/>
      <c r="P38" s="18" t="str">
        <f>IF($B38="","",N38-O38)</f>
        <v/>
      </c>
      <c r="Q38" s="21" t="str">
        <f>IF($B38="","",IF(AND(M38&lt;=0,P38&lt;=0),"Soldé","En retard"))</f>
        <v/>
      </c>
      <c r="R38" s="21"/>
    </row>
    <row r="39">
      <c r="A39" s="15"/>
      <c r="B39" s="15"/>
      <c r="C39" s="15"/>
      <c r="D39" s="8"/>
      <c r="E39" s="79"/>
      <c r="F39" s="15"/>
      <c r="G39" s="15"/>
      <c r="H39" s="18" t="str">
        <f>IF($B39="","",Paramètres!$C$21)</f>
        <v/>
      </c>
      <c r="I39" s="19"/>
      <c r="J39" s="19"/>
      <c r="K39" s="19"/>
      <c r="L39" s="18" t="str">
        <f>IF($B39="","",SUM(I39:K39))</f>
        <v/>
      </c>
      <c r="M39" s="18" t="str">
        <f>IF($B39="","",H39-L39)</f>
        <v/>
      </c>
      <c r="N39" s="18" t="str">
        <f>IF($B39="","",IF(R39="Ancien",0,Paramètres!$D$21))</f>
        <v/>
      </c>
      <c r="O39" s="19"/>
      <c r="P39" s="18" t="str">
        <f>IF($B39="","",N39-O39)</f>
        <v/>
      </c>
      <c r="Q39" s="8" t="str">
        <f>IF($B39="","",IF(AND(M39&lt;=0,P39&lt;=0),"Soldé","En retard"))</f>
        <v/>
      </c>
      <c r="R39" s="8"/>
    </row>
    <row r="40">
      <c r="A40" s="20"/>
      <c r="B40" s="20"/>
      <c r="C40" s="20"/>
      <c r="D40" s="21"/>
      <c r="E40" s="77"/>
      <c r="F40" s="20"/>
      <c r="G40" s="20"/>
      <c r="H40" s="18" t="str">
        <f>IF($B40="","",Paramètres!$C$21)</f>
        <v/>
      </c>
      <c r="I40" s="19"/>
      <c r="J40" s="19"/>
      <c r="K40" s="19"/>
      <c r="L40" s="18" t="str">
        <f>IF($B40="","",SUM(I40:K40))</f>
        <v/>
      </c>
      <c r="M40" s="18" t="str">
        <f>IF($B40="","",H40-L40)</f>
        <v/>
      </c>
      <c r="N40" s="18" t="str">
        <f>IF($B40="","",IF(R40="Ancien",0,Paramètres!$D$21))</f>
        <v/>
      </c>
      <c r="O40" s="19"/>
      <c r="P40" s="18" t="str">
        <f>IF($B40="","",N40-O40)</f>
        <v/>
      </c>
      <c r="Q40" s="21" t="str">
        <f>IF($B40="","",IF(AND(M40&lt;=0,P40&lt;=0),"Soldé","En retard"))</f>
        <v/>
      </c>
      <c r="R40" s="21"/>
    </row>
    <row r="41">
      <c r="A41" s="15"/>
      <c r="B41" s="15"/>
      <c r="C41" s="15"/>
      <c r="D41" s="8"/>
      <c r="E41" s="79"/>
      <c r="F41" s="15"/>
      <c r="G41" s="15"/>
      <c r="H41" s="18" t="str">
        <f>IF($B41="","",Paramètres!$C$21)</f>
        <v/>
      </c>
      <c r="I41" s="19"/>
      <c r="J41" s="19"/>
      <c r="K41" s="19"/>
      <c r="L41" s="18" t="str">
        <f>IF($B41="","",SUM(I41:K41))</f>
        <v/>
      </c>
      <c r="M41" s="18" t="str">
        <f>IF($B41="","",H41-L41)</f>
        <v/>
      </c>
      <c r="N41" s="18" t="str">
        <f>IF($B41="","",IF(R41="Ancien",0,Paramètres!$D$21))</f>
        <v/>
      </c>
      <c r="O41" s="19"/>
      <c r="P41" s="18" t="str">
        <f>IF($B41="","",N41-O41)</f>
        <v/>
      </c>
      <c r="Q41" s="8" t="str">
        <f>IF($B41="","",IF(AND(M41&lt;=0,P41&lt;=0),"Soldé","En retard"))</f>
        <v/>
      </c>
      <c r="R41" s="8"/>
    </row>
    <row r="42">
      <c r="A42" s="20"/>
      <c r="B42" s="20"/>
      <c r="C42" s="20"/>
      <c r="D42" s="21"/>
      <c r="E42" s="77"/>
      <c r="F42" s="20"/>
      <c r="G42" s="20"/>
      <c r="H42" s="18" t="str">
        <f>IF($B42="","",Paramètres!$C$21)</f>
        <v/>
      </c>
      <c r="I42" s="19"/>
      <c r="J42" s="19"/>
      <c r="K42" s="19"/>
      <c r="L42" s="18" t="str">
        <f>IF($B42="","",SUM(I42:K42))</f>
        <v/>
      </c>
      <c r="M42" s="18" t="str">
        <f>IF($B42="","",H42-L42)</f>
        <v/>
      </c>
      <c r="N42" s="18" t="str">
        <f>IF($B42="","",IF(R42="Ancien",0,Paramètres!$D$21))</f>
        <v/>
      </c>
      <c r="O42" s="19"/>
      <c r="P42" s="18" t="str">
        <f>IF($B42="","",N42-O42)</f>
        <v/>
      </c>
      <c r="Q42" s="21" t="str">
        <f>IF($B42="","",IF(AND(M42&lt;=0,P42&lt;=0),"Soldé","En retard"))</f>
        <v/>
      </c>
      <c r="R42" s="21"/>
    </row>
    <row r="43">
      <c r="A43" s="15"/>
      <c r="B43" s="15"/>
      <c r="C43" s="15"/>
      <c r="D43" s="8"/>
      <c r="E43" s="79"/>
      <c r="F43" s="15"/>
      <c r="G43" s="15"/>
      <c r="H43" s="18" t="str">
        <f>IF($B43="","",Paramètres!$C$21)</f>
        <v/>
      </c>
      <c r="I43" s="19"/>
      <c r="J43" s="19"/>
      <c r="K43" s="19"/>
      <c r="L43" s="18" t="str">
        <f>IF($B43="","",SUM(I43:K43))</f>
        <v/>
      </c>
      <c r="M43" s="18" t="str">
        <f>IF($B43="","",H43-L43)</f>
        <v/>
      </c>
      <c r="N43" s="18" t="str">
        <f>IF($B43="","",IF(R43="Ancien",0,Paramètres!$D$21))</f>
        <v/>
      </c>
      <c r="O43" s="19"/>
      <c r="P43" s="18" t="str">
        <f>IF($B43="","",N43-O43)</f>
        <v/>
      </c>
      <c r="Q43" s="8" t="str">
        <f>IF($B43="","",IF(AND(M43&lt;=0,P43&lt;=0),"Soldé","En retard"))</f>
        <v/>
      </c>
      <c r="R43" s="8"/>
    </row>
    <row r="44">
      <c r="A44" s="20"/>
      <c r="B44" s="20"/>
      <c r="C44" s="20"/>
      <c r="D44" s="21"/>
      <c r="E44" s="77"/>
      <c r="F44" s="20"/>
      <c r="G44" s="20"/>
      <c r="H44" s="18" t="str">
        <f>IF($B44="","",Paramètres!$C$21)</f>
        <v/>
      </c>
      <c r="I44" s="19"/>
      <c r="J44" s="19"/>
      <c r="K44" s="19"/>
      <c r="L44" s="18" t="str">
        <f>IF($B44="","",SUM(I44:K44))</f>
        <v/>
      </c>
      <c r="M44" s="18" t="str">
        <f>IF($B44="","",H44-L44)</f>
        <v/>
      </c>
      <c r="N44" s="18" t="str">
        <f>IF($B44="","",IF(R44="Ancien",0,Paramètres!$D$21))</f>
        <v/>
      </c>
      <c r="O44" s="19"/>
      <c r="P44" s="18" t="str">
        <f>IF($B44="","",N44-O44)</f>
        <v/>
      </c>
      <c r="Q44" s="21" t="str">
        <f>IF($B44="","",IF(AND(M44&lt;=0,P44&lt;=0),"Soldé","En retard"))</f>
        <v/>
      </c>
      <c r="R44" s="21"/>
    </row>
    <row r="45">
      <c r="A45" s="15"/>
      <c r="B45" s="15"/>
      <c r="C45" s="15"/>
      <c r="D45" s="8"/>
      <c r="E45" s="79"/>
      <c r="F45" s="15"/>
      <c r="G45" s="15"/>
      <c r="H45" s="18" t="str">
        <f>IF($B45="","",Paramètres!$C$21)</f>
        <v/>
      </c>
      <c r="I45" s="19"/>
      <c r="J45" s="19"/>
      <c r="K45" s="19"/>
      <c r="L45" s="18" t="str">
        <f>IF($B45="","",SUM(I45:K45))</f>
        <v/>
      </c>
      <c r="M45" s="18" t="str">
        <f>IF($B45="","",H45-L45)</f>
        <v/>
      </c>
      <c r="N45" s="18" t="str">
        <f>IF($B45="","",IF(R45="Ancien",0,Paramètres!$D$21))</f>
        <v/>
      </c>
      <c r="O45" s="19"/>
      <c r="P45" s="18" t="str">
        <f>IF($B45="","",N45-O45)</f>
        <v/>
      </c>
      <c r="Q45" s="8" t="str">
        <f>IF($B45="","",IF(AND(M45&lt;=0,P45&lt;=0),"Soldé","En retard"))</f>
        <v/>
      </c>
      <c r="R45" s="8"/>
    </row>
    <row r="46">
      <c r="A46" s="20"/>
      <c r="B46" s="20"/>
      <c r="C46" s="20"/>
      <c r="D46" s="21"/>
      <c r="E46" s="77"/>
      <c r="F46" s="20"/>
      <c r="G46" s="20"/>
      <c r="H46" s="18" t="str">
        <f>IF($B46="","",Paramètres!$C$21)</f>
        <v/>
      </c>
      <c r="I46" s="19"/>
      <c r="J46" s="19"/>
      <c r="K46" s="19"/>
      <c r="L46" s="18" t="str">
        <f>IF($B46="","",SUM(I46:K46))</f>
        <v/>
      </c>
      <c r="M46" s="18" t="str">
        <f>IF($B46="","",H46-L46)</f>
        <v/>
      </c>
      <c r="N46" s="18" t="str">
        <f>IF($B46="","",IF(R46="Ancien",0,Paramètres!$D$21))</f>
        <v/>
      </c>
      <c r="O46" s="19"/>
      <c r="P46" s="18" t="str">
        <f>IF($B46="","",N46-O46)</f>
        <v/>
      </c>
      <c r="Q46" s="21" t="str">
        <f>IF($B46="","",IF(AND(M46&lt;=0,P46&lt;=0),"Soldé","En retard"))</f>
        <v/>
      </c>
      <c r="R46" s="21"/>
    </row>
    <row r="47">
      <c r="A47" s="15"/>
      <c r="B47" s="15"/>
      <c r="C47" s="15"/>
      <c r="D47" s="8"/>
      <c r="E47" s="79"/>
      <c r="F47" s="15"/>
      <c r="G47" s="15"/>
      <c r="H47" s="18" t="str">
        <f>IF($B47="","",Paramètres!$C$21)</f>
        <v/>
      </c>
      <c r="I47" s="19"/>
      <c r="J47" s="19"/>
      <c r="K47" s="19"/>
      <c r="L47" s="18" t="str">
        <f>IF($B47="","",SUM(I47:K47))</f>
        <v/>
      </c>
      <c r="M47" s="18" t="str">
        <f>IF($B47="","",H47-L47)</f>
        <v/>
      </c>
      <c r="N47" s="18" t="str">
        <f>IF($B47="","",IF(R47="Ancien",0,Paramètres!$D$21))</f>
        <v/>
      </c>
      <c r="O47" s="19"/>
      <c r="P47" s="18" t="str">
        <f>IF($B47="","",N47-O47)</f>
        <v/>
      </c>
      <c r="Q47" s="8" t="str">
        <f>IF($B47="","",IF(AND(M47&lt;=0,P47&lt;=0),"Soldé","En retard"))</f>
        <v/>
      </c>
      <c r="R47" s="8"/>
    </row>
    <row r="48">
      <c r="A48" s="20"/>
      <c r="B48" s="20"/>
      <c r="C48" s="20"/>
      <c r="D48" s="21"/>
      <c r="E48" s="77"/>
      <c r="F48" s="20"/>
      <c r="G48" s="20"/>
      <c r="H48" s="18" t="str">
        <f>IF($B48="","",Paramètres!$C$21)</f>
        <v/>
      </c>
      <c r="I48" s="19"/>
      <c r="J48" s="19"/>
      <c r="K48" s="19"/>
      <c r="L48" s="18" t="str">
        <f>IF($B48="","",SUM(I48:K48))</f>
        <v/>
      </c>
      <c r="M48" s="18" t="str">
        <f>IF($B48="","",H48-L48)</f>
        <v/>
      </c>
      <c r="N48" s="18" t="str">
        <f>IF($B48="","",IF(R48="Ancien",0,Paramètres!$D$21))</f>
        <v/>
      </c>
      <c r="O48" s="19"/>
      <c r="P48" s="18" t="str">
        <f>IF($B48="","",N48-O48)</f>
        <v/>
      </c>
      <c r="Q48" s="21" t="str">
        <f>IF($B48="","",IF(AND(M48&lt;=0,P48&lt;=0),"Soldé","En retard"))</f>
        <v/>
      </c>
      <c r="R48" s="21"/>
    </row>
    <row r="49">
      <c r="A49" s="15"/>
      <c r="B49" s="15"/>
      <c r="C49" s="15"/>
      <c r="D49" s="8"/>
      <c r="E49" s="79"/>
      <c r="F49" s="15"/>
      <c r="G49" s="15"/>
      <c r="H49" s="18" t="str">
        <f>IF($B49="","",Paramètres!$C$21)</f>
        <v/>
      </c>
      <c r="I49" s="19"/>
      <c r="J49" s="19"/>
      <c r="K49" s="19"/>
      <c r="L49" s="18" t="str">
        <f>IF($B49="","",SUM(I49:K49))</f>
        <v/>
      </c>
      <c r="M49" s="18" t="str">
        <f>IF($B49="","",H49-L49)</f>
        <v/>
      </c>
      <c r="N49" s="18" t="str">
        <f>IF($B49="","",IF(R49="Ancien",0,Paramètres!$D$21))</f>
        <v/>
      </c>
      <c r="O49" s="19"/>
      <c r="P49" s="18" t="str">
        <f>IF($B49="","",N49-O49)</f>
        <v/>
      </c>
      <c r="Q49" s="8" t="str">
        <f>IF($B49="","",IF(AND(M49&lt;=0,P49&lt;=0),"Soldé","En retard"))</f>
        <v/>
      </c>
      <c r="R49" s="8"/>
    </row>
    <row r="50">
      <c r="A50" s="20"/>
      <c r="B50" s="20"/>
      <c r="C50" s="20"/>
      <c r="D50" s="21"/>
      <c r="E50" s="77"/>
      <c r="F50" s="20"/>
      <c r="G50" s="20"/>
      <c r="H50" s="18" t="str">
        <f>IF($B50="","",Paramètres!$C$21)</f>
        <v/>
      </c>
      <c r="I50" s="19"/>
      <c r="J50" s="19"/>
      <c r="K50" s="19"/>
      <c r="L50" s="18" t="str">
        <f>IF($B50="","",SUM(I50:K50))</f>
        <v/>
      </c>
      <c r="M50" s="18" t="str">
        <f>IF($B50="","",H50-L50)</f>
        <v/>
      </c>
      <c r="N50" s="18" t="str">
        <f>IF($B50="","",IF(R50="Ancien",0,Paramètres!$D$21))</f>
        <v/>
      </c>
      <c r="O50" s="19"/>
      <c r="P50" s="18" t="str">
        <f>IF($B50="","",N50-O50)</f>
        <v/>
      </c>
      <c r="Q50" s="21" t="str">
        <f>IF($B50="","",IF(AND(M50&lt;=0,P50&lt;=0),"Soldé","En retard"))</f>
        <v/>
      </c>
      <c r="R50" s="21"/>
    </row>
    <row r="51">
      <c r="A51" s="15"/>
      <c r="B51" s="15"/>
      <c r="C51" s="15"/>
      <c r="D51" s="8"/>
      <c r="E51" s="79"/>
      <c r="F51" s="15"/>
      <c r="G51" s="15"/>
      <c r="H51" s="18" t="str">
        <f>IF($B51="","",Paramètres!$C$21)</f>
        <v/>
      </c>
      <c r="I51" s="19"/>
      <c r="J51" s="19"/>
      <c r="K51" s="19"/>
      <c r="L51" s="18" t="str">
        <f>IF($B51="","",SUM(I51:K51))</f>
        <v/>
      </c>
      <c r="M51" s="18" t="str">
        <f>IF($B51="","",H51-L51)</f>
        <v/>
      </c>
      <c r="N51" s="18" t="str">
        <f>IF($B51="","",IF(R51="Ancien",0,Paramètres!$D$21))</f>
        <v/>
      </c>
      <c r="O51" s="19"/>
      <c r="P51" s="18" t="str">
        <f>IF($B51="","",N51-O51)</f>
        <v/>
      </c>
      <c r="Q51" s="8" t="str">
        <f>IF($B51="","",IF(AND(M51&lt;=0,P51&lt;=0),"Soldé","En retard"))</f>
        <v/>
      </c>
      <c r="R51" s="8"/>
    </row>
    <row r="52">
      <c r="A52" s="20"/>
      <c r="B52" s="20"/>
      <c r="C52" s="20"/>
      <c r="D52" s="21"/>
      <c r="E52" s="77"/>
      <c r="F52" s="20"/>
      <c r="G52" s="20"/>
      <c r="H52" s="18" t="str">
        <f>IF($B52="","",Paramètres!$C$21)</f>
        <v/>
      </c>
      <c r="I52" s="19"/>
      <c r="J52" s="19"/>
      <c r="K52" s="19"/>
      <c r="L52" s="18" t="str">
        <f>IF($B52="","",SUM(I52:K52))</f>
        <v/>
      </c>
      <c r="M52" s="18" t="str">
        <f>IF($B52="","",H52-L52)</f>
        <v/>
      </c>
      <c r="N52" s="18" t="str">
        <f>IF($B52="","",IF(R52="Ancien",0,Paramètres!$D$21))</f>
        <v/>
      </c>
      <c r="O52" s="19"/>
      <c r="P52" s="18" t="str">
        <f>IF($B52="","",N52-O52)</f>
        <v/>
      </c>
      <c r="Q52" s="21" t="str">
        <f>IF($B52="","",IF(AND(M52&lt;=0,P52&lt;=0),"Soldé","En retard"))</f>
        <v/>
      </c>
      <c r="R52" s="21"/>
    </row>
    <row r="53">
      <c r="A53" s="15"/>
      <c r="B53" s="15"/>
      <c r="C53" s="15"/>
      <c r="D53" s="8"/>
      <c r="E53" s="79"/>
      <c r="F53" s="15"/>
      <c r="G53" s="15"/>
      <c r="H53" s="18" t="str">
        <f>IF($B53="","",Paramètres!$C$21)</f>
        <v/>
      </c>
      <c r="I53" s="19"/>
      <c r="J53" s="19"/>
      <c r="K53" s="19"/>
      <c r="L53" s="18" t="str">
        <f>IF($B53="","",SUM(I53:K53))</f>
        <v/>
      </c>
      <c r="M53" s="18" t="str">
        <f>IF($B53="","",H53-L53)</f>
        <v/>
      </c>
      <c r="N53" s="18" t="str">
        <f>IF($B53="","",IF(R53="Ancien",0,Paramètres!$D$21))</f>
        <v/>
      </c>
      <c r="O53" s="19"/>
      <c r="P53" s="18" t="str">
        <f>IF($B53="","",N53-O53)</f>
        <v/>
      </c>
      <c r="Q53" s="8" t="str">
        <f>IF($B53="","",IF(AND(M53&lt;=0,P53&lt;=0),"Soldé","En retard"))</f>
        <v/>
      </c>
      <c r="R53" s="8"/>
    </row>
    <row r="54">
      <c r="A54" s="20"/>
      <c r="B54" s="20"/>
      <c r="C54" s="20"/>
      <c r="D54" s="21"/>
      <c r="E54" s="77"/>
      <c r="F54" s="20"/>
      <c r="G54" s="20"/>
      <c r="H54" s="18" t="str">
        <f>IF($B54="","",Paramètres!$C$21)</f>
        <v/>
      </c>
      <c r="I54" s="19"/>
      <c r="J54" s="19"/>
      <c r="K54" s="19"/>
      <c r="L54" s="18" t="str">
        <f>IF($B54="","",SUM(I54:K54))</f>
        <v/>
      </c>
      <c r="M54" s="18" t="str">
        <f>IF($B54="","",H54-L54)</f>
        <v/>
      </c>
      <c r="N54" s="18" t="str">
        <f>IF($B54="","",IF(R54="Ancien",0,Paramètres!$D$21))</f>
        <v/>
      </c>
      <c r="O54" s="19"/>
      <c r="P54" s="18" t="str">
        <f>IF($B54="","",N54-O54)</f>
        <v/>
      </c>
      <c r="Q54" s="21" t="str">
        <f>IF($B54="","",IF(AND(M54&lt;=0,P54&lt;=0),"Soldé","En retard"))</f>
        <v/>
      </c>
      <c r="R54" s="21"/>
    </row>
    <row r="55">
      <c r="A55" s="15"/>
      <c r="B55" s="15"/>
      <c r="C55" s="15"/>
      <c r="D55" s="8"/>
      <c r="E55" s="79"/>
      <c r="F55" s="15"/>
      <c r="G55" s="15"/>
      <c r="H55" s="18" t="str">
        <f>IF($B55="","",Paramètres!$C$21)</f>
        <v/>
      </c>
      <c r="I55" s="19"/>
      <c r="J55" s="19"/>
      <c r="K55" s="19"/>
      <c r="L55" s="18" t="str">
        <f>IF($B55="","",SUM(I55:K55))</f>
        <v/>
      </c>
      <c r="M55" s="18" t="str">
        <f>IF($B55="","",H55-L55)</f>
        <v/>
      </c>
      <c r="N55" s="18" t="str">
        <f>IF($B55="","",IF(R55="Ancien",0,Paramètres!$D$21))</f>
        <v/>
      </c>
      <c r="O55" s="19"/>
      <c r="P55" s="18" t="str">
        <f>IF($B55="","",N55-O55)</f>
        <v/>
      </c>
      <c r="Q55" s="8" t="str">
        <f>IF($B55="","",IF(AND(M55&lt;=0,P55&lt;=0),"Soldé","En retard"))</f>
        <v/>
      </c>
      <c r="R55" s="8"/>
    </row>
    <row r="56">
      <c r="A56" s="20"/>
      <c r="B56" s="20"/>
      <c r="C56" s="20"/>
      <c r="D56" s="21"/>
      <c r="E56" s="77"/>
      <c r="F56" s="20"/>
      <c r="G56" s="20"/>
      <c r="H56" s="18" t="str">
        <f>IF($B56="","",Paramètres!$C$21)</f>
        <v/>
      </c>
      <c r="I56" s="19"/>
      <c r="J56" s="19"/>
      <c r="K56" s="19"/>
      <c r="L56" s="18" t="str">
        <f>IF($B56="","",SUM(I56:K56))</f>
        <v/>
      </c>
      <c r="M56" s="18" t="str">
        <f>IF($B56="","",H56-L56)</f>
        <v/>
      </c>
      <c r="N56" s="18" t="str">
        <f>IF($B56="","",IF(R56="Ancien",0,Paramètres!$D$21))</f>
        <v/>
      </c>
      <c r="O56" s="19"/>
      <c r="P56" s="18" t="str">
        <f>IF($B56="","",N56-O56)</f>
        <v/>
      </c>
      <c r="Q56" s="21" t="str">
        <f>IF($B56="","",IF(AND(M56&lt;=0,P56&lt;=0),"Soldé","En retard"))</f>
        <v/>
      </c>
      <c r="R56" s="21"/>
    </row>
    <row r="57">
      <c r="A57" s="15"/>
      <c r="B57" s="15"/>
      <c r="C57" s="15"/>
      <c r="D57" s="8"/>
      <c r="E57" s="79"/>
      <c r="F57" s="15"/>
      <c r="G57" s="15"/>
      <c r="H57" s="18" t="str">
        <f>IF($B57="","",Paramètres!$C$21)</f>
        <v/>
      </c>
      <c r="I57" s="19"/>
      <c r="J57" s="19"/>
      <c r="K57" s="19"/>
      <c r="L57" s="18" t="str">
        <f>IF($B57="","",SUM(I57:K57))</f>
        <v/>
      </c>
      <c r="M57" s="18" t="str">
        <f>IF($B57="","",H57-L57)</f>
        <v/>
      </c>
      <c r="N57" s="18" t="str">
        <f>IF($B57="","",IF(R57="Ancien",0,Paramètres!$D$21))</f>
        <v/>
      </c>
      <c r="O57" s="19"/>
      <c r="P57" s="18" t="str">
        <f>IF($B57="","",N57-O57)</f>
        <v/>
      </c>
      <c r="Q57" s="8" t="str">
        <f>IF($B57="","",IF(AND(M57&lt;=0,P57&lt;=0),"Soldé","En retard"))</f>
        <v/>
      </c>
      <c r="R57" s="8"/>
    </row>
    <row r="58">
      <c r="A58" s="20"/>
      <c r="B58" s="20"/>
      <c r="C58" s="20"/>
      <c r="D58" s="21"/>
      <c r="E58" s="77"/>
      <c r="F58" s="20"/>
      <c r="G58" s="20"/>
      <c r="H58" s="18" t="str">
        <f>IF($B58="","",Paramètres!$C$21)</f>
        <v/>
      </c>
      <c r="I58" s="19"/>
      <c r="J58" s="19"/>
      <c r="K58" s="19"/>
      <c r="L58" s="18" t="str">
        <f>IF($B58="","",SUM(I58:K58))</f>
        <v/>
      </c>
      <c r="M58" s="18" t="str">
        <f>IF($B58="","",H58-L58)</f>
        <v/>
      </c>
      <c r="N58" s="18" t="str">
        <f>IF($B58="","",IF(R58="Ancien",0,Paramètres!$D$21))</f>
        <v/>
      </c>
      <c r="O58" s="19"/>
      <c r="P58" s="18" t="str">
        <f>IF($B58="","",N58-O58)</f>
        <v/>
      </c>
      <c r="Q58" s="21" t="str">
        <f>IF($B58="","",IF(AND(M58&lt;=0,P58&lt;=0),"Soldé","En retard"))</f>
        <v/>
      </c>
      <c r="R58" s="21"/>
    </row>
    <row r="59">
      <c r="A59" s="15"/>
      <c r="B59" s="15"/>
      <c r="C59" s="15"/>
      <c r="D59" s="8"/>
      <c r="E59" s="79"/>
      <c r="F59" s="15"/>
      <c r="G59" s="15"/>
      <c r="H59" s="18" t="str">
        <f>IF($B59="","",Paramètres!$C$21)</f>
        <v/>
      </c>
      <c r="I59" s="19"/>
      <c r="J59" s="19"/>
      <c r="K59" s="19"/>
      <c r="L59" s="18" t="str">
        <f>IF($B59="","",SUM(I59:K59))</f>
        <v/>
      </c>
      <c r="M59" s="18" t="str">
        <f>IF($B59="","",H59-L59)</f>
        <v/>
      </c>
      <c r="N59" s="18" t="str">
        <f>IF($B59="","",IF(R59="Ancien",0,Paramètres!$D$21))</f>
        <v/>
      </c>
      <c r="O59" s="19"/>
      <c r="P59" s="18" t="str">
        <f>IF($B59="","",N59-O59)</f>
        <v/>
      </c>
      <c r="Q59" s="8" t="str">
        <f>IF($B59="","",IF(AND(M59&lt;=0,P59&lt;=0),"Soldé","En retard"))</f>
        <v/>
      </c>
      <c r="R59" s="8"/>
    </row>
    <row r="60">
      <c r="A60" s="20"/>
      <c r="B60" s="20"/>
      <c r="C60" s="20"/>
      <c r="D60" s="21"/>
      <c r="E60" s="77"/>
      <c r="F60" s="20"/>
      <c r="G60" s="20"/>
      <c r="H60" s="18" t="str">
        <f>IF($B60="","",Paramètres!$C$21)</f>
        <v/>
      </c>
      <c r="I60" s="19"/>
      <c r="J60" s="19"/>
      <c r="K60" s="19"/>
      <c r="L60" s="18" t="str">
        <f>IF($B60="","",SUM(I60:K60))</f>
        <v/>
      </c>
      <c r="M60" s="18" t="str">
        <f>IF($B60="","",H60-L60)</f>
        <v/>
      </c>
      <c r="N60" s="18" t="str">
        <f>IF($B60="","",IF(R60="Ancien",0,Paramètres!$D$21))</f>
        <v/>
      </c>
      <c r="O60" s="19"/>
      <c r="P60" s="18" t="str">
        <f>IF($B60="","",N60-O60)</f>
        <v/>
      </c>
      <c r="Q60" s="21" t="str">
        <f>IF($B60="","",IF(AND(M60&lt;=0,P60&lt;=0),"Soldé","En retard"))</f>
        <v/>
      </c>
      <c r="R60" s="21"/>
    </row>
    <row r="61">
      <c r="A61" s="15"/>
      <c r="B61" s="15"/>
      <c r="C61" s="15"/>
      <c r="D61" s="8"/>
      <c r="E61" s="79"/>
      <c r="F61" s="15"/>
      <c r="G61" s="15"/>
      <c r="H61" s="18" t="str">
        <f>IF($B61="","",Paramètres!$C$21)</f>
        <v/>
      </c>
      <c r="I61" s="19"/>
      <c r="J61" s="19"/>
      <c r="K61" s="19"/>
      <c r="L61" s="18" t="str">
        <f>IF($B61="","",SUM(I61:K61))</f>
        <v/>
      </c>
      <c r="M61" s="18" t="str">
        <f>IF($B61="","",H61-L61)</f>
        <v/>
      </c>
      <c r="N61" s="18" t="str">
        <f>IF($B61="","",IF(R61="Ancien",0,Paramètres!$D$21))</f>
        <v/>
      </c>
      <c r="O61" s="19"/>
      <c r="P61" s="18" t="str">
        <f>IF($B61="","",N61-O61)</f>
        <v/>
      </c>
      <c r="Q61" s="8" t="str">
        <f>IF($B61="","",IF(AND(M61&lt;=0,P61&lt;=0),"Soldé","En retard"))</f>
        <v/>
      </c>
      <c r="R61" s="8"/>
    </row>
    <row r="62">
      <c r="A62" s="20"/>
      <c r="B62" s="20"/>
      <c r="C62" s="20"/>
      <c r="D62" s="21"/>
      <c r="E62" s="77"/>
      <c r="F62" s="20"/>
      <c r="G62" s="20"/>
      <c r="H62" s="18" t="str">
        <f>IF($B62="","",Paramètres!$C$21)</f>
        <v/>
      </c>
      <c r="I62" s="19"/>
      <c r="J62" s="19"/>
      <c r="K62" s="19"/>
      <c r="L62" s="18" t="str">
        <f>IF($B62="","",SUM(I62:K62))</f>
        <v/>
      </c>
      <c r="M62" s="18" t="str">
        <f>IF($B62="","",H62-L62)</f>
        <v/>
      </c>
      <c r="N62" s="18" t="str">
        <f>IF($B62="","",IF(R62="Ancien",0,Paramètres!$D$21))</f>
        <v/>
      </c>
      <c r="O62" s="19"/>
      <c r="P62" s="18" t="str">
        <f>IF($B62="","",N62-O62)</f>
        <v/>
      </c>
      <c r="Q62" s="21" t="str">
        <f>IF($B62="","",IF(AND(M62&lt;=0,P62&lt;=0),"Soldé","En retard"))</f>
        <v/>
      </c>
      <c r="R62" s="21"/>
    </row>
    <row r="63">
      <c r="A63" s="15"/>
      <c r="B63" s="15"/>
      <c r="C63" s="15"/>
      <c r="D63" s="8"/>
      <c r="E63" s="79"/>
      <c r="F63" s="15"/>
      <c r="G63" s="15"/>
      <c r="H63" s="18" t="str">
        <f>IF($B63="","",Paramètres!$C$21)</f>
        <v/>
      </c>
      <c r="I63" s="19"/>
      <c r="J63" s="19"/>
      <c r="K63" s="19"/>
      <c r="L63" s="18" t="str">
        <f>IF($B63="","",SUM(I63:K63))</f>
        <v/>
      </c>
      <c r="M63" s="18" t="str">
        <f>IF($B63="","",H63-L63)</f>
        <v/>
      </c>
      <c r="N63" s="18" t="str">
        <f>IF($B63="","",IF(R63="Ancien",0,Paramètres!$D$21))</f>
        <v/>
      </c>
      <c r="O63" s="19"/>
      <c r="P63" s="18" t="str">
        <f>IF($B63="","",N63-O63)</f>
        <v/>
      </c>
      <c r="Q63" s="8" t="str">
        <f>IF($B63="","",IF(AND(M63&lt;=0,P63&lt;=0),"Soldé","En retard"))</f>
        <v/>
      </c>
      <c r="R63" s="8"/>
    </row>
    <row r="64">
      <c r="A64" s="20"/>
      <c r="B64" s="20"/>
      <c r="C64" s="20"/>
      <c r="D64" s="21"/>
      <c r="E64" s="77"/>
      <c r="F64" s="20"/>
      <c r="G64" s="20"/>
      <c r="H64" s="18" t="str">
        <f>IF($B64="","",Paramètres!$C$21)</f>
        <v/>
      </c>
      <c r="I64" s="19"/>
      <c r="J64" s="19"/>
      <c r="K64" s="19"/>
      <c r="L64" s="18" t="str">
        <f>IF($B64="","",SUM(I64:K64))</f>
        <v/>
      </c>
      <c r="M64" s="18" t="str">
        <f>IF($B64="","",H64-L64)</f>
        <v/>
      </c>
      <c r="N64" s="18" t="str">
        <f>IF($B64="","",IF(R64="Ancien",0,Paramètres!$D$21))</f>
        <v/>
      </c>
      <c r="O64" s="19"/>
      <c r="P64" s="18" t="str">
        <f>IF($B64="","",N64-O64)</f>
        <v/>
      </c>
      <c r="Q64" s="21" t="str">
        <f>IF($B64="","",IF(AND(M64&lt;=0,P64&lt;=0),"Soldé","En retard"))</f>
        <v/>
      </c>
      <c r="R64" s="21"/>
    </row>
    <row r="65">
      <c r="A65" s="15"/>
      <c r="B65" s="15"/>
      <c r="C65" s="15"/>
      <c r="D65" s="8"/>
      <c r="E65" s="79"/>
      <c r="F65" s="15"/>
      <c r="G65" s="15"/>
      <c r="H65" s="18" t="str">
        <f>IF($B65="","",Paramètres!$C$21)</f>
        <v/>
      </c>
      <c r="I65" s="19"/>
      <c r="J65" s="19"/>
      <c r="K65" s="19"/>
      <c r="L65" s="18" t="str">
        <f>IF($B65="","",SUM(I65:K65))</f>
        <v/>
      </c>
      <c r="M65" s="18" t="str">
        <f>IF($B65="","",H65-L65)</f>
        <v/>
      </c>
      <c r="N65" s="18" t="str">
        <f>IF($B65="","",IF(R65="Ancien",0,Paramètres!$D$21))</f>
        <v/>
      </c>
      <c r="O65" s="19"/>
      <c r="P65" s="18" t="str">
        <f>IF($B65="","",N65-O65)</f>
        <v/>
      </c>
      <c r="Q65" s="8" t="str">
        <f>IF($B65="","",IF(AND(M65&lt;=0,P65&lt;=0),"Soldé","En retard"))</f>
        <v/>
      </c>
      <c r="R65" s="8"/>
    </row>
    <row r="66">
      <c r="A66" s="20"/>
      <c r="B66" s="20"/>
      <c r="C66" s="20"/>
      <c r="D66" s="21"/>
      <c r="E66" s="77"/>
      <c r="F66" s="20"/>
      <c r="G66" s="20"/>
      <c r="H66" s="18" t="str">
        <f>IF($B66="","",Paramètres!$C$21)</f>
        <v/>
      </c>
      <c r="I66" s="19"/>
      <c r="J66" s="19"/>
      <c r="K66" s="19"/>
      <c r="L66" s="18" t="str">
        <f>IF($B66="","",SUM(I66:K66))</f>
        <v/>
      </c>
      <c r="M66" s="18" t="str">
        <f>IF($B66="","",H66-L66)</f>
        <v/>
      </c>
      <c r="N66" s="18" t="str">
        <f>IF($B66="","",IF(R66="Ancien",0,Paramètres!$D$21))</f>
        <v/>
      </c>
      <c r="O66" s="19"/>
      <c r="P66" s="18" t="str">
        <f>IF($B66="","",N66-O66)</f>
        <v/>
      </c>
      <c r="Q66" s="21" t="str">
        <f>IF($B66="","",IF(AND(M66&lt;=0,P66&lt;=0),"Soldé","En retard"))</f>
        <v/>
      </c>
      <c r="R66" s="21"/>
    </row>
    <row r="67">
      <c r="A67" s="15"/>
      <c r="B67" s="15"/>
      <c r="C67" s="15"/>
      <c r="D67" s="8"/>
      <c r="E67" s="79"/>
      <c r="F67" s="15"/>
      <c r="G67" s="15"/>
      <c r="H67" s="18" t="str">
        <f>IF($B67="","",Paramètres!$C$21)</f>
        <v/>
      </c>
      <c r="I67" s="19"/>
      <c r="J67" s="19"/>
      <c r="K67" s="19"/>
      <c r="L67" s="18" t="str">
        <f>IF($B67="","",SUM(I67:K67))</f>
        <v/>
      </c>
      <c r="M67" s="18" t="str">
        <f>IF($B67="","",H67-L67)</f>
        <v/>
      </c>
      <c r="N67" s="18" t="str">
        <f>IF($B67="","",IF(R67="Ancien",0,Paramètres!$D$21))</f>
        <v/>
      </c>
      <c r="O67" s="19"/>
      <c r="P67" s="18" t="str">
        <f>IF($B67="","",N67-O67)</f>
        <v/>
      </c>
      <c r="Q67" s="8" t="str">
        <f>IF($B67="","",IF(AND(M67&lt;=0,P67&lt;=0),"Soldé","En retard"))</f>
        <v/>
      </c>
      <c r="R67" s="8"/>
    </row>
    <row r="68">
      <c r="A68" s="20"/>
      <c r="B68" s="20"/>
      <c r="C68" s="20"/>
      <c r="D68" s="21"/>
      <c r="E68" s="77"/>
      <c r="F68" s="20"/>
      <c r="G68" s="20"/>
      <c r="H68" s="18" t="str">
        <f>IF($B68="","",Paramètres!$C$21)</f>
        <v/>
      </c>
      <c r="I68" s="19"/>
      <c r="J68" s="19"/>
      <c r="K68" s="19"/>
      <c r="L68" s="18" t="str">
        <f>IF($B68="","",SUM(I68:K68))</f>
        <v/>
      </c>
      <c r="M68" s="18" t="str">
        <f>IF($B68="","",H68-L68)</f>
        <v/>
      </c>
      <c r="N68" s="18" t="str">
        <f>IF($B68="","",IF(R68="Ancien",0,Paramètres!$D$21))</f>
        <v/>
      </c>
      <c r="O68" s="19"/>
      <c r="P68" s="18" t="str">
        <f>IF($B68="","",N68-O68)</f>
        <v/>
      </c>
      <c r="Q68" s="21" t="str">
        <f>IF($B68="","",IF(AND(M68&lt;=0,P68&lt;=0),"Soldé","En retard"))</f>
        <v/>
      </c>
      <c r="R68" s="21"/>
    </row>
    <row r="69">
      <c r="A69" s="15"/>
      <c r="B69" s="15"/>
      <c r="C69" s="15"/>
      <c r="D69" s="8"/>
      <c r="E69" s="79"/>
      <c r="F69" s="15"/>
      <c r="G69" s="15"/>
      <c r="H69" s="18" t="str">
        <f>IF($B69="","",Paramètres!$C$21)</f>
        <v/>
      </c>
      <c r="I69" s="19"/>
      <c r="J69" s="19"/>
      <c r="K69" s="19"/>
      <c r="L69" s="18" t="str">
        <f>IF($B69="","",SUM(I69:K69))</f>
        <v/>
      </c>
      <c r="M69" s="18" t="str">
        <f>IF($B69="","",H69-L69)</f>
        <v/>
      </c>
      <c r="N69" s="18" t="str">
        <f>IF($B69="","",IF(R69="Ancien",0,Paramètres!$D$21))</f>
        <v/>
      </c>
      <c r="O69" s="19"/>
      <c r="P69" s="18" t="str">
        <f>IF($B69="","",N69-O69)</f>
        <v/>
      </c>
      <c r="Q69" s="8" t="str">
        <f>IF($B69="","",IF(AND(M69&lt;=0,P69&lt;=0),"Soldé","En retard"))</f>
        <v/>
      </c>
      <c r="R69" s="8"/>
    </row>
    <row r="70">
      <c r="A70" s="20"/>
      <c r="B70" s="20"/>
      <c r="C70" s="20"/>
      <c r="D70" s="21"/>
      <c r="E70" s="77"/>
      <c r="F70" s="20"/>
      <c r="G70" s="20"/>
      <c r="H70" s="18" t="str">
        <f>IF($B70="","",Paramètres!$C$21)</f>
        <v/>
      </c>
      <c r="I70" s="19"/>
      <c r="J70" s="19"/>
      <c r="K70" s="19"/>
      <c r="L70" s="18" t="str">
        <f>IF($B70="","",SUM(I70:K70))</f>
        <v/>
      </c>
      <c r="M70" s="18" t="str">
        <f>IF($B70="","",H70-L70)</f>
        <v/>
      </c>
      <c r="N70" s="18" t="str">
        <f>IF($B70="","",IF(R70="Ancien",0,Paramètres!$D$21))</f>
        <v/>
      </c>
      <c r="O70" s="19"/>
      <c r="P70" s="18" t="str">
        <f>IF($B70="","",N70-O70)</f>
        <v/>
      </c>
      <c r="Q70" s="21" t="str">
        <f>IF($B70="","",IF(AND(M70&lt;=0,P70&lt;=0),"Soldé","En retard"))</f>
        <v/>
      </c>
      <c r="R70" s="21"/>
    </row>
    <row r="71">
      <c r="A71" s="15"/>
      <c r="B71" s="15"/>
      <c r="C71" s="15"/>
      <c r="D71" s="8"/>
      <c r="E71" s="79"/>
      <c r="F71" s="15"/>
      <c r="G71" s="15"/>
      <c r="H71" s="18" t="str">
        <f>IF($B71="","",Paramètres!$C$21)</f>
        <v/>
      </c>
      <c r="I71" s="19"/>
      <c r="J71" s="19"/>
      <c r="K71" s="19"/>
      <c r="L71" s="18" t="str">
        <f>IF($B71="","",SUM(I71:K71))</f>
        <v/>
      </c>
      <c r="M71" s="18" t="str">
        <f>IF($B71="","",H71-L71)</f>
        <v/>
      </c>
      <c r="N71" s="18" t="str">
        <f>IF($B71="","",IF(R71="Ancien",0,Paramètres!$D$21))</f>
        <v/>
      </c>
      <c r="O71" s="19"/>
      <c r="P71" s="18" t="str">
        <f>IF($B71="","",N71-O71)</f>
        <v/>
      </c>
      <c r="Q71" s="8" t="str">
        <f>IF($B71="","",IF(AND(M71&lt;=0,P71&lt;=0),"Soldé","En retard"))</f>
        <v/>
      </c>
      <c r="R71" s="8"/>
    </row>
    <row r="72">
      <c r="A72" s="20"/>
      <c r="B72" s="20"/>
      <c r="C72" s="20"/>
      <c r="D72" s="21"/>
      <c r="E72" s="77"/>
      <c r="F72" s="20"/>
      <c r="G72" s="20"/>
      <c r="H72" s="18" t="str">
        <f>IF($B72="","",Paramètres!$C$21)</f>
        <v/>
      </c>
      <c r="I72" s="19"/>
      <c r="J72" s="19"/>
      <c r="K72" s="19"/>
      <c r="L72" s="18" t="str">
        <f>IF($B72="","",SUM(I72:K72))</f>
        <v/>
      </c>
      <c r="M72" s="18" t="str">
        <f>IF($B72="","",H72-L72)</f>
        <v/>
      </c>
      <c r="N72" s="18" t="str">
        <f>IF($B72="","",IF(R72="Ancien",0,Paramètres!$D$21))</f>
        <v/>
      </c>
      <c r="O72" s="19"/>
      <c r="P72" s="18" t="str">
        <f>IF($B72="","",N72-O72)</f>
        <v/>
      </c>
      <c r="Q72" s="21" t="str">
        <f>IF($B72="","",IF(AND(M72&lt;=0,P72&lt;=0),"Soldé","En retard"))</f>
        <v/>
      </c>
      <c r="R72" s="21"/>
    </row>
    <row r="73">
      <c r="A73" s="15"/>
      <c r="B73" s="15"/>
      <c r="C73" s="15"/>
      <c r="D73" s="8"/>
      <c r="E73" s="79"/>
      <c r="F73" s="15"/>
      <c r="G73" s="15"/>
      <c r="H73" s="18" t="str">
        <f>IF($B73="","",Paramètres!$C$21)</f>
        <v/>
      </c>
      <c r="I73" s="19"/>
      <c r="J73" s="19"/>
      <c r="K73" s="19"/>
      <c r="L73" s="18" t="str">
        <f>IF($B73="","",SUM(I73:K73))</f>
        <v/>
      </c>
      <c r="M73" s="18" t="str">
        <f>IF($B73="","",H73-L73)</f>
        <v/>
      </c>
      <c r="N73" s="18" t="str">
        <f>IF($B73="","",IF(R73="Ancien",0,Paramètres!$D$21))</f>
        <v/>
      </c>
      <c r="O73" s="19"/>
      <c r="P73" s="18" t="str">
        <f>IF($B73="","",N73-O73)</f>
        <v/>
      </c>
      <c r="Q73" s="8" t="str">
        <f>IF($B73="","",IF(AND(M73&lt;=0,P73&lt;=0),"Soldé","En retard"))</f>
        <v/>
      </c>
      <c r="R73" s="8"/>
    </row>
    <row r="74">
      <c r="A74" s="20"/>
      <c r="B74" s="20"/>
      <c r="C74" s="20"/>
      <c r="D74" s="21"/>
      <c r="E74" s="77"/>
      <c r="F74" s="20"/>
      <c r="G74" s="20"/>
      <c r="H74" s="18" t="str">
        <f>IF($B74="","",Paramètres!$C$21)</f>
        <v/>
      </c>
      <c r="I74" s="19"/>
      <c r="J74" s="19"/>
      <c r="K74" s="19"/>
      <c r="L74" s="18" t="str">
        <f>IF($B74="","",SUM(I74:K74))</f>
        <v/>
      </c>
      <c r="M74" s="18" t="str">
        <f>IF($B74="","",H74-L74)</f>
        <v/>
      </c>
      <c r="N74" s="18" t="str">
        <f>IF($B74="","",IF(R74="Ancien",0,Paramètres!$D$21))</f>
        <v/>
      </c>
      <c r="O74" s="19"/>
      <c r="P74" s="18" t="str">
        <f>IF($B74="","",N74-O74)</f>
        <v/>
      </c>
      <c r="Q74" s="21" t="str">
        <f>IF($B74="","",IF(AND(M74&lt;=0,P74&lt;=0),"Soldé","En retard"))</f>
        <v/>
      </c>
      <c r="R74" s="21"/>
    </row>
    <row r="75">
      <c r="A75" s="15"/>
      <c r="B75" s="15"/>
      <c r="C75" s="15"/>
      <c r="D75" s="8"/>
      <c r="E75" s="79"/>
      <c r="F75" s="15"/>
      <c r="G75" s="15"/>
      <c r="H75" s="18" t="str">
        <f>IF($B75="","",Paramètres!$C$21)</f>
        <v/>
      </c>
      <c r="I75" s="19"/>
      <c r="J75" s="19"/>
      <c r="K75" s="19"/>
      <c r="L75" s="18" t="str">
        <f>IF($B75="","",SUM(I75:K75))</f>
        <v/>
      </c>
      <c r="M75" s="18" t="str">
        <f>IF($B75="","",H75-L75)</f>
        <v/>
      </c>
      <c r="N75" s="18" t="str">
        <f>IF($B75="","",IF(R75="Ancien",0,Paramètres!$D$21))</f>
        <v/>
      </c>
      <c r="O75" s="19"/>
      <c r="P75" s="18" t="str">
        <f>IF($B75="","",N75-O75)</f>
        <v/>
      </c>
      <c r="Q75" s="8" t="str">
        <f>IF($B75="","",IF(AND(M75&lt;=0,P75&lt;=0),"Soldé","En retard"))</f>
        <v/>
      </c>
      <c r="R75" s="8"/>
    </row>
    <row r="76">
      <c r="A76" s="20"/>
      <c r="B76" s="20"/>
      <c r="C76" s="20"/>
      <c r="D76" s="21"/>
      <c r="E76" s="77"/>
      <c r="F76" s="20"/>
      <c r="G76" s="20"/>
      <c r="H76" s="18" t="str">
        <f>IF($B76="","",Paramètres!$C$21)</f>
        <v/>
      </c>
      <c r="I76" s="19"/>
      <c r="J76" s="19"/>
      <c r="K76" s="19"/>
      <c r="L76" s="18" t="str">
        <f>IF($B76="","",SUM(I76:K76))</f>
        <v/>
      </c>
      <c r="M76" s="18" t="str">
        <f>IF($B76="","",H76-L76)</f>
        <v/>
      </c>
      <c r="N76" s="18" t="str">
        <f>IF($B76="","",IF(R76="Ancien",0,Paramètres!$D$21))</f>
        <v/>
      </c>
      <c r="O76" s="19"/>
      <c r="P76" s="18" t="str">
        <f>IF($B76="","",N76-O76)</f>
        <v/>
      </c>
      <c r="Q76" s="21" t="str">
        <f>IF($B76="","",IF(AND(M76&lt;=0,P76&lt;=0),"Soldé","En retard"))</f>
        <v/>
      </c>
      <c r="R76" s="21"/>
    </row>
    <row r="77">
      <c r="A77" s="15"/>
      <c r="B77" s="15"/>
      <c r="C77" s="15"/>
      <c r="D77" s="8"/>
      <c r="E77" s="79"/>
      <c r="F77" s="15"/>
      <c r="G77" s="15"/>
      <c r="H77" s="18" t="str">
        <f>IF($B77="","",Paramètres!$C$21)</f>
        <v/>
      </c>
      <c r="I77" s="19"/>
      <c r="J77" s="19"/>
      <c r="K77" s="19"/>
      <c r="L77" s="18" t="str">
        <f>IF($B77="","",SUM(I77:K77))</f>
        <v/>
      </c>
      <c r="M77" s="18" t="str">
        <f>IF($B77="","",H77-L77)</f>
        <v/>
      </c>
      <c r="N77" s="18" t="str">
        <f>IF($B77="","",IF(R77="Ancien",0,Paramètres!$D$21))</f>
        <v/>
      </c>
      <c r="O77" s="19"/>
      <c r="P77" s="18" t="str">
        <f>IF($B77="","",N77-O77)</f>
        <v/>
      </c>
      <c r="Q77" s="8" t="str">
        <f>IF($B77="","",IF(AND(M77&lt;=0,P77&lt;=0),"Soldé","En retard"))</f>
        <v/>
      </c>
      <c r="R77" s="8"/>
    </row>
    <row r="78">
      <c r="A78" s="20"/>
      <c r="B78" s="20"/>
      <c r="C78" s="20"/>
      <c r="D78" s="21"/>
      <c r="E78" s="77"/>
      <c r="F78" s="20"/>
      <c r="G78" s="20"/>
      <c r="H78" s="18" t="str">
        <f>IF($B78="","",Paramètres!$C$21)</f>
        <v/>
      </c>
      <c r="I78" s="19"/>
      <c r="J78" s="19"/>
      <c r="K78" s="19"/>
      <c r="L78" s="18" t="str">
        <f>IF($B78="","",SUM(I78:K78))</f>
        <v/>
      </c>
      <c r="M78" s="18" t="str">
        <f>IF($B78="","",H78-L78)</f>
        <v/>
      </c>
      <c r="N78" s="18" t="str">
        <f>IF($B78="","",IF(R78="Ancien",0,Paramètres!$D$21))</f>
        <v/>
      </c>
      <c r="O78" s="19"/>
      <c r="P78" s="18" t="str">
        <f>IF($B78="","",N78-O78)</f>
        <v/>
      </c>
      <c r="Q78" s="21" t="str">
        <f>IF($B78="","",IF(AND(M78&lt;=0,P78&lt;=0),"Soldé","En retard"))</f>
        <v/>
      </c>
      <c r="R78" s="21"/>
    </row>
    <row r="79">
      <c r="A79" s="15"/>
      <c r="B79" s="15"/>
      <c r="C79" s="15"/>
      <c r="D79" s="8"/>
      <c r="E79" s="79"/>
      <c r="F79" s="15"/>
      <c r="G79" s="15"/>
      <c r="H79" s="18" t="str">
        <f>IF($B79="","",Paramètres!$C$21)</f>
        <v/>
      </c>
      <c r="I79" s="19"/>
      <c r="J79" s="19"/>
      <c r="K79" s="19"/>
      <c r="L79" s="18" t="str">
        <f>IF($B79="","",SUM(I79:K79))</f>
        <v/>
      </c>
      <c r="M79" s="18" t="str">
        <f>IF($B79="","",H79-L79)</f>
        <v/>
      </c>
      <c r="N79" s="18" t="str">
        <f>IF($B79="","",IF(R79="Ancien",0,Paramètres!$D$21))</f>
        <v/>
      </c>
      <c r="O79" s="19"/>
      <c r="P79" s="18" t="str">
        <f>IF($B79="","",N79-O79)</f>
        <v/>
      </c>
      <c r="Q79" s="8" t="str">
        <f>IF($B79="","",IF(AND(M79&lt;=0,P79&lt;=0),"Soldé","En retard"))</f>
        <v/>
      </c>
      <c r="R79" s="8"/>
    </row>
    <row r="80">
      <c r="A80" s="20"/>
      <c r="B80" s="20"/>
      <c r="C80" s="20"/>
      <c r="D80" s="21"/>
      <c r="E80" s="77"/>
      <c r="F80" s="20"/>
      <c r="G80" s="20"/>
      <c r="H80" s="18" t="str">
        <f>IF($B80="","",Paramètres!$C$21)</f>
        <v/>
      </c>
      <c r="I80" s="19"/>
      <c r="J80" s="19"/>
      <c r="K80" s="19"/>
      <c r="L80" s="18" t="str">
        <f>IF($B80="","",SUM(I80:K80))</f>
        <v/>
      </c>
      <c r="M80" s="18" t="str">
        <f>IF($B80="","",H80-L80)</f>
        <v/>
      </c>
      <c r="N80" s="18" t="str">
        <f>IF($B80="","",IF(R80="Ancien",0,Paramètres!$D$21))</f>
        <v/>
      </c>
      <c r="O80" s="19"/>
      <c r="P80" s="18" t="str">
        <f>IF($B80="","",N80-O80)</f>
        <v/>
      </c>
      <c r="Q80" s="21" t="str">
        <f>IF($B80="","",IF(AND(M80&lt;=0,P80&lt;=0),"Soldé","En retard"))</f>
        <v/>
      </c>
      <c r="R80" s="21"/>
    </row>
    <row r="81">
      <c r="A81" s="15"/>
      <c r="B81" s="15"/>
      <c r="C81" s="15"/>
      <c r="D81" s="8"/>
      <c r="E81" s="79"/>
      <c r="F81" s="15"/>
      <c r="G81" s="15"/>
      <c r="H81" s="18" t="str">
        <f>IF($B81="","",Paramètres!$C$21)</f>
        <v/>
      </c>
      <c r="I81" s="19"/>
      <c r="J81" s="19"/>
      <c r="K81" s="19"/>
      <c r="L81" s="18" t="str">
        <f>IF($B81="","",SUM(I81:K81))</f>
        <v/>
      </c>
      <c r="M81" s="18" t="str">
        <f>IF($B81="","",H81-L81)</f>
        <v/>
      </c>
      <c r="N81" s="18" t="str">
        <f>IF($B81="","",IF(R81="Ancien",0,Paramètres!$D$21))</f>
        <v/>
      </c>
      <c r="O81" s="19"/>
      <c r="P81" s="18" t="str">
        <f>IF($B81="","",N81-O81)</f>
        <v/>
      </c>
      <c r="Q81" s="8" t="str">
        <f>IF($B81="","",IF(AND(M81&lt;=0,P81&lt;=0),"Soldé","En retard"))</f>
        <v/>
      </c>
      <c r="R81" s="8"/>
    </row>
    <row r="82">
      <c r="A82" s="20"/>
      <c r="B82" s="20"/>
      <c r="C82" s="20"/>
      <c r="D82" s="21"/>
      <c r="E82" s="77"/>
      <c r="F82" s="20"/>
      <c r="G82" s="20"/>
      <c r="H82" s="18" t="str">
        <f>IF($B82="","",Paramètres!$C$21)</f>
        <v/>
      </c>
      <c r="I82" s="19"/>
      <c r="J82" s="19"/>
      <c r="K82" s="19"/>
      <c r="L82" s="18" t="str">
        <f>IF($B82="","",SUM(I82:K82))</f>
        <v/>
      </c>
      <c r="M82" s="18" t="str">
        <f>IF($B82="","",H82-L82)</f>
        <v/>
      </c>
      <c r="N82" s="18" t="str">
        <f>IF($B82="","",IF(R82="Ancien",0,Paramètres!$D$21))</f>
        <v/>
      </c>
      <c r="O82" s="19"/>
      <c r="P82" s="18" t="str">
        <f>IF($B82="","",N82-O82)</f>
        <v/>
      </c>
      <c r="Q82" s="21" t="str">
        <f>IF($B82="","",IF(AND(M82&lt;=0,P82&lt;=0),"Soldé","En retard"))</f>
        <v/>
      </c>
      <c r="R82" s="21"/>
    </row>
    <row r="83">
      <c r="A83" s="15"/>
      <c r="B83" s="15"/>
      <c r="C83" s="15"/>
      <c r="D83" s="8"/>
      <c r="E83" s="79"/>
      <c r="F83" s="15"/>
      <c r="G83" s="15"/>
      <c r="H83" s="18" t="str">
        <f>IF($B83="","",Paramètres!$C$21)</f>
        <v/>
      </c>
      <c r="I83" s="19"/>
      <c r="J83" s="19"/>
      <c r="K83" s="19"/>
      <c r="L83" s="18" t="str">
        <f>IF($B83="","",SUM(I83:K83))</f>
        <v/>
      </c>
      <c r="M83" s="18" t="str">
        <f>IF($B83="","",H83-L83)</f>
        <v/>
      </c>
      <c r="N83" s="18" t="str">
        <f>IF($B83="","",IF(R83="Ancien",0,Paramètres!$D$21))</f>
        <v/>
      </c>
      <c r="O83" s="19"/>
      <c r="P83" s="18" t="str">
        <f>IF($B83="","",N83-O83)</f>
        <v/>
      </c>
      <c r="Q83" s="8" t="str">
        <f>IF($B83="","",IF(AND(M83&lt;=0,P83&lt;=0),"Soldé","En retard"))</f>
        <v/>
      </c>
      <c r="R83" s="8"/>
    </row>
  </sheetData>
  <mergeCells count="2">
    <mergeCell ref="A1:R1"/>
    <mergeCell ref="A2:R2"/>
  </mergeCells>
  <conditionalFormatting sqref="M4:M83 P4:P83">
    <cfRule type="cellIs" dxfId="10" priority="3" operator="greaterThan">
      <formula>0</formula>
    </cfRule>
  </conditionalFormatting>
  <conditionalFormatting sqref="Q4:Q83">
    <cfRule type="cellIs" dxfId="9" priority="1" operator="equal">
      <formula>"Soldé"</formula>
    </cfRule>
    <cfRule type="cellIs" dxfId="8" priority="2" operator="equal">
      <formula>"En retard"</formula>
    </cfRule>
  </conditionalFormatting>
  <dataValidations count="2">
    <dataValidation type="list" allowBlank="1" showErrorMessage="1" errorTitle="Sexe non valide" error="Choisissez M ou F." sqref="D4:D83">
      <formula1>"M,F"</formula1>
    </dataValidation>
    <dataValidation type="list" allowBlank="1" showErrorMessage="1" errorTitle="Statut non valide" error="Choisissez Nouveau ou Ancien. Un élève marqué Ancien ne paie pas les frais d'inscription." sqref="R4:R83">
      <formula1>"Nouveau,Ancien"</formula1>
    </dataValidation>
  </dataValidations>
  <pageMargins left="0.5" right="0.5" top="0.75" bottom="0.75" header="0.3" footer="0.3"/>
  <pageSetup paperSize="9" orientation="landscape" fitToHeight="0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R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7" customWidth="1"/>
    <col min="5" max="5" width="14" customWidth="1"/>
    <col min="6" max="6" width="18" customWidth="1"/>
    <col min="7" max="7" width="16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3" customWidth="1"/>
    <col min="18" max="18" width="16" customWidth="1"/>
  </cols>
  <sheetData>
    <row r="1" ht="27.75" customHeight="1">
      <c r="A1" s="53" t="str">
        <f>"INSCRIPTIONS — "&amp;Paramètres!$A$22</f>
        <v>INSCRIPTIONS — CM2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ht="18" customHeight="1">
      <c r="A2" s="54" t="str">
        <f>"Année scolaire "&amp;Paramètres!$C$11&amp;"   •   Effectif : "&amp;COUNTIF($B$4:$B$83,"?*")&amp;"   •   Cellules jaunes = montants à saisir ; colonnes grises = calcul automatique"</f>
        <v>Année scolaire 2025-2026   •   Effectif : 0   •   Cellules jaunes = montants à saisir ; colonnes grises = calcul automatique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Sexe</t>
        </is>
      </c>
      <c r="E3" s="3" t="inlineStr">
        <is>
          <t>Date de naissance</t>
        </is>
      </c>
      <c r="F3" s="3" t="inlineStr">
        <is>
          <t>Nom du tuteur</t>
        </is>
      </c>
      <c r="G3" s="3" t="inlineStr">
        <is>
          <t>Téléphone</t>
        </is>
      </c>
      <c r="H3" s="3" t="inlineStr">
        <is>
          <t>Scolarité due</t>
        </is>
      </c>
      <c r="I3" s="3" t="inlineStr">
        <is>
          <t>Tranche 1</t>
        </is>
      </c>
      <c r="J3" s="3" t="inlineStr">
        <is>
          <t>Tranche 2</t>
        </is>
      </c>
      <c r="K3" s="3" t="inlineStr">
        <is>
          <t>Tranche 3</t>
        </is>
      </c>
      <c r="L3" s="3" t="inlineStr">
        <is>
          <t>Total payé</t>
        </is>
      </c>
      <c r="M3" s="3" t="inlineStr">
        <is>
          <t>Reste à payer</t>
        </is>
      </c>
      <c r="N3" s="3" t="inlineStr">
        <is>
          <t>Inscription due</t>
        </is>
      </c>
      <c r="O3" s="3" t="inlineStr">
        <is>
          <t>Inscription payée</t>
        </is>
      </c>
      <c r="P3" s="3" t="inlineStr">
        <is>
          <t>Reste inscription</t>
        </is>
      </c>
      <c r="Q3" s="3" t="inlineStr">
        <is>
          <t>Statut</t>
        </is>
      </c>
      <c r="R3" s="3" t="inlineStr">
        <is>
          <t>Nouveau / Ancien</t>
        </is>
      </c>
    </row>
    <row r="4">
      <c r="A4" s="20"/>
      <c r="B4" s="20"/>
      <c r="C4" s="20"/>
      <c r="D4" s="21"/>
      <c r="E4" s="77"/>
      <c r="F4" s="20"/>
      <c r="G4" s="20"/>
      <c r="H4" s="18" t="str">
        <f>IF($B4="","",Paramètres!$C$22)</f>
        <v/>
      </c>
      <c r="I4" s="19"/>
      <c r="J4" s="19"/>
      <c r="K4" s="19"/>
      <c r="L4" s="18" t="str">
        <f>IF($B4="","",SUM(I4:K4))</f>
        <v/>
      </c>
      <c r="M4" s="18" t="str">
        <f>IF($B4="","",H4-L4)</f>
        <v/>
      </c>
      <c r="N4" s="18" t="str">
        <f>IF($B4="","",IF(R4="Ancien",0,Paramètres!$D$22))</f>
        <v/>
      </c>
      <c r="O4" s="19"/>
      <c r="P4" s="18" t="str">
        <f>IF($B4="","",N4-O4)</f>
        <v/>
      </c>
      <c r="Q4" s="21" t="str">
        <f>IF($B4="","",IF(AND(M4&lt;=0,P4&lt;=0),"Soldé","En retard"))</f>
        <v/>
      </c>
      <c r="R4" s="21"/>
    </row>
    <row r="5">
      <c r="A5" s="15"/>
      <c r="B5" s="15"/>
      <c r="C5" s="15"/>
      <c r="D5" s="8"/>
      <c r="E5" s="79"/>
      <c r="F5" s="15"/>
      <c r="G5" s="15"/>
      <c r="H5" s="18" t="str">
        <f>IF($B5="","",Paramètres!$C$22)</f>
        <v/>
      </c>
      <c r="I5" s="19"/>
      <c r="J5" s="19"/>
      <c r="K5" s="19"/>
      <c r="L5" s="18" t="str">
        <f>IF($B5="","",SUM(I5:K5))</f>
        <v/>
      </c>
      <c r="M5" s="18" t="str">
        <f>IF($B5="","",H5-L5)</f>
        <v/>
      </c>
      <c r="N5" s="18" t="str">
        <f>IF($B5="","",IF(R5="Ancien",0,Paramètres!$D$22))</f>
        <v/>
      </c>
      <c r="O5" s="19"/>
      <c r="P5" s="18" t="str">
        <f>IF($B5="","",N5-O5)</f>
        <v/>
      </c>
      <c r="Q5" s="8" t="str">
        <f>IF($B5="","",IF(AND(M5&lt;=0,P5&lt;=0),"Soldé","En retard"))</f>
        <v/>
      </c>
      <c r="R5" s="8"/>
    </row>
    <row r="6">
      <c r="A6" s="20"/>
      <c r="B6" s="20"/>
      <c r="C6" s="20"/>
      <c r="D6" s="21"/>
      <c r="E6" s="77"/>
      <c r="F6" s="20"/>
      <c r="G6" s="20"/>
      <c r="H6" s="18" t="str">
        <f>IF($B6="","",Paramètres!$C$22)</f>
        <v/>
      </c>
      <c r="I6" s="19"/>
      <c r="J6" s="19"/>
      <c r="K6" s="19"/>
      <c r="L6" s="18" t="str">
        <f>IF($B6="","",SUM(I6:K6))</f>
        <v/>
      </c>
      <c r="M6" s="18" t="str">
        <f>IF($B6="","",H6-L6)</f>
        <v/>
      </c>
      <c r="N6" s="18" t="str">
        <f>IF($B6="","",IF(R6="Ancien",0,Paramètres!$D$22))</f>
        <v/>
      </c>
      <c r="O6" s="19"/>
      <c r="P6" s="18" t="str">
        <f>IF($B6="","",N6-O6)</f>
        <v/>
      </c>
      <c r="Q6" s="21" t="str">
        <f>IF($B6="","",IF(AND(M6&lt;=0,P6&lt;=0),"Soldé","En retard"))</f>
        <v/>
      </c>
      <c r="R6" s="21"/>
    </row>
    <row r="7">
      <c r="A7" s="15"/>
      <c r="B7" s="15"/>
      <c r="C7" s="15"/>
      <c r="D7" s="8"/>
      <c r="E7" s="79"/>
      <c r="F7" s="15"/>
      <c r="G7" s="15"/>
      <c r="H7" s="18" t="str">
        <f>IF($B7="","",Paramètres!$C$22)</f>
        <v/>
      </c>
      <c r="I7" s="19"/>
      <c r="J7" s="19"/>
      <c r="K7" s="19"/>
      <c r="L7" s="18" t="str">
        <f>IF($B7="","",SUM(I7:K7))</f>
        <v/>
      </c>
      <c r="M7" s="18" t="str">
        <f>IF($B7="","",H7-L7)</f>
        <v/>
      </c>
      <c r="N7" s="18" t="str">
        <f>IF($B7="","",IF(R7="Ancien",0,Paramètres!$D$22))</f>
        <v/>
      </c>
      <c r="O7" s="19"/>
      <c r="P7" s="18" t="str">
        <f>IF($B7="","",N7-O7)</f>
        <v/>
      </c>
      <c r="Q7" s="8" t="str">
        <f>IF($B7="","",IF(AND(M7&lt;=0,P7&lt;=0),"Soldé","En retard"))</f>
        <v/>
      </c>
      <c r="R7" s="8"/>
    </row>
    <row r="8">
      <c r="A8" s="20"/>
      <c r="B8" s="20"/>
      <c r="C8" s="20"/>
      <c r="D8" s="21"/>
      <c r="E8" s="77"/>
      <c r="F8" s="20"/>
      <c r="G8" s="20"/>
      <c r="H8" s="18" t="str">
        <f>IF($B8="","",Paramètres!$C$22)</f>
        <v/>
      </c>
      <c r="I8" s="19"/>
      <c r="J8" s="19"/>
      <c r="K8" s="19"/>
      <c r="L8" s="18" t="str">
        <f>IF($B8="","",SUM(I8:K8))</f>
        <v/>
      </c>
      <c r="M8" s="18" t="str">
        <f>IF($B8="","",H8-L8)</f>
        <v/>
      </c>
      <c r="N8" s="18" t="str">
        <f>IF($B8="","",IF(R8="Ancien",0,Paramètres!$D$22))</f>
        <v/>
      </c>
      <c r="O8" s="19"/>
      <c r="P8" s="18" t="str">
        <f>IF($B8="","",N8-O8)</f>
        <v/>
      </c>
      <c r="Q8" s="21" t="str">
        <f>IF($B8="","",IF(AND(M8&lt;=0,P8&lt;=0),"Soldé","En retard"))</f>
        <v/>
      </c>
      <c r="R8" s="21"/>
    </row>
    <row r="9">
      <c r="A9" s="15"/>
      <c r="B9" s="15"/>
      <c r="C9" s="15"/>
      <c r="D9" s="8"/>
      <c r="E9" s="79"/>
      <c r="F9" s="15"/>
      <c r="G9" s="15"/>
      <c r="H9" s="18" t="str">
        <f>IF($B9="","",Paramètres!$C$22)</f>
        <v/>
      </c>
      <c r="I9" s="19"/>
      <c r="J9" s="19"/>
      <c r="K9" s="19"/>
      <c r="L9" s="18" t="str">
        <f>IF($B9="","",SUM(I9:K9))</f>
        <v/>
      </c>
      <c r="M9" s="18" t="str">
        <f>IF($B9="","",H9-L9)</f>
        <v/>
      </c>
      <c r="N9" s="18" t="str">
        <f>IF($B9="","",IF(R9="Ancien",0,Paramètres!$D$22))</f>
        <v/>
      </c>
      <c r="O9" s="19"/>
      <c r="P9" s="18" t="str">
        <f>IF($B9="","",N9-O9)</f>
        <v/>
      </c>
      <c r="Q9" s="8" t="str">
        <f>IF($B9="","",IF(AND(M9&lt;=0,P9&lt;=0),"Soldé","En retard"))</f>
        <v/>
      </c>
      <c r="R9" s="8"/>
    </row>
    <row r="10">
      <c r="A10" s="20"/>
      <c r="B10" s="20"/>
      <c r="C10" s="20"/>
      <c r="D10" s="21"/>
      <c r="E10" s="77"/>
      <c r="F10" s="20"/>
      <c r="G10" s="20"/>
      <c r="H10" s="18" t="str">
        <f>IF($B10="","",Paramètres!$C$22)</f>
        <v/>
      </c>
      <c r="I10" s="19"/>
      <c r="J10" s="19"/>
      <c r="K10" s="19"/>
      <c r="L10" s="18" t="str">
        <f>IF($B10="","",SUM(I10:K10))</f>
        <v/>
      </c>
      <c r="M10" s="18" t="str">
        <f>IF($B10="","",H10-L10)</f>
        <v/>
      </c>
      <c r="N10" s="18" t="str">
        <f>IF($B10="","",IF(R10="Ancien",0,Paramètres!$D$22))</f>
        <v/>
      </c>
      <c r="O10" s="19"/>
      <c r="P10" s="18" t="str">
        <f>IF($B10="","",N10-O10)</f>
        <v/>
      </c>
      <c r="Q10" s="21" t="str">
        <f>IF($B10="","",IF(AND(M10&lt;=0,P10&lt;=0),"Soldé","En retard"))</f>
        <v/>
      </c>
      <c r="R10" s="21"/>
    </row>
    <row r="11">
      <c r="A11" s="15"/>
      <c r="B11" s="15"/>
      <c r="C11" s="15"/>
      <c r="D11" s="8"/>
      <c r="E11" s="79"/>
      <c r="F11" s="15"/>
      <c r="G11" s="15"/>
      <c r="H11" s="18" t="str">
        <f>IF($B11="","",Paramètres!$C$22)</f>
        <v/>
      </c>
      <c r="I11" s="19"/>
      <c r="J11" s="19"/>
      <c r="K11" s="19"/>
      <c r="L11" s="18" t="str">
        <f>IF($B11="","",SUM(I11:K11))</f>
        <v/>
      </c>
      <c r="M11" s="18" t="str">
        <f>IF($B11="","",H11-L11)</f>
        <v/>
      </c>
      <c r="N11" s="18" t="str">
        <f>IF($B11="","",IF(R11="Ancien",0,Paramètres!$D$22))</f>
        <v/>
      </c>
      <c r="O11" s="19"/>
      <c r="P11" s="18" t="str">
        <f>IF($B11="","",N11-O11)</f>
        <v/>
      </c>
      <c r="Q11" s="8" t="str">
        <f>IF($B11="","",IF(AND(M11&lt;=0,P11&lt;=0),"Soldé","En retard"))</f>
        <v/>
      </c>
      <c r="R11" s="8"/>
    </row>
    <row r="12">
      <c r="A12" s="20"/>
      <c r="B12" s="20"/>
      <c r="C12" s="20"/>
      <c r="D12" s="21"/>
      <c r="E12" s="77"/>
      <c r="F12" s="20"/>
      <c r="G12" s="20"/>
      <c r="H12" s="18" t="str">
        <f>IF($B12="","",Paramètres!$C$22)</f>
        <v/>
      </c>
      <c r="I12" s="19"/>
      <c r="J12" s="19"/>
      <c r="K12" s="19"/>
      <c r="L12" s="18" t="str">
        <f>IF($B12="","",SUM(I12:K12))</f>
        <v/>
      </c>
      <c r="M12" s="18" t="str">
        <f>IF($B12="","",H12-L12)</f>
        <v/>
      </c>
      <c r="N12" s="18" t="str">
        <f>IF($B12="","",IF(R12="Ancien",0,Paramètres!$D$22))</f>
        <v/>
      </c>
      <c r="O12" s="19"/>
      <c r="P12" s="18" t="str">
        <f>IF($B12="","",N12-O12)</f>
        <v/>
      </c>
      <c r="Q12" s="21" t="str">
        <f>IF($B12="","",IF(AND(M12&lt;=0,P12&lt;=0),"Soldé","En retard"))</f>
        <v/>
      </c>
      <c r="R12" s="21"/>
    </row>
    <row r="13">
      <c r="A13" s="15"/>
      <c r="B13" s="15"/>
      <c r="C13" s="15"/>
      <c r="D13" s="8"/>
      <c r="E13" s="79"/>
      <c r="F13" s="15"/>
      <c r="G13" s="15"/>
      <c r="H13" s="18" t="str">
        <f>IF($B13="","",Paramètres!$C$22)</f>
        <v/>
      </c>
      <c r="I13" s="19"/>
      <c r="J13" s="19"/>
      <c r="K13" s="19"/>
      <c r="L13" s="18" t="str">
        <f>IF($B13="","",SUM(I13:K13))</f>
        <v/>
      </c>
      <c r="M13" s="18" t="str">
        <f>IF($B13="","",H13-L13)</f>
        <v/>
      </c>
      <c r="N13" s="18" t="str">
        <f>IF($B13="","",IF(R13="Ancien",0,Paramètres!$D$22))</f>
        <v/>
      </c>
      <c r="O13" s="19"/>
      <c r="P13" s="18" t="str">
        <f>IF($B13="","",N13-O13)</f>
        <v/>
      </c>
      <c r="Q13" s="8" t="str">
        <f>IF($B13="","",IF(AND(M13&lt;=0,P13&lt;=0),"Soldé","En retard"))</f>
        <v/>
      </c>
      <c r="R13" s="8"/>
    </row>
    <row r="14">
      <c r="A14" s="20"/>
      <c r="B14" s="20"/>
      <c r="C14" s="20"/>
      <c r="D14" s="21"/>
      <c r="E14" s="77"/>
      <c r="F14" s="20"/>
      <c r="G14" s="20"/>
      <c r="H14" s="18" t="str">
        <f>IF($B14="","",Paramètres!$C$22)</f>
        <v/>
      </c>
      <c r="I14" s="19"/>
      <c r="J14" s="19"/>
      <c r="K14" s="19"/>
      <c r="L14" s="18" t="str">
        <f>IF($B14="","",SUM(I14:K14))</f>
        <v/>
      </c>
      <c r="M14" s="18" t="str">
        <f>IF($B14="","",H14-L14)</f>
        <v/>
      </c>
      <c r="N14" s="18" t="str">
        <f>IF($B14="","",IF(R14="Ancien",0,Paramètres!$D$22))</f>
        <v/>
      </c>
      <c r="O14" s="19"/>
      <c r="P14" s="18" t="str">
        <f>IF($B14="","",N14-O14)</f>
        <v/>
      </c>
      <c r="Q14" s="21" t="str">
        <f>IF($B14="","",IF(AND(M14&lt;=0,P14&lt;=0),"Soldé","En retard"))</f>
        <v/>
      </c>
      <c r="R14" s="21"/>
    </row>
    <row r="15">
      <c r="A15" s="15"/>
      <c r="B15" s="15"/>
      <c r="C15" s="15"/>
      <c r="D15" s="8"/>
      <c r="E15" s="79"/>
      <c r="F15" s="15"/>
      <c r="G15" s="15"/>
      <c r="H15" s="18" t="str">
        <f>IF($B15="","",Paramètres!$C$22)</f>
        <v/>
      </c>
      <c r="I15" s="19"/>
      <c r="J15" s="19"/>
      <c r="K15" s="19"/>
      <c r="L15" s="18" t="str">
        <f>IF($B15="","",SUM(I15:K15))</f>
        <v/>
      </c>
      <c r="M15" s="18" t="str">
        <f>IF($B15="","",H15-L15)</f>
        <v/>
      </c>
      <c r="N15" s="18" t="str">
        <f>IF($B15="","",IF(R15="Ancien",0,Paramètres!$D$22))</f>
        <v/>
      </c>
      <c r="O15" s="19"/>
      <c r="P15" s="18" t="str">
        <f>IF($B15="","",N15-O15)</f>
        <v/>
      </c>
      <c r="Q15" s="8" t="str">
        <f>IF($B15="","",IF(AND(M15&lt;=0,P15&lt;=0),"Soldé","En retard"))</f>
        <v/>
      </c>
      <c r="R15" s="8"/>
    </row>
    <row r="16">
      <c r="A16" s="20"/>
      <c r="B16" s="20"/>
      <c r="C16" s="20"/>
      <c r="D16" s="21"/>
      <c r="E16" s="77"/>
      <c r="F16" s="20"/>
      <c r="G16" s="20"/>
      <c r="H16" s="18" t="str">
        <f>IF($B16="","",Paramètres!$C$22)</f>
        <v/>
      </c>
      <c r="I16" s="19"/>
      <c r="J16" s="19"/>
      <c r="K16" s="19"/>
      <c r="L16" s="18" t="str">
        <f>IF($B16="","",SUM(I16:K16))</f>
        <v/>
      </c>
      <c r="M16" s="18" t="str">
        <f>IF($B16="","",H16-L16)</f>
        <v/>
      </c>
      <c r="N16" s="18" t="str">
        <f>IF($B16="","",IF(R16="Ancien",0,Paramètres!$D$22))</f>
        <v/>
      </c>
      <c r="O16" s="19"/>
      <c r="P16" s="18" t="str">
        <f>IF($B16="","",N16-O16)</f>
        <v/>
      </c>
      <c r="Q16" s="21" t="str">
        <f>IF($B16="","",IF(AND(M16&lt;=0,P16&lt;=0),"Soldé","En retard"))</f>
        <v/>
      </c>
      <c r="R16" s="21"/>
    </row>
    <row r="17">
      <c r="A17" s="15"/>
      <c r="B17" s="15"/>
      <c r="C17" s="15"/>
      <c r="D17" s="8"/>
      <c r="E17" s="79"/>
      <c r="F17" s="15"/>
      <c r="G17" s="15"/>
      <c r="H17" s="18" t="str">
        <f>IF($B17="","",Paramètres!$C$22)</f>
        <v/>
      </c>
      <c r="I17" s="19"/>
      <c r="J17" s="19"/>
      <c r="K17" s="19"/>
      <c r="L17" s="18" t="str">
        <f>IF($B17="","",SUM(I17:K17))</f>
        <v/>
      </c>
      <c r="M17" s="18" t="str">
        <f>IF($B17="","",H17-L17)</f>
        <v/>
      </c>
      <c r="N17" s="18" t="str">
        <f>IF($B17="","",IF(R17="Ancien",0,Paramètres!$D$22))</f>
        <v/>
      </c>
      <c r="O17" s="19"/>
      <c r="P17" s="18" t="str">
        <f>IF($B17="","",N17-O17)</f>
        <v/>
      </c>
      <c r="Q17" s="8" t="str">
        <f>IF($B17="","",IF(AND(M17&lt;=0,P17&lt;=0),"Soldé","En retard"))</f>
        <v/>
      </c>
      <c r="R17" s="8"/>
    </row>
    <row r="18">
      <c r="A18" s="20"/>
      <c r="B18" s="20"/>
      <c r="C18" s="20"/>
      <c r="D18" s="21"/>
      <c r="E18" s="77"/>
      <c r="F18" s="20"/>
      <c r="G18" s="20"/>
      <c r="H18" s="18" t="str">
        <f>IF($B18="","",Paramètres!$C$22)</f>
        <v/>
      </c>
      <c r="I18" s="19"/>
      <c r="J18" s="19"/>
      <c r="K18" s="19"/>
      <c r="L18" s="18" t="str">
        <f>IF($B18="","",SUM(I18:K18))</f>
        <v/>
      </c>
      <c r="M18" s="18" t="str">
        <f>IF($B18="","",H18-L18)</f>
        <v/>
      </c>
      <c r="N18" s="18" t="str">
        <f>IF($B18="","",IF(R18="Ancien",0,Paramètres!$D$22))</f>
        <v/>
      </c>
      <c r="O18" s="19"/>
      <c r="P18" s="18" t="str">
        <f>IF($B18="","",N18-O18)</f>
        <v/>
      </c>
      <c r="Q18" s="21" t="str">
        <f>IF($B18="","",IF(AND(M18&lt;=0,P18&lt;=0),"Soldé","En retard"))</f>
        <v/>
      </c>
      <c r="R18" s="21"/>
    </row>
    <row r="19">
      <c r="A19" s="15"/>
      <c r="B19" s="15"/>
      <c r="C19" s="15"/>
      <c r="D19" s="8"/>
      <c r="E19" s="79"/>
      <c r="F19" s="15"/>
      <c r="G19" s="15"/>
      <c r="H19" s="18" t="str">
        <f>IF($B19="","",Paramètres!$C$22)</f>
        <v/>
      </c>
      <c r="I19" s="19"/>
      <c r="J19" s="19"/>
      <c r="K19" s="19"/>
      <c r="L19" s="18" t="str">
        <f>IF($B19="","",SUM(I19:K19))</f>
        <v/>
      </c>
      <c r="M19" s="18" t="str">
        <f>IF($B19="","",H19-L19)</f>
        <v/>
      </c>
      <c r="N19" s="18" t="str">
        <f>IF($B19="","",IF(R19="Ancien",0,Paramètres!$D$22))</f>
        <v/>
      </c>
      <c r="O19" s="19"/>
      <c r="P19" s="18" t="str">
        <f>IF($B19="","",N19-O19)</f>
        <v/>
      </c>
      <c r="Q19" s="8" t="str">
        <f>IF($B19="","",IF(AND(M19&lt;=0,P19&lt;=0),"Soldé","En retard"))</f>
        <v/>
      </c>
      <c r="R19" s="8"/>
    </row>
    <row r="20">
      <c r="A20" s="20"/>
      <c r="B20" s="20"/>
      <c r="C20" s="20"/>
      <c r="D20" s="21"/>
      <c r="E20" s="77"/>
      <c r="F20" s="20"/>
      <c r="G20" s="20"/>
      <c r="H20" s="18" t="str">
        <f>IF($B20="","",Paramètres!$C$22)</f>
        <v/>
      </c>
      <c r="I20" s="19"/>
      <c r="J20" s="19"/>
      <c r="K20" s="19"/>
      <c r="L20" s="18" t="str">
        <f>IF($B20="","",SUM(I20:K20))</f>
        <v/>
      </c>
      <c r="M20" s="18" t="str">
        <f>IF($B20="","",H20-L20)</f>
        <v/>
      </c>
      <c r="N20" s="18" t="str">
        <f>IF($B20="","",IF(R20="Ancien",0,Paramètres!$D$22))</f>
        <v/>
      </c>
      <c r="O20" s="19"/>
      <c r="P20" s="18" t="str">
        <f>IF($B20="","",N20-O20)</f>
        <v/>
      </c>
      <c r="Q20" s="21" t="str">
        <f>IF($B20="","",IF(AND(M20&lt;=0,P20&lt;=0),"Soldé","En retard"))</f>
        <v/>
      </c>
      <c r="R20" s="21"/>
    </row>
    <row r="21">
      <c r="A21" s="15"/>
      <c r="B21" s="15"/>
      <c r="C21" s="15"/>
      <c r="D21" s="8"/>
      <c r="E21" s="79"/>
      <c r="F21" s="15"/>
      <c r="G21" s="15"/>
      <c r="H21" s="18" t="str">
        <f>IF($B21="","",Paramètres!$C$22)</f>
        <v/>
      </c>
      <c r="I21" s="19"/>
      <c r="J21" s="19"/>
      <c r="K21" s="19"/>
      <c r="L21" s="18" t="str">
        <f>IF($B21="","",SUM(I21:K21))</f>
        <v/>
      </c>
      <c r="M21" s="18" t="str">
        <f>IF($B21="","",H21-L21)</f>
        <v/>
      </c>
      <c r="N21" s="18" t="str">
        <f>IF($B21="","",IF(R21="Ancien",0,Paramètres!$D$22))</f>
        <v/>
      </c>
      <c r="O21" s="19"/>
      <c r="P21" s="18" t="str">
        <f>IF($B21="","",N21-O21)</f>
        <v/>
      </c>
      <c r="Q21" s="8" t="str">
        <f>IF($B21="","",IF(AND(M21&lt;=0,P21&lt;=0),"Soldé","En retard"))</f>
        <v/>
      </c>
      <c r="R21" s="8"/>
    </row>
    <row r="22">
      <c r="A22" s="20"/>
      <c r="B22" s="20"/>
      <c r="C22" s="20"/>
      <c r="D22" s="21"/>
      <c r="E22" s="77"/>
      <c r="F22" s="20"/>
      <c r="G22" s="20"/>
      <c r="H22" s="18" t="str">
        <f>IF($B22="","",Paramètres!$C$22)</f>
        <v/>
      </c>
      <c r="I22" s="19"/>
      <c r="J22" s="19"/>
      <c r="K22" s="19"/>
      <c r="L22" s="18" t="str">
        <f>IF($B22="","",SUM(I22:K22))</f>
        <v/>
      </c>
      <c r="M22" s="18" t="str">
        <f>IF($B22="","",H22-L22)</f>
        <v/>
      </c>
      <c r="N22" s="18" t="str">
        <f>IF($B22="","",IF(R22="Ancien",0,Paramètres!$D$22))</f>
        <v/>
      </c>
      <c r="O22" s="19"/>
      <c r="P22" s="18" t="str">
        <f>IF($B22="","",N22-O22)</f>
        <v/>
      </c>
      <c r="Q22" s="21" t="str">
        <f>IF($B22="","",IF(AND(M22&lt;=0,P22&lt;=0),"Soldé","En retard"))</f>
        <v/>
      </c>
      <c r="R22" s="21"/>
    </row>
    <row r="23">
      <c r="A23" s="15"/>
      <c r="B23" s="15"/>
      <c r="C23" s="15"/>
      <c r="D23" s="8"/>
      <c r="E23" s="79"/>
      <c r="F23" s="15"/>
      <c r="G23" s="15"/>
      <c r="H23" s="18" t="str">
        <f>IF($B23="","",Paramètres!$C$22)</f>
        <v/>
      </c>
      <c r="I23" s="19"/>
      <c r="J23" s="19"/>
      <c r="K23" s="19"/>
      <c r="L23" s="18" t="str">
        <f>IF($B23="","",SUM(I23:K23))</f>
        <v/>
      </c>
      <c r="M23" s="18" t="str">
        <f>IF($B23="","",H23-L23)</f>
        <v/>
      </c>
      <c r="N23" s="18" t="str">
        <f>IF($B23="","",IF(R23="Ancien",0,Paramètres!$D$22))</f>
        <v/>
      </c>
      <c r="O23" s="19"/>
      <c r="P23" s="18" t="str">
        <f>IF($B23="","",N23-O23)</f>
        <v/>
      </c>
      <c r="Q23" s="8" t="str">
        <f>IF($B23="","",IF(AND(M23&lt;=0,P23&lt;=0),"Soldé","En retard"))</f>
        <v/>
      </c>
      <c r="R23" s="8"/>
    </row>
    <row r="24">
      <c r="A24" s="20"/>
      <c r="B24" s="20"/>
      <c r="C24" s="20"/>
      <c r="D24" s="21"/>
      <c r="E24" s="77"/>
      <c r="F24" s="20"/>
      <c r="G24" s="20"/>
      <c r="H24" s="18" t="str">
        <f>IF($B24="","",Paramètres!$C$22)</f>
        <v/>
      </c>
      <c r="I24" s="19"/>
      <c r="J24" s="19"/>
      <c r="K24" s="19"/>
      <c r="L24" s="18" t="str">
        <f>IF($B24="","",SUM(I24:K24))</f>
        <v/>
      </c>
      <c r="M24" s="18" t="str">
        <f>IF($B24="","",H24-L24)</f>
        <v/>
      </c>
      <c r="N24" s="18" t="str">
        <f>IF($B24="","",IF(R24="Ancien",0,Paramètres!$D$22))</f>
        <v/>
      </c>
      <c r="O24" s="19"/>
      <c r="P24" s="18" t="str">
        <f>IF($B24="","",N24-O24)</f>
        <v/>
      </c>
      <c r="Q24" s="21" t="str">
        <f>IF($B24="","",IF(AND(M24&lt;=0,P24&lt;=0),"Soldé","En retard"))</f>
        <v/>
      </c>
      <c r="R24" s="21"/>
    </row>
    <row r="25">
      <c r="A25" s="15"/>
      <c r="B25" s="15"/>
      <c r="C25" s="15"/>
      <c r="D25" s="8"/>
      <c r="E25" s="79"/>
      <c r="F25" s="15"/>
      <c r="G25" s="15"/>
      <c r="H25" s="18" t="str">
        <f>IF($B25="","",Paramètres!$C$22)</f>
        <v/>
      </c>
      <c r="I25" s="19"/>
      <c r="J25" s="19"/>
      <c r="K25" s="19"/>
      <c r="L25" s="18" t="str">
        <f>IF($B25="","",SUM(I25:K25))</f>
        <v/>
      </c>
      <c r="M25" s="18" t="str">
        <f>IF($B25="","",H25-L25)</f>
        <v/>
      </c>
      <c r="N25" s="18" t="str">
        <f>IF($B25="","",IF(R25="Ancien",0,Paramètres!$D$22))</f>
        <v/>
      </c>
      <c r="O25" s="19"/>
      <c r="P25" s="18" t="str">
        <f>IF($B25="","",N25-O25)</f>
        <v/>
      </c>
      <c r="Q25" s="8" t="str">
        <f>IF($B25="","",IF(AND(M25&lt;=0,P25&lt;=0),"Soldé","En retard"))</f>
        <v/>
      </c>
      <c r="R25" s="8"/>
    </row>
    <row r="26">
      <c r="A26" s="20"/>
      <c r="B26" s="20"/>
      <c r="C26" s="20"/>
      <c r="D26" s="21"/>
      <c r="E26" s="77"/>
      <c r="F26" s="20"/>
      <c r="G26" s="20"/>
      <c r="H26" s="18" t="str">
        <f>IF($B26="","",Paramètres!$C$22)</f>
        <v/>
      </c>
      <c r="I26" s="19"/>
      <c r="J26" s="19"/>
      <c r="K26" s="19"/>
      <c r="L26" s="18" t="str">
        <f>IF($B26="","",SUM(I26:K26))</f>
        <v/>
      </c>
      <c r="M26" s="18" t="str">
        <f>IF($B26="","",H26-L26)</f>
        <v/>
      </c>
      <c r="N26" s="18" t="str">
        <f>IF($B26="","",IF(R26="Ancien",0,Paramètres!$D$22))</f>
        <v/>
      </c>
      <c r="O26" s="19"/>
      <c r="P26" s="18" t="str">
        <f>IF($B26="","",N26-O26)</f>
        <v/>
      </c>
      <c r="Q26" s="21" t="str">
        <f>IF($B26="","",IF(AND(M26&lt;=0,P26&lt;=0),"Soldé","En retard"))</f>
        <v/>
      </c>
      <c r="R26" s="21"/>
    </row>
    <row r="27">
      <c r="A27" s="15"/>
      <c r="B27" s="15"/>
      <c r="C27" s="15"/>
      <c r="D27" s="8"/>
      <c r="E27" s="79"/>
      <c r="F27" s="15"/>
      <c r="G27" s="15"/>
      <c r="H27" s="18" t="str">
        <f>IF($B27="","",Paramètres!$C$22)</f>
        <v/>
      </c>
      <c r="I27" s="19"/>
      <c r="J27" s="19"/>
      <c r="K27" s="19"/>
      <c r="L27" s="18" t="str">
        <f>IF($B27="","",SUM(I27:K27))</f>
        <v/>
      </c>
      <c r="M27" s="18" t="str">
        <f>IF($B27="","",H27-L27)</f>
        <v/>
      </c>
      <c r="N27" s="18" t="str">
        <f>IF($B27="","",IF(R27="Ancien",0,Paramètres!$D$22))</f>
        <v/>
      </c>
      <c r="O27" s="19"/>
      <c r="P27" s="18" t="str">
        <f>IF($B27="","",N27-O27)</f>
        <v/>
      </c>
      <c r="Q27" s="8" t="str">
        <f>IF($B27="","",IF(AND(M27&lt;=0,P27&lt;=0),"Soldé","En retard"))</f>
        <v/>
      </c>
      <c r="R27" s="8"/>
    </row>
    <row r="28">
      <c r="A28" s="20"/>
      <c r="B28" s="20"/>
      <c r="C28" s="20"/>
      <c r="D28" s="21"/>
      <c r="E28" s="77"/>
      <c r="F28" s="20"/>
      <c r="G28" s="20"/>
      <c r="H28" s="18" t="str">
        <f>IF($B28="","",Paramètres!$C$22)</f>
        <v/>
      </c>
      <c r="I28" s="19"/>
      <c r="J28" s="19"/>
      <c r="K28" s="19"/>
      <c r="L28" s="18" t="str">
        <f>IF($B28="","",SUM(I28:K28))</f>
        <v/>
      </c>
      <c r="M28" s="18" t="str">
        <f>IF($B28="","",H28-L28)</f>
        <v/>
      </c>
      <c r="N28" s="18" t="str">
        <f>IF($B28="","",IF(R28="Ancien",0,Paramètres!$D$22))</f>
        <v/>
      </c>
      <c r="O28" s="19"/>
      <c r="P28" s="18" t="str">
        <f>IF($B28="","",N28-O28)</f>
        <v/>
      </c>
      <c r="Q28" s="21" t="str">
        <f>IF($B28="","",IF(AND(M28&lt;=0,P28&lt;=0),"Soldé","En retard"))</f>
        <v/>
      </c>
      <c r="R28" s="21"/>
    </row>
    <row r="29">
      <c r="A29" s="15"/>
      <c r="B29" s="15"/>
      <c r="C29" s="15"/>
      <c r="D29" s="8"/>
      <c r="E29" s="79"/>
      <c r="F29" s="15"/>
      <c r="G29" s="15"/>
      <c r="H29" s="18" t="str">
        <f>IF($B29="","",Paramètres!$C$22)</f>
        <v/>
      </c>
      <c r="I29" s="19"/>
      <c r="J29" s="19"/>
      <c r="K29" s="19"/>
      <c r="L29" s="18" t="str">
        <f>IF($B29="","",SUM(I29:K29))</f>
        <v/>
      </c>
      <c r="M29" s="18" t="str">
        <f>IF($B29="","",H29-L29)</f>
        <v/>
      </c>
      <c r="N29" s="18" t="str">
        <f>IF($B29="","",IF(R29="Ancien",0,Paramètres!$D$22))</f>
        <v/>
      </c>
      <c r="O29" s="19"/>
      <c r="P29" s="18" t="str">
        <f>IF($B29="","",N29-O29)</f>
        <v/>
      </c>
      <c r="Q29" s="8" t="str">
        <f>IF($B29="","",IF(AND(M29&lt;=0,P29&lt;=0),"Soldé","En retard"))</f>
        <v/>
      </c>
      <c r="R29" s="8"/>
    </row>
    <row r="30">
      <c r="A30" s="20"/>
      <c r="B30" s="20"/>
      <c r="C30" s="20"/>
      <c r="D30" s="21"/>
      <c r="E30" s="77"/>
      <c r="F30" s="20"/>
      <c r="G30" s="20"/>
      <c r="H30" s="18" t="str">
        <f>IF($B30="","",Paramètres!$C$22)</f>
        <v/>
      </c>
      <c r="I30" s="19"/>
      <c r="J30" s="19"/>
      <c r="K30" s="19"/>
      <c r="L30" s="18" t="str">
        <f>IF($B30="","",SUM(I30:K30))</f>
        <v/>
      </c>
      <c r="M30" s="18" t="str">
        <f>IF($B30="","",H30-L30)</f>
        <v/>
      </c>
      <c r="N30" s="18" t="str">
        <f>IF($B30="","",IF(R30="Ancien",0,Paramètres!$D$22))</f>
        <v/>
      </c>
      <c r="O30" s="19"/>
      <c r="P30" s="18" t="str">
        <f>IF($B30="","",N30-O30)</f>
        <v/>
      </c>
      <c r="Q30" s="21" t="str">
        <f>IF($B30="","",IF(AND(M30&lt;=0,P30&lt;=0),"Soldé","En retard"))</f>
        <v/>
      </c>
      <c r="R30" s="21"/>
    </row>
    <row r="31">
      <c r="A31" s="15"/>
      <c r="B31" s="15"/>
      <c r="C31" s="15"/>
      <c r="D31" s="8"/>
      <c r="E31" s="79"/>
      <c r="F31" s="15"/>
      <c r="G31" s="15"/>
      <c r="H31" s="18" t="str">
        <f>IF($B31="","",Paramètres!$C$22)</f>
        <v/>
      </c>
      <c r="I31" s="19"/>
      <c r="J31" s="19"/>
      <c r="K31" s="19"/>
      <c r="L31" s="18" t="str">
        <f>IF($B31="","",SUM(I31:K31))</f>
        <v/>
      </c>
      <c r="M31" s="18" t="str">
        <f>IF($B31="","",H31-L31)</f>
        <v/>
      </c>
      <c r="N31" s="18" t="str">
        <f>IF($B31="","",IF(R31="Ancien",0,Paramètres!$D$22))</f>
        <v/>
      </c>
      <c r="O31" s="19"/>
      <c r="P31" s="18" t="str">
        <f>IF($B31="","",N31-O31)</f>
        <v/>
      </c>
      <c r="Q31" s="8" t="str">
        <f>IF($B31="","",IF(AND(M31&lt;=0,P31&lt;=0),"Soldé","En retard"))</f>
        <v/>
      </c>
      <c r="R31" s="8"/>
    </row>
    <row r="32">
      <c r="A32" s="20"/>
      <c r="B32" s="20"/>
      <c r="C32" s="20"/>
      <c r="D32" s="21"/>
      <c r="E32" s="77"/>
      <c r="F32" s="20"/>
      <c r="G32" s="20"/>
      <c r="H32" s="18" t="str">
        <f>IF($B32="","",Paramètres!$C$22)</f>
        <v/>
      </c>
      <c r="I32" s="19"/>
      <c r="J32" s="19"/>
      <c r="K32" s="19"/>
      <c r="L32" s="18" t="str">
        <f>IF($B32="","",SUM(I32:K32))</f>
        <v/>
      </c>
      <c r="M32" s="18" t="str">
        <f>IF($B32="","",H32-L32)</f>
        <v/>
      </c>
      <c r="N32" s="18" t="str">
        <f>IF($B32="","",IF(R32="Ancien",0,Paramètres!$D$22))</f>
        <v/>
      </c>
      <c r="O32" s="19"/>
      <c r="P32" s="18" t="str">
        <f>IF($B32="","",N32-O32)</f>
        <v/>
      </c>
      <c r="Q32" s="21" t="str">
        <f>IF($B32="","",IF(AND(M32&lt;=0,P32&lt;=0),"Soldé","En retard"))</f>
        <v/>
      </c>
      <c r="R32" s="21"/>
    </row>
    <row r="33">
      <c r="A33" s="15"/>
      <c r="B33" s="15"/>
      <c r="C33" s="15"/>
      <c r="D33" s="8"/>
      <c r="E33" s="79"/>
      <c r="F33" s="15"/>
      <c r="G33" s="15"/>
      <c r="H33" s="18" t="str">
        <f>IF($B33="","",Paramètres!$C$22)</f>
        <v/>
      </c>
      <c r="I33" s="19"/>
      <c r="J33" s="19"/>
      <c r="K33" s="19"/>
      <c r="L33" s="18" t="str">
        <f>IF($B33="","",SUM(I33:K33))</f>
        <v/>
      </c>
      <c r="M33" s="18" t="str">
        <f>IF($B33="","",H33-L33)</f>
        <v/>
      </c>
      <c r="N33" s="18" t="str">
        <f>IF($B33="","",IF(R33="Ancien",0,Paramètres!$D$22))</f>
        <v/>
      </c>
      <c r="O33" s="19"/>
      <c r="P33" s="18" t="str">
        <f>IF($B33="","",N33-O33)</f>
        <v/>
      </c>
      <c r="Q33" s="8" t="str">
        <f>IF($B33="","",IF(AND(M33&lt;=0,P33&lt;=0),"Soldé","En retard"))</f>
        <v/>
      </c>
      <c r="R33" s="8"/>
    </row>
    <row r="34">
      <c r="A34" s="20"/>
      <c r="B34" s="20"/>
      <c r="C34" s="20"/>
      <c r="D34" s="21"/>
      <c r="E34" s="77"/>
      <c r="F34" s="20"/>
      <c r="G34" s="20"/>
      <c r="H34" s="18" t="str">
        <f>IF($B34="","",Paramètres!$C$22)</f>
        <v/>
      </c>
      <c r="I34" s="19"/>
      <c r="J34" s="19"/>
      <c r="K34" s="19"/>
      <c r="L34" s="18" t="str">
        <f>IF($B34="","",SUM(I34:K34))</f>
        <v/>
      </c>
      <c r="M34" s="18" t="str">
        <f>IF($B34="","",H34-L34)</f>
        <v/>
      </c>
      <c r="N34" s="18" t="str">
        <f>IF($B34="","",IF(R34="Ancien",0,Paramètres!$D$22))</f>
        <v/>
      </c>
      <c r="O34" s="19"/>
      <c r="P34" s="18" t="str">
        <f>IF($B34="","",N34-O34)</f>
        <v/>
      </c>
      <c r="Q34" s="21" t="str">
        <f>IF($B34="","",IF(AND(M34&lt;=0,P34&lt;=0),"Soldé","En retard"))</f>
        <v/>
      </c>
      <c r="R34" s="21"/>
    </row>
    <row r="35">
      <c r="A35" s="15"/>
      <c r="B35" s="15"/>
      <c r="C35" s="15"/>
      <c r="D35" s="8"/>
      <c r="E35" s="79"/>
      <c r="F35" s="15"/>
      <c r="G35" s="15"/>
      <c r="H35" s="18" t="str">
        <f>IF($B35="","",Paramètres!$C$22)</f>
        <v/>
      </c>
      <c r="I35" s="19"/>
      <c r="J35" s="19"/>
      <c r="K35" s="19"/>
      <c r="L35" s="18" t="str">
        <f>IF($B35="","",SUM(I35:K35))</f>
        <v/>
      </c>
      <c r="M35" s="18" t="str">
        <f>IF($B35="","",H35-L35)</f>
        <v/>
      </c>
      <c r="N35" s="18" t="str">
        <f>IF($B35="","",IF(R35="Ancien",0,Paramètres!$D$22))</f>
        <v/>
      </c>
      <c r="O35" s="19"/>
      <c r="P35" s="18" t="str">
        <f>IF($B35="","",N35-O35)</f>
        <v/>
      </c>
      <c r="Q35" s="8" t="str">
        <f>IF($B35="","",IF(AND(M35&lt;=0,P35&lt;=0),"Soldé","En retard"))</f>
        <v/>
      </c>
      <c r="R35" s="8"/>
    </row>
    <row r="36">
      <c r="A36" s="20"/>
      <c r="B36" s="20"/>
      <c r="C36" s="20"/>
      <c r="D36" s="21"/>
      <c r="E36" s="77"/>
      <c r="F36" s="20"/>
      <c r="G36" s="20"/>
      <c r="H36" s="18" t="str">
        <f>IF($B36="","",Paramètres!$C$22)</f>
        <v/>
      </c>
      <c r="I36" s="19"/>
      <c r="J36" s="19"/>
      <c r="K36" s="19"/>
      <c r="L36" s="18" t="str">
        <f>IF($B36="","",SUM(I36:K36))</f>
        <v/>
      </c>
      <c r="M36" s="18" t="str">
        <f>IF($B36="","",H36-L36)</f>
        <v/>
      </c>
      <c r="N36" s="18" t="str">
        <f>IF($B36="","",IF(R36="Ancien",0,Paramètres!$D$22))</f>
        <v/>
      </c>
      <c r="O36" s="19"/>
      <c r="P36" s="18" t="str">
        <f>IF($B36="","",N36-O36)</f>
        <v/>
      </c>
      <c r="Q36" s="21" t="str">
        <f>IF($B36="","",IF(AND(M36&lt;=0,P36&lt;=0),"Soldé","En retard"))</f>
        <v/>
      </c>
      <c r="R36" s="21"/>
    </row>
    <row r="37">
      <c r="A37" s="15"/>
      <c r="B37" s="15"/>
      <c r="C37" s="15"/>
      <c r="D37" s="8"/>
      <c r="E37" s="79"/>
      <c r="F37" s="15"/>
      <c r="G37" s="15"/>
      <c r="H37" s="18" t="str">
        <f>IF($B37="","",Paramètres!$C$22)</f>
        <v/>
      </c>
      <c r="I37" s="19"/>
      <c r="J37" s="19"/>
      <c r="K37" s="19"/>
      <c r="L37" s="18" t="str">
        <f>IF($B37="","",SUM(I37:K37))</f>
        <v/>
      </c>
      <c r="M37" s="18" t="str">
        <f>IF($B37="","",H37-L37)</f>
        <v/>
      </c>
      <c r="N37" s="18" t="str">
        <f>IF($B37="","",IF(R37="Ancien",0,Paramètres!$D$22))</f>
        <v/>
      </c>
      <c r="O37" s="19"/>
      <c r="P37" s="18" t="str">
        <f>IF($B37="","",N37-O37)</f>
        <v/>
      </c>
      <c r="Q37" s="8" t="str">
        <f>IF($B37="","",IF(AND(M37&lt;=0,P37&lt;=0),"Soldé","En retard"))</f>
        <v/>
      </c>
      <c r="R37" s="8"/>
    </row>
    <row r="38">
      <c r="A38" s="20"/>
      <c r="B38" s="20"/>
      <c r="C38" s="20"/>
      <c r="D38" s="21"/>
      <c r="E38" s="77"/>
      <c r="F38" s="20"/>
      <c r="G38" s="20"/>
      <c r="H38" s="18" t="str">
        <f>IF($B38="","",Paramètres!$C$22)</f>
        <v/>
      </c>
      <c r="I38" s="19"/>
      <c r="J38" s="19"/>
      <c r="K38" s="19"/>
      <c r="L38" s="18" t="str">
        <f>IF($B38="","",SUM(I38:K38))</f>
        <v/>
      </c>
      <c r="M38" s="18" t="str">
        <f>IF($B38="","",H38-L38)</f>
        <v/>
      </c>
      <c r="N38" s="18" t="str">
        <f>IF($B38="","",IF(R38="Ancien",0,Paramètres!$D$22))</f>
        <v/>
      </c>
      <c r="O38" s="19"/>
      <c r="P38" s="18" t="str">
        <f>IF($B38="","",N38-O38)</f>
        <v/>
      </c>
      <c r="Q38" s="21" t="str">
        <f>IF($B38="","",IF(AND(M38&lt;=0,P38&lt;=0),"Soldé","En retard"))</f>
        <v/>
      </c>
      <c r="R38" s="21"/>
    </row>
    <row r="39">
      <c r="A39" s="15"/>
      <c r="B39" s="15"/>
      <c r="C39" s="15"/>
      <c r="D39" s="8"/>
      <c r="E39" s="79"/>
      <c r="F39" s="15"/>
      <c r="G39" s="15"/>
      <c r="H39" s="18" t="str">
        <f>IF($B39="","",Paramètres!$C$22)</f>
        <v/>
      </c>
      <c r="I39" s="19"/>
      <c r="J39" s="19"/>
      <c r="K39" s="19"/>
      <c r="L39" s="18" t="str">
        <f>IF($B39="","",SUM(I39:K39))</f>
        <v/>
      </c>
      <c r="M39" s="18" t="str">
        <f>IF($B39="","",H39-L39)</f>
        <v/>
      </c>
      <c r="N39" s="18" t="str">
        <f>IF($B39="","",IF(R39="Ancien",0,Paramètres!$D$22))</f>
        <v/>
      </c>
      <c r="O39" s="19"/>
      <c r="P39" s="18" t="str">
        <f>IF($B39="","",N39-O39)</f>
        <v/>
      </c>
      <c r="Q39" s="8" t="str">
        <f>IF($B39="","",IF(AND(M39&lt;=0,P39&lt;=0),"Soldé","En retard"))</f>
        <v/>
      </c>
      <c r="R39" s="8"/>
    </row>
    <row r="40">
      <c r="A40" s="20"/>
      <c r="B40" s="20"/>
      <c r="C40" s="20"/>
      <c r="D40" s="21"/>
      <c r="E40" s="77"/>
      <c r="F40" s="20"/>
      <c r="G40" s="20"/>
      <c r="H40" s="18" t="str">
        <f>IF($B40="","",Paramètres!$C$22)</f>
        <v/>
      </c>
      <c r="I40" s="19"/>
      <c r="J40" s="19"/>
      <c r="K40" s="19"/>
      <c r="L40" s="18" t="str">
        <f>IF($B40="","",SUM(I40:K40))</f>
        <v/>
      </c>
      <c r="M40" s="18" t="str">
        <f>IF($B40="","",H40-L40)</f>
        <v/>
      </c>
      <c r="N40" s="18" t="str">
        <f>IF($B40="","",IF(R40="Ancien",0,Paramètres!$D$22))</f>
        <v/>
      </c>
      <c r="O40" s="19"/>
      <c r="P40" s="18" t="str">
        <f>IF($B40="","",N40-O40)</f>
        <v/>
      </c>
      <c r="Q40" s="21" t="str">
        <f>IF($B40="","",IF(AND(M40&lt;=0,P40&lt;=0),"Soldé","En retard"))</f>
        <v/>
      </c>
      <c r="R40" s="21"/>
    </row>
    <row r="41">
      <c r="A41" s="15"/>
      <c r="B41" s="15"/>
      <c r="C41" s="15"/>
      <c r="D41" s="8"/>
      <c r="E41" s="79"/>
      <c r="F41" s="15"/>
      <c r="G41" s="15"/>
      <c r="H41" s="18" t="str">
        <f>IF($B41="","",Paramètres!$C$22)</f>
        <v/>
      </c>
      <c r="I41" s="19"/>
      <c r="J41" s="19"/>
      <c r="K41" s="19"/>
      <c r="L41" s="18" t="str">
        <f>IF($B41="","",SUM(I41:K41))</f>
        <v/>
      </c>
      <c r="M41" s="18" t="str">
        <f>IF($B41="","",H41-L41)</f>
        <v/>
      </c>
      <c r="N41" s="18" t="str">
        <f>IF($B41="","",IF(R41="Ancien",0,Paramètres!$D$22))</f>
        <v/>
      </c>
      <c r="O41" s="19"/>
      <c r="P41" s="18" t="str">
        <f>IF($B41="","",N41-O41)</f>
        <v/>
      </c>
      <c r="Q41" s="8" t="str">
        <f>IF($B41="","",IF(AND(M41&lt;=0,P41&lt;=0),"Soldé","En retard"))</f>
        <v/>
      </c>
      <c r="R41" s="8"/>
    </row>
    <row r="42">
      <c r="A42" s="20"/>
      <c r="B42" s="20"/>
      <c r="C42" s="20"/>
      <c r="D42" s="21"/>
      <c r="E42" s="77"/>
      <c r="F42" s="20"/>
      <c r="G42" s="20"/>
      <c r="H42" s="18" t="str">
        <f>IF($B42="","",Paramètres!$C$22)</f>
        <v/>
      </c>
      <c r="I42" s="19"/>
      <c r="J42" s="19"/>
      <c r="K42" s="19"/>
      <c r="L42" s="18" t="str">
        <f>IF($B42="","",SUM(I42:K42))</f>
        <v/>
      </c>
      <c r="M42" s="18" t="str">
        <f>IF($B42="","",H42-L42)</f>
        <v/>
      </c>
      <c r="N42" s="18" t="str">
        <f>IF($B42="","",IF(R42="Ancien",0,Paramètres!$D$22))</f>
        <v/>
      </c>
      <c r="O42" s="19"/>
      <c r="P42" s="18" t="str">
        <f>IF($B42="","",N42-O42)</f>
        <v/>
      </c>
      <c r="Q42" s="21" t="str">
        <f>IF($B42="","",IF(AND(M42&lt;=0,P42&lt;=0),"Soldé","En retard"))</f>
        <v/>
      </c>
      <c r="R42" s="21"/>
    </row>
    <row r="43">
      <c r="A43" s="15"/>
      <c r="B43" s="15"/>
      <c r="C43" s="15"/>
      <c r="D43" s="8"/>
      <c r="E43" s="79"/>
      <c r="F43" s="15"/>
      <c r="G43" s="15"/>
      <c r="H43" s="18" t="str">
        <f>IF($B43="","",Paramètres!$C$22)</f>
        <v/>
      </c>
      <c r="I43" s="19"/>
      <c r="J43" s="19"/>
      <c r="K43" s="19"/>
      <c r="L43" s="18" t="str">
        <f>IF($B43="","",SUM(I43:K43))</f>
        <v/>
      </c>
      <c r="M43" s="18" t="str">
        <f>IF($B43="","",H43-L43)</f>
        <v/>
      </c>
      <c r="N43" s="18" t="str">
        <f>IF($B43="","",IF(R43="Ancien",0,Paramètres!$D$22))</f>
        <v/>
      </c>
      <c r="O43" s="19"/>
      <c r="P43" s="18" t="str">
        <f>IF($B43="","",N43-O43)</f>
        <v/>
      </c>
      <c r="Q43" s="8" t="str">
        <f>IF($B43="","",IF(AND(M43&lt;=0,P43&lt;=0),"Soldé","En retard"))</f>
        <v/>
      </c>
      <c r="R43" s="8"/>
    </row>
    <row r="44">
      <c r="A44" s="20"/>
      <c r="B44" s="20"/>
      <c r="C44" s="20"/>
      <c r="D44" s="21"/>
      <c r="E44" s="77"/>
      <c r="F44" s="20"/>
      <c r="G44" s="20"/>
      <c r="H44" s="18" t="str">
        <f>IF($B44="","",Paramètres!$C$22)</f>
        <v/>
      </c>
      <c r="I44" s="19"/>
      <c r="J44" s="19"/>
      <c r="K44" s="19"/>
      <c r="L44" s="18" t="str">
        <f>IF($B44="","",SUM(I44:K44))</f>
        <v/>
      </c>
      <c r="M44" s="18" t="str">
        <f>IF($B44="","",H44-L44)</f>
        <v/>
      </c>
      <c r="N44" s="18" t="str">
        <f>IF($B44="","",IF(R44="Ancien",0,Paramètres!$D$22))</f>
        <v/>
      </c>
      <c r="O44" s="19"/>
      <c r="P44" s="18" t="str">
        <f>IF($B44="","",N44-O44)</f>
        <v/>
      </c>
      <c r="Q44" s="21" t="str">
        <f>IF($B44="","",IF(AND(M44&lt;=0,P44&lt;=0),"Soldé","En retard"))</f>
        <v/>
      </c>
      <c r="R44" s="21"/>
    </row>
    <row r="45">
      <c r="A45" s="15"/>
      <c r="B45" s="15"/>
      <c r="C45" s="15"/>
      <c r="D45" s="8"/>
      <c r="E45" s="79"/>
      <c r="F45" s="15"/>
      <c r="G45" s="15"/>
      <c r="H45" s="18" t="str">
        <f>IF($B45="","",Paramètres!$C$22)</f>
        <v/>
      </c>
      <c r="I45" s="19"/>
      <c r="J45" s="19"/>
      <c r="K45" s="19"/>
      <c r="L45" s="18" t="str">
        <f>IF($B45="","",SUM(I45:K45))</f>
        <v/>
      </c>
      <c r="M45" s="18" t="str">
        <f>IF($B45="","",H45-L45)</f>
        <v/>
      </c>
      <c r="N45" s="18" t="str">
        <f>IF($B45="","",IF(R45="Ancien",0,Paramètres!$D$22))</f>
        <v/>
      </c>
      <c r="O45" s="19"/>
      <c r="P45" s="18" t="str">
        <f>IF($B45="","",N45-O45)</f>
        <v/>
      </c>
      <c r="Q45" s="8" t="str">
        <f>IF($B45="","",IF(AND(M45&lt;=0,P45&lt;=0),"Soldé","En retard"))</f>
        <v/>
      </c>
      <c r="R45" s="8"/>
    </row>
    <row r="46">
      <c r="A46" s="20"/>
      <c r="B46" s="20"/>
      <c r="C46" s="20"/>
      <c r="D46" s="21"/>
      <c r="E46" s="77"/>
      <c r="F46" s="20"/>
      <c r="G46" s="20"/>
      <c r="H46" s="18" t="str">
        <f>IF($B46="","",Paramètres!$C$22)</f>
        <v/>
      </c>
      <c r="I46" s="19"/>
      <c r="J46" s="19"/>
      <c r="K46" s="19"/>
      <c r="L46" s="18" t="str">
        <f>IF($B46="","",SUM(I46:K46))</f>
        <v/>
      </c>
      <c r="M46" s="18" t="str">
        <f>IF($B46="","",H46-L46)</f>
        <v/>
      </c>
      <c r="N46" s="18" t="str">
        <f>IF($B46="","",IF(R46="Ancien",0,Paramètres!$D$22))</f>
        <v/>
      </c>
      <c r="O46" s="19"/>
      <c r="P46" s="18" t="str">
        <f>IF($B46="","",N46-O46)</f>
        <v/>
      </c>
      <c r="Q46" s="21" t="str">
        <f>IF($B46="","",IF(AND(M46&lt;=0,P46&lt;=0),"Soldé","En retard"))</f>
        <v/>
      </c>
      <c r="R46" s="21"/>
    </row>
    <row r="47">
      <c r="A47" s="15"/>
      <c r="B47" s="15"/>
      <c r="C47" s="15"/>
      <c r="D47" s="8"/>
      <c r="E47" s="79"/>
      <c r="F47" s="15"/>
      <c r="G47" s="15"/>
      <c r="H47" s="18" t="str">
        <f>IF($B47="","",Paramètres!$C$22)</f>
        <v/>
      </c>
      <c r="I47" s="19"/>
      <c r="J47" s="19"/>
      <c r="K47" s="19"/>
      <c r="L47" s="18" t="str">
        <f>IF($B47="","",SUM(I47:K47))</f>
        <v/>
      </c>
      <c r="M47" s="18" t="str">
        <f>IF($B47="","",H47-L47)</f>
        <v/>
      </c>
      <c r="N47" s="18" t="str">
        <f>IF($B47="","",IF(R47="Ancien",0,Paramètres!$D$22))</f>
        <v/>
      </c>
      <c r="O47" s="19"/>
      <c r="P47" s="18" t="str">
        <f>IF($B47="","",N47-O47)</f>
        <v/>
      </c>
      <c r="Q47" s="8" t="str">
        <f>IF($B47="","",IF(AND(M47&lt;=0,P47&lt;=0),"Soldé","En retard"))</f>
        <v/>
      </c>
      <c r="R47" s="8"/>
    </row>
    <row r="48">
      <c r="A48" s="20"/>
      <c r="B48" s="20"/>
      <c r="C48" s="20"/>
      <c r="D48" s="21"/>
      <c r="E48" s="77"/>
      <c r="F48" s="20"/>
      <c r="G48" s="20"/>
      <c r="H48" s="18" t="str">
        <f>IF($B48="","",Paramètres!$C$22)</f>
        <v/>
      </c>
      <c r="I48" s="19"/>
      <c r="J48" s="19"/>
      <c r="K48" s="19"/>
      <c r="L48" s="18" t="str">
        <f>IF($B48="","",SUM(I48:K48))</f>
        <v/>
      </c>
      <c r="M48" s="18" t="str">
        <f>IF($B48="","",H48-L48)</f>
        <v/>
      </c>
      <c r="N48" s="18" t="str">
        <f>IF($B48="","",IF(R48="Ancien",0,Paramètres!$D$22))</f>
        <v/>
      </c>
      <c r="O48" s="19"/>
      <c r="P48" s="18" t="str">
        <f>IF($B48="","",N48-O48)</f>
        <v/>
      </c>
      <c r="Q48" s="21" t="str">
        <f>IF($B48="","",IF(AND(M48&lt;=0,P48&lt;=0),"Soldé","En retard"))</f>
        <v/>
      </c>
      <c r="R48" s="21"/>
    </row>
    <row r="49">
      <c r="A49" s="15"/>
      <c r="B49" s="15"/>
      <c r="C49" s="15"/>
      <c r="D49" s="8"/>
      <c r="E49" s="79"/>
      <c r="F49" s="15"/>
      <c r="G49" s="15"/>
      <c r="H49" s="18" t="str">
        <f>IF($B49="","",Paramètres!$C$22)</f>
        <v/>
      </c>
      <c r="I49" s="19"/>
      <c r="J49" s="19"/>
      <c r="K49" s="19"/>
      <c r="L49" s="18" t="str">
        <f>IF($B49="","",SUM(I49:K49))</f>
        <v/>
      </c>
      <c r="M49" s="18" t="str">
        <f>IF($B49="","",H49-L49)</f>
        <v/>
      </c>
      <c r="N49" s="18" t="str">
        <f>IF($B49="","",IF(R49="Ancien",0,Paramètres!$D$22))</f>
        <v/>
      </c>
      <c r="O49" s="19"/>
      <c r="P49" s="18" t="str">
        <f>IF($B49="","",N49-O49)</f>
        <v/>
      </c>
      <c r="Q49" s="8" t="str">
        <f>IF($B49="","",IF(AND(M49&lt;=0,P49&lt;=0),"Soldé","En retard"))</f>
        <v/>
      </c>
      <c r="R49" s="8"/>
    </row>
    <row r="50">
      <c r="A50" s="20"/>
      <c r="B50" s="20"/>
      <c r="C50" s="20"/>
      <c r="D50" s="21"/>
      <c r="E50" s="77"/>
      <c r="F50" s="20"/>
      <c r="G50" s="20"/>
      <c r="H50" s="18" t="str">
        <f>IF($B50="","",Paramètres!$C$22)</f>
        <v/>
      </c>
      <c r="I50" s="19"/>
      <c r="J50" s="19"/>
      <c r="K50" s="19"/>
      <c r="L50" s="18" t="str">
        <f>IF($B50="","",SUM(I50:K50))</f>
        <v/>
      </c>
      <c r="M50" s="18" t="str">
        <f>IF($B50="","",H50-L50)</f>
        <v/>
      </c>
      <c r="N50" s="18" t="str">
        <f>IF($B50="","",IF(R50="Ancien",0,Paramètres!$D$22))</f>
        <v/>
      </c>
      <c r="O50" s="19"/>
      <c r="P50" s="18" t="str">
        <f>IF($B50="","",N50-O50)</f>
        <v/>
      </c>
      <c r="Q50" s="21" t="str">
        <f>IF($B50="","",IF(AND(M50&lt;=0,P50&lt;=0),"Soldé","En retard"))</f>
        <v/>
      </c>
      <c r="R50" s="21"/>
    </row>
    <row r="51">
      <c r="A51" s="15"/>
      <c r="B51" s="15"/>
      <c r="C51" s="15"/>
      <c r="D51" s="8"/>
      <c r="E51" s="79"/>
      <c r="F51" s="15"/>
      <c r="G51" s="15"/>
      <c r="H51" s="18" t="str">
        <f>IF($B51="","",Paramètres!$C$22)</f>
        <v/>
      </c>
      <c r="I51" s="19"/>
      <c r="J51" s="19"/>
      <c r="K51" s="19"/>
      <c r="L51" s="18" t="str">
        <f>IF($B51="","",SUM(I51:K51))</f>
        <v/>
      </c>
      <c r="M51" s="18" t="str">
        <f>IF($B51="","",H51-L51)</f>
        <v/>
      </c>
      <c r="N51" s="18" t="str">
        <f>IF($B51="","",IF(R51="Ancien",0,Paramètres!$D$22))</f>
        <v/>
      </c>
      <c r="O51" s="19"/>
      <c r="P51" s="18" t="str">
        <f>IF($B51="","",N51-O51)</f>
        <v/>
      </c>
      <c r="Q51" s="8" t="str">
        <f>IF($B51="","",IF(AND(M51&lt;=0,P51&lt;=0),"Soldé","En retard"))</f>
        <v/>
      </c>
      <c r="R51" s="8"/>
    </row>
    <row r="52">
      <c r="A52" s="20"/>
      <c r="B52" s="20"/>
      <c r="C52" s="20"/>
      <c r="D52" s="21"/>
      <c r="E52" s="77"/>
      <c r="F52" s="20"/>
      <c r="G52" s="20"/>
      <c r="H52" s="18" t="str">
        <f>IF($B52="","",Paramètres!$C$22)</f>
        <v/>
      </c>
      <c r="I52" s="19"/>
      <c r="J52" s="19"/>
      <c r="K52" s="19"/>
      <c r="L52" s="18" t="str">
        <f>IF($B52="","",SUM(I52:K52))</f>
        <v/>
      </c>
      <c r="M52" s="18" t="str">
        <f>IF($B52="","",H52-L52)</f>
        <v/>
      </c>
      <c r="N52" s="18" t="str">
        <f>IF($B52="","",IF(R52="Ancien",0,Paramètres!$D$22))</f>
        <v/>
      </c>
      <c r="O52" s="19"/>
      <c r="P52" s="18" t="str">
        <f>IF($B52="","",N52-O52)</f>
        <v/>
      </c>
      <c r="Q52" s="21" t="str">
        <f>IF($B52="","",IF(AND(M52&lt;=0,P52&lt;=0),"Soldé","En retard"))</f>
        <v/>
      </c>
      <c r="R52" s="21"/>
    </row>
    <row r="53">
      <c r="A53" s="15"/>
      <c r="B53" s="15"/>
      <c r="C53" s="15"/>
      <c r="D53" s="8"/>
      <c r="E53" s="79"/>
      <c r="F53" s="15"/>
      <c r="G53" s="15"/>
      <c r="H53" s="18" t="str">
        <f>IF($B53="","",Paramètres!$C$22)</f>
        <v/>
      </c>
      <c r="I53" s="19"/>
      <c r="J53" s="19"/>
      <c r="K53" s="19"/>
      <c r="L53" s="18" t="str">
        <f>IF($B53="","",SUM(I53:K53))</f>
        <v/>
      </c>
      <c r="M53" s="18" t="str">
        <f>IF($B53="","",H53-L53)</f>
        <v/>
      </c>
      <c r="N53" s="18" t="str">
        <f>IF($B53="","",IF(R53="Ancien",0,Paramètres!$D$22))</f>
        <v/>
      </c>
      <c r="O53" s="19"/>
      <c r="P53" s="18" t="str">
        <f>IF($B53="","",N53-O53)</f>
        <v/>
      </c>
      <c r="Q53" s="8" t="str">
        <f>IF($B53="","",IF(AND(M53&lt;=0,P53&lt;=0),"Soldé","En retard"))</f>
        <v/>
      </c>
      <c r="R53" s="8"/>
    </row>
    <row r="54">
      <c r="A54" s="20"/>
      <c r="B54" s="20"/>
      <c r="C54" s="20"/>
      <c r="D54" s="21"/>
      <c r="E54" s="77"/>
      <c r="F54" s="20"/>
      <c r="G54" s="20"/>
      <c r="H54" s="18" t="str">
        <f>IF($B54="","",Paramètres!$C$22)</f>
        <v/>
      </c>
      <c r="I54" s="19"/>
      <c r="J54" s="19"/>
      <c r="K54" s="19"/>
      <c r="L54" s="18" t="str">
        <f>IF($B54="","",SUM(I54:K54))</f>
        <v/>
      </c>
      <c r="M54" s="18" t="str">
        <f>IF($B54="","",H54-L54)</f>
        <v/>
      </c>
      <c r="N54" s="18" t="str">
        <f>IF($B54="","",IF(R54="Ancien",0,Paramètres!$D$22))</f>
        <v/>
      </c>
      <c r="O54" s="19"/>
      <c r="P54" s="18" t="str">
        <f>IF($B54="","",N54-O54)</f>
        <v/>
      </c>
      <c r="Q54" s="21" t="str">
        <f>IF($B54="","",IF(AND(M54&lt;=0,P54&lt;=0),"Soldé","En retard"))</f>
        <v/>
      </c>
      <c r="R54" s="21"/>
    </row>
    <row r="55">
      <c r="A55" s="15"/>
      <c r="B55" s="15"/>
      <c r="C55" s="15"/>
      <c r="D55" s="8"/>
      <c r="E55" s="79"/>
      <c r="F55" s="15"/>
      <c r="G55" s="15"/>
      <c r="H55" s="18" t="str">
        <f>IF($B55="","",Paramètres!$C$22)</f>
        <v/>
      </c>
      <c r="I55" s="19"/>
      <c r="J55" s="19"/>
      <c r="K55" s="19"/>
      <c r="L55" s="18" t="str">
        <f>IF($B55="","",SUM(I55:K55))</f>
        <v/>
      </c>
      <c r="M55" s="18" t="str">
        <f>IF($B55="","",H55-L55)</f>
        <v/>
      </c>
      <c r="N55" s="18" t="str">
        <f>IF($B55="","",IF(R55="Ancien",0,Paramètres!$D$22))</f>
        <v/>
      </c>
      <c r="O55" s="19"/>
      <c r="P55" s="18" t="str">
        <f>IF($B55="","",N55-O55)</f>
        <v/>
      </c>
      <c r="Q55" s="8" t="str">
        <f>IF($B55="","",IF(AND(M55&lt;=0,P55&lt;=0),"Soldé","En retard"))</f>
        <v/>
      </c>
      <c r="R55" s="8"/>
    </row>
    <row r="56">
      <c r="A56" s="20"/>
      <c r="B56" s="20"/>
      <c r="C56" s="20"/>
      <c r="D56" s="21"/>
      <c r="E56" s="77"/>
      <c r="F56" s="20"/>
      <c r="G56" s="20"/>
      <c r="H56" s="18" t="str">
        <f>IF($B56="","",Paramètres!$C$22)</f>
        <v/>
      </c>
      <c r="I56" s="19"/>
      <c r="J56" s="19"/>
      <c r="K56" s="19"/>
      <c r="L56" s="18" t="str">
        <f>IF($B56="","",SUM(I56:K56))</f>
        <v/>
      </c>
      <c r="M56" s="18" t="str">
        <f>IF($B56="","",H56-L56)</f>
        <v/>
      </c>
      <c r="N56" s="18" t="str">
        <f>IF($B56="","",IF(R56="Ancien",0,Paramètres!$D$22))</f>
        <v/>
      </c>
      <c r="O56" s="19"/>
      <c r="P56" s="18" t="str">
        <f>IF($B56="","",N56-O56)</f>
        <v/>
      </c>
      <c r="Q56" s="21" t="str">
        <f>IF($B56="","",IF(AND(M56&lt;=0,P56&lt;=0),"Soldé","En retard"))</f>
        <v/>
      </c>
      <c r="R56" s="21"/>
    </row>
    <row r="57">
      <c r="A57" s="15"/>
      <c r="B57" s="15"/>
      <c r="C57" s="15"/>
      <c r="D57" s="8"/>
      <c r="E57" s="79"/>
      <c r="F57" s="15"/>
      <c r="G57" s="15"/>
      <c r="H57" s="18" t="str">
        <f>IF($B57="","",Paramètres!$C$22)</f>
        <v/>
      </c>
      <c r="I57" s="19"/>
      <c r="J57" s="19"/>
      <c r="K57" s="19"/>
      <c r="L57" s="18" t="str">
        <f>IF($B57="","",SUM(I57:K57))</f>
        <v/>
      </c>
      <c r="M57" s="18" t="str">
        <f>IF($B57="","",H57-L57)</f>
        <v/>
      </c>
      <c r="N57" s="18" t="str">
        <f>IF($B57="","",IF(R57="Ancien",0,Paramètres!$D$22))</f>
        <v/>
      </c>
      <c r="O57" s="19"/>
      <c r="P57" s="18" t="str">
        <f>IF($B57="","",N57-O57)</f>
        <v/>
      </c>
      <c r="Q57" s="8" t="str">
        <f>IF($B57="","",IF(AND(M57&lt;=0,P57&lt;=0),"Soldé","En retard"))</f>
        <v/>
      </c>
      <c r="R57" s="8"/>
    </row>
    <row r="58">
      <c r="A58" s="20"/>
      <c r="B58" s="20"/>
      <c r="C58" s="20"/>
      <c r="D58" s="21"/>
      <c r="E58" s="77"/>
      <c r="F58" s="20"/>
      <c r="G58" s="20"/>
      <c r="H58" s="18" t="str">
        <f>IF($B58="","",Paramètres!$C$22)</f>
        <v/>
      </c>
      <c r="I58" s="19"/>
      <c r="J58" s="19"/>
      <c r="K58" s="19"/>
      <c r="L58" s="18" t="str">
        <f>IF($B58="","",SUM(I58:K58))</f>
        <v/>
      </c>
      <c r="M58" s="18" t="str">
        <f>IF($B58="","",H58-L58)</f>
        <v/>
      </c>
      <c r="N58" s="18" t="str">
        <f>IF($B58="","",IF(R58="Ancien",0,Paramètres!$D$22))</f>
        <v/>
      </c>
      <c r="O58" s="19"/>
      <c r="P58" s="18" t="str">
        <f>IF($B58="","",N58-O58)</f>
        <v/>
      </c>
      <c r="Q58" s="21" t="str">
        <f>IF($B58="","",IF(AND(M58&lt;=0,P58&lt;=0),"Soldé","En retard"))</f>
        <v/>
      </c>
      <c r="R58" s="21"/>
    </row>
    <row r="59">
      <c r="A59" s="15"/>
      <c r="B59" s="15"/>
      <c r="C59" s="15"/>
      <c r="D59" s="8"/>
      <c r="E59" s="79"/>
      <c r="F59" s="15"/>
      <c r="G59" s="15"/>
      <c r="H59" s="18" t="str">
        <f>IF($B59="","",Paramètres!$C$22)</f>
        <v/>
      </c>
      <c r="I59" s="19"/>
      <c r="J59" s="19"/>
      <c r="K59" s="19"/>
      <c r="L59" s="18" t="str">
        <f>IF($B59="","",SUM(I59:K59))</f>
        <v/>
      </c>
      <c r="M59" s="18" t="str">
        <f>IF($B59="","",H59-L59)</f>
        <v/>
      </c>
      <c r="N59" s="18" t="str">
        <f>IF($B59="","",IF(R59="Ancien",0,Paramètres!$D$22))</f>
        <v/>
      </c>
      <c r="O59" s="19"/>
      <c r="P59" s="18" t="str">
        <f>IF($B59="","",N59-O59)</f>
        <v/>
      </c>
      <c r="Q59" s="8" t="str">
        <f>IF($B59="","",IF(AND(M59&lt;=0,P59&lt;=0),"Soldé","En retard"))</f>
        <v/>
      </c>
      <c r="R59" s="8"/>
    </row>
    <row r="60">
      <c r="A60" s="20"/>
      <c r="B60" s="20"/>
      <c r="C60" s="20"/>
      <c r="D60" s="21"/>
      <c r="E60" s="77"/>
      <c r="F60" s="20"/>
      <c r="G60" s="20"/>
      <c r="H60" s="18" t="str">
        <f>IF($B60="","",Paramètres!$C$22)</f>
        <v/>
      </c>
      <c r="I60" s="19"/>
      <c r="J60" s="19"/>
      <c r="K60" s="19"/>
      <c r="L60" s="18" t="str">
        <f>IF($B60="","",SUM(I60:K60))</f>
        <v/>
      </c>
      <c r="M60" s="18" t="str">
        <f>IF($B60="","",H60-L60)</f>
        <v/>
      </c>
      <c r="N60" s="18" t="str">
        <f>IF($B60="","",IF(R60="Ancien",0,Paramètres!$D$22))</f>
        <v/>
      </c>
      <c r="O60" s="19"/>
      <c r="P60" s="18" t="str">
        <f>IF($B60="","",N60-O60)</f>
        <v/>
      </c>
      <c r="Q60" s="21" t="str">
        <f>IF($B60="","",IF(AND(M60&lt;=0,P60&lt;=0),"Soldé","En retard"))</f>
        <v/>
      </c>
      <c r="R60" s="21"/>
    </row>
    <row r="61">
      <c r="A61" s="15"/>
      <c r="B61" s="15"/>
      <c r="C61" s="15"/>
      <c r="D61" s="8"/>
      <c r="E61" s="79"/>
      <c r="F61" s="15"/>
      <c r="G61" s="15"/>
      <c r="H61" s="18" t="str">
        <f>IF($B61="","",Paramètres!$C$22)</f>
        <v/>
      </c>
      <c r="I61" s="19"/>
      <c r="J61" s="19"/>
      <c r="K61" s="19"/>
      <c r="L61" s="18" t="str">
        <f>IF($B61="","",SUM(I61:K61))</f>
        <v/>
      </c>
      <c r="M61" s="18" t="str">
        <f>IF($B61="","",H61-L61)</f>
        <v/>
      </c>
      <c r="N61" s="18" t="str">
        <f>IF($B61="","",IF(R61="Ancien",0,Paramètres!$D$22))</f>
        <v/>
      </c>
      <c r="O61" s="19"/>
      <c r="P61" s="18" t="str">
        <f>IF($B61="","",N61-O61)</f>
        <v/>
      </c>
      <c r="Q61" s="8" t="str">
        <f>IF($B61="","",IF(AND(M61&lt;=0,P61&lt;=0),"Soldé","En retard"))</f>
        <v/>
      </c>
      <c r="R61" s="8"/>
    </row>
    <row r="62">
      <c r="A62" s="20"/>
      <c r="B62" s="20"/>
      <c r="C62" s="20"/>
      <c r="D62" s="21"/>
      <c r="E62" s="77"/>
      <c r="F62" s="20"/>
      <c r="G62" s="20"/>
      <c r="H62" s="18" t="str">
        <f>IF($B62="","",Paramètres!$C$22)</f>
        <v/>
      </c>
      <c r="I62" s="19"/>
      <c r="J62" s="19"/>
      <c r="K62" s="19"/>
      <c r="L62" s="18" t="str">
        <f>IF($B62="","",SUM(I62:K62))</f>
        <v/>
      </c>
      <c r="M62" s="18" t="str">
        <f>IF($B62="","",H62-L62)</f>
        <v/>
      </c>
      <c r="N62" s="18" t="str">
        <f>IF($B62="","",IF(R62="Ancien",0,Paramètres!$D$22))</f>
        <v/>
      </c>
      <c r="O62" s="19"/>
      <c r="P62" s="18" t="str">
        <f>IF($B62="","",N62-O62)</f>
        <v/>
      </c>
      <c r="Q62" s="21" t="str">
        <f>IF($B62="","",IF(AND(M62&lt;=0,P62&lt;=0),"Soldé","En retard"))</f>
        <v/>
      </c>
      <c r="R62" s="21"/>
    </row>
    <row r="63">
      <c r="A63" s="15"/>
      <c r="B63" s="15"/>
      <c r="C63" s="15"/>
      <c r="D63" s="8"/>
      <c r="E63" s="79"/>
      <c r="F63" s="15"/>
      <c r="G63" s="15"/>
      <c r="H63" s="18" t="str">
        <f>IF($B63="","",Paramètres!$C$22)</f>
        <v/>
      </c>
      <c r="I63" s="19"/>
      <c r="J63" s="19"/>
      <c r="K63" s="19"/>
      <c r="L63" s="18" t="str">
        <f>IF($B63="","",SUM(I63:K63))</f>
        <v/>
      </c>
      <c r="M63" s="18" t="str">
        <f>IF($B63="","",H63-L63)</f>
        <v/>
      </c>
      <c r="N63" s="18" t="str">
        <f>IF($B63="","",IF(R63="Ancien",0,Paramètres!$D$22))</f>
        <v/>
      </c>
      <c r="O63" s="19"/>
      <c r="P63" s="18" t="str">
        <f>IF($B63="","",N63-O63)</f>
        <v/>
      </c>
      <c r="Q63" s="8" t="str">
        <f>IF($B63="","",IF(AND(M63&lt;=0,P63&lt;=0),"Soldé","En retard"))</f>
        <v/>
      </c>
      <c r="R63" s="8"/>
    </row>
    <row r="64">
      <c r="A64" s="20"/>
      <c r="B64" s="20"/>
      <c r="C64" s="20"/>
      <c r="D64" s="21"/>
      <c r="E64" s="77"/>
      <c r="F64" s="20"/>
      <c r="G64" s="20"/>
      <c r="H64" s="18" t="str">
        <f>IF($B64="","",Paramètres!$C$22)</f>
        <v/>
      </c>
      <c r="I64" s="19"/>
      <c r="J64" s="19"/>
      <c r="K64" s="19"/>
      <c r="L64" s="18" t="str">
        <f>IF($B64="","",SUM(I64:K64))</f>
        <v/>
      </c>
      <c r="M64" s="18" t="str">
        <f>IF($B64="","",H64-L64)</f>
        <v/>
      </c>
      <c r="N64" s="18" t="str">
        <f>IF($B64="","",IF(R64="Ancien",0,Paramètres!$D$22))</f>
        <v/>
      </c>
      <c r="O64" s="19"/>
      <c r="P64" s="18" t="str">
        <f>IF($B64="","",N64-O64)</f>
        <v/>
      </c>
      <c r="Q64" s="21" t="str">
        <f>IF($B64="","",IF(AND(M64&lt;=0,P64&lt;=0),"Soldé","En retard"))</f>
        <v/>
      </c>
      <c r="R64" s="21"/>
    </row>
    <row r="65">
      <c r="A65" s="15"/>
      <c r="B65" s="15"/>
      <c r="C65" s="15"/>
      <c r="D65" s="8"/>
      <c r="E65" s="79"/>
      <c r="F65" s="15"/>
      <c r="G65" s="15"/>
      <c r="H65" s="18" t="str">
        <f>IF($B65="","",Paramètres!$C$22)</f>
        <v/>
      </c>
      <c r="I65" s="19"/>
      <c r="J65" s="19"/>
      <c r="K65" s="19"/>
      <c r="L65" s="18" t="str">
        <f>IF($B65="","",SUM(I65:K65))</f>
        <v/>
      </c>
      <c r="M65" s="18" t="str">
        <f>IF($B65="","",H65-L65)</f>
        <v/>
      </c>
      <c r="N65" s="18" t="str">
        <f>IF($B65="","",IF(R65="Ancien",0,Paramètres!$D$22))</f>
        <v/>
      </c>
      <c r="O65" s="19"/>
      <c r="P65" s="18" t="str">
        <f>IF($B65="","",N65-O65)</f>
        <v/>
      </c>
      <c r="Q65" s="8" t="str">
        <f>IF($B65="","",IF(AND(M65&lt;=0,P65&lt;=0),"Soldé","En retard"))</f>
        <v/>
      </c>
      <c r="R65" s="8"/>
    </row>
    <row r="66">
      <c r="A66" s="20"/>
      <c r="B66" s="20"/>
      <c r="C66" s="20"/>
      <c r="D66" s="21"/>
      <c r="E66" s="77"/>
      <c r="F66" s="20"/>
      <c r="G66" s="20"/>
      <c r="H66" s="18" t="str">
        <f>IF($B66="","",Paramètres!$C$22)</f>
        <v/>
      </c>
      <c r="I66" s="19"/>
      <c r="J66" s="19"/>
      <c r="K66" s="19"/>
      <c r="L66" s="18" t="str">
        <f>IF($B66="","",SUM(I66:K66))</f>
        <v/>
      </c>
      <c r="M66" s="18" t="str">
        <f>IF($B66="","",H66-L66)</f>
        <v/>
      </c>
      <c r="N66" s="18" t="str">
        <f>IF($B66="","",IF(R66="Ancien",0,Paramètres!$D$22))</f>
        <v/>
      </c>
      <c r="O66" s="19"/>
      <c r="P66" s="18" t="str">
        <f>IF($B66="","",N66-O66)</f>
        <v/>
      </c>
      <c r="Q66" s="21" t="str">
        <f>IF($B66="","",IF(AND(M66&lt;=0,P66&lt;=0),"Soldé","En retard"))</f>
        <v/>
      </c>
      <c r="R66" s="21"/>
    </row>
    <row r="67">
      <c r="A67" s="15"/>
      <c r="B67" s="15"/>
      <c r="C67" s="15"/>
      <c r="D67" s="8"/>
      <c r="E67" s="79"/>
      <c r="F67" s="15"/>
      <c r="G67" s="15"/>
      <c r="H67" s="18" t="str">
        <f>IF($B67="","",Paramètres!$C$22)</f>
        <v/>
      </c>
      <c r="I67" s="19"/>
      <c r="J67" s="19"/>
      <c r="K67" s="19"/>
      <c r="L67" s="18" t="str">
        <f>IF($B67="","",SUM(I67:K67))</f>
        <v/>
      </c>
      <c r="M67" s="18" t="str">
        <f>IF($B67="","",H67-L67)</f>
        <v/>
      </c>
      <c r="N67" s="18" t="str">
        <f>IF($B67="","",IF(R67="Ancien",0,Paramètres!$D$22))</f>
        <v/>
      </c>
      <c r="O67" s="19"/>
      <c r="P67" s="18" t="str">
        <f>IF($B67="","",N67-O67)</f>
        <v/>
      </c>
      <c r="Q67" s="8" t="str">
        <f>IF($B67="","",IF(AND(M67&lt;=0,P67&lt;=0),"Soldé","En retard"))</f>
        <v/>
      </c>
      <c r="R67" s="8"/>
    </row>
    <row r="68">
      <c r="A68" s="20"/>
      <c r="B68" s="20"/>
      <c r="C68" s="20"/>
      <c r="D68" s="21"/>
      <c r="E68" s="77"/>
      <c r="F68" s="20"/>
      <c r="G68" s="20"/>
      <c r="H68" s="18" t="str">
        <f>IF($B68="","",Paramètres!$C$22)</f>
        <v/>
      </c>
      <c r="I68" s="19"/>
      <c r="J68" s="19"/>
      <c r="K68" s="19"/>
      <c r="L68" s="18" t="str">
        <f>IF($B68="","",SUM(I68:K68))</f>
        <v/>
      </c>
      <c r="M68" s="18" t="str">
        <f>IF($B68="","",H68-L68)</f>
        <v/>
      </c>
      <c r="N68" s="18" t="str">
        <f>IF($B68="","",IF(R68="Ancien",0,Paramètres!$D$22))</f>
        <v/>
      </c>
      <c r="O68" s="19"/>
      <c r="P68" s="18" t="str">
        <f>IF($B68="","",N68-O68)</f>
        <v/>
      </c>
      <c r="Q68" s="21" t="str">
        <f>IF($B68="","",IF(AND(M68&lt;=0,P68&lt;=0),"Soldé","En retard"))</f>
        <v/>
      </c>
      <c r="R68" s="21"/>
    </row>
    <row r="69">
      <c r="A69" s="15"/>
      <c r="B69" s="15"/>
      <c r="C69" s="15"/>
      <c r="D69" s="8"/>
      <c r="E69" s="79"/>
      <c r="F69" s="15"/>
      <c r="G69" s="15"/>
      <c r="H69" s="18" t="str">
        <f>IF($B69="","",Paramètres!$C$22)</f>
        <v/>
      </c>
      <c r="I69" s="19"/>
      <c r="J69" s="19"/>
      <c r="K69" s="19"/>
      <c r="L69" s="18" t="str">
        <f>IF($B69="","",SUM(I69:K69))</f>
        <v/>
      </c>
      <c r="M69" s="18" t="str">
        <f>IF($B69="","",H69-L69)</f>
        <v/>
      </c>
      <c r="N69" s="18" t="str">
        <f>IF($B69="","",IF(R69="Ancien",0,Paramètres!$D$22))</f>
        <v/>
      </c>
      <c r="O69" s="19"/>
      <c r="P69" s="18" t="str">
        <f>IF($B69="","",N69-O69)</f>
        <v/>
      </c>
      <c r="Q69" s="8" t="str">
        <f>IF($B69="","",IF(AND(M69&lt;=0,P69&lt;=0),"Soldé","En retard"))</f>
        <v/>
      </c>
      <c r="R69" s="8"/>
    </row>
    <row r="70">
      <c r="A70" s="20"/>
      <c r="B70" s="20"/>
      <c r="C70" s="20"/>
      <c r="D70" s="21"/>
      <c r="E70" s="77"/>
      <c r="F70" s="20"/>
      <c r="G70" s="20"/>
      <c r="H70" s="18" t="str">
        <f>IF($B70="","",Paramètres!$C$22)</f>
        <v/>
      </c>
      <c r="I70" s="19"/>
      <c r="J70" s="19"/>
      <c r="K70" s="19"/>
      <c r="L70" s="18" t="str">
        <f>IF($B70="","",SUM(I70:K70))</f>
        <v/>
      </c>
      <c r="M70" s="18" t="str">
        <f>IF($B70="","",H70-L70)</f>
        <v/>
      </c>
      <c r="N70" s="18" t="str">
        <f>IF($B70="","",IF(R70="Ancien",0,Paramètres!$D$22))</f>
        <v/>
      </c>
      <c r="O70" s="19"/>
      <c r="P70" s="18" t="str">
        <f>IF($B70="","",N70-O70)</f>
        <v/>
      </c>
      <c r="Q70" s="21" t="str">
        <f>IF($B70="","",IF(AND(M70&lt;=0,P70&lt;=0),"Soldé","En retard"))</f>
        <v/>
      </c>
      <c r="R70" s="21"/>
    </row>
    <row r="71">
      <c r="A71" s="15"/>
      <c r="B71" s="15"/>
      <c r="C71" s="15"/>
      <c r="D71" s="8"/>
      <c r="E71" s="79"/>
      <c r="F71" s="15"/>
      <c r="G71" s="15"/>
      <c r="H71" s="18" t="str">
        <f>IF($B71="","",Paramètres!$C$22)</f>
        <v/>
      </c>
      <c r="I71" s="19"/>
      <c r="J71" s="19"/>
      <c r="K71" s="19"/>
      <c r="L71" s="18" t="str">
        <f>IF($B71="","",SUM(I71:K71))</f>
        <v/>
      </c>
      <c r="M71" s="18" t="str">
        <f>IF($B71="","",H71-L71)</f>
        <v/>
      </c>
      <c r="N71" s="18" t="str">
        <f>IF($B71="","",IF(R71="Ancien",0,Paramètres!$D$22))</f>
        <v/>
      </c>
      <c r="O71" s="19"/>
      <c r="P71" s="18" t="str">
        <f>IF($B71="","",N71-O71)</f>
        <v/>
      </c>
      <c r="Q71" s="8" t="str">
        <f>IF($B71="","",IF(AND(M71&lt;=0,P71&lt;=0),"Soldé","En retard"))</f>
        <v/>
      </c>
      <c r="R71" s="8"/>
    </row>
    <row r="72">
      <c r="A72" s="20"/>
      <c r="B72" s="20"/>
      <c r="C72" s="20"/>
      <c r="D72" s="21"/>
      <c r="E72" s="77"/>
      <c r="F72" s="20"/>
      <c r="G72" s="20"/>
      <c r="H72" s="18" t="str">
        <f>IF($B72="","",Paramètres!$C$22)</f>
        <v/>
      </c>
      <c r="I72" s="19"/>
      <c r="J72" s="19"/>
      <c r="K72" s="19"/>
      <c r="L72" s="18" t="str">
        <f>IF($B72="","",SUM(I72:K72))</f>
        <v/>
      </c>
      <c r="M72" s="18" t="str">
        <f>IF($B72="","",H72-L72)</f>
        <v/>
      </c>
      <c r="N72" s="18" t="str">
        <f>IF($B72="","",IF(R72="Ancien",0,Paramètres!$D$22))</f>
        <v/>
      </c>
      <c r="O72" s="19"/>
      <c r="P72" s="18" t="str">
        <f>IF($B72="","",N72-O72)</f>
        <v/>
      </c>
      <c r="Q72" s="21" t="str">
        <f>IF($B72="","",IF(AND(M72&lt;=0,P72&lt;=0),"Soldé","En retard"))</f>
        <v/>
      </c>
      <c r="R72" s="21"/>
    </row>
    <row r="73">
      <c r="A73" s="15"/>
      <c r="B73" s="15"/>
      <c r="C73" s="15"/>
      <c r="D73" s="8"/>
      <c r="E73" s="79"/>
      <c r="F73" s="15"/>
      <c r="G73" s="15"/>
      <c r="H73" s="18" t="str">
        <f>IF($B73="","",Paramètres!$C$22)</f>
        <v/>
      </c>
      <c r="I73" s="19"/>
      <c r="J73" s="19"/>
      <c r="K73" s="19"/>
      <c r="L73" s="18" t="str">
        <f>IF($B73="","",SUM(I73:K73))</f>
        <v/>
      </c>
      <c r="M73" s="18" t="str">
        <f>IF($B73="","",H73-L73)</f>
        <v/>
      </c>
      <c r="N73" s="18" t="str">
        <f>IF($B73="","",IF(R73="Ancien",0,Paramètres!$D$22))</f>
        <v/>
      </c>
      <c r="O73" s="19"/>
      <c r="P73" s="18" t="str">
        <f>IF($B73="","",N73-O73)</f>
        <v/>
      </c>
      <c r="Q73" s="8" t="str">
        <f>IF($B73="","",IF(AND(M73&lt;=0,P73&lt;=0),"Soldé","En retard"))</f>
        <v/>
      </c>
      <c r="R73" s="8"/>
    </row>
    <row r="74">
      <c r="A74" s="20"/>
      <c r="B74" s="20"/>
      <c r="C74" s="20"/>
      <c r="D74" s="21"/>
      <c r="E74" s="77"/>
      <c r="F74" s="20"/>
      <c r="G74" s="20"/>
      <c r="H74" s="18" t="str">
        <f>IF($B74="","",Paramètres!$C$22)</f>
        <v/>
      </c>
      <c r="I74" s="19"/>
      <c r="J74" s="19"/>
      <c r="K74" s="19"/>
      <c r="L74" s="18" t="str">
        <f>IF($B74="","",SUM(I74:K74))</f>
        <v/>
      </c>
      <c r="M74" s="18" t="str">
        <f>IF($B74="","",H74-L74)</f>
        <v/>
      </c>
      <c r="N74" s="18" t="str">
        <f>IF($B74="","",IF(R74="Ancien",0,Paramètres!$D$22))</f>
        <v/>
      </c>
      <c r="O74" s="19"/>
      <c r="P74" s="18" t="str">
        <f>IF($B74="","",N74-O74)</f>
        <v/>
      </c>
      <c r="Q74" s="21" t="str">
        <f>IF($B74="","",IF(AND(M74&lt;=0,P74&lt;=0),"Soldé","En retard"))</f>
        <v/>
      </c>
      <c r="R74" s="21"/>
    </row>
    <row r="75">
      <c r="A75" s="15"/>
      <c r="B75" s="15"/>
      <c r="C75" s="15"/>
      <c r="D75" s="8"/>
      <c r="E75" s="79"/>
      <c r="F75" s="15"/>
      <c r="G75" s="15"/>
      <c r="H75" s="18" t="str">
        <f>IF($B75="","",Paramètres!$C$22)</f>
        <v/>
      </c>
      <c r="I75" s="19"/>
      <c r="J75" s="19"/>
      <c r="K75" s="19"/>
      <c r="L75" s="18" t="str">
        <f>IF($B75="","",SUM(I75:K75))</f>
        <v/>
      </c>
      <c r="M75" s="18" t="str">
        <f>IF($B75="","",H75-L75)</f>
        <v/>
      </c>
      <c r="N75" s="18" t="str">
        <f>IF($B75="","",IF(R75="Ancien",0,Paramètres!$D$22))</f>
        <v/>
      </c>
      <c r="O75" s="19"/>
      <c r="P75" s="18" t="str">
        <f>IF($B75="","",N75-O75)</f>
        <v/>
      </c>
      <c r="Q75" s="8" t="str">
        <f>IF($B75="","",IF(AND(M75&lt;=0,P75&lt;=0),"Soldé","En retard"))</f>
        <v/>
      </c>
      <c r="R75" s="8"/>
    </row>
    <row r="76">
      <c r="A76" s="20"/>
      <c r="B76" s="20"/>
      <c r="C76" s="20"/>
      <c r="D76" s="21"/>
      <c r="E76" s="77"/>
      <c r="F76" s="20"/>
      <c r="G76" s="20"/>
      <c r="H76" s="18" t="str">
        <f>IF($B76="","",Paramètres!$C$22)</f>
        <v/>
      </c>
      <c r="I76" s="19"/>
      <c r="J76" s="19"/>
      <c r="K76" s="19"/>
      <c r="L76" s="18" t="str">
        <f>IF($B76="","",SUM(I76:K76))</f>
        <v/>
      </c>
      <c r="M76" s="18" t="str">
        <f>IF($B76="","",H76-L76)</f>
        <v/>
      </c>
      <c r="N76" s="18" t="str">
        <f>IF($B76="","",IF(R76="Ancien",0,Paramètres!$D$22))</f>
        <v/>
      </c>
      <c r="O76" s="19"/>
      <c r="P76" s="18" t="str">
        <f>IF($B76="","",N76-O76)</f>
        <v/>
      </c>
      <c r="Q76" s="21" t="str">
        <f>IF($B76="","",IF(AND(M76&lt;=0,P76&lt;=0),"Soldé","En retard"))</f>
        <v/>
      </c>
      <c r="R76" s="21"/>
    </row>
    <row r="77">
      <c r="A77" s="15"/>
      <c r="B77" s="15"/>
      <c r="C77" s="15"/>
      <c r="D77" s="8"/>
      <c r="E77" s="79"/>
      <c r="F77" s="15"/>
      <c r="G77" s="15"/>
      <c r="H77" s="18" t="str">
        <f>IF($B77="","",Paramètres!$C$22)</f>
        <v/>
      </c>
      <c r="I77" s="19"/>
      <c r="J77" s="19"/>
      <c r="K77" s="19"/>
      <c r="L77" s="18" t="str">
        <f>IF($B77="","",SUM(I77:K77))</f>
        <v/>
      </c>
      <c r="M77" s="18" t="str">
        <f>IF($B77="","",H77-L77)</f>
        <v/>
      </c>
      <c r="N77" s="18" t="str">
        <f>IF($B77="","",IF(R77="Ancien",0,Paramètres!$D$22))</f>
        <v/>
      </c>
      <c r="O77" s="19"/>
      <c r="P77" s="18" t="str">
        <f>IF($B77="","",N77-O77)</f>
        <v/>
      </c>
      <c r="Q77" s="8" t="str">
        <f>IF($B77="","",IF(AND(M77&lt;=0,P77&lt;=0),"Soldé","En retard"))</f>
        <v/>
      </c>
      <c r="R77" s="8"/>
    </row>
    <row r="78">
      <c r="A78" s="20"/>
      <c r="B78" s="20"/>
      <c r="C78" s="20"/>
      <c r="D78" s="21"/>
      <c r="E78" s="77"/>
      <c r="F78" s="20"/>
      <c r="G78" s="20"/>
      <c r="H78" s="18" t="str">
        <f>IF($B78="","",Paramètres!$C$22)</f>
        <v/>
      </c>
      <c r="I78" s="19"/>
      <c r="J78" s="19"/>
      <c r="K78" s="19"/>
      <c r="L78" s="18" t="str">
        <f>IF($B78="","",SUM(I78:K78))</f>
        <v/>
      </c>
      <c r="M78" s="18" t="str">
        <f>IF($B78="","",H78-L78)</f>
        <v/>
      </c>
      <c r="N78" s="18" t="str">
        <f>IF($B78="","",IF(R78="Ancien",0,Paramètres!$D$22))</f>
        <v/>
      </c>
      <c r="O78" s="19"/>
      <c r="P78" s="18" t="str">
        <f>IF($B78="","",N78-O78)</f>
        <v/>
      </c>
      <c r="Q78" s="21" t="str">
        <f>IF($B78="","",IF(AND(M78&lt;=0,P78&lt;=0),"Soldé","En retard"))</f>
        <v/>
      </c>
      <c r="R78" s="21"/>
    </row>
    <row r="79">
      <c r="A79" s="15"/>
      <c r="B79" s="15"/>
      <c r="C79" s="15"/>
      <c r="D79" s="8"/>
      <c r="E79" s="79"/>
      <c r="F79" s="15"/>
      <c r="G79" s="15"/>
      <c r="H79" s="18" t="str">
        <f>IF($B79="","",Paramètres!$C$22)</f>
        <v/>
      </c>
      <c r="I79" s="19"/>
      <c r="J79" s="19"/>
      <c r="K79" s="19"/>
      <c r="L79" s="18" t="str">
        <f>IF($B79="","",SUM(I79:K79))</f>
        <v/>
      </c>
      <c r="M79" s="18" t="str">
        <f>IF($B79="","",H79-L79)</f>
        <v/>
      </c>
      <c r="N79" s="18" t="str">
        <f>IF($B79="","",IF(R79="Ancien",0,Paramètres!$D$22))</f>
        <v/>
      </c>
      <c r="O79" s="19"/>
      <c r="P79" s="18" t="str">
        <f>IF($B79="","",N79-O79)</f>
        <v/>
      </c>
      <c r="Q79" s="8" t="str">
        <f>IF($B79="","",IF(AND(M79&lt;=0,P79&lt;=0),"Soldé","En retard"))</f>
        <v/>
      </c>
      <c r="R79" s="8"/>
    </row>
    <row r="80">
      <c r="A80" s="20"/>
      <c r="B80" s="20"/>
      <c r="C80" s="20"/>
      <c r="D80" s="21"/>
      <c r="E80" s="77"/>
      <c r="F80" s="20"/>
      <c r="G80" s="20"/>
      <c r="H80" s="18" t="str">
        <f>IF($B80="","",Paramètres!$C$22)</f>
        <v/>
      </c>
      <c r="I80" s="19"/>
      <c r="J80" s="19"/>
      <c r="K80" s="19"/>
      <c r="L80" s="18" t="str">
        <f>IF($B80="","",SUM(I80:K80))</f>
        <v/>
      </c>
      <c r="M80" s="18" t="str">
        <f>IF($B80="","",H80-L80)</f>
        <v/>
      </c>
      <c r="N80" s="18" t="str">
        <f>IF($B80="","",IF(R80="Ancien",0,Paramètres!$D$22))</f>
        <v/>
      </c>
      <c r="O80" s="19"/>
      <c r="P80" s="18" t="str">
        <f>IF($B80="","",N80-O80)</f>
        <v/>
      </c>
      <c r="Q80" s="21" t="str">
        <f>IF($B80="","",IF(AND(M80&lt;=0,P80&lt;=0),"Soldé","En retard"))</f>
        <v/>
      </c>
      <c r="R80" s="21"/>
    </row>
    <row r="81">
      <c r="A81" s="15"/>
      <c r="B81" s="15"/>
      <c r="C81" s="15"/>
      <c r="D81" s="8"/>
      <c r="E81" s="79"/>
      <c r="F81" s="15"/>
      <c r="G81" s="15"/>
      <c r="H81" s="18" t="str">
        <f>IF($B81="","",Paramètres!$C$22)</f>
        <v/>
      </c>
      <c r="I81" s="19"/>
      <c r="J81" s="19"/>
      <c r="K81" s="19"/>
      <c r="L81" s="18" t="str">
        <f>IF($B81="","",SUM(I81:K81))</f>
        <v/>
      </c>
      <c r="M81" s="18" t="str">
        <f>IF($B81="","",H81-L81)</f>
        <v/>
      </c>
      <c r="N81" s="18" t="str">
        <f>IF($B81="","",IF(R81="Ancien",0,Paramètres!$D$22))</f>
        <v/>
      </c>
      <c r="O81" s="19"/>
      <c r="P81" s="18" t="str">
        <f>IF($B81="","",N81-O81)</f>
        <v/>
      </c>
      <c r="Q81" s="8" t="str">
        <f>IF($B81="","",IF(AND(M81&lt;=0,P81&lt;=0),"Soldé","En retard"))</f>
        <v/>
      </c>
      <c r="R81" s="8"/>
    </row>
    <row r="82">
      <c r="A82" s="20"/>
      <c r="B82" s="20"/>
      <c r="C82" s="20"/>
      <c r="D82" s="21"/>
      <c r="E82" s="77"/>
      <c r="F82" s="20"/>
      <c r="G82" s="20"/>
      <c r="H82" s="18" t="str">
        <f>IF($B82="","",Paramètres!$C$22)</f>
        <v/>
      </c>
      <c r="I82" s="19"/>
      <c r="J82" s="19"/>
      <c r="K82" s="19"/>
      <c r="L82" s="18" t="str">
        <f>IF($B82="","",SUM(I82:K82))</f>
        <v/>
      </c>
      <c r="M82" s="18" t="str">
        <f>IF($B82="","",H82-L82)</f>
        <v/>
      </c>
      <c r="N82" s="18" t="str">
        <f>IF($B82="","",IF(R82="Ancien",0,Paramètres!$D$22))</f>
        <v/>
      </c>
      <c r="O82" s="19"/>
      <c r="P82" s="18" t="str">
        <f>IF($B82="","",N82-O82)</f>
        <v/>
      </c>
      <c r="Q82" s="21" t="str">
        <f>IF($B82="","",IF(AND(M82&lt;=0,P82&lt;=0),"Soldé","En retard"))</f>
        <v/>
      </c>
      <c r="R82" s="21"/>
    </row>
    <row r="83">
      <c r="A83" s="15"/>
      <c r="B83" s="15"/>
      <c r="C83" s="15"/>
      <c r="D83" s="8"/>
      <c r="E83" s="79"/>
      <c r="F83" s="15"/>
      <c r="G83" s="15"/>
      <c r="H83" s="18" t="str">
        <f>IF($B83="","",Paramètres!$C$22)</f>
        <v/>
      </c>
      <c r="I83" s="19"/>
      <c r="J83" s="19"/>
      <c r="K83" s="19"/>
      <c r="L83" s="18" t="str">
        <f>IF($B83="","",SUM(I83:K83))</f>
        <v/>
      </c>
      <c r="M83" s="18" t="str">
        <f>IF($B83="","",H83-L83)</f>
        <v/>
      </c>
      <c r="N83" s="18" t="str">
        <f>IF($B83="","",IF(R83="Ancien",0,Paramètres!$D$22))</f>
        <v/>
      </c>
      <c r="O83" s="19"/>
      <c r="P83" s="18" t="str">
        <f>IF($B83="","",N83-O83)</f>
        <v/>
      </c>
      <c r="Q83" s="8" t="str">
        <f>IF($B83="","",IF(AND(M83&lt;=0,P83&lt;=0),"Soldé","En retard"))</f>
        <v/>
      </c>
      <c r="R83" s="8"/>
    </row>
  </sheetData>
  <mergeCells count="2">
    <mergeCell ref="A1:R1"/>
    <mergeCell ref="A2:R2"/>
  </mergeCells>
  <conditionalFormatting sqref="M4:M83 P4:P83">
    <cfRule type="cellIs" dxfId="10" priority="3" operator="greaterThan">
      <formula>0</formula>
    </cfRule>
  </conditionalFormatting>
  <conditionalFormatting sqref="Q4:Q83">
    <cfRule type="cellIs" dxfId="9" priority="1" operator="equal">
      <formula>"Soldé"</formula>
    </cfRule>
    <cfRule type="cellIs" dxfId="8" priority="2" operator="equal">
      <formula>"En retard"</formula>
    </cfRule>
  </conditionalFormatting>
  <dataValidations count="2">
    <dataValidation type="list" allowBlank="1" showErrorMessage="1" errorTitle="Sexe non valide" error="Choisissez M ou F." sqref="D4:D83">
      <formula1>"M,F"</formula1>
    </dataValidation>
    <dataValidation type="list" allowBlank="1" showErrorMessage="1" errorTitle="Statut non valide" error="Choisissez Nouveau ou Ancien. Un élève marqué Ancien ne paie pas les frais d'inscription." sqref="R4:R83">
      <formula1>"Nouveau,Ancien"</formula1>
    </dataValidation>
  </dataValidations>
  <pageMargins left="0.5" right="0.5" top="0.75" bottom="0.75" header="0.3" footer="0.3"/>
  <pageSetup paperSize="9" orientation="landscape" fitToHeight="0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R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7" customWidth="1"/>
    <col min="5" max="5" width="14" customWidth="1"/>
    <col min="6" max="6" width="18" customWidth="1"/>
    <col min="7" max="7" width="16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3" customWidth="1"/>
    <col min="18" max="18" width="16" customWidth="1"/>
  </cols>
  <sheetData>
    <row r="1" ht="27.75" customHeight="1">
      <c r="A1" s="53" t="str">
        <f>"INSCRIPTIONS — "&amp;Paramètres!$A$23</f>
        <v>INSCRIPTIONS — 6e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ht="18" customHeight="1">
      <c r="A2" s="54" t="str">
        <f>"Année scolaire "&amp;Paramètres!$C$11&amp;"   •   Effectif : "&amp;COUNTIF($B$4:$B$83,"?*")&amp;"   •   Cellules jaunes = montants à saisir ; colonnes grises = calcul automatique"</f>
        <v>Année scolaire 2025-2026   •   Effectif : 0   •   Cellules jaunes = montants à saisir ; colonnes grises = calcul automatique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Sexe</t>
        </is>
      </c>
      <c r="E3" s="3" t="inlineStr">
        <is>
          <t>Date de naissance</t>
        </is>
      </c>
      <c r="F3" s="3" t="inlineStr">
        <is>
          <t>Nom du tuteur</t>
        </is>
      </c>
      <c r="G3" s="3" t="inlineStr">
        <is>
          <t>Téléphone</t>
        </is>
      </c>
      <c r="H3" s="3" t="inlineStr">
        <is>
          <t>Scolarité due</t>
        </is>
      </c>
      <c r="I3" s="3" t="inlineStr">
        <is>
          <t>Tranche 1</t>
        </is>
      </c>
      <c r="J3" s="3" t="inlineStr">
        <is>
          <t>Tranche 2</t>
        </is>
      </c>
      <c r="K3" s="3" t="inlineStr">
        <is>
          <t>Tranche 3</t>
        </is>
      </c>
      <c r="L3" s="3" t="inlineStr">
        <is>
          <t>Total payé</t>
        </is>
      </c>
      <c r="M3" s="3" t="inlineStr">
        <is>
          <t>Reste à payer</t>
        </is>
      </c>
      <c r="N3" s="3" t="inlineStr">
        <is>
          <t>Inscription due</t>
        </is>
      </c>
      <c r="O3" s="3" t="inlineStr">
        <is>
          <t>Inscription payée</t>
        </is>
      </c>
      <c r="P3" s="3" t="inlineStr">
        <is>
          <t>Reste inscription</t>
        </is>
      </c>
      <c r="Q3" s="3" t="inlineStr">
        <is>
          <t>Statut</t>
        </is>
      </c>
      <c r="R3" s="3" t="inlineStr">
        <is>
          <t>Nouveau / Ancien</t>
        </is>
      </c>
    </row>
    <row r="4">
      <c r="A4" s="20"/>
      <c r="B4" s="20"/>
      <c r="C4" s="20"/>
      <c r="D4" s="21"/>
      <c r="E4" s="77"/>
      <c r="F4" s="20"/>
      <c r="G4" s="20"/>
      <c r="H4" s="18" t="str">
        <f>IF($B4="","",Paramètres!$C$23)</f>
        <v/>
      </c>
      <c r="I4" s="19"/>
      <c r="J4" s="19"/>
      <c r="K4" s="19"/>
      <c r="L4" s="18" t="str">
        <f>IF($B4="","",SUM(I4:K4))</f>
        <v/>
      </c>
      <c r="M4" s="18" t="str">
        <f>IF($B4="","",H4-L4)</f>
        <v/>
      </c>
      <c r="N4" s="18" t="str">
        <f>IF($B4="","",IF(R4="Ancien",0,Paramètres!$D$23))</f>
        <v/>
      </c>
      <c r="O4" s="19"/>
      <c r="P4" s="18" t="str">
        <f>IF($B4="","",N4-O4)</f>
        <v/>
      </c>
      <c r="Q4" s="21" t="str">
        <f>IF($B4="","",IF(AND(M4&lt;=0,P4&lt;=0),"Soldé","En retard"))</f>
        <v/>
      </c>
      <c r="R4" s="21"/>
    </row>
    <row r="5">
      <c r="A5" s="15"/>
      <c r="B5" s="15"/>
      <c r="C5" s="15"/>
      <c r="D5" s="8"/>
      <c r="E5" s="79"/>
      <c r="F5" s="15"/>
      <c r="G5" s="15"/>
      <c r="H5" s="18" t="str">
        <f>IF($B5="","",Paramètres!$C$23)</f>
        <v/>
      </c>
      <c r="I5" s="19"/>
      <c r="J5" s="19"/>
      <c r="K5" s="19"/>
      <c r="L5" s="18" t="str">
        <f>IF($B5="","",SUM(I5:K5))</f>
        <v/>
      </c>
      <c r="M5" s="18" t="str">
        <f>IF($B5="","",H5-L5)</f>
        <v/>
      </c>
      <c r="N5" s="18" t="str">
        <f>IF($B5="","",IF(R5="Ancien",0,Paramètres!$D$23))</f>
        <v/>
      </c>
      <c r="O5" s="19"/>
      <c r="P5" s="18" t="str">
        <f>IF($B5="","",N5-O5)</f>
        <v/>
      </c>
      <c r="Q5" s="8" t="str">
        <f>IF($B5="","",IF(AND(M5&lt;=0,P5&lt;=0),"Soldé","En retard"))</f>
        <v/>
      </c>
      <c r="R5" s="8"/>
    </row>
    <row r="6">
      <c r="A6" s="20"/>
      <c r="B6" s="20"/>
      <c r="C6" s="20"/>
      <c r="D6" s="21"/>
      <c r="E6" s="77"/>
      <c r="F6" s="20"/>
      <c r="G6" s="20"/>
      <c r="H6" s="18" t="str">
        <f>IF($B6="","",Paramètres!$C$23)</f>
        <v/>
      </c>
      <c r="I6" s="19"/>
      <c r="J6" s="19"/>
      <c r="K6" s="19"/>
      <c r="L6" s="18" t="str">
        <f>IF($B6="","",SUM(I6:K6))</f>
        <v/>
      </c>
      <c r="M6" s="18" t="str">
        <f>IF($B6="","",H6-L6)</f>
        <v/>
      </c>
      <c r="N6" s="18" t="str">
        <f>IF($B6="","",IF(R6="Ancien",0,Paramètres!$D$23))</f>
        <v/>
      </c>
      <c r="O6" s="19"/>
      <c r="P6" s="18" t="str">
        <f>IF($B6="","",N6-O6)</f>
        <v/>
      </c>
      <c r="Q6" s="21" t="str">
        <f>IF($B6="","",IF(AND(M6&lt;=0,P6&lt;=0),"Soldé","En retard"))</f>
        <v/>
      </c>
      <c r="R6" s="21"/>
    </row>
    <row r="7">
      <c r="A7" s="15"/>
      <c r="B7" s="15"/>
      <c r="C7" s="15"/>
      <c r="D7" s="8"/>
      <c r="E7" s="79"/>
      <c r="F7" s="15"/>
      <c r="G7" s="15"/>
      <c r="H7" s="18" t="str">
        <f>IF($B7="","",Paramètres!$C$23)</f>
        <v/>
      </c>
      <c r="I7" s="19"/>
      <c r="J7" s="19"/>
      <c r="K7" s="19"/>
      <c r="L7" s="18" t="str">
        <f>IF($B7="","",SUM(I7:K7))</f>
        <v/>
      </c>
      <c r="M7" s="18" t="str">
        <f>IF($B7="","",H7-L7)</f>
        <v/>
      </c>
      <c r="N7" s="18" t="str">
        <f>IF($B7="","",IF(R7="Ancien",0,Paramètres!$D$23))</f>
        <v/>
      </c>
      <c r="O7" s="19"/>
      <c r="P7" s="18" t="str">
        <f>IF($B7="","",N7-O7)</f>
        <v/>
      </c>
      <c r="Q7" s="8" t="str">
        <f>IF($B7="","",IF(AND(M7&lt;=0,P7&lt;=0),"Soldé","En retard"))</f>
        <v/>
      </c>
      <c r="R7" s="8"/>
    </row>
    <row r="8">
      <c r="A8" s="20"/>
      <c r="B8" s="20"/>
      <c r="C8" s="20"/>
      <c r="D8" s="21"/>
      <c r="E8" s="77"/>
      <c r="F8" s="20"/>
      <c r="G8" s="20"/>
      <c r="H8" s="18" t="str">
        <f>IF($B8="","",Paramètres!$C$23)</f>
        <v/>
      </c>
      <c r="I8" s="19"/>
      <c r="J8" s="19"/>
      <c r="K8" s="19"/>
      <c r="L8" s="18" t="str">
        <f>IF($B8="","",SUM(I8:K8))</f>
        <v/>
      </c>
      <c r="M8" s="18" t="str">
        <f>IF($B8="","",H8-L8)</f>
        <v/>
      </c>
      <c r="N8" s="18" t="str">
        <f>IF($B8="","",IF(R8="Ancien",0,Paramètres!$D$23))</f>
        <v/>
      </c>
      <c r="O8" s="19"/>
      <c r="P8" s="18" t="str">
        <f>IF($B8="","",N8-O8)</f>
        <v/>
      </c>
      <c r="Q8" s="21" t="str">
        <f>IF($B8="","",IF(AND(M8&lt;=0,P8&lt;=0),"Soldé","En retard"))</f>
        <v/>
      </c>
      <c r="R8" s="21"/>
    </row>
    <row r="9">
      <c r="A9" s="15"/>
      <c r="B9" s="15"/>
      <c r="C9" s="15"/>
      <c r="D9" s="8"/>
      <c r="E9" s="79"/>
      <c r="F9" s="15"/>
      <c r="G9" s="15"/>
      <c r="H9" s="18" t="str">
        <f>IF($B9="","",Paramètres!$C$23)</f>
        <v/>
      </c>
      <c r="I9" s="19"/>
      <c r="J9" s="19"/>
      <c r="K9" s="19"/>
      <c r="L9" s="18" t="str">
        <f>IF($B9="","",SUM(I9:K9))</f>
        <v/>
      </c>
      <c r="M9" s="18" t="str">
        <f>IF($B9="","",H9-L9)</f>
        <v/>
      </c>
      <c r="N9" s="18" t="str">
        <f>IF($B9="","",IF(R9="Ancien",0,Paramètres!$D$23))</f>
        <v/>
      </c>
      <c r="O9" s="19"/>
      <c r="P9" s="18" t="str">
        <f>IF($B9="","",N9-O9)</f>
        <v/>
      </c>
      <c r="Q9" s="8" t="str">
        <f>IF($B9="","",IF(AND(M9&lt;=0,P9&lt;=0),"Soldé","En retard"))</f>
        <v/>
      </c>
      <c r="R9" s="8"/>
    </row>
    <row r="10">
      <c r="A10" s="20"/>
      <c r="B10" s="20"/>
      <c r="C10" s="20"/>
      <c r="D10" s="21"/>
      <c r="E10" s="77"/>
      <c r="F10" s="20"/>
      <c r="G10" s="20"/>
      <c r="H10" s="18" t="str">
        <f>IF($B10="","",Paramètres!$C$23)</f>
        <v/>
      </c>
      <c r="I10" s="19"/>
      <c r="J10" s="19"/>
      <c r="K10" s="19"/>
      <c r="L10" s="18" t="str">
        <f>IF($B10="","",SUM(I10:K10))</f>
        <v/>
      </c>
      <c r="M10" s="18" t="str">
        <f>IF($B10="","",H10-L10)</f>
        <v/>
      </c>
      <c r="N10" s="18" t="str">
        <f>IF($B10="","",IF(R10="Ancien",0,Paramètres!$D$23))</f>
        <v/>
      </c>
      <c r="O10" s="19"/>
      <c r="P10" s="18" t="str">
        <f>IF($B10="","",N10-O10)</f>
        <v/>
      </c>
      <c r="Q10" s="21" t="str">
        <f>IF($B10="","",IF(AND(M10&lt;=0,P10&lt;=0),"Soldé","En retard"))</f>
        <v/>
      </c>
      <c r="R10" s="21"/>
    </row>
    <row r="11">
      <c r="A11" s="15"/>
      <c r="B11" s="15"/>
      <c r="C11" s="15"/>
      <c r="D11" s="8"/>
      <c r="E11" s="79"/>
      <c r="F11" s="15"/>
      <c r="G11" s="15"/>
      <c r="H11" s="18" t="str">
        <f>IF($B11="","",Paramètres!$C$23)</f>
        <v/>
      </c>
      <c r="I11" s="19"/>
      <c r="J11" s="19"/>
      <c r="K11" s="19"/>
      <c r="L11" s="18" t="str">
        <f>IF($B11="","",SUM(I11:K11))</f>
        <v/>
      </c>
      <c r="M11" s="18" t="str">
        <f>IF($B11="","",H11-L11)</f>
        <v/>
      </c>
      <c r="N11" s="18" t="str">
        <f>IF($B11="","",IF(R11="Ancien",0,Paramètres!$D$23))</f>
        <v/>
      </c>
      <c r="O11" s="19"/>
      <c r="P11" s="18" t="str">
        <f>IF($B11="","",N11-O11)</f>
        <v/>
      </c>
      <c r="Q11" s="8" t="str">
        <f>IF($B11="","",IF(AND(M11&lt;=0,P11&lt;=0),"Soldé","En retard"))</f>
        <v/>
      </c>
      <c r="R11" s="8"/>
    </row>
    <row r="12">
      <c r="A12" s="20"/>
      <c r="B12" s="20"/>
      <c r="C12" s="20"/>
      <c r="D12" s="21"/>
      <c r="E12" s="77"/>
      <c r="F12" s="20"/>
      <c r="G12" s="20"/>
      <c r="H12" s="18" t="str">
        <f>IF($B12="","",Paramètres!$C$23)</f>
        <v/>
      </c>
      <c r="I12" s="19"/>
      <c r="J12" s="19"/>
      <c r="K12" s="19"/>
      <c r="L12" s="18" t="str">
        <f>IF($B12="","",SUM(I12:K12))</f>
        <v/>
      </c>
      <c r="M12" s="18" t="str">
        <f>IF($B12="","",H12-L12)</f>
        <v/>
      </c>
      <c r="N12" s="18" t="str">
        <f>IF($B12="","",IF(R12="Ancien",0,Paramètres!$D$23))</f>
        <v/>
      </c>
      <c r="O12" s="19"/>
      <c r="P12" s="18" t="str">
        <f>IF($B12="","",N12-O12)</f>
        <v/>
      </c>
      <c r="Q12" s="21" t="str">
        <f>IF($B12="","",IF(AND(M12&lt;=0,P12&lt;=0),"Soldé","En retard"))</f>
        <v/>
      </c>
      <c r="R12" s="21"/>
    </row>
    <row r="13">
      <c r="A13" s="15"/>
      <c r="B13" s="15"/>
      <c r="C13" s="15"/>
      <c r="D13" s="8"/>
      <c r="E13" s="79"/>
      <c r="F13" s="15"/>
      <c r="G13" s="15"/>
      <c r="H13" s="18" t="str">
        <f>IF($B13="","",Paramètres!$C$23)</f>
        <v/>
      </c>
      <c r="I13" s="19"/>
      <c r="J13" s="19"/>
      <c r="K13" s="19"/>
      <c r="L13" s="18" t="str">
        <f>IF($B13="","",SUM(I13:K13))</f>
        <v/>
      </c>
      <c r="M13" s="18" t="str">
        <f>IF($B13="","",H13-L13)</f>
        <v/>
      </c>
      <c r="N13" s="18" t="str">
        <f>IF($B13="","",IF(R13="Ancien",0,Paramètres!$D$23))</f>
        <v/>
      </c>
      <c r="O13" s="19"/>
      <c r="P13" s="18" t="str">
        <f>IF($B13="","",N13-O13)</f>
        <v/>
      </c>
      <c r="Q13" s="8" t="str">
        <f>IF($B13="","",IF(AND(M13&lt;=0,P13&lt;=0),"Soldé","En retard"))</f>
        <v/>
      </c>
      <c r="R13" s="8"/>
    </row>
    <row r="14">
      <c r="A14" s="20"/>
      <c r="B14" s="20"/>
      <c r="C14" s="20"/>
      <c r="D14" s="21"/>
      <c r="E14" s="77"/>
      <c r="F14" s="20"/>
      <c r="G14" s="20"/>
      <c r="H14" s="18" t="str">
        <f>IF($B14="","",Paramètres!$C$23)</f>
        <v/>
      </c>
      <c r="I14" s="19"/>
      <c r="J14" s="19"/>
      <c r="K14" s="19"/>
      <c r="L14" s="18" t="str">
        <f>IF($B14="","",SUM(I14:K14))</f>
        <v/>
      </c>
      <c r="M14" s="18" t="str">
        <f>IF($B14="","",H14-L14)</f>
        <v/>
      </c>
      <c r="N14" s="18" t="str">
        <f>IF($B14="","",IF(R14="Ancien",0,Paramètres!$D$23))</f>
        <v/>
      </c>
      <c r="O14" s="19"/>
      <c r="P14" s="18" t="str">
        <f>IF($B14="","",N14-O14)</f>
        <v/>
      </c>
      <c r="Q14" s="21" t="str">
        <f>IF($B14="","",IF(AND(M14&lt;=0,P14&lt;=0),"Soldé","En retard"))</f>
        <v/>
      </c>
      <c r="R14" s="21"/>
    </row>
    <row r="15">
      <c r="A15" s="15"/>
      <c r="B15" s="15"/>
      <c r="C15" s="15"/>
      <c r="D15" s="8"/>
      <c r="E15" s="79"/>
      <c r="F15" s="15"/>
      <c r="G15" s="15"/>
      <c r="H15" s="18" t="str">
        <f>IF($B15="","",Paramètres!$C$23)</f>
        <v/>
      </c>
      <c r="I15" s="19"/>
      <c r="J15" s="19"/>
      <c r="K15" s="19"/>
      <c r="L15" s="18" t="str">
        <f>IF($B15="","",SUM(I15:K15))</f>
        <v/>
      </c>
      <c r="M15" s="18" t="str">
        <f>IF($B15="","",H15-L15)</f>
        <v/>
      </c>
      <c r="N15" s="18" t="str">
        <f>IF($B15="","",IF(R15="Ancien",0,Paramètres!$D$23))</f>
        <v/>
      </c>
      <c r="O15" s="19"/>
      <c r="P15" s="18" t="str">
        <f>IF($B15="","",N15-O15)</f>
        <v/>
      </c>
      <c r="Q15" s="8" t="str">
        <f>IF($B15="","",IF(AND(M15&lt;=0,P15&lt;=0),"Soldé","En retard"))</f>
        <v/>
      </c>
      <c r="R15" s="8"/>
    </row>
    <row r="16">
      <c r="A16" s="20"/>
      <c r="B16" s="20"/>
      <c r="C16" s="20"/>
      <c r="D16" s="21"/>
      <c r="E16" s="77"/>
      <c r="F16" s="20"/>
      <c r="G16" s="20"/>
      <c r="H16" s="18" t="str">
        <f>IF($B16="","",Paramètres!$C$23)</f>
        <v/>
      </c>
      <c r="I16" s="19"/>
      <c r="J16" s="19"/>
      <c r="K16" s="19"/>
      <c r="L16" s="18" t="str">
        <f>IF($B16="","",SUM(I16:K16))</f>
        <v/>
      </c>
      <c r="M16" s="18" t="str">
        <f>IF($B16="","",H16-L16)</f>
        <v/>
      </c>
      <c r="N16" s="18" t="str">
        <f>IF($B16="","",IF(R16="Ancien",0,Paramètres!$D$23))</f>
        <v/>
      </c>
      <c r="O16" s="19"/>
      <c r="P16" s="18" t="str">
        <f>IF($B16="","",N16-O16)</f>
        <v/>
      </c>
      <c r="Q16" s="21" t="str">
        <f>IF($B16="","",IF(AND(M16&lt;=0,P16&lt;=0),"Soldé","En retard"))</f>
        <v/>
      </c>
      <c r="R16" s="21"/>
    </row>
    <row r="17">
      <c r="A17" s="15"/>
      <c r="B17" s="15"/>
      <c r="C17" s="15"/>
      <c r="D17" s="8"/>
      <c r="E17" s="79"/>
      <c r="F17" s="15"/>
      <c r="G17" s="15"/>
      <c r="H17" s="18" t="str">
        <f>IF($B17="","",Paramètres!$C$23)</f>
        <v/>
      </c>
      <c r="I17" s="19"/>
      <c r="J17" s="19"/>
      <c r="K17" s="19"/>
      <c r="L17" s="18" t="str">
        <f>IF($B17="","",SUM(I17:K17))</f>
        <v/>
      </c>
      <c r="M17" s="18" t="str">
        <f>IF($B17="","",H17-L17)</f>
        <v/>
      </c>
      <c r="N17" s="18" t="str">
        <f>IF($B17="","",IF(R17="Ancien",0,Paramètres!$D$23))</f>
        <v/>
      </c>
      <c r="O17" s="19"/>
      <c r="P17" s="18" t="str">
        <f>IF($B17="","",N17-O17)</f>
        <v/>
      </c>
      <c r="Q17" s="8" t="str">
        <f>IF($B17="","",IF(AND(M17&lt;=0,P17&lt;=0),"Soldé","En retard"))</f>
        <v/>
      </c>
      <c r="R17" s="8"/>
    </row>
    <row r="18">
      <c r="A18" s="20"/>
      <c r="B18" s="20"/>
      <c r="C18" s="20"/>
      <c r="D18" s="21"/>
      <c r="E18" s="77"/>
      <c r="F18" s="20"/>
      <c r="G18" s="20"/>
      <c r="H18" s="18" t="str">
        <f>IF($B18="","",Paramètres!$C$23)</f>
        <v/>
      </c>
      <c r="I18" s="19"/>
      <c r="J18" s="19"/>
      <c r="K18" s="19"/>
      <c r="L18" s="18" t="str">
        <f>IF($B18="","",SUM(I18:K18))</f>
        <v/>
      </c>
      <c r="M18" s="18" t="str">
        <f>IF($B18="","",H18-L18)</f>
        <v/>
      </c>
      <c r="N18" s="18" t="str">
        <f>IF($B18="","",IF(R18="Ancien",0,Paramètres!$D$23))</f>
        <v/>
      </c>
      <c r="O18" s="19"/>
      <c r="P18" s="18" t="str">
        <f>IF($B18="","",N18-O18)</f>
        <v/>
      </c>
      <c r="Q18" s="21" t="str">
        <f>IF($B18="","",IF(AND(M18&lt;=0,P18&lt;=0),"Soldé","En retard"))</f>
        <v/>
      </c>
      <c r="R18" s="21"/>
    </row>
    <row r="19">
      <c r="A19" s="15"/>
      <c r="B19" s="15"/>
      <c r="C19" s="15"/>
      <c r="D19" s="8"/>
      <c r="E19" s="79"/>
      <c r="F19" s="15"/>
      <c r="G19" s="15"/>
      <c r="H19" s="18" t="str">
        <f>IF($B19="","",Paramètres!$C$23)</f>
        <v/>
      </c>
      <c r="I19" s="19"/>
      <c r="J19" s="19"/>
      <c r="K19" s="19"/>
      <c r="L19" s="18" t="str">
        <f>IF($B19="","",SUM(I19:K19))</f>
        <v/>
      </c>
      <c r="M19" s="18" t="str">
        <f>IF($B19="","",H19-L19)</f>
        <v/>
      </c>
      <c r="N19" s="18" t="str">
        <f>IF($B19="","",IF(R19="Ancien",0,Paramètres!$D$23))</f>
        <v/>
      </c>
      <c r="O19" s="19"/>
      <c r="P19" s="18" t="str">
        <f>IF($B19="","",N19-O19)</f>
        <v/>
      </c>
      <c r="Q19" s="8" t="str">
        <f>IF($B19="","",IF(AND(M19&lt;=0,P19&lt;=0),"Soldé","En retard"))</f>
        <v/>
      </c>
      <c r="R19" s="8"/>
    </row>
    <row r="20">
      <c r="A20" s="20"/>
      <c r="B20" s="20"/>
      <c r="C20" s="20"/>
      <c r="D20" s="21"/>
      <c r="E20" s="77"/>
      <c r="F20" s="20"/>
      <c r="G20" s="20"/>
      <c r="H20" s="18" t="str">
        <f>IF($B20="","",Paramètres!$C$23)</f>
        <v/>
      </c>
      <c r="I20" s="19"/>
      <c r="J20" s="19"/>
      <c r="K20" s="19"/>
      <c r="L20" s="18" t="str">
        <f>IF($B20="","",SUM(I20:K20))</f>
        <v/>
      </c>
      <c r="M20" s="18" t="str">
        <f>IF($B20="","",H20-L20)</f>
        <v/>
      </c>
      <c r="N20" s="18" t="str">
        <f>IF($B20="","",IF(R20="Ancien",0,Paramètres!$D$23))</f>
        <v/>
      </c>
      <c r="O20" s="19"/>
      <c r="P20" s="18" t="str">
        <f>IF($B20="","",N20-O20)</f>
        <v/>
      </c>
      <c r="Q20" s="21" t="str">
        <f>IF($B20="","",IF(AND(M20&lt;=0,P20&lt;=0),"Soldé","En retard"))</f>
        <v/>
      </c>
      <c r="R20" s="21"/>
    </row>
    <row r="21">
      <c r="A21" s="15"/>
      <c r="B21" s="15"/>
      <c r="C21" s="15"/>
      <c r="D21" s="8"/>
      <c r="E21" s="79"/>
      <c r="F21" s="15"/>
      <c r="G21" s="15"/>
      <c r="H21" s="18" t="str">
        <f>IF($B21="","",Paramètres!$C$23)</f>
        <v/>
      </c>
      <c r="I21" s="19"/>
      <c r="J21" s="19"/>
      <c r="K21" s="19"/>
      <c r="L21" s="18" t="str">
        <f>IF($B21="","",SUM(I21:K21))</f>
        <v/>
      </c>
      <c r="M21" s="18" t="str">
        <f>IF($B21="","",H21-L21)</f>
        <v/>
      </c>
      <c r="N21" s="18" t="str">
        <f>IF($B21="","",IF(R21="Ancien",0,Paramètres!$D$23))</f>
        <v/>
      </c>
      <c r="O21" s="19"/>
      <c r="P21" s="18" t="str">
        <f>IF($B21="","",N21-O21)</f>
        <v/>
      </c>
      <c r="Q21" s="8" t="str">
        <f>IF($B21="","",IF(AND(M21&lt;=0,P21&lt;=0),"Soldé","En retard"))</f>
        <v/>
      </c>
      <c r="R21" s="8"/>
    </row>
    <row r="22">
      <c r="A22" s="20"/>
      <c r="B22" s="20"/>
      <c r="C22" s="20"/>
      <c r="D22" s="21"/>
      <c r="E22" s="77"/>
      <c r="F22" s="20"/>
      <c r="G22" s="20"/>
      <c r="H22" s="18" t="str">
        <f>IF($B22="","",Paramètres!$C$23)</f>
        <v/>
      </c>
      <c r="I22" s="19"/>
      <c r="J22" s="19"/>
      <c r="K22" s="19"/>
      <c r="L22" s="18" t="str">
        <f>IF($B22="","",SUM(I22:K22))</f>
        <v/>
      </c>
      <c r="M22" s="18" t="str">
        <f>IF($B22="","",H22-L22)</f>
        <v/>
      </c>
      <c r="N22" s="18" t="str">
        <f>IF($B22="","",IF(R22="Ancien",0,Paramètres!$D$23))</f>
        <v/>
      </c>
      <c r="O22" s="19"/>
      <c r="P22" s="18" t="str">
        <f>IF($B22="","",N22-O22)</f>
        <v/>
      </c>
      <c r="Q22" s="21" t="str">
        <f>IF($B22="","",IF(AND(M22&lt;=0,P22&lt;=0),"Soldé","En retard"))</f>
        <v/>
      </c>
      <c r="R22" s="21"/>
    </row>
    <row r="23">
      <c r="A23" s="15"/>
      <c r="B23" s="15"/>
      <c r="C23" s="15"/>
      <c r="D23" s="8"/>
      <c r="E23" s="79"/>
      <c r="F23" s="15"/>
      <c r="G23" s="15"/>
      <c r="H23" s="18" t="str">
        <f>IF($B23="","",Paramètres!$C$23)</f>
        <v/>
      </c>
      <c r="I23" s="19"/>
      <c r="J23" s="19"/>
      <c r="K23" s="19"/>
      <c r="L23" s="18" t="str">
        <f>IF($B23="","",SUM(I23:K23))</f>
        <v/>
      </c>
      <c r="M23" s="18" t="str">
        <f>IF($B23="","",H23-L23)</f>
        <v/>
      </c>
      <c r="N23" s="18" t="str">
        <f>IF($B23="","",IF(R23="Ancien",0,Paramètres!$D$23))</f>
        <v/>
      </c>
      <c r="O23" s="19"/>
      <c r="P23" s="18" t="str">
        <f>IF($B23="","",N23-O23)</f>
        <v/>
      </c>
      <c r="Q23" s="8" t="str">
        <f>IF($B23="","",IF(AND(M23&lt;=0,P23&lt;=0),"Soldé","En retard"))</f>
        <v/>
      </c>
      <c r="R23" s="8"/>
    </row>
    <row r="24">
      <c r="A24" s="20"/>
      <c r="B24" s="20"/>
      <c r="C24" s="20"/>
      <c r="D24" s="21"/>
      <c r="E24" s="77"/>
      <c r="F24" s="20"/>
      <c r="G24" s="20"/>
      <c r="H24" s="18" t="str">
        <f>IF($B24="","",Paramètres!$C$23)</f>
        <v/>
      </c>
      <c r="I24" s="19"/>
      <c r="J24" s="19"/>
      <c r="K24" s="19"/>
      <c r="L24" s="18" t="str">
        <f>IF($B24="","",SUM(I24:K24))</f>
        <v/>
      </c>
      <c r="M24" s="18" t="str">
        <f>IF($B24="","",H24-L24)</f>
        <v/>
      </c>
      <c r="N24" s="18" t="str">
        <f>IF($B24="","",IF(R24="Ancien",0,Paramètres!$D$23))</f>
        <v/>
      </c>
      <c r="O24" s="19"/>
      <c r="P24" s="18" t="str">
        <f>IF($B24="","",N24-O24)</f>
        <v/>
      </c>
      <c r="Q24" s="21" t="str">
        <f>IF($B24="","",IF(AND(M24&lt;=0,P24&lt;=0),"Soldé","En retard"))</f>
        <v/>
      </c>
      <c r="R24" s="21"/>
    </row>
    <row r="25">
      <c r="A25" s="15"/>
      <c r="B25" s="15"/>
      <c r="C25" s="15"/>
      <c r="D25" s="8"/>
      <c r="E25" s="79"/>
      <c r="F25" s="15"/>
      <c r="G25" s="15"/>
      <c r="H25" s="18" t="str">
        <f>IF($B25="","",Paramètres!$C$23)</f>
        <v/>
      </c>
      <c r="I25" s="19"/>
      <c r="J25" s="19"/>
      <c r="K25" s="19"/>
      <c r="L25" s="18" t="str">
        <f>IF($B25="","",SUM(I25:K25))</f>
        <v/>
      </c>
      <c r="M25" s="18" t="str">
        <f>IF($B25="","",H25-L25)</f>
        <v/>
      </c>
      <c r="N25" s="18" t="str">
        <f>IF($B25="","",IF(R25="Ancien",0,Paramètres!$D$23))</f>
        <v/>
      </c>
      <c r="O25" s="19"/>
      <c r="P25" s="18" t="str">
        <f>IF($B25="","",N25-O25)</f>
        <v/>
      </c>
      <c r="Q25" s="8" t="str">
        <f>IF($B25="","",IF(AND(M25&lt;=0,P25&lt;=0),"Soldé","En retard"))</f>
        <v/>
      </c>
      <c r="R25" s="8"/>
    </row>
    <row r="26">
      <c r="A26" s="20"/>
      <c r="B26" s="20"/>
      <c r="C26" s="20"/>
      <c r="D26" s="21"/>
      <c r="E26" s="77"/>
      <c r="F26" s="20"/>
      <c r="G26" s="20"/>
      <c r="H26" s="18" t="str">
        <f>IF($B26="","",Paramètres!$C$23)</f>
        <v/>
      </c>
      <c r="I26" s="19"/>
      <c r="J26" s="19"/>
      <c r="K26" s="19"/>
      <c r="L26" s="18" t="str">
        <f>IF($B26="","",SUM(I26:K26))</f>
        <v/>
      </c>
      <c r="M26" s="18" t="str">
        <f>IF($B26="","",H26-L26)</f>
        <v/>
      </c>
      <c r="N26" s="18" t="str">
        <f>IF($B26="","",IF(R26="Ancien",0,Paramètres!$D$23))</f>
        <v/>
      </c>
      <c r="O26" s="19"/>
      <c r="P26" s="18" t="str">
        <f>IF($B26="","",N26-O26)</f>
        <v/>
      </c>
      <c r="Q26" s="21" t="str">
        <f>IF($B26="","",IF(AND(M26&lt;=0,P26&lt;=0),"Soldé","En retard"))</f>
        <v/>
      </c>
      <c r="R26" s="21"/>
    </row>
    <row r="27">
      <c r="A27" s="15"/>
      <c r="B27" s="15"/>
      <c r="C27" s="15"/>
      <c r="D27" s="8"/>
      <c r="E27" s="79"/>
      <c r="F27" s="15"/>
      <c r="G27" s="15"/>
      <c r="H27" s="18" t="str">
        <f>IF($B27="","",Paramètres!$C$23)</f>
        <v/>
      </c>
      <c r="I27" s="19"/>
      <c r="J27" s="19"/>
      <c r="K27" s="19"/>
      <c r="L27" s="18" t="str">
        <f>IF($B27="","",SUM(I27:K27))</f>
        <v/>
      </c>
      <c r="M27" s="18" t="str">
        <f>IF($B27="","",H27-L27)</f>
        <v/>
      </c>
      <c r="N27" s="18" t="str">
        <f>IF($B27="","",IF(R27="Ancien",0,Paramètres!$D$23))</f>
        <v/>
      </c>
      <c r="O27" s="19"/>
      <c r="P27" s="18" t="str">
        <f>IF($B27="","",N27-O27)</f>
        <v/>
      </c>
      <c r="Q27" s="8" t="str">
        <f>IF($B27="","",IF(AND(M27&lt;=0,P27&lt;=0),"Soldé","En retard"))</f>
        <v/>
      </c>
      <c r="R27" s="8"/>
    </row>
    <row r="28">
      <c r="A28" s="20"/>
      <c r="B28" s="20"/>
      <c r="C28" s="20"/>
      <c r="D28" s="21"/>
      <c r="E28" s="77"/>
      <c r="F28" s="20"/>
      <c r="G28" s="20"/>
      <c r="H28" s="18" t="str">
        <f>IF($B28="","",Paramètres!$C$23)</f>
        <v/>
      </c>
      <c r="I28" s="19"/>
      <c r="J28" s="19"/>
      <c r="K28" s="19"/>
      <c r="L28" s="18" t="str">
        <f>IF($B28="","",SUM(I28:K28))</f>
        <v/>
      </c>
      <c r="M28" s="18" t="str">
        <f>IF($B28="","",H28-L28)</f>
        <v/>
      </c>
      <c r="N28" s="18" t="str">
        <f>IF($B28="","",IF(R28="Ancien",0,Paramètres!$D$23))</f>
        <v/>
      </c>
      <c r="O28" s="19"/>
      <c r="P28" s="18" t="str">
        <f>IF($B28="","",N28-O28)</f>
        <v/>
      </c>
      <c r="Q28" s="21" t="str">
        <f>IF($B28="","",IF(AND(M28&lt;=0,P28&lt;=0),"Soldé","En retard"))</f>
        <v/>
      </c>
      <c r="R28" s="21"/>
    </row>
    <row r="29">
      <c r="A29" s="15"/>
      <c r="B29" s="15"/>
      <c r="C29" s="15"/>
      <c r="D29" s="8"/>
      <c r="E29" s="79"/>
      <c r="F29" s="15"/>
      <c r="G29" s="15"/>
      <c r="H29" s="18" t="str">
        <f>IF($B29="","",Paramètres!$C$23)</f>
        <v/>
      </c>
      <c r="I29" s="19"/>
      <c r="J29" s="19"/>
      <c r="K29" s="19"/>
      <c r="L29" s="18" t="str">
        <f>IF($B29="","",SUM(I29:K29))</f>
        <v/>
      </c>
      <c r="M29" s="18" t="str">
        <f>IF($B29="","",H29-L29)</f>
        <v/>
      </c>
      <c r="N29" s="18" t="str">
        <f>IF($B29="","",IF(R29="Ancien",0,Paramètres!$D$23))</f>
        <v/>
      </c>
      <c r="O29" s="19"/>
      <c r="P29" s="18" t="str">
        <f>IF($B29="","",N29-O29)</f>
        <v/>
      </c>
      <c r="Q29" s="8" t="str">
        <f>IF($B29="","",IF(AND(M29&lt;=0,P29&lt;=0),"Soldé","En retard"))</f>
        <v/>
      </c>
      <c r="R29" s="8"/>
    </row>
    <row r="30">
      <c r="A30" s="20"/>
      <c r="B30" s="20"/>
      <c r="C30" s="20"/>
      <c r="D30" s="21"/>
      <c r="E30" s="77"/>
      <c r="F30" s="20"/>
      <c r="G30" s="20"/>
      <c r="H30" s="18" t="str">
        <f>IF($B30="","",Paramètres!$C$23)</f>
        <v/>
      </c>
      <c r="I30" s="19"/>
      <c r="J30" s="19"/>
      <c r="K30" s="19"/>
      <c r="L30" s="18" t="str">
        <f>IF($B30="","",SUM(I30:K30))</f>
        <v/>
      </c>
      <c r="M30" s="18" t="str">
        <f>IF($B30="","",H30-L30)</f>
        <v/>
      </c>
      <c r="N30" s="18" t="str">
        <f>IF($B30="","",IF(R30="Ancien",0,Paramètres!$D$23))</f>
        <v/>
      </c>
      <c r="O30" s="19"/>
      <c r="P30" s="18" t="str">
        <f>IF($B30="","",N30-O30)</f>
        <v/>
      </c>
      <c r="Q30" s="21" t="str">
        <f>IF($B30="","",IF(AND(M30&lt;=0,P30&lt;=0),"Soldé","En retard"))</f>
        <v/>
      </c>
      <c r="R30" s="21"/>
    </row>
    <row r="31">
      <c r="A31" s="15"/>
      <c r="B31" s="15"/>
      <c r="C31" s="15"/>
      <c r="D31" s="8"/>
      <c r="E31" s="79"/>
      <c r="F31" s="15"/>
      <c r="G31" s="15"/>
      <c r="H31" s="18" t="str">
        <f>IF($B31="","",Paramètres!$C$23)</f>
        <v/>
      </c>
      <c r="I31" s="19"/>
      <c r="J31" s="19"/>
      <c r="K31" s="19"/>
      <c r="L31" s="18" t="str">
        <f>IF($B31="","",SUM(I31:K31))</f>
        <v/>
      </c>
      <c r="M31" s="18" t="str">
        <f>IF($B31="","",H31-L31)</f>
        <v/>
      </c>
      <c r="N31" s="18" t="str">
        <f>IF($B31="","",IF(R31="Ancien",0,Paramètres!$D$23))</f>
        <v/>
      </c>
      <c r="O31" s="19"/>
      <c r="P31" s="18" t="str">
        <f>IF($B31="","",N31-O31)</f>
        <v/>
      </c>
      <c r="Q31" s="8" t="str">
        <f>IF($B31="","",IF(AND(M31&lt;=0,P31&lt;=0),"Soldé","En retard"))</f>
        <v/>
      </c>
      <c r="R31" s="8"/>
    </row>
    <row r="32">
      <c r="A32" s="20"/>
      <c r="B32" s="20"/>
      <c r="C32" s="20"/>
      <c r="D32" s="21"/>
      <c r="E32" s="77"/>
      <c r="F32" s="20"/>
      <c r="G32" s="20"/>
      <c r="H32" s="18" t="str">
        <f>IF($B32="","",Paramètres!$C$23)</f>
        <v/>
      </c>
      <c r="I32" s="19"/>
      <c r="J32" s="19"/>
      <c r="K32" s="19"/>
      <c r="L32" s="18" t="str">
        <f>IF($B32="","",SUM(I32:K32))</f>
        <v/>
      </c>
      <c r="M32" s="18" t="str">
        <f>IF($B32="","",H32-L32)</f>
        <v/>
      </c>
      <c r="N32" s="18" t="str">
        <f>IF($B32="","",IF(R32="Ancien",0,Paramètres!$D$23))</f>
        <v/>
      </c>
      <c r="O32" s="19"/>
      <c r="P32" s="18" t="str">
        <f>IF($B32="","",N32-O32)</f>
        <v/>
      </c>
      <c r="Q32" s="21" t="str">
        <f>IF($B32="","",IF(AND(M32&lt;=0,P32&lt;=0),"Soldé","En retard"))</f>
        <v/>
      </c>
      <c r="R32" s="21"/>
    </row>
    <row r="33">
      <c r="A33" s="15"/>
      <c r="B33" s="15"/>
      <c r="C33" s="15"/>
      <c r="D33" s="8"/>
      <c r="E33" s="79"/>
      <c r="F33" s="15"/>
      <c r="G33" s="15"/>
      <c r="H33" s="18" t="str">
        <f>IF($B33="","",Paramètres!$C$23)</f>
        <v/>
      </c>
      <c r="I33" s="19"/>
      <c r="J33" s="19"/>
      <c r="K33" s="19"/>
      <c r="L33" s="18" t="str">
        <f>IF($B33="","",SUM(I33:K33))</f>
        <v/>
      </c>
      <c r="M33" s="18" t="str">
        <f>IF($B33="","",H33-L33)</f>
        <v/>
      </c>
      <c r="N33" s="18" t="str">
        <f>IF($B33="","",IF(R33="Ancien",0,Paramètres!$D$23))</f>
        <v/>
      </c>
      <c r="O33" s="19"/>
      <c r="P33" s="18" t="str">
        <f>IF($B33="","",N33-O33)</f>
        <v/>
      </c>
      <c r="Q33" s="8" t="str">
        <f>IF($B33="","",IF(AND(M33&lt;=0,P33&lt;=0),"Soldé","En retard"))</f>
        <v/>
      </c>
      <c r="R33" s="8"/>
    </row>
    <row r="34">
      <c r="A34" s="20"/>
      <c r="B34" s="20"/>
      <c r="C34" s="20"/>
      <c r="D34" s="21"/>
      <c r="E34" s="77"/>
      <c r="F34" s="20"/>
      <c r="G34" s="20"/>
      <c r="H34" s="18" t="str">
        <f>IF($B34="","",Paramètres!$C$23)</f>
        <v/>
      </c>
      <c r="I34" s="19"/>
      <c r="J34" s="19"/>
      <c r="K34" s="19"/>
      <c r="L34" s="18" t="str">
        <f>IF($B34="","",SUM(I34:K34))</f>
        <v/>
      </c>
      <c r="M34" s="18" t="str">
        <f>IF($B34="","",H34-L34)</f>
        <v/>
      </c>
      <c r="N34" s="18" t="str">
        <f>IF($B34="","",IF(R34="Ancien",0,Paramètres!$D$23))</f>
        <v/>
      </c>
      <c r="O34" s="19"/>
      <c r="P34" s="18" t="str">
        <f>IF($B34="","",N34-O34)</f>
        <v/>
      </c>
      <c r="Q34" s="21" t="str">
        <f>IF($B34="","",IF(AND(M34&lt;=0,P34&lt;=0),"Soldé","En retard"))</f>
        <v/>
      </c>
      <c r="R34" s="21"/>
    </row>
    <row r="35">
      <c r="A35" s="15"/>
      <c r="B35" s="15"/>
      <c r="C35" s="15"/>
      <c r="D35" s="8"/>
      <c r="E35" s="79"/>
      <c r="F35" s="15"/>
      <c r="G35" s="15"/>
      <c r="H35" s="18" t="str">
        <f>IF($B35="","",Paramètres!$C$23)</f>
        <v/>
      </c>
      <c r="I35" s="19"/>
      <c r="J35" s="19"/>
      <c r="K35" s="19"/>
      <c r="L35" s="18" t="str">
        <f>IF($B35="","",SUM(I35:K35))</f>
        <v/>
      </c>
      <c r="M35" s="18" t="str">
        <f>IF($B35="","",H35-L35)</f>
        <v/>
      </c>
      <c r="N35" s="18" t="str">
        <f>IF($B35="","",IF(R35="Ancien",0,Paramètres!$D$23))</f>
        <v/>
      </c>
      <c r="O35" s="19"/>
      <c r="P35" s="18" t="str">
        <f>IF($B35="","",N35-O35)</f>
        <v/>
      </c>
      <c r="Q35" s="8" t="str">
        <f>IF($B35="","",IF(AND(M35&lt;=0,P35&lt;=0),"Soldé","En retard"))</f>
        <v/>
      </c>
      <c r="R35" s="8"/>
    </row>
    <row r="36">
      <c r="A36" s="20"/>
      <c r="B36" s="20"/>
      <c r="C36" s="20"/>
      <c r="D36" s="21"/>
      <c r="E36" s="77"/>
      <c r="F36" s="20"/>
      <c r="G36" s="20"/>
      <c r="H36" s="18" t="str">
        <f>IF($B36="","",Paramètres!$C$23)</f>
        <v/>
      </c>
      <c r="I36" s="19"/>
      <c r="J36" s="19"/>
      <c r="K36" s="19"/>
      <c r="L36" s="18" t="str">
        <f>IF($B36="","",SUM(I36:K36))</f>
        <v/>
      </c>
      <c r="M36" s="18" t="str">
        <f>IF($B36="","",H36-L36)</f>
        <v/>
      </c>
      <c r="N36" s="18" t="str">
        <f>IF($B36="","",IF(R36="Ancien",0,Paramètres!$D$23))</f>
        <v/>
      </c>
      <c r="O36" s="19"/>
      <c r="P36" s="18" t="str">
        <f>IF($B36="","",N36-O36)</f>
        <v/>
      </c>
      <c r="Q36" s="21" t="str">
        <f>IF($B36="","",IF(AND(M36&lt;=0,P36&lt;=0),"Soldé","En retard"))</f>
        <v/>
      </c>
      <c r="R36" s="21"/>
    </row>
    <row r="37">
      <c r="A37" s="15"/>
      <c r="B37" s="15"/>
      <c r="C37" s="15"/>
      <c r="D37" s="8"/>
      <c r="E37" s="79"/>
      <c r="F37" s="15"/>
      <c r="G37" s="15"/>
      <c r="H37" s="18" t="str">
        <f>IF($B37="","",Paramètres!$C$23)</f>
        <v/>
      </c>
      <c r="I37" s="19"/>
      <c r="J37" s="19"/>
      <c r="K37" s="19"/>
      <c r="L37" s="18" t="str">
        <f>IF($B37="","",SUM(I37:K37))</f>
        <v/>
      </c>
      <c r="M37" s="18" t="str">
        <f>IF($B37="","",H37-L37)</f>
        <v/>
      </c>
      <c r="N37" s="18" t="str">
        <f>IF($B37="","",IF(R37="Ancien",0,Paramètres!$D$23))</f>
        <v/>
      </c>
      <c r="O37" s="19"/>
      <c r="P37" s="18" t="str">
        <f>IF($B37="","",N37-O37)</f>
        <v/>
      </c>
      <c r="Q37" s="8" t="str">
        <f>IF($B37="","",IF(AND(M37&lt;=0,P37&lt;=0),"Soldé","En retard"))</f>
        <v/>
      </c>
      <c r="R37" s="8"/>
    </row>
    <row r="38">
      <c r="A38" s="20"/>
      <c r="B38" s="20"/>
      <c r="C38" s="20"/>
      <c r="D38" s="21"/>
      <c r="E38" s="77"/>
      <c r="F38" s="20"/>
      <c r="G38" s="20"/>
      <c r="H38" s="18" t="str">
        <f>IF($B38="","",Paramètres!$C$23)</f>
        <v/>
      </c>
      <c r="I38" s="19"/>
      <c r="J38" s="19"/>
      <c r="K38" s="19"/>
      <c r="L38" s="18" t="str">
        <f>IF($B38="","",SUM(I38:K38))</f>
        <v/>
      </c>
      <c r="M38" s="18" t="str">
        <f>IF($B38="","",H38-L38)</f>
        <v/>
      </c>
      <c r="N38" s="18" t="str">
        <f>IF($B38="","",IF(R38="Ancien",0,Paramètres!$D$23))</f>
        <v/>
      </c>
      <c r="O38" s="19"/>
      <c r="P38" s="18" t="str">
        <f>IF($B38="","",N38-O38)</f>
        <v/>
      </c>
      <c r="Q38" s="21" t="str">
        <f>IF($B38="","",IF(AND(M38&lt;=0,P38&lt;=0),"Soldé","En retard"))</f>
        <v/>
      </c>
      <c r="R38" s="21"/>
    </row>
    <row r="39">
      <c r="A39" s="15"/>
      <c r="B39" s="15"/>
      <c r="C39" s="15"/>
      <c r="D39" s="8"/>
      <c r="E39" s="79"/>
      <c r="F39" s="15"/>
      <c r="G39" s="15"/>
      <c r="H39" s="18" t="str">
        <f>IF($B39="","",Paramètres!$C$23)</f>
        <v/>
      </c>
      <c r="I39" s="19"/>
      <c r="J39" s="19"/>
      <c r="K39" s="19"/>
      <c r="L39" s="18" t="str">
        <f>IF($B39="","",SUM(I39:K39))</f>
        <v/>
      </c>
      <c r="M39" s="18" t="str">
        <f>IF($B39="","",H39-L39)</f>
        <v/>
      </c>
      <c r="N39" s="18" t="str">
        <f>IF($B39="","",IF(R39="Ancien",0,Paramètres!$D$23))</f>
        <v/>
      </c>
      <c r="O39" s="19"/>
      <c r="P39" s="18" t="str">
        <f>IF($B39="","",N39-O39)</f>
        <v/>
      </c>
      <c r="Q39" s="8" t="str">
        <f>IF($B39="","",IF(AND(M39&lt;=0,P39&lt;=0),"Soldé","En retard"))</f>
        <v/>
      </c>
      <c r="R39" s="8"/>
    </row>
    <row r="40">
      <c r="A40" s="20"/>
      <c r="B40" s="20"/>
      <c r="C40" s="20"/>
      <c r="D40" s="21"/>
      <c r="E40" s="77"/>
      <c r="F40" s="20"/>
      <c r="G40" s="20"/>
      <c r="H40" s="18" t="str">
        <f>IF($B40="","",Paramètres!$C$23)</f>
        <v/>
      </c>
      <c r="I40" s="19"/>
      <c r="J40" s="19"/>
      <c r="K40" s="19"/>
      <c r="L40" s="18" t="str">
        <f>IF($B40="","",SUM(I40:K40))</f>
        <v/>
      </c>
      <c r="M40" s="18" t="str">
        <f>IF($B40="","",H40-L40)</f>
        <v/>
      </c>
      <c r="N40" s="18" t="str">
        <f>IF($B40="","",IF(R40="Ancien",0,Paramètres!$D$23))</f>
        <v/>
      </c>
      <c r="O40" s="19"/>
      <c r="P40" s="18" t="str">
        <f>IF($B40="","",N40-O40)</f>
        <v/>
      </c>
      <c r="Q40" s="21" t="str">
        <f>IF($B40="","",IF(AND(M40&lt;=0,P40&lt;=0),"Soldé","En retard"))</f>
        <v/>
      </c>
      <c r="R40" s="21"/>
    </row>
    <row r="41">
      <c r="A41" s="15"/>
      <c r="B41" s="15"/>
      <c r="C41" s="15"/>
      <c r="D41" s="8"/>
      <c r="E41" s="79"/>
      <c r="F41" s="15"/>
      <c r="G41" s="15"/>
      <c r="H41" s="18" t="str">
        <f>IF($B41="","",Paramètres!$C$23)</f>
        <v/>
      </c>
      <c r="I41" s="19"/>
      <c r="J41" s="19"/>
      <c r="K41" s="19"/>
      <c r="L41" s="18" t="str">
        <f>IF($B41="","",SUM(I41:K41))</f>
        <v/>
      </c>
      <c r="M41" s="18" t="str">
        <f>IF($B41="","",H41-L41)</f>
        <v/>
      </c>
      <c r="N41" s="18" t="str">
        <f>IF($B41="","",IF(R41="Ancien",0,Paramètres!$D$23))</f>
        <v/>
      </c>
      <c r="O41" s="19"/>
      <c r="P41" s="18" t="str">
        <f>IF($B41="","",N41-O41)</f>
        <v/>
      </c>
      <c r="Q41" s="8" t="str">
        <f>IF($B41="","",IF(AND(M41&lt;=0,P41&lt;=0),"Soldé","En retard"))</f>
        <v/>
      </c>
      <c r="R41" s="8"/>
    </row>
    <row r="42">
      <c r="A42" s="20"/>
      <c r="B42" s="20"/>
      <c r="C42" s="20"/>
      <c r="D42" s="21"/>
      <c r="E42" s="77"/>
      <c r="F42" s="20"/>
      <c r="G42" s="20"/>
      <c r="H42" s="18" t="str">
        <f>IF($B42="","",Paramètres!$C$23)</f>
        <v/>
      </c>
      <c r="I42" s="19"/>
      <c r="J42" s="19"/>
      <c r="K42" s="19"/>
      <c r="L42" s="18" t="str">
        <f>IF($B42="","",SUM(I42:K42))</f>
        <v/>
      </c>
      <c r="M42" s="18" t="str">
        <f>IF($B42="","",H42-L42)</f>
        <v/>
      </c>
      <c r="N42" s="18" t="str">
        <f>IF($B42="","",IF(R42="Ancien",0,Paramètres!$D$23))</f>
        <v/>
      </c>
      <c r="O42" s="19"/>
      <c r="P42" s="18" t="str">
        <f>IF($B42="","",N42-O42)</f>
        <v/>
      </c>
      <c r="Q42" s="21" t="str">
        <f>IF($B42="","",IF(AND(M42&lt;=0,P42&lt;=0),"Soldé","En retard"))</f>
        <v/>
      </c>
      <c r="R42" s="21"/>
    </row>
    <row r="43">
      <c r="A43" s="15"/>
      <c r="B43" s="15"/>
      <c r="C43" s="15"/>
      <c r="D43" s="8"/>
      <c r="E43" s="79"/>
      <c r="F43" s="15"/>
      <c r="G43" s="15"/>
      <c r="H43" s="18" t="str">
        <f>IF($B43="","",Paramètres!$C$23)</f>
        <v/>
      </c>
      <c r="I43" s="19"/>
      <c r="J43" s="19"/>
      <c r="K43" s="19"/>
      <c r="L43" s="18" t="str">
        <f>IF($B43="","",SUM(I43:K43))</f>
        <v/>
      </c>
      <c r="M43" s="18" t="str">
        <f>IF($B43="","",H43-L43)</f>
        <v/>
      </c>
      <c r="N43" s="18" t="str">
        <f>IF($B43="","",IF(R43="Ancien",0,Paramètres!$D$23))</f>
        <v/>
      </c>
      <c r="O43" s="19"/>
      <c r="P43" s="18" t="str">
        <f>IF($B43="","",N43-O43)</f>
        <v/>
      </c>
      <c r="Q43" s="8" t="str">
        <f>IF($B43="","",IF(AND(M43&lt;=0,P43&lt;=0),"Soldé","En retard"))</f>
        <v/>
      </c>
      <c r="R43" s="8"/>
    </row>
    <row r="44">
      <c r="A44" s="20"/>
      <c r="B44" s="20"/>
      <c r="C44" s="20"/>
      <c r="D44" s="21"/>
      <c r="E44" s="77"/>
      <c r="F44" s="20"/>
      <c r="G44" s="20"/>
      <c r="H44" s="18" t="str">
        <f>IF($B44="","",Paramètres!$C$23)</f>
        <v/>
      </c>
      <c r="I44" s="19"/>
      <c r="J44" s="19"/>
      <c r="K44" s="19"/>
      <c r="L44" s="18" t="str">
        <f>IF($B44="","",SUM(I44:K44))</f>
        <v/>
      </c>
      <c r="M44" s="18" t="str">
        <f>IF($B44="","",H44-L44)</f>
        <v/>
      </c>
      <c r="N44" s="18" t="str">
        <f>IF($B44="","",IF(R44="Ancien",0,Paramètres!$D$23))</f>
        <v/>
      </c>
      <c r="O44" s="19"/>
      <c r="P44" s="18" t="str">
        <f>IF($B44="","",N44-O44)</f>
        <v/>
      </c>
      <c r="Q44" s="21" t="str">
        <f>IF($B44="","",IF(AND(M44&lt;=0,P44&lt;=0),"Soldé","En retard"))</f>
        <v/>
      </c>
      <c r="R44" s="21"/>
    </row>
    <row r="45">
      <c r="A45" s="15"/>
      <c r="B45" s="15"/>
      <c r="C45" s="15"/>
      <c r="D45" s="8"/>
      <c r="E45" s="79"/>
      <c r="F45" s="15"/>
      <c r="G45" s="15"/>
      <c r="H45" s="18" t="str">
        <f>IF($B45="","",Paramètres!$C$23)</f>
        <v/>
      </c>
      <c r="I45" s="19"/>
      <c r="J45" s="19"/>
      <c r="K45" s="19"/>
      <c r="L45" s="18" t="str">
        <f>IF($B45="","",SUM(I45:K45))</f>
        <v/>
      </c>
      <c r="M45" s="18" t="str">
        <f>IF($B45="","",H45-L45)</f>
        <v/>
      </c>
      <c r="N45" s="18" t="str">
        <f>IF($B45="","",IF(R45="Ancien",0,Paramètres!$D$23))</f>
        <v/>
      </c>
      <c r="O45" s="19"/>
      <c r="P45" s="18" t="str">
        <f>IF($B45="","",N45-O45)</f>
        <v/>
      </c>
      <c r="Q45" s="8" t="str">
        <f>IF($B45="","",IF(AND(M45&lt;=0,P45&lt;=0),"Soldé","En retard"))</f>
        <v/>
      </c>
      <c r="R45" s="8"/>
    </row>
    <row r="46">
      <c r="A46" s="20"/>
      <c r="B46" s="20"/>
      <c r="C46" s="20"/>
      <c r="D46" s="21"/>
      <c r="E46" s="77"/>
      <c r="F46" s="20"/>
      <c r="G46" s="20"/>
      <c r="H46" s="18" t="str">
        <f>IF($B46="","",Paramètres!$C$23)</f>
        <v/>
      </c>
      <c r="I46" s="19"/>
      <c r="J46" s="19"/>
      <c r="K46" s="19"/>
      <c r="L46" s="18" t="str">
        <f>IF($B46="","",SUM(I46:K46))</f>
        <v/>
      </c>
      <c r="M46" s="18" t="str">
        <f>IF($B46="","",H46-L46)</f>
        <v/>
      </c>
      <c r="N46" s="18" t="str">
        <f>IF($B46="","",IF(R46="Ancien",0,Paramètres!$D$23))</f>
        <v/>
      </c>
      <c r="O46" s="19"/>
      <c r="P46" s="18" t="str">
        <f>IF($B46="","",N46-O46)</f>
        <v/>
      </c>
      <c r="Q46" s="21" t="str">
        <f>IF($B46="","",IF(AND(M46&lt;=0,P46&lt;=0),"Soldé","En retard"))</f>
        <v/>
      </c>
      <c r="R46" s="21"/>
    </row>
    <row r="47">
      <c r="A47" s="15"/>
      <c r="B47" s="15"/>
      <c r="C47" s="15"/>
      <c r="D47" s="8"/>
      <c r="E47" s="79"/>
      <c r="F47" s="15"/>
      <c r="G47" s="15"/>
      <c r="H47" s="18" t="str">
        <f>IF($B47="","",Paramètres!$C$23)</f>
        <v/>
      </c>
      <c r="I47" s="19"/>
      <c r="J47" s="19"/>
      <c r="K47" s="19"/>
      <c r="L47" s="18" t="str">
        <f>IF($B47="","",SUM(I47:K47))</f>
        <v/>
      </c>
      <c r="M47" s="18" t="str">
        <f>IF($B47="","",H47-L47)</f>
        <v/>
      </c>
      <c r="N47" s="18" t="str">
        <f>IF($B47="","",IF(R47="Ancien",0,Paramètres!$D$23))</f>
        <v/>
      </c>
      <c r="O47" s="19"/>
      <c r="P47" s="18" t="str">
        <f>IF($B47="","",N47-O47)</f>
        <v/>
      </c>
      <c r="Q47" s="8" t="str">
        <f>IF($B47="","",IF(AND(M47&lt;=0,P47&lt;=0),"Soldé","En retard"))</f>
        <v/>
      </c>
      <c r="R47" s="8"/>
    </row>
    <row r="48">
      <c r="A48" s="20"/>
      <c r="B48" s="20"/>
      <c r="C48" s="20"/>
      <c r="D48" s="21"/>
      <c r="E48" s="77"/>
      <c r="F48" s="20"/>
      <c r="G48" s="20"/>
      <c r="H48" s="18" t="str">
        <f>IF($B48="","",Paramètres!$C$23)</f>
        <v/>
      </c>
      <c r="I48" s="19"/>
      <c r="J48" s="19"/>
      <c r="K48" s="19"/>
      <c r="L48" s="18" t="str">
        <f>IF($B48="","",SUM(I48:K48))</f>
        <v/>
      </c>
      <c r="M48" s="18" t="str">
        <f>IF($B48="","",H48-L48)</f>
        <v/>
      </c>
      <c r="N48" s="18" t="str">
        <f>IF($B48="","",IF(R48="Ancien",0,Paramètres!$D$23))</f>
        <v/>
      </c>
      <c r="O48" s="19"/>
      <c r="P48" s="18" t="str">
        <f>IF($B48="","",N48-O48)</f>
        <v/>
      </c>
      <c r="Q48" s="21" t="str">
        <f>IF($B48="","",IF(AND(M48&lt;=0,P48&lt;=0),"Soldé","En retard"))</f>
        <v/>
      </c>
      <c r="R48" s="21"/>
    </row>
    <row r="49">
      <c r="A49" s="15"/>
      <c r="B49" s="15"/>
      <c r="C49" s="15"/>
      <c r="D49" s="8"/>
      <c r="E49" s="79"/>
      <c r="F49" s="15"/>
      <c r="G49" s="15"/>
      <c r="H49" s="18" t="str">
        <f>IF($B49="","",Paramètres!$C$23)</f>
        <v/>
      </c>
      <c r="I49" s="19"/>
      <c r="J49" s="19"/>
      <c r="K49" s="19"/>
      <c r="L49" s="18" t="str">
        <f>IF($B49="","",SUM(I49:K49))</f>
        <v/>
      </c>
      <c r="M49" s="18" t="str">
        <f>IF($B49="","",H49-L49)</f>
        <v/>
      </c>
      <c r="N49" s="18" t="str">
        <f>IF($B49="","",IF(R49="Ancien",0,Paramètres!$D$23))</f>
        <v/>
      </c>
      <c r="O49" s="19"/>
      <c r="P49" s="18" t="str">
        <f>IF($B49="","",N49-O49)</f>
        <v/>
      </c>
      <c r="Q49" s="8" t="str">
        <f>IF($B49="","",IF(AND(M49&lt;=0,P49&lt;=0),"Soldé","En retard"))</f>
        <v/>
      </c>
      <c r="R49" s="8"/>
    </row>
    <row r="50">
      <c r="A50" s="20"/>
      <c r="B50" s="20"/>
      <c r="C50" s="20"/>
      <c r="D50" s="21"/>
      <c r="E50" s="77"/>
      <c r="F50" s="20"/>
      <c r="G50" s="20"/>
      <c r="H50" s="18" t="str">
        <f>IF($B50="","",Paramètres!$C$23)</f>
        <v/>
      </c>
      <c r="I50" s="19"/>
      <c r="J50" s="19"/>
      <c r="K50" s="19"/>
      <c r="L50" s="18" t="str">
        <f>IF($B50="","",SUM(I50:K50))</f>
        <v/>
      </c>
      <c r="M50" s="18" t="str">
        <f>IF($B50="","",H50-L50)</f>
        <v/>
      </c>
      <c r="N50" s="18" t="str">
        <f>IF($B50="","",IF(R50="Ancien",0,Paramètres!$D$23))</f>
        <v/>
      </c>
      <c r="O50" s="19"/>
      <c r="P50" s="18" t="str">
        <f>IF($B50="","",N50-O50)</f>
        <v/>
      </c>
      <c r="Q50" s="21" t="str">
        <f>IF($B50="","",IF(AND(M50&lt;=0,P50&lt;=0),"Soldé","En retard"))</f>
        <v/>
      </c>
      <c r="R50" s="21"/>
    </row>
    <row r="51">
      <c r="A51" s="15"/>
      <c r="B51" s="15"/>
      <c r="C51" s="15"/>
      <c r="D51" s="8"/>
      <c r="E51" s="79"/>
      <c r="F51" s="15"/>
      <c r="G51" s="15"/>
      <c r="H51" s="18" t="str">
        <f>IF($B51="","",Paramètres!$C$23)</f>
        <v/>
      </c>
      <c r="I51" s="19"/>
      <c r="J51" s="19"/>
      <c r="K51" s="19"/>
      <c r="L51" s="18" t="str">
        <f>IF($B51="","",SUM(I51:K51))</f>
        <v/>
      </c>
      <c r="M51" s="18" t="str">
        <f>IF($B51="","",H51-L51)</f>
        <v/>
      </c>
      <c r="N51" s="18" t="str">
        <f>IF($B51="","",IF(R51="Ancien",0,Paramètres!$D$23))</f>
        <v/>
      </c>
      <c r="O51" s="19"/>
      <c r="P51" s="18" t="str">
        <f>IF($B51="","",N51-O51)</f>
        <v/>
      </c>
      <c r="Q51" s="8" t="str">
        <f>IF($B51="","",IF(AND(M51&lt;=0,P51&lt;=0),"Soldé","En retard"))</f>
        <v/>
      </c>
      <c r="R51" s="8"/>
    </row>
    <row r="52">
      <c r="A52" s="20"/>
      <c r="B52" s="20"/>
      <c r="C52" s="20"/>
      <c r="D52" s="21"/>
      <c r="E52" s="77"/>
      <c r="F52" s="20"/>
      <c r="G52" s="20"/>
      <c r="H52" s="18" t="str">
        <f>IF($B52="","",Paramètres!$C$23)</f>
        <v/>
      </c>
      <c r="I52" s="19"/>
      <c r="J52" s="19"/>
      <c r="K52" s="19"/>
      <c r="L52" s="18" t="str">
        <f>IF($B52="","",SUM(I52:K52))</f>
        <v/>
      </c>
      <c r="M52" s="18" t="str">
        <f>IF($B52="","",H52-L52)</f>
        <v/>
      </c>
      <c r="N52" s="18" t="str">
        <f>IF($B52="","",IF(R52="Ancien",0,Paramètres!$D$23))</f>
        <v/>
      </c>
      <c r="O52" s="19"/>
      <c r="P52" s="18" t="str">
        <f>IF($B52="","",N52-O52)</f>
        <v/>
      </c>
      <c r="Q52" s="21" t="str">
        <f>IF($B52="","",IF(AND(M52&lt;=0,P52&lt;=0),"Soldé","En retard"))</f>
        <v/>
      </c>
      <c r="R52" s="21"/>
    </row>
    <row r="53">
      <c r="A53" s="15"/>
      <c r="B53" s="15"/>
      <c r="C53" s="15"/>
      <c r="D53" s="8"/>
      <c r="E53" s="79"/>
      <c r="F53" s="15"/>
      <c r="G53" s="15"/>
      <c r="H53" s="18" t="str">
        <f>IF($B53="","",Paramètres!$C$23)</f>
        <v/>
      </c>
      <c r="I53" s="19"/>
      <c r="J53" s="19"/>
      <c r="K53" s="19"/>
      <c r="L53" s="18" t="str">
        <f>IF($B53="","",SUM(I53:K53))</f>
        <v/>
      </c>
      <c r="M53" s="18" t="str">
        <f>IF($B53="","",H53-L53)</f>
        <v/>
      </c>
      <c r="N53" s="18" t="str">
        <f>IF($B53="","",IF(R53="Ancien",0,Paramètres!$D$23))</f>
        <v/>
      </c>
      <c r="O53" s="19"/>
      <c r="P53" s="18" t="str">
        <f>IF($B53="","",N53-O53)</f>
        <v/>
      </c>
      <c r="Q53" s="8" t="str">
        <f>IF($B53="","",IF(AND(M53&lt;=0,P53&lt;=0),"Soldé","En retard"))</f>
        <v/>
      </c>
      <c r="R53" s="8"/>
    </row>
    <row r="54">
      <c r="A54" s="20"/>
      <c r="B54" s="20"/>
      <c r="C54" s="20"/>
      <c r="D54" s="21"/>
      <c r="E54" s="77"/>
      <c r="F54" s="20"/>
      <c r="G54" s="20"/>
      <c r="H54" s="18" t="str">
        <f>IF($B54="","",Paramètres!$C$23)</f>
        <v/>
      </c>
      <c r="I54" s="19"/>
      <c r="J54" s="19"/>
      <c r="K54" s="19"/>
      <c r="L54" s="18" t="str">
        <f>IF($B54="","",SUM(I54:K54))</f>
        <v/>
      </c>
      <c r="M54" s="18" t="str">
        <f>IF($B54="","",H54-L54)</f>
        <v/>
      </c>
      <c r="N54" s="18" t="str">
        <f>IF($B54="","",IF(R54="Ancien",0,Paramètres!$D$23))</f>
        <v/>
      </c>
      <c r="O54" s="19"/>
      <c r="P54" s="18" t="str">
        <f>IF($B54="","",N54-O54)</f>
        <v/>
      </c>
      <c r="Q54" s="21" t="str">
        <f>IF($B54="","",IF(AND(M54&lt;=0,P54&lt;=0),"Soldé","En retard"))</f>
        <v/>
      </c>
      <c r="R54" s="21"/>
    </row>
    <row r="55">
      <c r="A55" s="15"/>
      <c r="B55" s="15"/>
      <c r="C55" s="15"/>
      <c r="D55" s="8"/>
      <c r="E55" s="79"/>
      <c r="F55" s="15"/>
      <c r="G55" s="15"/>
      <c r="H55" s="18" t="str">
        <f>IF($B55="","",Paramètres!$C$23)</f>
        <v/>
      </c>
      <c r="I55" s="19"/>
      <c r="J55" s="19"/>
      <c r="K55" s="19"/>
      <c r="L55" s="18" t="str">
        <f>IF($B55="","",SUM(I55:K55))</f>
        <v/>
      </c>
      <c r="M55" s="18" t="str">
        <f>IF($B55="","",H55-L55)</f>
        <v/>
      </c>
      <c r="N55" s="18" t="str">
        <f>IF($B55="","",IF(R55="Ancien",0,Paramètres!$D$23))</f>
        <v/>
      </c>
      <c r="O55" s="19"/>
      <c r="P55" s="18" t="str">
        <f>IF($B55="","",N55-O55)</f>
        <v/>
      </c>
      <c r="Q55" s="8" t="str">
        <f>IF($B55="","",IF(AND(M55&lt;=0,P55&lt;=0),"Soldé","En retard"))</f>
        <v/>
      </c>
      <c r="R55" s="8"/>
    </row>
    <row r="56">
      <c r="A56" s="20"/>
      <c r="B56" s="20"/>
      <c r="C56" s="20"/>
      <c r="D56" s="21"/>
      <c r="E56" s="77"/>
      <c r="F56" s="20"/>
      <c r="G56" s="20"/>
      <c r="H56" s="18" t="str">
        <f>IF($B56="","",Paramètres!$C$23)</f>
        <v/>
      </c>
      <c r="I56" s="19"/>
      <c r="J56" s="19"/>
      <c r="K56" s="19"/>
      <c r="L56" s="18" t="str">
        <f>IF($B56="","",SUM(I56:K56))</f>
        <v/>
      </c>
      <c r="M56" s="18" t="str">
        <f>IF($B56="","",H56-L56)</f>
        <v/>
      </c>
      <c r="N56" s="18" t="str">
        <f>IF($B56="","",IF(R56="Ancien",0,Paramètres!$D$23))</f>
        <v/>
      </c>
      <c r="O56" s="19"/>
      <c r="P56" s="18" t="str">
        <f>IF($B56="","",N56-O56)</f>
        <v/>
      </c>
      <c r="Q56" s="21" t="str">
        <f>IF($B56="","",IF(AND(M56&lt;=0,P56&lt;=0),"Soldé","En retard"))</f>
        <v/>
      </c>
      <c r="R56" s="21"/>
    </row>
    <row r="57">
      <c r="A57" s="15"/>
      <c r="B57" s="15"/>
      <c r="C57" s="15"/>
      <c r="D57" s="8"/>
      <c r="E57" s="79"/>
      <c r="F57" s="15"/>
      <c r="G57" s="15"/>
      <c r="H57" s="18" t="str">
        <f>IF($B57="","",Paramètres!$C$23)</f>
        <v/>
      </c>
      <c r="I57" s="19"/>
      <c r="J57" s="19"/>
      <c r="K57" s="19"/>
      <c r="L57" s="18" t="str">
        <f>IF($B57="","",SUM(I57:K57))</f>
        <v/>
      </c>
      <c r="M57" s="18" t="str">
        <f>IF($B57="","",H57-L57)</f>
        <v/>
      </c>
      <c r="N57" s="18" t="str">
        <f>IF($B57="","",IF(R57="Ancien",0,Paramètres!$D$23))</f>
        <v/>
      </c>
      <c r="O57" s="19"/>
      <c r="P57" s="18" t="str">
        <f>IF($B57="","",N57-O57)</f>
        <v/>
      </c>
      <c r="Q57" s="8" t="str">
        <f>IF($B57="","",IF(AND(M57&lt;=0,P57&lt;=0),"Soldé","En retard"))</f>
        <v/>
      </c>
      <c r="R57" s="8"/>
    </row>
    <row r="58">
      <c r="A58" s="20"/>
      <c r="B58" s="20"/>
      <c r="C58" s="20"/>
      <c r="D58" s="21"/>
      <c r="E58" s="77"/>
      <c r="F58" s="20"/>
      <c r="G58" s="20"/>
      <c r="H58" s="18" t="str">
        <f>IF($B58="","",Paramètres!$C$23)</f>
        <v/>
      </c>
      <c r="I58" s="19"/>
      <c r="J58" s="19"/>
      <c r="K58" s="19"/>
      <c r="L58" s="18" t="str">
        <f>IF($B58="","",SUM(I58:K58))</f>
        <v/>
      </c>
      <c r="M58" s="18" t="str">
        <f>IF($B58="","",H58-L58)</f>
        <v/>
      </c>
      <c r="N58" s="18" t="str">
        <f>IF($B58="","",IF(R58="Ancien",0,Paramètres!$D$23))</f>
        <v/>
      </c>
      <c r="O58" s="19"/>
      <c r="P58" s="18" t="str">
        <f>IF($B58="","",N58-O58)</f>
        <v/>
      </c>
      <c r="Q58" s="21" t="str">
        <f>IF($B58="","",IF(AND(M58&lt;=0,P58&lt;=0),"Soldé","En retard"))</f>
        <v/>
      </c>
      <c r="R58" s="21"/>
    </row>
    <row r="59">
      <c r="A59" s="15"/>
      <c r="B59" s="15"/>
      <c r="C59" s="15"/>
      <c r="D59" s="8"/>
      <c r="E59" s="79"/>
      <c r="F59" s="15"/>
      <c r="G59" s="15"/>
      <c r="H59" s="18" t="str">
        <f>IF($B59="","",Paramètres!$C$23)</f>
        <v/>
      </c>
      <c r="I59" s="19"/>
      <c r="J59" s="19"/>
      <c r="K59" s="19"/>
      <c r="L59" s="18" t="str">
        <f>IF($B59="","",SUM(I59:K59))</f>
        <v/>
      </c>
      <c r="M59" s="18" t="str">
        <f>IF($B59="","",H59-L59)</f>
        <v/>
      </c>
      <c r="N59" s="18" t="str">
        <f>IF($B59="","",IF(R59="Ancien",0,Paramètres!$D$23))</f>
        <v/>
      </c>
      <c r="O59" s="19"/>
      <c r="P59" s="18" t="str">
        <f>IF($B59="","",N59-O59)</f>
        <v/>
      </c>
      <c r="Q59" s="8" t="str">
        <f>IF($B59="","",IF(AND(M59&lt;=0,P59&lt;=0),"Soldé","En retard"))</f>
        <v/>
      </c>
      <c r="R59" s="8"/>
    </row>
    <row r="60">
      <c r="A60" s="20"/>
      <c r="B60" s="20"/>
      <c r="C60" s="20"/>
      <c r="D60" s="21"/>
      <c r="E60" s="77"/>
      <c r="F60" s="20"/>
      <c r="G60" s="20"/>
      <c r="H60" s="18" t="str">
        <f>IF($B60="","",Paramètres!$C$23)</f>
        <v/>
      </c>
      <c r="I60" s="19"/>
      <c r="J60" s="19"/>
      <c r="K60" s="19"/>
      <c r="L60" s="18" t="str">
        <f>IF($B60="","",SUM(I60:K60))</f>
        <v/>
      </c>
      <c r="M60" s="18" t="str">
        <f>IF($B60="","",H60-L60)</f>
        <v/>
      </c>
      <c r="N60" s="18" t="str">
        <f>IF($B60="","",IF(R60="Ancien",0,Paramètres!$D$23))</f>
        <v/>
      </c>
      <c r="O60" s="19"/>
      <c r="P60" s="18" t="str">
        <f>IF($B60="","",N60-O60)</f>
        <v/>
      </c>
      <c r="Q60" s="21" t="str">
        <f>IF($B60="","",IF(AND(M60&lt;=0,P60&lt;=0),"Soldé","En retard"))</f>
        <v/>
      </c>
      <c r="R60" s="21"/>
    </row>
    <row r="61">
      <c r="A61" s="15"/>
      <c r="B61" s="15"/>
      <c r="C61" s="15"/>
      <c r="D61" s="8"/>
      <c r="E61" s="79"/>
      <c r="F61" s="15"/>
      <c r="G61" s="15"/>
      <c r="H61" s="18" t="str">
        <f>IF($B61="","",Paramètres!$C$23)</f>
        <v/>
      </c>
      <c r="I61" s="19"/>
      <c r="J61" s="19"/>
      <c r="K61" s="19"/>
      <c r="L61" s="18" t="str">
        <f>IF($B61="","",SUM(I61:K61))</f>
        <v/>
      </c>
      <c r="M61" s="18" t="str">
        <f>IF($B61="","",H61-L61)</f>
        <v/>
      </c>
      <c r="N61" s="18" t="str">
        <f>IF($B61="","",IF(R61="Ancien",0,Paramètres!$D$23))</f>
        <v/>
      </c>
      <c r="O61" s="19"/>
      <c r="P61" s="18" t="str">
        <f>IF($B61="","",N61-O61)</f>
        <v/>
      </c>
      <c r="Q61" s="8" t="str">
        <f>IF($B61="","",IF(AND(M61&lt;=0,P61&lt;=0),"Soldé","En retard"))</f>
        <v/>
      </c>
      <c r="R61" s="8"/>
    </row>
    <row r="62">
      <c r="A62" s="20"/>
      <c r="B62" s="20"/>
      <c r="C62" s="20"/>
      <c r="D62" s="21"/>
      <c r="E62" s="77"/>
      <c r="F62" s="20"/>
      <c r="G62" s="20"/>
      <c r="H62" s="18" t="str">
        <f>IF($B62="","",Paramètres!$C$23)</f>
        <v/>
      </c>
      <c r="I62" s="19"/>
      <c r="J62" s="19"/>
      <c r="K62" s="19"/>
      <c r="L62" s="18" t="str">
        <f>IF($B62="","",SUM(I62:K62))</f>
        <v/>
      </c>
      <c r="M62" s="18" t="str">
        <f>IF($B62="","",H62-L62)</f>
        <v/>
      </c>
      <c r="N62" s="18" t="str">
        <f>IF($B62="","",IF(R62="Ancien",0,Paramètres!$D$23))</f>
        <v/>
      </c>
      <c r="O62" s="19"/>
      <c r="P62" s="18" t="str">
        <f>IF($B62="","",N62-O62)</f>
        <v/>
      </c>
      <c r="Q62" s="21" t="str">
        <f>IF($B62="","",IF(AND(M62&lt;=0,P62&lt;=0),"Soldé","En retard"))</f>
        <v/>
      </c>
      <c r="R62" s="21"/>
    </row>
    <row r="63">
      <c r="A63" s="15"/>
      <c r="B63" s="15"/>
      <c r="C63" s="15"/>
      <c r="D63" s="8"/>
      <c r="E63" s="79"/>
      <c r="F63" s="15"/>
      <c r="G63" s="15"/>
      <c r="H63" s="18" t="str">
        <f>IF($B63="","",Paramètres!$C$23)</f>
        <v/>
      </c>
      <c r="I63" s="19"/>
      <c r="J63" s="19"/>
      <c r="K63" s="19"/>
      <c r="L63" s="18" t="str">
        <f>IF($B63="","",SUM(I63:K63))</f>
        <v/>
      </c>
      <c r="M63" s="18" t="str">
        <f>IF($B63="","",H63-L63)</f>
        <v/>
      </c>
      <c r="N63" s="18" t="str">
        <f>IF($B63="","",IF(R63="Ancien",0,Paramètres!$D$23))</f>
        <v/>
      </c>
      <c r="O63" s="19"/>
      <c r="P63" s="18" t="str">
        <f>IF($B63="","",N63-O63)</f>
        <v/>
      </c>
      <c r="Q63" s="8" t="str">
        <f>IF($B63="","",IF(AND(M63&lt;=0,P63&lt;=0),"Soldé","En retard"))</f>
        <v/>
      </c>
      <c r="R63" s="8"/>
    </row>
    <row r="64">
      <c r="A64" s="20"/>
      <c r="B64" s="20"/>
      <c r="C64" s="20"/>
      <c r="D64" s="21"/>
      <c r="E64" s="77"/>
      <c r="F64" s="20"/>
      <c r="G64" s="20"/>
      <c r="H64" s="18" t="str">
        <f>IF($B64="","",Paramètres!$C$23)</f>
        <v/>
      </c>
      <c r="I64" s="19"/>
      <c r="J64" s="19"/>
      <c r="K64" s="19"/>
      <c r="L64" s="18" t="str">
        <f>IF($B64="","",SUM(I64:K64))</f>
        <v/>
      </c>
      <c r="M64" s="18" t="str">
        <f>IF($B64="","",H64-L64)</f>
        <v/>
      </c>
      <c r="N64" s="18" t="str">
        <f>IF($B64="","",IF(R64="Ancien",0,Paramètres!$D$23))</f>
        <v/>
      </c>
      <c r="O64" s="19"/>
      <c r="P64" s="18" t="str">
        <f>IF($B64="","",N64-O64)</f>
        <v/>
      </c>
      <c r="Q64" s="21" t="str">
        <f>IF($B64="","",IF(AND(M64&lt;=0,P64&lt;=0),"Soldé","En retard"))</f>
        <v/>
      </c>
      <c r="R64" s="21"/>
    </row>
    <row r="65">
      <c r="A65" s="15"/>
      <c r="B65" s="15"/>
      <c r="C65" s="15"/>
      <c r="D65" s="8"/>
      <c r="E65" s="79"/>
      <c r="F65" s="15"/>
      <c r="G65" s="15"/>
      <c r="H65" s="18" t="str">
        <f>IF($B65="","",Paramètres!$C$23)</f>
        <v/>
      </c>
      <c r="I65" s="19"/>
      <c r="J65" s="19"/>
      <c r="K65" s="19"/>
      <c r="L65" s="18" t="str">
        <f>IF($B65="","",SUM(I65:K65))</f>
        <v/>
      </c>
      <c r="M65" s="18" t="str">
        <f>IF($B65="","",H65-L65)</f>
        <v/>
      </c>
      <c r="N65" s="18" t="str">
        <f>IF($B65="","",IF(R65="Ancien",0,Paramètres!$D$23))</f>
        <v/>
      </c>
      <c r="O65" s="19"/>
      <c r="P65" s="18" t="str">
        <f>IF($B65="","",N65-O65)</f>
        <v/>
      </c>
      <c r="Q65" s="8" t="str">
        <f>IF($B65="","",IF(AND(M65&lt;=0,P65&lt;=0),"Soldé","En retard"))</f>
        <v/>
      </c>
      <c r="R65" s="8"/>
    </row>
    <row r="66">
      <c r="A66" s="20"/>
      <c r="B66" s="20"/>
      <c r="C66" s="20"/>
      <c r="D66" s="21"/>
      <c r="E66" s="77"/>
      <c r="F66" s="20"/>
      <c r="G66" s="20"/>
      <c r="H66" s="18" t="str">
        <f>IF($B66="","",Paramètres!$C$23)</f>
        <v/>
      </c>
      <c r="I66" s="19"/>
      <c r="J66" s="19"/>
      <c r="K66" s="19"/>
      <c r="L66" s="18" t="str">
        <f>IF($B66="","",SUM(I66:K66))</f>
        <v/>
      </c>
      <c r="M66" s="18" t="str">
        <f>IF($B66="","",H66-L66)</f>
        <v/>
      </c>
      <c r="N66" s="18" t="str">
        <f>IF($B66="","",IF(R66="Ancien",0,Paramètres!$D$23))</f>
        <v/>
      </c>
      <c r="O66" s="19"/>
      <c r="P66" s="18" t="str">
        <f>IF($B66="","",N66-O66)</f>
        <v/>
      </c>
      <c r="Q66" s="21" t="str">
        <f>IF($B66="","",IF(AND(M66&lt;=0,P66&lt;=0),"Soldé","En retard"))</f>
        <v/>
      </c>
      <c r="R66" s="21"/>
    </row>
    <row r="67">
      <c r="A67" s="15"/>
      <c r="B67" s="15"/>
      <c r="C67" s="15"/>
      <c r="D67" s="8"/>
      <c r="E67" s="79"/>
      <c r="F67" s="15"/>
      <c r="G67" s="15"/>
      <c r="H67" s="18" t="str">
        <f>IF($B67="","",Paramètres!$C$23)</f>
        <v/>
      </c>
      <c r="I67" s="19"/>
      <c r="J67" s="19"/>
      <c r="K67" s="19"/>
      <c r="L67" s="18" t="str">
        <f>IF($B67="","",SUM(I67:K67))</f>
        <v/>
      </c>
      <c r="M67" s="18" t="str">
        <f>IF($B67="","",H67-L67)</f>
        <v/>
      </c>
      <c r="N67" s="18" t="str">
        <f>IF($B67="","",IF(R67="Ancien",0,Paramètres!$D$23))</f>
        <v/>
      </c>
      <c r="O67" s="19"/>
      <c r="P67" s="18" t="str">
        <f>IF($B67="","",N67-O67)</f>
        <v/>
      </c>
      <c r="Q67" s="8" t="str">
        <f>IF($B67="","",IF(AND(M67&lt;=0,P67&lt;=0),"Soldé","En retard"))</f>
        <v/>
      </c>
      <c r="R67" s="8"/>
    </row>
    <row r="68">
      <c r="A68" s="20"/>
      <c r="B68" s="20"/>
      <c r="C68" s="20"/>
      <c r="D68" s="21"/>
      <c r="E68" s="77"/>
      <c r="F68" s="20"/>
      <c r="G68" s="20"/>
      <c r="H68" s="18" t="str">
        <f>IF($B68="","",Paramètres!$C$23)</f>
        <v/>
      </c>
      <c r="I68" s="19"/>
      <c r="J68" s="19"/>
      <c r="K68" s="19"/>
      <c r="L68" s="18" t="str">
        <f>IF($B68="","",SUM(I68:K68))</f>
        <v/>
      </c>
      <c r="M68" s="18" t="str">
        <f>IF($B68="","",H68-L68)</f>
        <v/>
      </c>
      <c r="N68" s="18" t="str">
        <f>IF($B68="","",IF(R68="Ancien",0,Paramètres!$D$23))</f>
        <v/>
      </c>
      <c r="O68" s="19"/>
      <c r="P68" s="18" t="str">
        <f>IF($B68="","",N68-O68)</f>
        <v/>
      </c>
      <c r="Q68" s="21" t="str">
        <f>IF($B68="","",IF(AND(M68&lt;=0,P68&lt;=0),"Soldé","En retard"))</f>
        <v/>
      </c>
      <c r="R68" s="21"/>
    </row>
    <row r="69">
      <c r="A69" s="15"/>
      <c r="B69" s="15"/>
      <c r="C69" s="15"/>
      <c r="D69" s="8"/>
      <c r="E69" s="79"/>
      <c r="F69" s="15"/>
      <c r="G69" s="15"/>
      <c r="H69" s="18" t="str">
        <f>IF($B69="","",Paramètres!$C$23)</f>
        <v/>
      </c>
      <c r="I69" s="19"/>
      <c r="J69" s="19"/>
      <c r="K69" s="19"/>
      <c r="L69" s="18" t="str">
        <f>IF($B69="","",SUM(I69:K69))</f>
        <v/>
      </c>
      <c r="M69" s="18" t="str">
        <f>IF($B69="","",H69-L69)</f>
        <v/>
      </c>
      <c r="N69" s="18" t="str">
        <f>IF($B69="","",IF(R69="Ancien",0,Paramètres!$D$23))</f>
        <v/>
      </c>
      <c r="O69" s="19"/>
      <c r="P69" s="18" t="str">
        <f>IF($B69="","",N69-O69)</f>
        <v/>
      </c>
      <c r="Q69" s="8" t="str">
        <f>IF($B69="","",IF(AND(M69&lt;=0,P69&lt;=0),"Soldé","En retard"))</f>
        <v/>
      </c>
      <c r="R69" s="8"/>
    </row>
    <row r="70">
      <c r="A70" s="20"/>
      <c r="B70" s="20"/>
      <c r="C70" s="20"/>
      <c r="D70" s="21"/>
      <c r="E70" s="77"/>
      <c r="F70" s="20"/>
      <c r="G70" s="20"/>
      <c r="H70" s="18" t="str">
        <f>IF($B70="","",Paramètres!$C$23)</f>
        <v/>
      </c>
      <c r="I70" s="19"/>
      <c r="J70" s="19"/>
      <c r="K70" s="19"/>
      <c r="L70" s="18" t="str">
        <f>IF($B70="","",SUM(I70:K70))</f>
        <v/>
      </c>
      <c r="M70" s="18" t="str">
        <f>IF($B70="","",H70-L70)</f>
        <v/>
      </c>
      <c r="N70" s="18" t="str">
        <f>IF($B70="","",IF(R70="Ancien",0,Paramètres!$D$23))</f>
        <v/>
      </c>
      <c r="O70" s="19"/>
      <c r="P70" s="18" t="str">
        <f>IF($B70="","",N70-O70)</f>
        <v/>
      </c>
      <c r="Q70" s="21" t="str">
        <f>IF($B70="","",IF(AND(M70&lt;=0,P70&lt;=0),"Soldé","En retard"))</f>
        <v/>
      </c>
      <c r="R70" s="21"/>
    </row>
    <row r="71">
      <c r="A71" s="15"/>
      <c r="B71" s="15"/>
      <c r="C71" s="15"/>
      <c r="D71" s="8"/>
      <c r="E71" s="79"/>
      <c r="F71" s="15"/>
      <c r="G71" s="15"/>
      <c r="H71" s="18" t="str">
        <f>IF($B71="","",Paramètres!$C$23)</f>
        <v/>
      </c>
      <c r="I71" s="19"/>
      <c r="J71" s="19"/>
      <c r="K71" s="19"/>
      <c r="L71" s="18" t="str">
        <f>IF($B71="","",SUM(I71:K71))</f>
        <v/>
      </c>
      <c r="M71" s="18" t="str">
        <f>IF($B71="","",H71-L71)</f>
        <v/>
      </c>
      <c r="N71" s="18" t="str">
        <f>IF($B71="","",IF(R71="Ancien",0,Paramètres!$D$23))</f>
        <v/>
      </c>
      <c r="O71" s="19"/>
      <c r="P71" s="18" t="str">
        <f>IF($B71="","",N71-O71)</f>
        <v/>
      </c>
      <c r="Q71" s="8" t="str">
        <f>IF($B71="","",IF(AND(M71&lt;=0,P71&lt;=0),"Soldé","En retard"))</f>
        <v/>
      </c>
      <c r="R71" s="8"/>
    </row>
    <row r="72">
      <c r="A72" s="20"/>
      <c r="B72" s="20"/>
      <c r="C72" s="20"/>
      <c r="D72" s="21"/>
      <c r="E72" s="77"/>
      <c r="F72" s="20"/>
      <c r="G72" s="20"/>
      <c r="H72" s="18" t="str">
        <f>IF($B72="","",Paramètres!$C$23)</f>
        <v/>
      </c>
      <c r="I72" s="19"/>
      <c r="J72" s="19"/>
      <c r="K72" s="19"/>
      <c r="L72" s="18" t="str">
        <f>IF($B72="","",SUM(I72:K72))</f>
        <v/>
      </c>
      <c r="M72" s="18" t="str">
        <f>IF($B72="","",H72-L72)</f>
        <v/>
      </c>
      <c r="N72" s="18" t="str">
        <f>IF($B72="","",IF(R72="Ancien",0,Paramètres!$D$23))</f>
        <v/>
      </c>
      <c r="O72" s="19"/>
      <c r="P72" s="18" t="str">
        <f>IF($B72="","",N72-O72)</f>
        <v/>
      </c>
      <c r="Q72" s="21" t="str">
        <f>IF($B72="","",IF(AND(M72&lt;=0,P72&lt;=0),"Soldé","En retard"))</f>
        <v/>
      </c>
      <c r="R72" s="21"/>
    </row>
    <row r="73">
      <c r="A73" s="15"/>
      <c r="B73" s="15"/>
      <c r="C73" s="15"/>
      <c r="D73" s="8"/>
      <c r="E73" s="79"/>
      <c r="F73" s="15"/>
      <c r="G73" s="15"/>
      <c r="H73" s="18" t="str">
        <f>IF($B73="","",Paramètres!$C$23)</f>
        <v/>
      </c>
      <c r="I73" s="19"/>
      <c r="J73" s="19"/>
      <c r="K73" s="19"/>
      <c r="L73" s="18" t="str">
        <f>IF($B73="","",SUM(I73:K73))</f>
        <v/>
      </c>
      <c r="M73" s="18" t="str">
        <f>IF($B73="","",H73-L73)</f>
        <v/>
      </c>
      <c r="N73" s="18" t="str">
        <f>IF($B73="","",IF(R73="Ancien",0,Paramètres!$D$23))</f>
        <v/>
      </c>
      <c r="O73" s="19"/>
      <c r="P73" s="18" t="str">
        <f>IF($B73="","",N73-O73)</f>
        <v/>
      </c>
      <c r="Q73" s="8" t="str">
        <f>IF($B73="","",IF(AND(M73&lt;=0,P73&lt;=0),"Soldé","En retard"))</f>
        <v/>
      </c>
      <c r="R73" s="8"/>
    </row>
    <row r="74">
      <c r="A74" s="20"/>
      <c r="B74" s="20"/>
      <c r="C74" s="20"/>
      <c r="D74" s="21"/>
      <c r="E74" s="77"/>
      <c r="F74" s="20"/>
      <c r="G74" s="20"/>
      <c r="H74" s="18" t="str">
        <f>IF($B74="","",Paramètres!$C$23)</f>
        <v/>
      </c>
      <c r="I74" s="19"/>
      <c r="J74" s="19"/>
      <c r="K74" s="19"/>
      <c r="L74" s="18" t="str">
        <f>IF($B74="","",SUM(I74:K74))</f>
        <v/>
      </c>
      <c r="M74" s="18" t="str">
        <f>IF($B74="","",H74-L74)</f>
        <v/>
      </c>
      <c r="N74" s="18" t="str">
        <f>IF($B74="","",IF(R74="Ancien",0,Paramètres!$D$23))</f>
        <v/>
      </c>
      <c r="O74" s="19"/>
      <c r="P74" s="18" t="str">
        <f>IF($B74="","",N74-O74)</f>
        <v/>
      </c>
      <c r="Q74" s="21" t="str">
        <f>IF($B74="","",IF(AND(M74&lt;=0,P74&lt;=0),"Soldé","En retard"))</f>
        <v/>
      </c>
      <c r="R74" s="21"/>
    </row>
    <row r="75">
      <c r="A75" s="15"/>
      <c r="B75" s="15"/>
      <c r="C75" s="15"/>
      <c r="D75" s="8"/>
      <c r="E75" s="79"/>
      <c r="F75" s="15"/>
      <c r="G75" s="15"/>
      <c r="H75" s="18" t="str">
        <f>IF($B75="","",Paramètres!$C$23)</f>
        <v/>
      </c>
      <c r="I75" s="19"/>
      <c r="J75" s="19"/>
      <c r="K75" s="19"/>
      <c r="L75" s="18" t="str">
        <f>IF($B75="","",SUM(I75:K75))</f>
        <v/>
      </c>
      <c r="M75" s="18" t="str">
        <f>IF($B75="","",H75-L75)</f>
        <v/>
      </c>
      <c r="N75" s="18" t="str">
        <f>IF($B75="","",IF(R75="Ancien",0,Paramètres!$D$23))</f>
        <v/>
      </c>
      <c r="O75" s="19"/>
      <c r="P75" s="18" t="str">
        <f>IF($B75="","",N75-O75)</f>
        <v/>
      </c>
      <c r="Q75" s="8" t="str">
        <f>IF($B75="","",IF(AND(M75&lt;=0,P75&lt;=0),"Soldé","En retard"))</f>
        <v/>
      </c>
      <c r="R75" s="8"/>
    </row>
    <row r="76">
      <c r="A76" s="20"/>
      <c r="B76" s="20"/>
      <c r="C76" s="20"/>
      <c r="D76" s="21"/>
      <c r="E76" s="77"/>
      <c r="F76" s="20"/>
      <c r="G76" s="20"/>
      <c r="H76" s="18" t="str">
        <f>IF($B76="","",Paramètres!$C$23)</f>
        <v/>
      </c>
      <c r="I76" s="19"/>
      <c r="J76" s="19"/>
      <c r="K76" s="19"/>
      <c r="L76" s="18" t="str">
        <f>IF($B76="","",SUM(I76:K76))</f>
        <v/>
      </c>
      <c r="M76" s="18" t="str">
        <f>IF($B76="","",H76-L76)</f>
        <v/>
      </c>
      <c r="N76" s="18" t="str">
        <f>IF($B76="","",IF(R76="Ancien",0,Paramètres!$D$23))</f>
        <v/>
      </c>
      <c r="O76" s="19"/>
      <c r="P76" s="18" t="str">
        <f>IF($B76="","",N76-O76)</f>
        <v/>
      </c>
      <c r="Q76" s="21" t="str">
        <f>IF($B76="","",IF(AND(M76&lt;=0,P76&lt;=0),"Soldé","En retard"))</f>
        <v/>
      </c>
      <c r="R76" s="21"/>
    </row>
    <row r="77">
      <c r="A77" s="15"/>
      <c r="B77" s="15"/>
      <c r="C77" s="15"/>
      <c r="D77" s="8"/>
      <c r="E77" s="79"/>
      <c r="F77" s="15"/>
      <c r="G77" s="15"/>
      <c r="H77" s="18" t="str">
        <f>IF($B77="","",Paramètres!$C$23)</f>
        <v/>
      </c>
      <c r="I77" s="19"/>
      <c r="J77" s="19"/>
      <c r="K77" s="19"/>
      <c r="L77" s="18" t="str">
        <f>IF($B77="","",SUM(I77:K77))</f>
        <v/>
      </c>
      <c r="M77" s="18" t="str">
        <f>IF($B77="","",H77-L77)</f>
        <v/>
      </c>
      <c r="N77" s="18" t="str">
        <f>IF($B77="","",IF(R77="Ancien",0,Paramètres!$D$23))</f>
        <v/>
      </c>
      <c r="O77" s="19"/>
      <c r="P77" s="18" t="str">
        <f>IF($B77="","",N77-O77)</f>
        <v/>
      </c>
      <c r="Q77" s="8" t="str">
        <f>IF($B77="","",IF(AND(M77&lt;=0,P77&lt;=0),"Soldé","En retard"))</f>
        <v/>
      </c>
      <c r="R77" s="8"/>
    </row>
    <row r="78">
      <c r="A78" s="20"/>
      <c r="B78" s="20"/>
      <c r="C78" s="20"/>
      <c r="D78" s="21"/>
      <c r="E78" s="77"/>
      <c r="F78" s="20"/>
      <c r="G78" s="20"/>
      <c r="H78" s="18" t="str">
        <f>IF($B78="","",Paramètres!$C$23)</f>
        <v/>
      </c>
      <c r="I78" s="19"/>
      <c r="J78" s="19"/>
      <c r="K78" s="19"/>
      <c r="L78" s="18" t="str">
        <f>IF($B78="","",SUM(I78:K78))</f>
        <v/>
      </c>
      <c r="M78" s="18" t="str">
        <f>IF($B78="","",H78-L78)</f>
        <v/>
      </c>
      <c r="N78" s="18" t="str">
        <f>IF($B78="","",IF(R78="Ancien",0,Paramètres!$D$23))</f>
        <v/>
      </c>
      <c r="O78" s="19"/>
      <c r="P78" s="18" t="str">
        <f>IF($B78="","",N78-O78)</f>
        <v/>
      </c>
      <c r="Q78" s="21" t="str">
        <f>IF($B78="","",IF(AND(M78&lt;=0,P78&lt;=0),"Soldé","En retard"))</f>
        <v/>
      </c>
      <c r="R78" s="21"/>
    </row>
    <row r="79">
      <c r="A79" s="15"/>
      <c r="B79" s="15"/>
      <c r="C79" s="15"/>
      <c r="D79" s="8"/>
      <c r="E79" s="79"/>
      <c r="F79" s="15"/>
      <c r="G79" s="15"/>
      <c r="H79" s="18" t="str">
        <f>IF($B79="","",Paramètres!$C$23)</f>
        <v/>
      </c>
      <c r="I79" s="19"/>
      <c r="J79" s="19"/>
      <c r="K79" s="19"/>
      <c r="L79" s="18" t="str">
        <f>IF($B79="","",SUM(I79:K79))</f>
        <v/>
      </c>
      <c r="M79" s="18" t="str">
        <f>IF($B79="","",H79-L79)</f>
        <v/>
      </c>
      <c r="N79" s="18" t="str">
        <f>IF($B79="","",IF(R79="Ancien",0,Paramètres!$D$23))</f>
        <v/>
      </c>
      <c r="O79" s="19"/>
      <c r="P79" s="18" t="str">
        <f>IF($B79="","",N79-O79)</f>
        <v/>
      </c>
      <c r="Q79" s="8" t="str">
        <f>IF($B79="","",IF(AND(M79&lt;=0,P79&lt;=0),"Soldé","En retard"))</f>
        <v/>
      </c>
      <c r="R79" s="8"/>
    </row>
    <row r="80">
      <c r="A80" s="20"/>
      <c r="B80" s="20"/>
      <c r="C80" s="20"/>
      <c r="D80" s="21"/>
      <c r="E80" s="77"/>
      <c r="F80" s="20"/>
      <c r="G80" s="20"/>
      <c r="H80" s="18" t="str">
        <f>IF($B80="","",Paramètres!$C$23)</f>
        <v/>
      </c>
      <c r="I80" s="19"/>
      <c r="J80" s="19"/>
      <c r="K80" s="19"/>
      <c r="L80" s="18" t="str">
        <f>IF($B80="","",SUM(I80:K80))</f>
        <v/>
      </c>
      <c r="M80" s="18" t="str">
        <f>IF($B80="","",H80-L80)</f>
        <v/>
      </c>
      <c r="N80" s="18" t="str">
        <f>IF($B80="","",IF(R80="Ancien",0,Paramètres!$D$23))</f>
        <v/>
      </c>
      <c r="O80" s="19"/>
      <c r="P80" s="18" t="str">
        <f>IF($B80="","",N80-O80)</f>
        <v/>
      </c>
      <c r="Q80" s="21" t="str">
        <f>IF($B80="","",IF(AND(M80&lt;=0,P80&lt;=0),"Soldé","En retard"))</f>
        <v/>
      </c>
      <c r="R80" s="21"/>
    </row>
    <row r="81">
      <c r="A81" s="15"/>
      <c r="B81" s="15"/>
      <c r="C81" s="15"/>
      <c r="D81" s="8"/>
      <c r="E81" s="79"/>
      <c r="F81" s="15"/>
      <c r="G81" s="15"/>
      <c r="H81" s="18" t="str">
        <f>IF($B81="","",Paramètres!$C$23)</f>
        <v/>
      </c>
      <c r="I81" s="19"/>
      <c r="J81" s="19"/>
      <c r="K81" s="19"/>
      <c r="L81" s="18" t="str">
        <f>IF($B81="","",SUM(I81:K81))</f>
        <v/>
      </c>
      <c r="M81" s="18" t="str">
        <f>IF($B81="","",H81-L81)</f>
        <v/>
      </c>
      <c r="N81" s="18" t="str">
        <f>IF($B81="","",IF(R81="Ancien",0,Paramètres!$D$23))</f>
        <v/>
      </c>
      <c r="O81" s="19"/>
      <c r="P81" s="18" t="str">
        <f>IF($B81="","",N81-O81)</f>
        <v/>
      </c>
      <c r="Q81" s="8" t="str">
        <f>IF($B81="","",IF(AND(M81&lt;=0,P81&lt;=0),"Soldé","En retard"))</f>
        <v/>
      </c>
      <c r="R81" s="8"/>
    </row>
    <row r="82">
      <c r="A82" s="20"/>
      <c r="B82" s="20"/>
      <c r="C82" s="20"/>
      <c r="D82" s="21"/>
      <c r="E82" s="77"/>
      <c r="F82" s="20"/>
      <c r="G82" s="20"/>
      <c r="H82" s="18" t="str">
        <f>IF($B82="","",Paramètres!$C$23)</f>
        <v/>
      </c>
      <c r="I82" s="19"/>
      <c r="J82" s="19"/>
      <c r="K82" s="19"/>
      <c r="L82" s="18" t="str">
        <f>IF($B82="","",SUM(I82:K82))</f>
        <v/>
      </c>
      <c r="M82" s="18" t="str">
        <f>IF($B82="","",H82-L82)</f>
        <v/>
      </c>
      <c r="N82" s="18" t="str">
        <f>IF($B82="","",IF(R82="Ancien",0,Paramètres!$D$23))</f>
        <v/>
      </c>
      <c r="O82" s="19"/>
      <c r="P82" s="18" t="str">
        <f>IF($B82="","",N82-O82)</f>
        <v/>
      </c>
      <c r="Q82" s="21" t="str">
        <f>IF($B82="","",IF(AND(M82&lt;=0,P82&lt;=0),"Soldé","En retard"))</f>
        <v/>
      </c>
      <c r="R82" s="21"/>
    </row>
    <row r="83">
      <c r="A83" s="15"/>
      <c r="B83" s="15"/>
      <c r="C83" s="15"/>
      <c r="D83" s="8"/>
      <c r="E83" s="79"/>
      <c r="F83" s="15"/>
      <c r="G83" s="15"/>
      <c r="H83" s="18" t="str">
        <f>IF($B83="","",Paramètres!$C$23)</f>
        <v/>
      </c>
      <c r="I83" s="19"/>
      <c r="J83" s="19"/>
      <c r="K83" s="19"/>
      <c r="L83" s="18" t="str">
        <f>IF($B83="","",SUM(I83:K83))</f>
        <v/>
      </c>
      <c r="M83" s="18" t="str">
        <f>IF($B83="","",H83-L83)</f>
        <v/>
      </c>
      <c r="N83" s="18" t="str">
        <f>IF($B83="","",IF(R83="Ancien",0,Paramètres!$D$23))</f>
        <v/>
      </c>
      <c r="O83" s="19"/>
      <c r="P83" s="18" t="str">
        <f>IF($B83="","",N83-O83)</f>
        <v/>
      </c>
      <c r="Q83" s="8" t="str">
        <f>IF($B83="","",IF(AND(M83&lt;=0,P83&lt;=0),"Soldé","En retard"))</f>
        <v/>
      </c>
      <c r="R83" s="8"/>
    </row>
  </sheetData>
  <mergeCells count="2">
    <mergeCell ref="A1:R1"/>
    <mergeCell ref="A2:R2"/>
  </mergeCells>
  <conditionalFormatting sqref="M4:M83 P4:P83">
    <cfRule type="cellIs" dxfId="10" priority="3" operator="greaterThan">
      <formula>0</formula>
    </cfRule>
  </conditionalFormatting>
  <conditionalFormatting sqref="Q4:Q83">
    <cfRule type="cellIs" dxfId="9" priority="1" operator="equal">
      <formula>"Soldé"</formula>
    </cfRule>
    <cfRule type="cellIs" dxfId="8" priority="2" operator="equal">
      <formula>"En retard"</formula>
    </cfRule>
  </conditionalFormatting>
  <dataValidations count="2">
    <dataValidation type="list" allowBlank="1" showErrorMessage="1" errorTitle="Sexe non valide" error="Choisissez M ou F." sqref="D4:D83">
      <formula1>"M,F"</formula1>
    </dataValidation>
    <dataValidation type="list" allowBlank="1" showErrorMessage="1" errorTitle="Statut non valide" error="Choisissez Nouveau ou Ancien. Un élève marqué Ancien ne paie pas les frais d'inscription." sqref="R4:R83">
      <formula1>"Nouveau,Ancien"</formula1>
    </dataValidation>
  </dataValidations>
  <pageMargins left="0.5" right="0.5" top="0.75" bottom="0.75" header="0.3" footer="0.3"/>
  <pageSetup paperSize="9" orientation="landscape" fitToHeight="0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R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7" customWidth="1"/>
    <col min="5" max="5" width="14" customWidth="1"/>
    <col min="6" max="6" width="18" customWidth="1"/>
    <col min="7" max="7" width="16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3" customWidth="1"/>
    <col min="18" max="18" width="16" customWidth="1"/>
  </cols>
  <sheetData>
    <row r="1" ht="27.75" customHeight="1">
      <c r="A1" s="53" t="str">
        <f>"INSCRIPTIONS — "&amp;Paramètres!$A$24</f>
        <v>INSCRIPTIONS — 5e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ht="18" customHeight="1">
      <c r="A2" s="54" t="str">
        <f>"Année scolaire "&amp;Paramètres!$C$11&amp;"   •   Effectif : "&amp;COUNTIF($B$4:$B$83,"?*")&amp;"   •   Cellules jaunes = montants à saisir ; colonnes grises = calcul automatique"</f>
        <v>Année scolaire 2025-2026   •   Effectif : 0   •   Cellules jaunes = montants à saisir ; colonnes grises = calcul automatique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Sexe</t>
        </is>
      </c>
      <c r="E3" s="3" t="inlineStr">
        <is>
          <t>Date de naissance</t>
        </is>
      </c>
      <c r="F3" s="3" t="inlineStr">
        <is>
          <t>Nom du tuteur</t>
        </is>
      </c>
      <c r="G3" s="3" t="inlineStr">
        <is>
          <t>Téléphone</t>
        </is>
      </c>
      <c r="H3" s="3" t="inlineStr">
        <is>
          <t>Scolarité due</t>
        </is>
      </c>
      <c r="I3" s="3" t="inlineStr">
        <is>
          <t>Tranche 1</t>
        </is>
      </c>
      <c r="J3" s="3" t="inlineStr">
        <is>
          <t>Tranche 2</t>
        </is>
      </c>
      <c r="K3" s="3" t="inlineStr">
        <is>
          <t>Tranche 3</t>
        </is>
      </c>
      <c r="L3" s="3" t="inlineStr">
        <is>
          <t>Total payé</t>
        </is>
      </c>
      <c r="M3" s="3" t="inlineStr">
        <is>
          <t>Reste à payer</t>
        </is>
      </c>
      <c r="N3" s="3" t="inlineStr">
        <is>
          <t>Inscription due</t>
        </is>
      </c>
      <c r="O3" s="3" t="inlineStr">
        <is>
          <t>Inscription payée</t>
        </is>
      </c>
      <c r="P3" s="3" t="inlineStr">
        <is>
          <t>Reste inscription</t>
        </is>
      </c>
      <c r="Q3" s="3" t="inlineStr">
        <is>
          <t>Statut</t>
        </is>
      </c>
      <c r="R3" s="3" t="inlineStr">
        <is>
          <t>Nouveau / Ancien</t>
        </is>
      </c>
    </row>
    <row r="4">
      <c r="A4" s="20"/>
      <c r="B4" s="20"/>
      <c r="C4" s="20"/>
      <c r="D4" s="21"/>
      <c r="E4" s="77"/>
      <c r="F4" s="20"/>
      <c r="G4" s="20"/>
      <c r="H4" s="18" t="str">
        <f>IF($B4="","",Paramètres!$C$24)</f>
        <v/>
      </c>
      <c r="I4" s="19"/>
      <c r="J4" s="19"/>
      <c r="K4" s="19"/>
      <c r="L4" s="18" t="str">
        <f>IF($B4="","",SUM(I4:K4))</f>
        <v/>
      </c>
      <c r="M4" s="18" t="str">
        <f>IF($B4="","",H4-L4)</f>
        <v/>
      </c>
      <c r="N4" s="18" t="str">
        <f>IF($B4="","",IF(R4="Ancien",0,Paramètres!$D$24))</f>
        <v/>
      </c>
      <c r="O4" s="19"/>
      <c r="P4" s="18" t="str">
        <f>IF($B4="","",N4-O4)</f>
        <v/>
      </c>
      <c r="Q4" s="21" t="str">
        <f>IF($B4="","",IF(AND(M4&lt;=0,P4&lt;=0),"Soldé","En retard"))</f>
        <v/>
      </c>
      <c r="R4" s="21"/>
    </row>
    <row r="5">
      <c r="A5" s="15"/>
      <c r="B5" s="15"/>
      <c r="C5" s="15"/>
      <c r="D5" s="8"/>
      <c r="E5" s="79"/>
      <c r="F5" s="15"/>
      <c r="G5" s="15"/>
      <c r="H5" s="18" t="str">
        <f>IF($B5="","",Paramètres!$C$24)</f>
        <v/>
      </c>
      <c r="I5" s="19"/>
      <c r="J5" s="19"/>
      <c r="K5" s="19"/>
      <c r="L5" s="18" t="str">
        <f>IF($B5="","",SUM(I5:K5))</f>
        <v/>
      </c>
      <c r="M5" s="18" t="str">
        <f>IF($B5="","",H5-L5)</f>
        <v/>
      </c>
      <c r="N5" s="18" t="str">
        <f>IF($B5="","",IF(R5="Ancien",0,Paramètres!$D$24))</f>
        <v/>
      </c>
      <c r="O5" s="19"/>
      <c r="P5" s="18" t="str">
        <f>IF($B5="","",N5-O5)</f>
        <v/>
      </c>
      <c r="Q5" s="8" t="str">
        <f>IF($B5="","",IF(AND(M5&lt;=0,P5&lt;=0),"Soldé","En retard"))</f>
        <v/>
      </c>
      <c r="R5" s="8"/>
    </row>
    <row r="6">
      <c r="A6" s="20"/>
      <c r="B6" s="20"/>
      <c r="C6" s="20"/>
      <c r="D6" s="21"/>
      <c r="E6" s="77"/>
      <c r="F6" s="20"/>
      <c r="G6" s="20"/>
      <c r="H6" s="18" t="str">
        <f>IF($B6="","",Paramètres!$C$24)</f>
        <v/>
      </c>
      <c r="I6" s="19"/>
      <c r="J6" s="19"/>
      <c r="K6" s="19"/>
      <c r="L6" s="18" t="str">
        <f>IF($B6="","",SUM(I6:K6))</f>
        <v/>
      </c>
      <c r="M6" s="18" t="str">
        <f>IF($B6="","",H6-L6)</f>
        <v/>
      </c>
      <c r="N6" s="18" t="str">
        <f>IF($B6="","",IF(R6="Ancien",0,Paramètres!$D$24))</f>
        <v/>
      </c>
      <c r="O6" s="19"/>
      <c r="P6" s="18" t="str">
        <f>IF($B6="","",N6-O6)</f>
        <v/>
      </c>
      <c r="Q6" s="21" t="str">
        <f>IF($B6="","",IF(AND(M6&lt;=0,P6&lt;=0),"Soldé","En retard"))</f>
        <v/>
      </c>
      <c r="R6" s="21"/>
    </row>
    <row r="7">
      <c r="A7" s="15"/>
      <c r="B7" s="15"/>
      <c r="C7" s="15"/>
      <c r="D7" s="8"/>
      <c r="E7" s="79"/>
      <c r="F7" s="15"/>
      <c r="G7" s="15"/>
      <c r="H7" s="18" t="str">
        <f>IF($B7="","",Paramètres!$C$24)</f>
        <v/>
      </c>
      <c r="I7" s="19"/>
      <c r="J7" s="19"/>
      <c r="K7" s="19"/>
      <c r="L7" s="18" t="str">
        <f>IF($B7="","",SUM(I7:K7))</f>
        <v/>
      </c>
      <c r="M7" s="18" t="str">
        <f>IF($B7="","",H7-L7)</f>
        <v/>
      </c>
      <c r="N7" s="18" t="str">
        <f>IF($B7="","",IF(R7="Ancien",0,Paramètres!$D$24))</f>
        <v/>
      </c>
      <c r="O7" s="19"/>
      <c r="P7" s="18" t="str">
        <f>IF($B7="","",N7-O7)</f>
        <v/>
      </c>
      <c r="Q7" s="8" t="str">
        <f>IF($B7="","",IF(AND(M7&lt;=0,P7&lt;=0),"Soldé","En retard"))</f>
        <v/>
      </c>
      <c r="R7" s="8"/>
    </row>
    <row r="8">
      <c r="A8" s="20"/>
      <c r="B8" s="20"/>
      <c r="C8" s="20"/>
      <c r="D8" s="21"/>
      <c r="E8" s="77"/>
      <c r="F8" s="20"/>
      <c r="G8" s="20"/>
      <c r="H8" s="18" t="str">
        <f>IF($B8="","",Paramètres!$C$24)</f>
        <v/>
      </c>
      <c r="I8" s="19"/>
      <c r="J8" s="19"/>
      <c r="K8" s="19"/>
      <c r="L8" s="18" t="str">
        <f>IF($B8="","",SUM(I8:K8))</f>
        <v/>
      </c>
      <c r="M8" s="18" t="str">
        <f>IF($B8="","",H8-L8)</f>
        <v/>
      </c>
      <c r="N8" s="18" t="str">
        <f>IF($B8="","",IF(R8="Ancien",0,Paramètres!$D$24))</f>
        <v/>
      </c>
      <c r="O8" s="19"/>
      <c r="P8" s="18" t="str">
        <f>IF($B8="","",N8-O8)</f>
        <v/>
      </c>
      <c r="Q8" s="21" t="str">
        <f>IF($B8="","",IF(AND(M8&lt;=0,P8&lt;=0),"Soldé","En retard"))</f>
        <v/>
      </c>
      <c r="R8" s="21"/>
    </row>
    <row r="9">
      <c r="A9" s="15"/>
      <c r="B9" s="15"/>
      <c r="C9" s="15"/>
      <c r="D9" s="8"/>
      <c r="E9" s="79"/>
      <c r="F9" s="15"/>
      <c r="G9" s="15"/>
      <c r="H9" s="18" t="str">
        <f>IF($B9="","",Paramètres!$C$24)</f>
        <v/>
      </c>
      <c r="I9" s="19"/>
      <c r="J9" s="19"/>
      <c r="K9" s="19"/>
      <c r="L9" s="18" t="str">
        <f>IF($B9="","",SUM(I9:K9))</f>
        <v/>
      </c>
      <c r="M9" s="18" t="str">
        <f>IF($B9="","",H9-L9)</f>
        <v/>
      </c>
      <c r="N9" s="18" t="str">
        <f>IF($B9="","",IF(R9="Ancien",0,Paramètres!$D$24))</f>
        <v/>
      </c>
      <c r="O9" s="19"/>
      <c r="P9" s="18" t="str">
        <f>IF($B9="","",N9-O9)</f>
        <v/>
      </c>
      <c r="Q9" s="8" t="str">
        <f>IF($B9="","",IF(AND(M9&lt;=0,P9&lt;=0),"Soldé","En retard"))</f>
        <v/>
      </c>
      <c r="R9" s="8"/>
    </row>
    <row r="10">
      <c r="A10" s="20"/>
      <c r="B10" s="20"/>
      <c r="C10" s="20"/>
      <c r="D10" s="21"/>
      <c r="E10" s="77"/>
      <c r="F10" s="20"/>
      <c r="G10" s="20"/>
      <c r="H10" s="18" t="str">
        <f>IF($B10="","",Paramètres!$C$24)</f>
        <v/>
      </c>
      <c r="I10" s="19"/>
      <c r="J10" s="19"/>
      <c r="K10" s="19"/>
      <c r="L10" s="18" t="str">
        <f>IF($B10="","",SUM(I10:K10))</f>
        <v/>
      </c>
      <c r="M10" s="18" t="str">
        <f>IF($B10="","",H10-L10)</f>
        <v/>
      </c>
      <c r="N10" s="18" t="str">
        <f>IF($B10="","",IF(R10="Ancien",0,Paramètres!$D$24))</f>
        <v/>
      </c>
      <c r="O10" s="19"/>
      <c r="P10" s="18" t="str">
        <f>IF($B10="","",N10-O10)</f>
        <v/>
      </c>
      <c r="Q10" s="21" t="str">
        <f>IF($B10="","",IF(AND(M10&lt;=0,P10&lt;=0),"Soldé","En retard"))</f>
        <v/>
      </c>
      <c r="R10" s="21"/>
    </row>
    <row r="11">
      <c r="A11" s="15"/>
      <c r="B11" s="15"/>
      <c r="C11" s="15"/>
      <c r="D11" s="8"/>
      <c r="E11" s="79"/>
      <c r="F11" s="15"/>
      <c r="G11" s="15"/>
      <c r="H11" s="18" t="str">
        <f>IF($B11="","",Paramètres!$C$24)</f>
        <v/>
      </c>
      <c r="I11" s="19"/>
      <c r="J11" s="19"/>
      <c r="K11" s="19"/>
      <c r="L11" s="18" t="str">
        <f>IF($B11="","",SUM(I11:K11))</f>
        <v/>
      </c>
      <c r="M11" s="18" t="str">
        <f>IF($B11="","",H11-L11)</f>
        <v/>
      </c>
      <c r="N11" s="18" t="str">
        <f>IF($B11="","",IF(R11="Ancien",0,Paramètres!$D$24))</f>
        <v/>
      </c>
      <c r="O11" s="19"/>
      <c r="P11" s="18" t="str">
        <f>IF($B11="","",N11-O11)</f>
        <v/>
      </c>
      <c r="Q11" s="8" t="str">
        <f>IF($B11="","",IF(AND(M11&lt;=0,P11&lt;=0),"Soldé","En retard"))</f>
        <v/>
      </c>
      <c r="R11" s="8"/>
    </row>
    <row r="12">
      <c r="A12" s="20"/>
      <c r="B12" s="20"/>
      <c r="C12" s="20"/>
      <c r="D12" s="21"/>
      <c r="E12" s="77"/>
      <c r="F12" s="20"/>
      <c r="G12" s="20"/>
      <c r="H12" s="18" t="str">
        <f>IF($B12="","",Paramètres!$C$24)</f>
        <v/>
      </c>
      <c r="I12" s="19"/>
      <c r="J12" s="19"/>
      <c r="K12" s="19"/>
      <c r="L12" s="18" t="str">
        <f>IF($B12="","",SUM(I12:K12))</f>
        <v/>
      </c>
      <c r="M12" s="18" t="str">
        <f>IF($B12="","",H12-L12)</f>
        <v/>
      </c>
      <c r="N12" s="18" t="str">
        <f>IF($B12="","",IF(R12="Ancien",0,Paramètres!$D$24))</f>
        <v/>
      </c>
      <c r="O12" s="19"/>
      <c r="P12" s="18" t="str">
        <f>IF($B12="","",N12-O12)</f>
        <v/>
      </c>
      <c r="Q12" s="21" t="str">
        <f>IF($B12="","",IF(AND(M12&lt;=0,P12&lt;=0),"Soldé","En retard"))</f>
        <v/>
      </c>
      <c r="R12" s="21"/>
    </row>
    <row r="13">
      <c r="A13" s="15"/>
      <c r="B13" s="15"/>
      <c r="C13" s="15"/>
      <c r="D13" s="8"/>
      <c r="E13" s="79"/>
      <c r="F13" s="15"/>
      <c r="G13" s="15"/>
      <c r="H13" s="18" t="str">
        <f>IF($B13="","",Paramètres!$C$24)</f>
        <v/>
      </c>
      <c r="I13" s="19"/>
      <c r="J13" s="19"/>
      <c r="K13" s="19"/>
      <c r="L13" s="18" t="str">
        <f>IF($B13="","",SUM(I13:K13))</f>
        <v/>
      </c>
      <c r="M13" s="18" t="str">
        <f>IF($B13="","",H13-L13)</f>
        <v/>
      </c>
      <c r="N13" s="18" t="str">
        <f>IF($B13="","",IF(R13="Ancien",0,Paramètres!$D$24))</f>
        <v/>
      </c>
      <c r="O13" s="19"/>
      <c r="P13" s="18" t="str">
        <f>IF($B13="","",N13-O13)</f>
        <v/>
      </c>
      <c r="Q13" s="8" t="str">
        <f>IF($B13="","",IF(AND(M13&lt;=0,P13&lt;=0),"Soldé","En retard"))</f>
        <v/>
      </c>
      <c r="R13" s="8"/>
    </row>
    <row r="14">
      <c r="A14" s="20"/>
      <c r="B14" s="20"/>
      <c r="C14" s="20"/>
      <c r="D14" s="21"/>
      <c r="E14" s="77"/>
      <c r="F14" s="20"/>
      <c r="G14" s="20"/>
      <c r="H14" s="18" t="str">
        <f>IF($B14="","",Paramètres!$C$24)</f>
        <v/>
      </c>
      <c r="I14" s="19"/>
      <c r="J14" s="19"/>
      <c r="K14" s="19"/>
      <c r="L14" s="18" t="str">
        <f>IF($B14="","",SUM(I14:K14))</f>
        <v/>
      </c>
      <c r="M14" s="18" t="str">
        <f>IF($B14="","",H14-L14)</f>
        <v/>
      </c>
      <c r="N14" s="18" t="str">
        <f>IF($B14="","",IF(R14="Ancien",0,Paramètres!$D$24))</f>
        <v/>
      </c>
      <c r="O14" s="19"/>
      <c r="P14" s="18" t="str">
        <f>IF($B14="","",N14-O14)</f>
        <v/>
      </c>
      <c r="Q14" s="21" t="str">
        <f>IF($B14="","",IF(AND(M14&lt;=0,P14&lt;=0),"Soldé","En retard"))</f>
        <v/>
      </c>
      <c r="R14" s="21"/>
    </row>
    <row r="15">
      <c r="A15" s="15"/>
      <c r="B15" s="15"/>
      <c r="C15" s="15"/>
      <c r="D15" s="8"/>
      <c r="E15" s="79"/>
      <c r="F15" s="15"/>
      <c r="G15" s="15"/>
      <c r="H15" s="18" t="str">
        <f>IF($B15="","",Paramètres!$C$24)</f>
        <v/>
      </c>
      <c r="I15" s="19"/>
      <c r="J15" s="19"/>
      <c r="K15" s="19"/>
      <c r="L15" s="18" t="str">
        <f>IF($B15="","",SUM(I15:K15))</f>
        <v/>
      </c>
      <c r="M15" s="18" t="str">
        <f>IF($B15="","",H15-L15)</f>
        <v/>
      </c>
      <c r="N15" s="18" t="str">
        <f>IF($B15="","",IF(R15="Ancien",0,Paramètres!$D$24))</f>
        <v/>
      </c>
      <c r="O15" s="19"/>
      <c r="P15" s="18" t="str">
        <f>IF($B15="","",N15-O15)</f>
        <v/>
      </c>
      <c r="Q15" s="8" t="str">
        <f>IF($B15="","",IF(AND(M15&lt;=0,P15&lt;=0),"Soldé","En retard"))</f>
        <v/>
      </c>
      <c r="R15" s="8"/>
    </row>
    <row r="16">
      <c r="A16" s="20"/>
      <c r="B16" s="20"/>
      <c r="C16" s="20"/>
      <c r="D16" s="21"/>
      <c r="E16" s="77"/>
      <c r="F16" s="20"/>
      <c r="G16" s="20"/>
      <c r="H16" s="18" t="str">
        <f>IF($B16="","",Paramètres!$C$24)</f>
        <v/>
      </c>
      <c r="I16" s="19"/>
      <c r="J16" s="19"/>
      <c r="K16" s="19"/>
      <c r="L16" s="18" t="str">
        <f>IF($B16="","",SUM(I16:K16))</f>
        <v/>
      </c>
      <c r="M16" s="18" t="str">
        <f>IF($B16="","",H16-L16)</f>
        <v/>
      </c>
      <c r="N16" s="18" t="str">
        <f>IF($B16="","",IF(R16="Ancien",0,Paramètres!$D$24))</f>
        <v/>
      </c>
      <c r="O16" s="19"/>
      <c r="P16" s="18" t="str">
        <f>IF($B16="","",N16-O16)</f>
        <v/>
      </c>
      <c r="Q16" s="21" t="str">
        <f>IF($B16="","",IF(AND(M16&lt;=0,P16&lt;=0),"Soldé","En retard"))</f>
        <v/>
      </c>
      <c r="R16" s="21"/>
    </row>
    <row r="17">
      <c r="A17" s="15"/>
      <c r="B17" s="15"/>
      <c r="C17" s="15"/>
      <c r="D17" s="8"/>
      <c r="E17" s="79"/>
      <c r="F17" s="15"/>
      <c r="G17" s="15"/>
      <c r="H17" s="18" t="str">
        <f>IF($B17="","",Paramètres!$C$24)</f>
        <v/>
      </c>
      <c r="I17" s="19"/>
      <c r="J17" s="19"/>
      <c r="K17" s="19"/>
      <c r="L17" s="18" t="str">
        <f>IF($B17="","",SUM(I17:K17))</f>
        <v/>
      </c>
      <c r="M17" s="18" t="str">
        <f>IF($B17="","",H17-L17)</f>
        <v/>
      </c>
      <c r="N17" s="18" t="str">
        <f>IF($B17="","",IF(R17="Ancien",0,Paramètres!$D$24))</f>
        <v/>
      </c>
      <c r="O17" s="19"/>
      <c r="P17" s="18" t="str">
        <f>IF($B17="","",N17-O17)</f>
        <v/>
      </c>
      <c r="Q17" s="8" t="str">
        <f>IF($B17="","",IF(AND(M17&lt;=0,P17&lt;=0),"Soldé","En retard"))</f>
        <v/>
      </c>
      <c r="R17" s="8"/>
    </row>
    <row r="18">
      <c r="A18" s="20"/>
      <c r="B18" s="20"/>
      <c r="C18" s="20"/>
      <c r="D18" s="21"/>
      <c r="E18" s="77"/>
      <c r="F18" s="20"/>
      <c r="G18" s="20"/>
      <c r="H18" s="18" t="str">
        <f>IF($B18="","",Paramètres!$C$24)</f>
        <v/>
      </c>
      <c r="I18" s="19"/>
      <c r="J18" s="19"/>
      <c r="K18" s="19"/>
      <c r="L18" s="18" t="str">
        <f>IF($B18="","",SUM(I18:K18))</f>
        <v/>
      </c>
      <c r="M18" s="18" t="str">
        <f>IF($B18="","",H18-L18)</f>
        <v/>
      </c>
      <c r="N18" s="18" t="str">
        <f>IF($B18="","",IF(R18="Ancien",0,Paramètres!$D$24))</f>
        <v/>
      </c>
      <c r="O18" s="19"/>
      <c r="P18" s="18" t="str">
        <f>IF($B18="","",N18-O18)</f>
        <v/>
      </c>
      <c r="Q18" s="21" t="str">
        <f>IF($B18="","",IF(AND(M18&lt;=0,P18&lt;=0),"Soldé","En retard"))</f>
        <v/>
      </c>
      <c r="R18" s="21"/>
    </row>
    <row r="19">
      <c r="A19" s="15"/>
      <c r="B19" s="15"/>
      <c r="C19" s="15"/>
      <c r="D19" s="8"/>
      <c r="E19" s="79"/>
      <c r="F19" s="15"/>
      <c r="G19" s="15"/>
      <c r="H19" s="18" t="str">
        <f>IF($B19="","",Paramètres!$C$24)</f>
        <v/>
      </c>
      <c r="I19" s="19"/>
      <c r="J19" s="19"/>
      <c r="K19" s="19"/>
      <c r="L19" s="18" t="str">
        <f>IF($B19="","",SUM(I19:K19))</f>
        <v/>
      </c>
      <c r="M19" s="18" t="str">
        <f>IF($B19="","",H19-L19)</f>
        <v/>
      </c>
      <c r="N19" s="18" t="str">
        <f>IF($B19="","",IF(R19="Ancien",0,Paramètres!$D$24))</f>
        <v/>
      </c>
      <c r="O19" s="19"/>
      <c r="P19" s="18" t="str">
        <f>IF($B19="","",N19-O19)</f>
        <v/>
      </c>
      <c r="Q19" s="8" t="str">
        <f>IF($B19="","",IF(AND(M19&lt;=0,P19&lt;=0),"Soldé","En retard"))</f>
        <v/>
      </c>
      <c r="R19" s="8"/>
    </row>
    <row r="20">
      <c r="A20" s="20"/>
      <c r="B20" s="20"/>
      <c r="C20" s="20"/>
      <c r="D20" s="21"/>
      <c r="E20" s="77"/>
      <c r="F20" s="20"/>
      <c r="G20" s="20"/>
      <c r="H20" s="18" t="str">
        <f>IF($B20="","",Paramètres!$C$24)</f>
        <v/>
      </c>
      <c r="I20" s="19"/>
      <c r="J20" s="19"/>
      <c r="K20" s="19"/>
      <c r="L20" s="18" t="str">
        <f>IF($B20="","",SUM(I20:K20))</f>
        <v/>
      </c>
      <c r="M20" s="18" t="str">
        <f>IF($B20="","",H20-L20)</f>
        <v/>
      </c>
      <c r="N20" s="18" t="str">
        <f>IF($B20="","",IF(R20="Ancien",0,Paramètres!$D$24))</f>
        <v/>
      </c>
      <c r="O20" s="19"/>
      <c r="P20" s="18" t="str">
        <f>IF($B20="","",N20-O20)</f>
        <v/>
      </c>
      <c r="Q20" s="21" t="str">
        <f>IF($B20="","",IF(AND(M20&lt;=0,P20&lt;=0),"Soldé","En retard"))</f>
        <v/>
      </c>
      <c r="R20" s="21"/>
    </row>
    <row r="21">
      <c r="A21" s="15"/>
      <c r="B21" s="15"/>
      <c r="C21" s="15"/>
      <c r="D21" s="8"/>
      <c r="E21" s="79"/>
      <c r="F21" s="15"/>
      <c r="G21" s="15"/>
      <c r="H21" s="18" t="str">
        <f>IF($B21="","",Paramètres!$C$24)</f>
        <v/>
      </c>
      <c r="I21" s="19"/>
      <c r="J21" s="19"/>
      <c r="K21" s="19"/>
      <c r="L21" s="18" t="str">
        <f>IF($B21="","",SUM(I21:K21))</f>
        <v/>
      </c>
      <c r="M21" s="18" t="str">
        <f>IF($B21="","",H21-L21)</f>
        <v/>
      </c>
      <c r="N21" s="18" t="str">
        <f>IF($B21="","",IF(R21="Ancien",0,Paramètres!$D$24))</f>
        <v/>
      </c>
      <c r="O21" s="19"/>
      <c r="P21" s="18" t="str">
        <f>IF($B21="","",N21-O21)</f>
        <v/>
      </c>
      <c r="Q21" s="8" t="str">
        <f>IF($B21="","",IF(AND(M21&lt;=0,P21&lt;=0),"Soldé","En retard"))</f>
        <v/>
      </c>
      <c r="R21" s="8"/>
    </row>
    <row r="22">
      <c r="A22" s="20"/>
      <c r="B22" s="20"/>
      <c r="C22" s="20"/>
      <c r="D22" s="21"/>
      <c r="E22" s="77"/>
      <c r="F22" s="20"/>
      <c r="G22" s="20"/>
      <c r="H22" s="18" t="str">
        <f>IF($B22="","",Paramètres!$C$24)</f>
        <v/>
      </c>
      <c r="I22" s="19"/>
      <c r="J22" s="19"/>
      <c r="K22" s="19"/>
      <c r="L22" s="18" t="str">
        <f>IF($B22="","",SUM(I22:K22))</f>
        <v/>
      </c>
      <c r="M22" s="18" t="str">
        <f>IF($B22="","",H22-L22)</f>
        <v/>
      </c>
      <c r="N22" s="18" t="str">
        <f>IF($B22="","",IF(R22="Ancien",0,Paramètres!$D$24))</f>
        <v/>
      </c>
      <c r="O22" s="19"/>
      <c r="P22" s="18" t="str">
        <f>IF($B22="","",N22-O22)</f>
        <v/>
      </c>
      <c r="Q22" s="21" t="str">
        <f>IF($B22="","",IF(AND(M22&lt;=0,P22&lt;=0),"Soldé","En retard"))</f>
        <v/>
      </c>
      <c r="R22" s="21"/>
    </row>
    <row r="23">
      <c r="A23" s="15"/>
      <c r="B23" s="15"/>
      <c r="C23" s="15"/>
      <c r="D23" s="8"/>
      <c r="E23" s="79"/>
      <c r="F23" s="15"/>
      <c r="G23" s="15"/>
      <c r="H23" s="18" t="str">
        <f>IF($B23="","",Paramètres!$C$24)</f>
        <v/>
      </c>
      <c r="I23" s="19"/>
      <c r="J23" s="19"/>
      <c r="K23" s="19"/>
      <c r="L23" s="18" t="str">
        <f>IF($B23="","",SUM(I23:K23))</f>
        <v/>
      </c>
      <c r="M23" s="18" t="str">
        <f>IF($B23="","",H23-L23)</f>
        <v/>
      </c>
      <c r="N23" s="18" t="str">
        <f>IF($B23="","",IF(R23="Ancien",0,Paramètres!$D$24))</f>
        <v/>
      </c>
      <c r="O23" s="19"/>
      <c r="P23" s="18" t="str">
        <f>IF($B23="","",N23-O23)</f>
        <v/>
      </c>
      <c r="Q23" s="8" t="str">
        <f>IF($B23="","",IF(AND(M23&lt;=0,P23&lt;=0),"Soldé","En retard"))</f>
        <v/>
      </c>
      <c r="R23" s="8"/>
    </row>
    <row r="24">
      <c r="A24" s="20"/>
      <c r="B24" s="20"/>
      <c r="C24" s="20"/>
      <c r="D24" s="21"/>
      <c r="E24" s="77"/>
      <c r="F24" s="20"/>
      <c r="G24" s="20"/>
      <c r="H24" s="18" t="str">
        <f>IF($B24="","",Paramètres!$C$24)</f>
        <v/>
      </c>
      <c r="I24" s="19"/>
      <c r="J24" s="19"/>
      <c r="K24" s="19"/>
      <c r="L24" s="18" t="str">
        <f>IF($B24="","",SUM(I24:K24))</f>
        <v/>
      </c>
      <c r="M24" s="18" t="str">
        <f>IF($B24="","",H24-L24)</f>
        <v/>
      </c>
      <c r="N24" s="18" t="str">
        <f>IF($B24="","",IF(R24="Ancien",0,Paramètres!$D$24))</f>
        <v/>
      </c>
      <c r="O24" s="19"/>
      <c r="P24" s="18" t="str">
        <f>IF($B24="","",N24-O24)</f>
        <v/>
      </c>
      <c r="Q24" s="21" t="str">
        <f>IF($B24="","",IF(AND(M24&lt;=0,P24&lt;=0),"Soldé","En retard"))</f>
        <v/>
      </c>
      <c r="R24" s="21"/>
    </row>
    <row r="25">
      <c r="A25" s="15"/>
      <c r="B25" s="15"/>
      <c r="C25" s="15"/>
      <c r="D25" s="8"/>
      <c r="E25" s="79"/>
      <c r="F25" s="15"/>
      <c r="G25" s="15"/>
      <c r="H25" s="18" t="str">
        <f>IF($B25="","",Paramètres!$C$24)</f>
        <v/>
      </c>
      <c r="I25" s="19"/>
      <c r="J25" s="19"/>
      <c r="K25" s="19"/>
      <c r="L25" s="18" t="str">
        <f>IF($B25="","",SUM(I25:K25))</f>
        <v/>
      </c>
      <c r="M25" s="18" t="str">
        <f>IF($B25="","",H25-L25)</f>
        <v/>
      </c>
      <c r="N25" s="18" t="str">
        <f>IF($B25="","",IF(R25="Ancien",0,Paramètres!$D$24))</f>
        <v/>
      </c>
      <c r="O25" s="19"/>
      <c r="P25" s="18" t="str">
        <f>IF($B25="","",N25-O25)</f>
        <v/>
      </c>
      <c r="Q25" s="8" t="str">
        <f>IF($B25="","",IF(AND(M25&lt;=0,P25&lt;=0),"Soldé","En retard"))</f>
        <v/>
      </c>
      <c r="R25" s="8"/>
    </row>
    <row r="26">
      <c r="A26" s="20"/>
      <c r="B26" s="20"/>
      <c r="C26" s="20"/>
      <c r="D26" s="21"/>
      <c r="E26" s="77"/>
      <c r="F26" s="20"/>
      <c r="G26" s="20"/>
      <c r="H26" s="18" t="str">
        <f>IF($B26="","",Paramètres!$C$24)</f>
        <v/>
      </c>
      <c r="I26" s="19"/>
      <c r="J26" s="19"/>
      <c r="K26" s="19"/>
      <c r="L26" s="18" t="str">
        <f>IF($B26="","",SUM(I26:K26))</f>
        <v/>
      </c>
      <c r="M26" s="18" t="str">
        <f>IF($B26="","",H26-L26)</f>
        <v/>
      </c>
      <c r="N26" s="18" t="str">
        <f>IF($B26="","",IF(R26="Ancien",0,Paramètres!$D$24))</f>
        <v/>
      </c>
      <c r="O26" s="19"/>
      <c r="P26" s="18" t="str">
        <f>IF($B26="","",N26-O26)</f>
        <v/>
      </c>
      <c r="Q26" s="21" t="str">
        <f>IF($B26="","",IF(AND(M26&lt;=0,P26&lt;=0),"Soldé","En retard"))</f>
        <v/>
      </c>
      <c r="R26" s="21"/>
    </row>
    <row r="27">
      <c r="A27" s="15"/>
      <c r="B27" s="15"/>
      <c r="C27" s="15"/>
      <c r="D27" s="8"/>
      <c r="E27" s="79"/>
      <c r="F27" s="15"/>
      <c r="G27" s="15"/>
      <c r="H27" s="18" t="str">
        <f>IF($B27="","",Paramètres!$C$24)</f>
        <v/>
      </c>
      <c r="I27" s="19"/>
      <c r="J27" s="19"/>
      <c r="K27" s="19"/>
      <c r="L27" s="18" t="str">
        <f>IF($B27="","",SUM(I27:K27))</f>
        <v/>
      </c>
      <c r="M27" s="18" t="str">
        <f>IF($B27="","",H27-L27)</f>
        <v/>
      </c>
      <c r="N27" s="18" t="str">
        <f>IF($B27="","",IF(R27="Ancien",0,Paramètres!$D$24))</f>
        <v/>
      </c>
      <c r="O27" s="19"/>
      <c r="P27" s="18" t="str">
        <f>IF($B27="","",N27-O27)</f>
        <v/>
      </c>
      <c r="Q27" s="8" t="str">
        <f>IF($B27="","",IF(AND(M27&lt;=0,P27&lt;=0),"Soldé","En retard"))</f>
        <v/>
      </c>
      <c r="R27" s="8"/>
    </row>
    <row r="28">
      <c r="A28" s="20"/>
      <c r="B28" s="20"/>
      <c r="C28" s="20"/>
      <c r="D28" s="21"/>
      <c r="E28" s="77"/>
      <c r="F28" s="20"/>
      <c r="G28" s="20"/>
      <c r="H28" s="18" t="str">
        <f>IF($B28="","",Paramètres!$C$24)</f>
        <v/>
      </c>
      <c r="I28" s="19"/>
      <c r="J28" s="19"/>
      <c r="K28" s="19"/>
      <c r="L28" s="18" t="str">
        <f>IF($B28="","",SUM(I28:K28))</f>
        <v/>
      </c>
      <c r="M28" s="18" t="str">
        <f>IF($B28="","",H28-L28)</f>
        <v/>
      </c>
      <c r="N28" s="18" t="str">
        <f>IF($B28="","",IF(R28="Ancien",0,Paramètres!$D$24))</f>
        <v/>
      </c>
      <c r="O28" s="19"/>
      <c r="P28" s="18" t="str">
        <f>IF($B28="","",N28-O28)</f>
        <v/>
      </c>
      <c r="Q28" s="21" t="str">
        <f>IF($B28="","",IF(AND(M28&lt;=0,P28&lt;=0),"Soldé","En retard"))</f>
        <v/>
      </c>
      <c r="R28" s="21"/>
    </row>
    <row r="29">
      <c r="A29" s="15"/>
      <c r="B29" s="15"/>
      <c r="C29" s="15"/>
      <c r="D29" s="8"/>
      <c r="E29" s="79"/>
      <c r="F29" s="15"/>
      <c r="G29" s="15"/>
      <c r="H29" s="18" t="str">
        <f>IF($B29="","",Paramètres!$C$24)</f>
        <v/>
      </c>
      <c r="I29" s="19"/>
      <c r="J29" s="19"/>
      <c r="K29" s="19"/>
      <c r="L29" s="18" t="str">
        <f>IF($B29="","",SUM(I29:K29))</f>
        <v/>
      </c>
      <c r="M29" s="18" t="str">
        <f>IF($B29="","",H29-L29)</f>
        <v/>
      </c>
      <c r="N29" s="18" t="str">
        <f>IF($B29="","",IF(R29="Ancien",0,Paramètres!$D$24))</f>
        <v/>
      </c>
      <c r="O29" s="19"/>
      <c r="P29" s="18" t="str">
        <f>IF($B29="","",N29-O29)</f>
        <v/>
      </c>
      <c r="Q29" s="8" t="str">
        <f>IF($B29="","",IF(AND(M29&lt;=0,P29&lt;=0),"Soldé","En retard"))</f>
        <v/>
      </c>
      <c r="R29" s="8"/>
    </row>
    <row r="30">
      <c r="A30" s="20"/>
      <c r="B30" s="20"/>
      <c r="C30" s="20"/>
      <c r="D30" s="21"/>
      <c r="E30" s="77"/>
      <c r="F30" s="20"/>
      <c r="G30" s="20"/>
      <c r="H30" s="18" t="str">
        <f>IF($B30="","",Paramètres!$C$24)</f>
        <v/>
      </c>
      <c r="I30" s="19"/>
      <c r="J30" s="19"/>
      <c r="K30" s="19"/>
      <c r="L30" s="18" t="str">
        <f>IF($B30="","",SUM(I30:K30))</f>
        <v/>
      </c>
      <c r="M30" s="18" t="str">
        <f>IF($B30="","",H30-L30)</f>
        <v/>
      </c>
      <c r="N30" s="18" t="str">
        <f>IF($B30="","",IF(R30="Ancien",0,Paramètres!$D$24))</f>
        <v/>
      </c>
      <c r="O30" s="19"/>
      <c r="P30" s="18" t="str">
        <f>IF($B30="","",N30-O30)</f>
        <v/>
      </c>
      <c r="Q30" s="21" t="str">
        <f>IF($B30="","",IF(AND(M30&lt;=0,P30&lt;=0),"Soldé","En retard"))</f>
        <v/>
      </c>
      <c r="R30" s="21"/>
    </row>
    <row r="31">
      <c r="A31" s="15"/>
      <c r="B31" s="15"/>
      <c r="C31" s="15"/>
      <c r="D31" s="8"/>
      <c r="E31" s="79"/>
      <c r="F31" s="15"/>
      <c r="G31" s="15"/>
      <c r="H31" s="18" t="str">
        <f>IF($B31="","",Paramètres!$C$24)</f>
        <v/>
      </c>
      <c r="I31" s="19"/>
      <c r="J31" s="19"/>
      <c r="K31" s="19"/>
      <c r="L31" s="18" t="str">
        <f>IF($B31="","",SUM(I31:K31))</f>
        <v/>
      </c>
      <c r="M31" s="18" t="str">
        <f>IF($B31="","",H31-L31)</f>
        <v/>
      </c>
      <c r="N31" s="18" t="str">
        <f>IF($B31="","",IF(R31="Ancien",0,Paramètres!$D$24))</f>
        <v/>
      </c>
      <c r="O31" s="19"/>
      <c r="P31" s="18" t="str">
        <f>IF($B31="","",N31-O31)</f>
        <v/>
      </c>
      <c r="Q31" s="8" t="str">
        <f>IF($B31="","",IF(AND(M31&lt;=0,P31&lt;=0),"Soldé","En retard"))</f>
        <v/>
      </c>
      <c r="R31" s="8"/>
    </row>
    <row r="32">
      <c r="A32" s="20"/>
      <c r="B32" s="20"/>
      <c r="C32" s="20"/>
      <c r="D32" s="21"/>
      <c r="E32" s="77"/>
      <c r="F32" s="20"/>
      <c r="G32" s="20"/>
      <c r="H32" s="18" t="str">
        <f>IF($B32="","",Paramètres!$C$24)</f>
        <v/>
      </c>
      <c r="I32" s="19"/>
      <c r="J32" s="19"/>
      <c r="K32" s="19"/>
      <c r="L32" s="18" t="str">
        <f>IF($B32="","",SUM(I32:K32))</f>
        <v/>
      </c>
      <c r="M32" s="18" t="str">
        <f>IF($B32="","",H32-L32)</f>
        <v/>
      </c>
      <c r="N32" s="18" t="str">
        <f>IF($B32="","",IF(R32="Ancien",0,Paramètres!$D$24))</f>
        <v/>
      </c>
      <c r="O32" s="19"/>
      <c r="P32" s="18" t="str">
        <f>IF($B32="","",N32-O32)</f>
        <v/>
      </c>
      <c r="Q32" s="21" t="str">
        <f>IF($B32="","",IF(AND(M32&lt;=0,P32&lt;=0),"Soldé","En retard"))</f>
        <v/>
      </c>
      <c r="R32" s="21"/>
    </row>
    <row r="33">
      <c r="A33" s="15"/>
      <c r="B33" s="15"/>
      <c r="C33" s="15"/>
      <c r="D33" s="8"/>
      <c r="E33" s="79"/>
      <c r="F33" s="15"/>
      <c r="G33" s="15"/>
      <c r="H33" s="18" t="str">
        <f>IF($B33="","",Paramètres!$C$24)</f>
        <v/>
      </c>
      <c r="I33" s="19"/>
      <c r="J33" s="19"/>
      <c r="K33" s="19"/>
      <c r="L33" s="18" t="str">
        <f>IF($B33="","",SUM(I33:K33))</f>
        <v/>
      </c>
      <c r="M33" s="18" t="str">
        <f>IF($B33="","",H33-L33)</f>
        <v/>
      </c>
      <c r="N33" s="18" t="str">
        <f>IF($B33="","",IF(R33="Ancien",0,Paramètres!$D$24))</f>
        <v/>
      </c>
      <c r="O33" s="19"/>
      <c r="P33" s="18" t="str">
        <f>IF($B33="","",N33-O33)</f>
        <v/>
      </c>
      <c r="Q33" s="8" t="str">
        <f>IF($B33="","",IF(AND(M33&lt;=0,P33&lt;=0),"Soldé","En retard"))</f>
        <v/>
      </c>
      <c r="R33" s="8"/>
    </row>
    <row r="34">
      <c r="A34" s="20"/>
      <c r="B34" s="20"/>
      <c r="C34" s="20"/>
      <c r="D34" s="21"/>
      <c r="E34" s="77"/>
      <c r="F34" s="20"/>
      <c r="G34" s="20"/>
      <c r="H34" s="18" t="str">
        <f>IF($B34="","",Paramètres!$C$24)</f>
        <v/>
      </c>
      <c r="I34" s="19"/>
      <c r="J34" s="19"/>
      <c r="K34" s="19"/>
      <c r="L34" s="18" t="str">
        <f>IF($B34="","",SUM(I34:K34))</f>
        <v/>
      </c>
      <c r="M34" s="18" t="str">
        <f>IF($B34="","",H34-L34)</f>
        <v/>
      </c>
      <c r="N34" s="18" t="str">
        <f>IF($B34="","",IF(R34="Ancien",0,Paramètres!$D$24))</f>
        <v/>
      </c>
      <c r="O34" s="19"/>
      <c r="P34" s="18" t="str">
        <f>IF($B34="","",N34-O34)</f>
        <v/>
      </c>
      <c r="Q34" s="21" t="str">
        <f>IF($B34="","",IF(AND(M34&lt;=0,P34&lt;=0),"Soldé","En retard"))</f>
        <v/>
      </c>
      <c r="R34" s="21"/>
    </row>
    <row r="35">
      <c r="A35" s="15"/>
      <c r="B35" s="15"/>
      <c r="C35" s="15"/>
      <c r="D35" s="8"/>
      <c r="E35" s="79"/>
      <c r="F35" s="15"/>
      <c r="G35" s="15"/>
      <c r="H35" s="18" t="str">
        <f>IF($B35="","",Paramètres!$C$24)</f>
        <v/>
      </c>
      <c r="I35" s="19"/>
      <c r="J35" s="19"/>
      <c r="K35" s="19"/>
      <c r="L35" s="18" t="str">
        <f>IF($B35="","",SUM(I35:K35))</f>
        <v/>
      </c>
      <c r="M35" s="18" t="str">
        <f>IF($B35="","",H35-L35)</f>
        <v/>
      </c>
      <c r="N35" s="18" t="str">
        <f>IF($B35="","",IF(R35="Ancien",0,Paramètres!$D$24))</f>
        <v/>
      </c>
      <c r="O35" s="19"/>
      <c r="P35" s="18" t="str">
        <f>IF($B35="","",N35-O35)</f>
        <v/>
      </c>
      <c r="Q35" s="8" t="str">
        <f>IF($B35="","",IF(AND(M35&lt;=0,P35&lt;=0),"Soldé","En retard"))</f>
        <v/>
      </c>
      <c r="R35" s="8"/>
    </row>
    <row r="36">
      <c r="A36" s="20"/>
      <c r="B36" s="20"/>
      <c r="C36" s="20"/>
      <c r="D36" s="21"/>
      <c r="E36" s="77"/>
      <c r="F36" s="20"/>
      <c r="G36" s="20"/>
      <c r="H36" s="18" t="str">
        <f>IF($B36="","",Paramètres!$C$24)</f>
        <v/>
      </c>
      <c r="I36" s="19"/>
      <c r="J36" s="19"/>
      <c r="K36" s="19"/>
      <c r="L36" s="18" t="str">
        <f>IF($B36="","",SUM(I36:K36))</f>
        <v/>
      </c>
      <c r="M36" s="18" t="str">
        <f>IF($B36="","",H36-L36)</f>
        <v/>
      </c>
      <c r="N36" s="18" t="str">
        <f>IF($B36="","",IF(R36="Ancien",0,Paramètres!$D$24))</f>
        <v/>
      </c>
      <c r="O36" s="19"/>
      <c r="P36" s="18" t="str">
        <f>IF($B36="","",N36-O36)</f>
        <v/>
      </c>
      <c r="Q36" s="21" t="str">
        <f>IF($B36="","",IF(AND(M36&lt;=0,P36&lt;=0),"Soldé","En retard"))</f>
        <v/>
      </c>
      <c r="R36" s="21"/>
    </row>
    <row r="37">
      <c r="A37" s="15"/>
      <c r="B37" s="15"/>
      <c r="C37" s="15"/>
      <c r="D37" s="8"/>
      <c r="E37" s="79"/>
      <c r="F37" s="15"/>
      <c r="G37" s="15"/>
      <c r="H37" s="18" t="str">
        <f>IF($B37="","",Paramètres!$C$24)</f>
        <v/>
      </c>
      <c r="I37" s="19"/>
      <c r="J37" s="19"/>
      <c r="K37" s="19"/>
      <c r="L37" s="18" t="str">
        <f>IF($B37="","",SUM(I37:K37))</f>
        <v/>
      </c>
      <c r="M37" s="18" t="str">
        <f>IF($B37="","",H37-L37)</f>
        <v/>
      </c>
      <c r="N37" s="18" t="str">
        <f>IF($B37="","",IF(R37="Ancien",0,Paramètres!$D$24))</f>
        <v/>
      </c>
      <c r="O37" s="19"/>
      <c r="P37" s="18" t="str">
        <f>IF($B37="","",N37-O37)</f>
        <v/>
      </c>
      <c r="Q37" s="8" t="str">
        <f>IF($B37="","",IF(AND(M37&lt;=0,P37&lt;=0),"Soldé","En retard"))</f>
        <v/>
      </c>
      <c r="R37" s="8"/>
    </row>
    <row r="38">
      <c r="A38" s="20"/>
      <c r="B38" s="20"/>
      <c r="C38" s="20"/>
      <c r="D38" s="21"/>
      <c r="E38" s="77"/>
      <c r="F38" s="20"/>
      <c r="G38" s="20"/>
      <c r="H38" s="18" t="str">
        <f>IF($B38="","",Paramètres!$C$24)</f>
        <v/>
      </c>
      <c r="I38" s="19"/>
      <c r="J38" s="19"/>
      <c r="K38" s="19"/>
      <c r="L38" s="18" t="str">
        <f>IF($B38="","",SUM(I38:K38))</f>
        <v/>
      </c>
      <c r="M38" s="18" t="str">
        <f>IF($B38="","",H38-L38)</f>
        <v/>
      </c>
      <c r="N38" s="18" t="str">
        <f>IF($B38="","",IF(R38="Ancien",0,Paramètres!$D$24))</f>
        <v/>
      </c>
      <c r="O38" s="19"/>
      <c r="P38" s="18" t="str">
        <f>IF($B38="","",N38-O38)</f>
        <v/>
      </c>
      <c r="Q38" s="21" t="str">
        <f>IF($B38="","",IF(AND(M38&lt;=0,P38&lt;=0),"Soldé","En retard"))</f>
        <v/>
      </c>
      <c r="R38" s="21"/>
    </row>
    <row r="39">
      <c r="A39" s="15"/>
      <c r="B39" s="15"/>
      <c r="C39" s="15"/>
      <c r="D39" s="8"/>
      <c r="E39" s="79"/>
      <c r="F39" s="15"/>
      <c r="G39" s="15"/>
      <c r="H39" s="18" t="str">
        <f>IF($B39="","",Paramètres!$C$24)</f>
        <v/>
      </c>
      <c r="I39" s="19"/>
      <c r="J39" s="19"/>
      <c r="K39" s="19"/>
      <c r="L39" s="18" t="str">
        <f>IF($B39="","",SUM(I39:K39))</f>
        <v/>
      </c>
      <c r="M39" s="18" t="str">
        <f>IF($B39="","",H39-L39)</f>
        <v/>
      </c>
      <c r="N39" s="18" t="str">
        <f>IF($B39="","",IF(R39="Ancien",0,Paramètres!$D$24))</f>
        <v/>
      </c>
      <c r="O39" s="19"/>
      <c r="P39" s="18" t="str">
        <f>IF($B39="","",N39-O39)</f>
        <v/>
      </c>
      <c r="Q39" s="8" t="str">
        <f>IF($B39="","",IF(AND(M39&lt;=0,P39&lt;=0),"Soldé","En retard"))</f>
        <v/>
      </c>
      <c r="R39" s="8"/>
    </row>
    <row r="40">
      <c r="A40" s="20"/>
      <c r="B40" s="20"/>
      <c r="C40" s="20"/>
      <c r="D40" s="21"/>
      <c r="E40" s="77"/>
      <c r="F40" s="20"/>
      <c r="G40" s="20"/>
      <c r="H40" s="18" t="str">
        <f>IF($B40="","",Paramètres!$C$24)</f>
        <v/>
      </c>
      <c r="I40" s="19"/>
      <c r="J40" s="19"/>
      <c r="K40" s="19"/>
      <c r="L40" s="18" t="str">
        <f>IF($B40="","",SUM(I40:K40))</f>
        <v/>
      </c>
      <c r="M40" s="18" t="str">
        <f>IF($B40="","",H40-L40)</f>
        <v/>
      </c>
      <c r="N40" s="18" t="str">
        <f>IF($B40="","",IF(R40="Ancien",0,Paramètres!$D$24))</f>
        <v/>
      </c>
      <c r="O40" s="19"/>
      <c r="P40" s="18" t="str">
        <f>IF($B40="","",N40-O40)</f>
        <v/>
      </c>
      <c r="Q40" s="21" t="str">
        <f>IF($B40="","",IF(AND(M40&lt;=0,P40&lt;=0),"Soldé","En retard"))</f>
        <v/>
      </c>
      <c r="R40" s="21"/>
    </row>
    <row r="41">
      <c r="A41" s="15"/>
      <c r="B41" s="15"/>
      <c r="C41" s="15"/>
      <c r="D41" s="8"/>
      <c r="E41" s="79"/>
      <c r="F41" s="15"/>
      <c r="G41" s="15"/>
      <c r="H41" s="18" t="str">
        <f>IF($B41="","",Paramètres!$C$24)</f>
        <v/>
      </c>
      <c r="I41" s="19"/>
      <c r="J41" s="19"/>
      <c r="K41" s="19"/>
      <c r="L41" s="18" t="str">
        <f>IF($B41="","",SUM(I41:K41))</f>
        <v/>
      </c>
      <c r="M41" s="18" t="str">
        <f>IF($B41="","",H41-L41)</f>
        <v/>
      </c>
      <c r="N41" s="18" t="str">
        <f>IF($B41="","",IF(R41="Ancien",0,Paramètres!$D$24))</f>
        <v/>
      </c>
      <c r="O41" s="19"/>
      <c r="P41" s="18" t="str">
        <f>IF($B41="","",N41-O41)</f>
        <v/>
      </c>
      <c r="Q41" s="8" t="str">
        <f>IF($B41="","",IF(AND(M41&lt;=0,P41&lt;=0),"Soldé","En retard"))</f>
        <v/>
      </c>
      <c r="R41" s="8"/>
    </row>
    <row r="42">
      <c r="A42" s="20"/>
      <c r="B42" s="20"/>
      <c r="C42" s="20"/>
      <c r="D42" s="21"/>
      <c r="E42" s="77"/>
      <c r="F42" s="20"/>
      <c r="G42" s="20"/>
      <c r="H42" s="18" t="str">
        <f>IF($B42="","",Paramètres!$C$24)</f>
        <v/>
      </c>
      <c r="I42" s="19"/>
      <c r="J42" s="19"/>
      <c r="K42" s="19"/>
      <c r="L42" s="18" t="str">
        <f>IF($B42="","",SUM(I42:K42))</f>
        <v/>
      </c>
      <c r="M42" s="18" t="str">
        <f>IF($B42="","",H42-L42)</f>
        <v/>
      </c>
      <c r="N42" s="18" t="str">
        <f>IF($B42="","",IF(R42="Ancien",0,Paramètres!$D$24))</f>
        <v/>
      </c>
      <c r="O42" s="19"/>
      <c r="P42" s="18" t="str">
        <f>IF($B42="","",N42-O42)</f>
        <v/>
      </c>
      <c r="Q42" s="21" t="str">
        <f>IF($B42="","",IF(AND(M42&lt;=0,P42&lt;=0),"Soldé","En retard"))</f>
        <v/>
      </c>
      <c r="R42" s="21"/>
    </row>
    <row r="43">
      <c r="A43" s="15"/>
      <c r="B43" s="15"/>
      <c r="C43" s="15"/>
      <c r="D43" s="8"/>
      <c r="E43" s="79"/>
      <c r="F43" s="15"/>
      <c r="G43" s="15"/>
      <c r="H43" s="18" t="str">
        <f>IF($B43="","",Paramètres!$C$24)</f>
        <v/>
      </c>
      <c r="I43" s="19"/>
      <c r="J43" s="19"/>
      <c r="K43" s="19"/>
      <c r="L43" s="18" t="str">
        <f>IF($B43="","",SUM(I43:K43))</f>
        <v/>
      </c>
      <c r="M43" s="18" t="str">
        <f>IF($B43="","",H43-L43)</f>
        <v/>
      </c>
      <c r="N43" s="18" t="str">
        <f>IF($B43="","",IF(R43="Ancien",0,Paramètres!$D$24))</f>
        <v/>
      </c>
      <c r="O43" s="19"/>
      <c r="P43" s="18" t="str">
        <f>IF($B43="","",N43-O43)</f>
        <v/>
      </c>
      <c r="Q43" s="8" t="str">
        <f>IF($B43="","",IF(AND(M43&lt;=0,P43&lt;=0),"Soldé","En retard"))</f>
        <v/>
      </c>
      <c r="R43" s="8"/>
    </row>
    <row r="44">
      <c r="A44" s="20"/>
      <c r="B44" s="20"/>
      <c r="C44" s="20"/>
      <c r="D44" s="21"/>
      <c r="E44" s="77"/>
      <c r="F44" s="20"/>
      <c r="G44" s="20"/>
      <c r="H44" s="18" t="str">
        <f>IF($B44="","",Paramètres!$C$24)</f>
        <v/>
      </c>
      <c r="I44" s="19"/>
      <c r="J44" s="19"/>
      <c r="K44" s="19"/>
      <c r="L44" s="18" t="str">
        <f>IF($B44="","",SUM(I44:K44))</f>
        <v/>
      </c>
      <c r="M44" s="18" t="str">
        <f>IF($B44="","",H44-L44)</f>
        <v/>
      </c>
      <c r="N44" s="18" t="str">
        <f>IF($B44="","",IF(R44="Ancien",0,Paramètres!$D$24))</f>
        <v/>
      </c>
      <c r="O44" s="19"/>
      <c r="P44" s="18" t="str">
        <f>IF($B44="","",N44-O44)</f>
        <v/>
      </c>
      <c r="Q44" s="21" t="str">
        <f>IF($B44="","",IF(AND(M44&lt;=0,P44&lt;=0),"Soldé","En retard"))</f>
        <v/>
      </c>
      <c r="R44" s="21"/>
    </row>
    <row r="45">
      <c r="A45" s="15"/>
      <c r="B45" s="15"/>
      <c r="C45" s="15"/>
      <c r="D45" s="8"/>
      <c r="E45" s="79"/>
      <c r="F45" s="15"/>
      <c r="G45" s="15"/>
      <c r="H45" s="18" t="str">
        <f>IF($B45="","",Paramètres!$C$24)</f>
        <v/>
      </c>
      <c r="I45" s="19"/>
      <c r="J45" s="19"/>
      <c r="K45" s="19"/>
      <c r="L45" s="18" t="str">
        <f>IF($B45="","",SUM(I45:K45))</f>
        <v/>
      </c>
      <c r="M45" s="18" t="str">
        <f>IF($B45="","",H45-L45)</f>
        <v/>
      </c>
      <c r="N45" s="18" t="str">
        <f>IF($B45="","",IF(R45="Ancien",0,Paramètres!$D$24))</f>
        <v/>
      </c>
      <c r="O45" s="19"/>
      <c r="P45" s="18" t="str">
        <f>IF($B45="","",N45-O45)</f>
        <v/>
      </c>
      <c r="Q45" s="8" t="str">
        <f>IF($B45="","",IF(AND(M45&lt;=0,P45&lt;=0),"Soldé","En retard"))</f>
        <v/>
      </c>
      <c r="R45" s="8"/>
    </row>
    <row r="46">
      <c r="A46" s="20"/>
      <c r="B46" s="20"/>
      <c r="C46" s="20"/>
      <c r="D46" s="21"/>
      <c r="E46" s="77"/>
      <c r="F46" s="20"/>
      <c r="G46" s="20"/>
      <c r="H46" s="18" t="str">
        <f>IF($B46="","",Paramètres!$C$24)</f>
        <v/>
      </c>
      <c r="I46" s="19"/>
      <c r="J46" s="19"/>
      <c r="K46" s="19"/>
      <c r="L46" s="18" t="str">
        <f>IF($B46="","",SUM(I46:K46))</f>
        <v/>
      </c>
      <c r="M46" s="18" t="str">
        <f>IF($B46="","",H46-L46)</f>
        <v/>
      </c>
      <c r="N46" s="18" t="str">
        <f>IF($B46="","",IF(R46="Ancien",0,Paramètres!$D$24))</f>
        <v/>
      </c>
      <c r="O46" s="19"/>
      <c r="P46" s="18" t="str">
        <f>IF($B46="","",N46-O46)</f>
        <v/>
      </c>
      <c r="Q46" s="21" t="str">
        <f>IF($B46="","",IF(AND(M46&lt;=0,P46&lt;=0),"Soldé","En retard"))</f>
        <v/>
      </c>
      <c r="R46" s="21"/>
    </row>
    <row r="47">
      <c r="A47" s="15"/>
      <c r="B47" s="15"/>
      <c r="C47" s="15"/>
      <c r="D47" s="8"/>
      <c r="E47" s="79"/>
      <c r="F47" s="15"/>
      <c r="G47" s="15"/>
      <c r="H47" s="18" t="str">
        <f>IF($B47="","",Paramètres!$C$24)</f>
        <v/>
      </c>
      <c r="I47" s="19"/>
      <c r="J47" s="19"/>
      <c r="K47" s="19"/>
      <c r="L47" s="18" t="str">
        <f>IF($B47="","",SUM(I47:K47))</f>
        <v/>
      </c>
      <c r="M47" s="18" t="str">
        <f>IF($B47="","",H47-L47)</f>
        <v/>
      </c>
      <c r="N47" s="18" t="str">
        <f>IF($B47="","",IF(R47="Ancien",0,Paramètres!$D$24))</f>
        <v/>
      </c>
      <c r="O47" s="19"/>
      <c r="P47" s="18" t="str">
        <f>IF($B47="","",N47-O47)</f>
        <v/>
      </c>
      <c r="Q47" s="8" t="str">
        <f>IF($B47="","",IF(AND(M47&lt;=0,P47&lt;=0),"Soldé","En retard"))</f>
        <v/>
      </c>
      <c r="R47" s="8"/>
    </row>
    <row r="48">
      <c r="A48" s="20"/>
      <c r="B48" s="20"/>
      <c r="C48" s="20"/>
      <c r="D48" s="21"/>
      <c r="E48" s="77"/>
      <c r="F48" s="20"/>
      <c r="G48" s="20"/>
      <c r="H48" s="18" t="str">
        <f>IF($B48="","",Paramètres!$C$24)</f>
        <v/>
      </c>
      <c r="I48" s="19"/>
      <c r="J48" s="19"/>
      <c r="K48" s="19"/>
      <c r="L48" s="18" t="str">
        <f>IF($B48="","",SUM(I48:K48))</f>
        <v/>
      </c>
      <c r="M48" s="18" t="str">
        <f>IF($B48="","",H48-L48)</f>
        <v/>
      </c>
      <c r="N48" s="18" t="str">
        <f>IF($B48="","",IF(R48="Ancien",0,Paramètres!$D$24))</f>
        <v/>
      </c>
      <c r="O48" s="19"/>
      <c r="P48" s="18" t="str">
        <f>IF($B48="","",N48-O48)</f>
        <v/>
      </c>
      <c r="Q48" s="21" t="str">
        <f>IF($B48="","",IF(AND(M48&lt;=0,P48&lt;=0),"Soldé","En retard"))</f>
        <v/>
      </c>
      <c r="R48" s="21"/>
    </row>
    <row r="49">
      <c r="A49" s="15"/>
      <c r="B49" s="15"/>
      <c r="C49" s="15"/>
      <c r="D49" s="8"/>
      <c r="E49" s="79"/>
      <c r="F49" s="15"/>
      <c r="G49" s="15"/>
      <c r="H49" s="18" t="str">
        <f>IF($B49="","",Paramètres!$C$24)</f>
        <v/>
      </c>
      <c r="I49" s="19"/>
      <c r="J49" s="19"/>
      <c r="K49" s="19"/>
      <c r="L49" s="18" t="str">
        <f>IF($B49="","",SUM(I49:K49))</f>
        <v/>
      </c>
      <c r="M49" s="18" t="str">
        <f>IF($B49="","",H49-L49)</f>
        <v/>
      </c>
      <c r="N49" s="18" t="str">
        <f>IF($B49="","",IF(R49="Ancien",0,Paramètres!$D$24))</f>
        <v/>
      </c>
      <c r="O49" s="19"/>
      <c r="P49" s="18" t="str">
        <f>IF($B49="","",N49-O49)</f>
        <v/>
      </c>
      <c r="Q49" s="8" t="str">
        <f>IF($B49="","",IF(AND(M49&lt;=0,P49&lt;=0),"Soldé","En retard"))</f>
        <v/>
      </c>
      <c r="R49" s="8"/>
    </row>
    <row r="50">
      <c r="A50" s="20"/>
      <c r="B50" s="20"/>
      <c r="C50" s="20"/>
      <c r="D50" s="21"/>
      <c r="E50" s="77"/>
      <c r="F50" s="20"/>
      <c r="G50" s="20"/>
      <c r="H50" s="18" t="str">
        <f>IF($B50="","",Paramètres!$C$24)</f>
        <v/>
      </c>
      <c r="I50" s="19"/>
      <c r="J50" s="19"/>
      <c r="K50" s="19"/>
      <c r="L50" s="18" t="str">
        <f>IF($B50="","",SUM(I50:K50))</f>
        <v/>
      </c>
      <c r="M50" s="18" t="str">
        <f>IF($B50="","",H50-L50)</f>
        <v/>
      </c>
      <c r="N50" s="18" t="str">
        <f>IF($B50="","",IF(R50="Ancien",0,Paramètres!$D$24))</f>
        <v/>
      </c>
      <c r="O50" s="19"/>
      <c r="P50" s="18" t="str">
        <f>IF($B50="","",N50-O50)</f>
        <v/>
      </c>
      <c r="Q50" s="21" t="str">
        <f>IF($B50="","",IF(AND(M50&lt;=0,P50&lt;=0),"Soldé","En retard"))</f>
        <v/>
      </c>
      <c r="R50" s="21"/>
    </row>
    <row r="51">
      <c r="A51" s="15"/>
      <c r="B51" s="15"/>
      <c r="C51" s="15"/>
      <c r="D51" s="8"/>
      <c r="E51" s="79"/>
      <c r="F51" s="15"/>
      <c r="G51" s="15"/>
      <c r="H51" s="18" t="str">
        <f>IF($B51="","",Paramètres!$C$24)</f>
        <v/>
      </c>
      <c r="I51" s="19"/>
      <c r="J51" s="19"/>
      <c r="K51" s="19"/>
      <c r="L51" s="18" t="str">
        <f>IF($B51="","",SUM(I51:K51))</f>
        <v/>
      </c>
      <c r="M51" s="18" t="str">
        <f>IF($B51="","",H51-L51)</f>
        <v/>
      </c>
      <c r="N51" s="18" t="str">
        <f>IF($B51="","",IF(R51="Ancien",0,Paramètres!$D$24))</f>
        <v/>
      </c>
      <c r="O51" s="19"/>
      <c r="P51" s="18" t="str">
        <f>IF($B51="","",N51-O51)</f>
        <v/>
      </c>
      <c r="Q51" s="8" t="str">
        <f>IF($B51="","",IF(AND(M51&lt;=0,P51&lt;=0),"Soldé","En retard"))</f>
        <v/>
      </c>
      <c r="R51" s="8"/>
    </row>
    <row r="52">
      <c r="A52" s="20"/>
      <c r="B52" s="20"/>
      <c r="C52" s="20"/>
      <c r="D52" s="21"/>
      <c r="E52" s="77"/>
      <c r="F52" s="20"/>
      <c r="G52" s="20"/>
      <c r="H52" s="18" t="str">
        <f>IF($B52="","",Paramètres!$C$24)</f>
        <v/>
      </c>
      <c r="I52" s="19"/>
      <c r="J52" s="19"/>
      <c r="K52" s="19"/>
      <c r="L52" s="18" t="str">
        <f>IF($B52="","",SUM(I52:K52))</f>
        <v/>
      </c>
      <c r="M52" s="18" t="str">
        <f>IF($B52="","",H52-L52)</f>
        <v/>
      </c>
      <c r="N52" s="18" t="str">
        <f>IF($B52="","",IF(R52="Ancien",0,Paramètres!$D$24))</f>
        <v/>
      </c>
      <c r="O52" s="19"/>
      <c r="P52" s="18" t="str">
        <f>IF($B52="","",N52-O52)</f>
        <v/>
      </c>
      <c r="Q52" s="21" t="str">
        <f>IF($B52="","",IF(AND(M52&lt;=0,P52&lt;=0),"Soldé","En retard"))</f>
        <v/>
      </c>
      <c r="R52" s="21"/>
    </row>
    <row r="53">
      <c r="A53" s="15"/>
      <c r="B53" s="15"/>
      <c r="C53" s="15"/>
      <c r="D53" s="8"/>
      <c r="E53" s="79"/>
      <c r="F53" s="15"/>
      <c r="G53" s="15"/>
      <c r="H53" s="18" t="str">
        <f>IF($B53="","",Paramètres!$C$24)</f>
        <v/>
      </c>
      <c r="I53" s="19"/>
      <c r="J53" s="19"/>
      <c r="K53" s="19"/>
      <c r="L53" s="18" t="str">
        <f>IF($B53="","",SUM(I53:K53))</f>
        <v/>
      </c>
      <c r="M53" s="18" t="str">
        <f>IF($B53="","",H53-L53)</f>
        <v/>
      </c>
      <c r="N53" s="18" t="str">
        <f>IF($B53="","",IF(R53="Ancien",0,Paramètres!$D$24))</f>
        <v/>
      </c>
      <c r="O53" s="19"/>
      <c r="P53" s="18" t="str">
        <f>IF($B53="","",N53-O53)</f>
        <v/>
      </c>
      <c r="Q53" s="8" t="str">
        <f>IF($B53="","",IF(AND(M53&lt;=0,P53&lt;=0),"Soldé","En retard"))</f>
        <v/>
      </c>
      <c r="R53" s="8"/>
    </row>
    <row r="54">
      <c r="A54" s="20"/>
      <c r="B54" s="20"/>
      <c r="C54" s="20"/>
      <c r="D54" s="21"/>
      <c r="E54" s="77"/>
      <c r="F54" s="20"/>
      <c r="G54" s="20"/>
      <c r="H54" s="18" t="str">
        <f>IF($B54="","",Paramètres!$C$24)</f>
        <v/>
      </c>
      <c r="I54" s="19"/>
      <c r="J54" s="19"/>
      <c r="K54" s="19"/>
      <c r="L54" s="18" t="str">
        <f>IF($B54="","",SUM(I54:K54))</f>
        <v/>
      </c>
      <c r="M54" s="18" t="str">
        <f>IF($B54="","",H54-L54)</f>
        <v/>
      </c>
      <c r="N54" s="18" t="str">
        <f>IF($B54="","",IF(R54="Ancien",0,Paramètres!$D$24))</f>
        <v/>
      </c>
      <c r="O54" s="19"/>
      <c r="P54" s="18" t="str">
        <f>IF($B54="","",N54-O54)</f>
        <v/>
      </c>
      <c r="Q54" s="21" t="str">
        <f>IF($B54="","",IF(AND(M54&lt;=0,P54&lt;=0),"Soldé","En retard"))</f>
        <v/>
      </c>
      <c r="R54" s="21"/>
    </row>
    <row r="55">
      <c r="A55" s="15"/>
      <c r="B55" s="15"/>
      <c r="C55" s="15"/>
      <c r="D55" s="8"/>
      <c r="E55" s="79"/>
      <c r="F55" s="15"/>
      <c r="G55" s="15"/>
      <c r="H55" s="18" t="str">
        <f>IF($B55="","",Paramètres!$C$24)</f>
        <v/>
      </c>
      <c r="I55" s="19"/>
      <c r="J55" s="19"/>
      <c r="K55" s="19"/>
      <c r="L55" s="18" t="str">
        <f>IF($B55="","",SUM(I55:K55))</f>
        <v/>
      </c>
      <c r="M55" s="18" t="str">
        <f>IF($B55="","",H55-L55)</f>
        <v/>
      </c>
      <c r="N55" s="18" t="str">
        <f>IF($B55="","",IF(R55="Ancien",0,Paramètres!$D$24))</f>
        <v/>
      </c>
      <c r="O55" s="19"/>
      <c r="P55" s="18" t="str">
        <f>IF($B55="","",N55-O55)</f>
        <v/>
      </c>
      <c r="Q55" s="8" t="str">
        <f>IF($B55="","",IF(AND(M55&lt;=0,P55&lt;=0),"Soldé","En retard"))</f>
        <v/>
      </c>
      <c r="R55" s="8"/>
    </row>
    <row r="56">
      <c r="A56" s="20"/>
      <c r="B56" s="20"/>
      <c r="C56" s="20"/>
      <c r="D56" s="21"/>
      <c r="E56" s="77"/>
      <c r="F56" s="20"/>
      <c r="G56" s="20"/>
      <c r="H56" s="18" t="str">
        <f>IF($B56="","",Paramètres!$C$24)</f>
        <v/>
      </c>
      <c r="I56" s="19"/>
      <c r="J56" s="19"/>
      <c r="K56" s="19"/>
      <c r="L56" s="18" t="str">
        <f>IF($B56="","",SUM(I56:K56))</f>
        <v/>
      </c>
      <c r="M56" s="18" t="str">
        <f>IF($B56="","",H56-L56)</f>
        <v/>
      </c>
      <c r="N56" s="18" t="str">
        <f>IF($B56="","",IF(R56="Ancien",0,Paramètres!$D$24))</f>
        <v/>
      </c>
      <c r="O56" s="19"/>
      <c r="P56" s="18" t="str">
        <f>IF($B56="","",N56-O56)</f>
        <v/>
      </c>
      <c r="Q56" s="21" t="str">
        <f>IF($B56="","",IF(AND(M56&lt;=0,P56&lt;=0),"Soldé","En retard"))</f>
        <v/>
      </c>
      <c r="R56" s="21"/>
    </row>
    <row r="57">
      <c r="A57" s="15"/>
      <c r="B57" s="15"/>
      <c r="C57" s="15"/>
      <c r="D57" s="8"/>
      <c r="E57" s="79"/>
      <c r="F57" s="15"/>
      <c r="G57" s="15"/>
      <c r="H57" s="18" t="str">
        <f>IF($B57="","",Paramètres!$C$24)</f>
        <v/>
      </c>
      <c r="I57" s="19"/>
      <c r="J57" s="19"/>
      <c r="K57" s="19"/>
      <c r="L57" s="18" t="str">
        <f>IF($B57="","",SUM(I57:K57))</f>
        <v/>
      </c>
      <c r="M57" s="18" t="str">
        <f>IF($B57="","",H57-L57)</f>
        <v/>
      </c>
      <c r="N57" s="18" t="str">
        <f>IF($B57="","",IF(R57="Ancien",0,Paramètres!$D$24))</f>
        <v/>
      </c>
      <c r="O57" s="19"/>
      <c r="P57" s="18" t="str">
        <f>IF($B57="","",N57-O57)</f>
        <v/>
      </c>
      <c r="Q57" s="8" t="str">
        <f>IF($B57="","",IF(AND(M57&lt;=0,P57&lt;=0),"Soldé","En retard"))</f>
        <v/>
      </c>
      <c r="R57" s="8"/>
    </row>
    <row r="58">
      <c r="A58" s="20"/>
      <c r="B58" s="20"/>
      <c r="C58" s="20"/>
      <c r="D58" s="21"/>
      <c r="E58" s="77"/>
      <c r="F58" s="20"/>
      <c r="G58" s="20"/>
      <c r="H58" s="18" t="str">
        <f>IF($B58="","",Paramètres!$C$24)</f>
        <v/>
      </c>
      <c r="I58" s="19"/>
      <c r="J58" s="19"/>
      <c r="K58" s="19"/>
      <c r="L58" s="18" t="str">
        <f>IF($B58="","",SUM(I58:K58))</f>
        <v/>
      </c>
      <c r="M58" s="18" t="str">
        <f>IF($B58="","",H58-L58)</f>
        <v/>
      </c>
      <c r="N58" s="18" t="str">
        <f>IF($B58="","",IF(R58="Ancien",0,Paramètres!$D$24))</f>
        <v/>
      </c>
      <c r="O58" s="19"/>
      <c r="P58" s="18" t="str">
        <f>IF($B58="","",N58-O58)</f>
        <v/>
      </c>
      <c r="Q58" s="21" t="str">
        <f>IF($B58="","",IF(AND(M58&lt;=0,P58&lt;=0),"Soldé","En retard"))</f>
        <v/>
      </c>
      <c r="R58" s="21"/>
    </row>
    <row r="59">
      <c r="A59" s="15"/>
      <c r="B59" s="15"/>
      <c r="C59" s="15"/>
      <c r="D59" s="8"/>
      <c r="E59" s="79"/>
      <c r="F59" s="15"/>
      <c r="G59" s="15"/>
      <c r="H59" s="18" t="str">
        <f>IF($B59="","",Paramètres!$C$24)</f>
        <v/>
      </c>
      <c r="I59" s="19"/>
      <c r="J59" s="19"/>
      <c r="K59" s="19"/>
      <c r="L59" s="18" t="str">
        <f>IF($B59="","",SUM(I59:K59))</f>
        <v/>
      </c>
      <c r="M59" s="18" t="str">
        <f>IF($B59="","",H59-L59)</f>
        <v/>
      </c>
      <c r="N59" s="18" t="str">
        <f>IF($B59="","",IF(R59="Ancien",0,Paramètres!$D$24))</f>
        <v/>
      </c>
      <c r="O59" s="19"/>
      <c r="P59" s="18" t="str">
        <f>IF($B59="","",N59-O59)</f>
        <v/>
      </c>
      <c r="Q59" s="8" t="str">
        <f>IF($B59="","",IF(AND(M59&lt;=0,P59&lt;=0),"Soldé","En retard"))</f>
        <v/>
      </c>
      <c r="R59" s="8"/>
    </row>
    <row r="60">
      <c r="A60" s="20"/>
      <c r="B60" s="20"/>
      <c r="C60" s="20"/>
      <c r="D60" s="21"/>
      <c r="E60" s="77"/>
      <c r="F60" s="20"/>
      <c r="G60" s="20"/>
      <c r="H60" s="18" t="str">
        <f>IF($B60="","",Paramètres!$C$24)</f>
        <v/>
      </c>
      <c r="I60" s="19"/>
      <c r="J60" s="19"/>
      <c r="K60" s="19"/>
      <c r="L60" s="18" t="str">
        <f>IF($B60="","",SUM(I60:K60))</f>
        <v/>
      </c>
      <c r="M60" s="18" t="str">
        <f>IF($B60="","",H60-L60)</f>
        <v/>
      </c>
      <c r="N60" s="18" t="str">
        <f>IF($B60="","",IF(R60="Ancien",0,Paramètres!$D$24))</f>
        <v/>
      </c>
      <c r="O60" s="19"/>
      <c r="P60" s="18" t="str">
        <f>IF($B60="","",N60-O60)</f>
        <v/>
      </c>
      <c r="Q60" s="21" t="str">
        <f>IF($B60="","",IF(AND(M60&lt;=0,P60&lt;=0),"Soldé","En retard"))</f>
        <v/>
      </c>
      <c r="R60" s="21"/>
    </row>
    <row r="61">
      <c r="A61" s="15"/>
      <c r="B61" s="15"/>
      <c r="C61" s="15"/>
      <c r="D61" s="8"/>
      <c r="E61" s="79"/>
      <c r="F61" s="15"/>
      <c r="G61" s="15"/>
      <c r="H61" s="18" t="str">
        <f>IF($B61="","",Paramètres!$C$24)</f>
        <v/>
      </c>
      <c r="I61" s="19"/>
      <c r="J61" s="19"/>
      <c r="K61" s="19"/>
      <c r="L61" s="18" t="str">
        <f>IF($B61="","",SUM(I61:K61))</f>
        <v/>
      </c>
      <c r="M61" s="18" t="str">
        <f>IF($B61="","",H61-L61)</f>
        <v/>
      </c>
      <c r="N61" s="18" t="str">
        <f>IF($B61="","",IF(R61="Ancien",0,Paramètres!$D$24))</f>
        <v/>
      </c>
      <c r="O61" s="19"/>
      <c r="P61" s="18" t="str">
        <f>IF($B61="","",N61-O61)</f>
        <v/>
      </c>
      <c r="Q61" s="8" t="str">
        <f>IF($B61="","",IF(AND(M61&lt;=0,P61&lt;=0),"Soldé","En retard"))</f>
        <v/>
      </c>
      <c r="R61" s="8"/>
    </row>
    <row r="62">
      <c r="A62" s="20"/>
      <c r="B62" s="20"/>
      <c r="C62" s="20"/>
      <c r="D62" s="21"/>
      <c r="E62" s="77"/>
      <c r="F62" s="20"/>
      <c r="G62" s="20"/>
      <c r="H62" s="18" t="str">
        <f>IF($B62="","",Paramètres!$C$24)</f>
        <v/>
      </c>
      <c r="I62" s="19"/>
      <c r="J62" s="19"/>
      <c r="K62" s="19"/>
      <c r="L62" s="18" t="str">
        <f>IF($B62="","",SUM(I62:K62))</f>
        <v/>
      </c>
      <c r="M62" s="18" t="str">
        <f>IF($B62="","",H62-L62)</f>
        <v/>
      </c>
      <c r="N62" s="18" t="str">
        <f>IF($B62="","",IF(R62="Ancien",0,Paramètres!$D$24))</f>
        <v/>
      </c>
      <c r="O62" s="19"/>
      <c r="P62" s="18" t="str">
        <f>IF($B62="","",N62-O62)</f>
        <v/>
      </c>
      <c r="Q62" s="21" t="str">
        <f>IF($B62="","",IF(AND(M62&lt;=0,P62&lt;=0),"Soldé","En retard"))</f>
        <v/>
      </c>
      <c r="R62" s="21"/>
    </row>
    <row r="63">
      <c r="A63" s="15"/>
      <c r="B63" s="15"/>
      <c r="C63" s="15"/>
      <c r="D63" s="8"/>
      <c r="E63" s="79"/>
      <c r="F63" s="15"/>
      <c r="G63" s="15"/>
      <c r="H63" s="18" t="str">
        <f>IF($B63="","",Paramètres!$C$24)</f>
        <v/>
      </c>
      <c r="I63" s="19"/>
      <c r="J63" s="19"/>
      <c r="K63" s="19"/>
      <c r="L63" s="18" t="str">
        <f>IF($B63="","",SUM(I63:K63))</f>
        <v/>
      </c>
      <c r="M63" s="18" t="str">
        <f>IF($B63="","",H63-L63)</f>
        <v/>
      </c>
      <c r="N63" s="18" t="str">
        <f>IF($B63="","",IF(R63="Ancien",0,Paramètres!$D$24))</f>
        <v/>
      </c>
      <c r="O63" s="19"/>
      <c r="P63" s="18" t="str">
        <f>IF($B63="","",N63-O63)</f>
        <v/>
      </c>
      <c r="Q63" s="8" t="str">
        <f>IF($B63="","",IF(AND(M63&lt;=0,P63&lt;=0),"Soldé","En retard"))</f>
        <v/>
      </c>
      <c r="R63" s="8"/>
    </row>
    <row r="64">
      <c r="A64" s="20"/>
      <c r="B64" s="20"/>
      <c r="C64" s="20"/>
      <c r="D64" s="21"/>
      <c r="E64" s="77"/>
      <c r="F64" s="20"/>
      <c r="G64" s="20"/>
      <c r="H64" s="18" t="str">
        <f>IF($B64="","",Paramètres!$C$24)</f>
        <v/>
      </c>
      <c r="I64" s="19"/>
      <c r="J64" s="19"/>
      <c r="K64" s="19"/>
      <c r="L64" s="18" t="str">
        <f>IF($B64="","",SUM(I64:K64))</f>
        <v/>
      </c>
      <c r="M64" s="18" t="str">
        <f>IF($B64="","",H64-L64)</f>
        <v/>
      </c>
      <c r="N64" s="18" t="str">
        <f>IF($B64="","",IF(R64="Ancien",0,Paramètres!$D$24))</f>
        <v/>
      </c>
      <c r="O64" s="19"/>
      <c r="P64" s="18" t="str">
        <f>IF($B64="","",N64-O64)</f>
        <v/>
      </c>
      <c r="Q64" s="21" t="str">
        <f>IF($B64="","",IF(AND(M64&lt;=0,P64&lt;=0),"Soldé","En retard"))</f>
        <v/>
      </c>
      <c r="R64" s="21"/>
    </row>
    <row r="65">
      <c r="A65" s="15"/>
      <c r="B65" s="15"/>
      <c r="C65" s="15"/>
      <c r="D65" s="8"/>
      <c r="E65" s="79"/>
      <c r="F65" s="15"/>
      <c r="G65" s="15"/>
      <c r="H65" s="18" t="str">
        <f>IF($B65="","",Paramètres!$C$24)</f>
        <v/>
      </c>
      <c r="I65" s="19"/>
      <c r="J65" s="19"/>
      <c r="K65" s="19"/>
      <c r="L65" s="18" t="str">
        <f>IF($B65="","",SUM(I65:K65))</f>
        <v/>
      </c>
      <c r="M65" s="18" t="str">
        <f>IF($B65="","",H65-L65)</f>
        <v/>
      </c>
      <c r="N65" s="18" t="str">
        <f>IF($B65="","",IF(R65="Ancien",0,Paramètres!$D$24))</f>
        <v/>
      </c>
      <c r="O65" s="19"/>
      <c r="P65" s="18" t="str">
        <f>IF($B65="","",N65-O65)</f>
        <v/>
      </c>
      <c r="Q65" s="8" t="str">
        <f>IF($B65="","",IF(AND(M65&lt;=0,P65&lt;=0),"Soldé","En retard"))</f>
        <v/>
      </c>
      <c r="R65" s="8"/>
    </row>
    <row r="66">
      <c r="A66" s="20"/>
      <c r="B66" s="20"/>
      <c r="C66" s="20"/>
      <c r="D66" s="21"/>
      <c r="E66" s="77"/>
      <c r="F66" s="20"/>
      <c r="G66" s="20"/>
      <c r="H66" s="18" t="str">
        <f>IF($B66="","",Paramètres!$C$24)</f>
        <v/>
      </c>
      <c r="I66" s="19"/>
      <c r="J66" s="19"/>
      <c r="K66" s="19"/>
      <c r="L66" s="18" t="str">
        <f>IF($B66="","",SUM(I66:K66))</f>
        <v/>
      </c>
      <c r="M66" s="18" t="str">
        <f>IF($B66="","",H66-L66)</f>
        <v/>
      </c>
      <c r="N66" s="18" t="str">
        <f>IF($B66="","",IF(R66="Ancien",0,Paramètres!$D$24))</f>
        <v/>
      </c>
      <c r="O66" s="19"/>
      <c r="P66" s="18" t="str">
        <f>IF($B66="","",N66-O66)</f>
        <v/>
      </c>
      <c r="Q66" s="21" t="str">
        <f>IF($B66="","",IF(AND(M66&lt;=0,P66&lt;=0),"Soldé","En retard"))</f>
        <v/>
      </c>
      <c r="R66" s="21"/>
    </row>
    <row r="67">
      <c r="A67" s="15"/>
      <c r="B67" s="15"/>
      <c r="C67" s="15"/>
      <c r="D67" s="8"/>
      <c r="E67" s="79"/>
      <c r="F67" s="15"/>
      <c r="G67" s="15"/>
      <c r="H67" s="18" t="str">
        <f>IF($B67="","",Paramètres!$C$24)</f>
        <v/>
      </c>
      <c r="I67" s="19"/>
      <c r="J67" s="19"/>
      <c r="K67" s="19"/>
      <c r="L67" s="18" t="str">
        <f>IF($B67="","",SUM(I67:K67))</f>
        <v/>
      </c>
      <c r="M67" s="18" t="str">
        <f>IF($B67="","",H67-L67)</f>
        <v/>
      </c>
      <c r="N67" s="18" t="str">
        <f>IF($B67="","",IF(R67="Ancien",0,Paramètres!$D$24))</f>
        <v/>
      </c>
      <c r="O67" s="19"/>
      <c r="P67" s="18" t="str">
        <f>IF($B67="","",N67-O67)</f>
        <v/>
      </c>
      <c r="Q67" s="8" t="str">
        <f>IF($B67="","",IF(AND(M67&lt;=0,P67&lt;=0),"Soldé","En retard"))</f>
        <v/>
      </c>
      <c r="R67" s="8"/>
    </row>
    <row r="68">
      <c r="A68" s="20"/>
      <c r="B68" s="20"/>
      <c r="C68" s="20"/>
      <c r="D68" s="21"/>
      <c r="E68" s="77"/>
      <c r="F68" s="20"/>
      <c r="G68" s="20"/>
      <c r="H68" s="18" t="str">
        <f>IF($B68="","",Paramètres!$C$24)</f>
        <v/>
      </c>
      <c r="I68" s="19"/>
      <c r="J68" s="19"/>
      <c r="K68" s="19"/>
      <c r="L68" s="18" t="str">
        <f>IF($B68="","",SUM(I68:K68))</f>
        <v/>
      </c>
      <c r="M68" s="18" t="str">
        <f>IF($B68="","",H68-L68)</f>
        <v/>
      </c>
      <c r="N68" s="18" t="str">
        <f>IF($B68="","",IF(R68="Ancien",0,Paramètres!$D$24))</f>
        <v/>
      </c>
      <c r="O68" s="19"/>
      <c r="P68" s="18" t="str">
        <f>IF($B68="","",N68-O68)</f>
        <v/>
      </c>
      <c r="Q68" s="21" t="str">
        <f>IF($B68="","",IF(AND(M68&lt;=0,P68&lt;=0),"Soldé","En retard"))</f>
        <v/>
      </c>
      <c r="R68" s="21"/>
    </row>
    <row r="69">
      <c r="A69" s="15"/>
      <c r="B69" s="15"/>
      <c r="C69" s="15"/>
      <c r="D69" s="8"/>
      <c r="E69" s="79"/>
      <c r="F69" s="15"/>
      <c r="G69" s="15"/>
      <c r="H69" s="18" t="str">
        <f>IF($B69="","",Paramètres!$C$24)</f>
        <v/>
      </c>
      <c r="I69" s="19"/>
      <c r="J69" s="19"/>
      <c r="K69" s="19"/>
      <c r="L69" s="18" t="str">
        <f>IF($B69="","",SUM(I69:K69))</f>
        <v/>
      </c>
      <c r="M69" s="18" t="str">
        <f>IF($B69="","",H69-L69)</f>
        <v/>
      </c>
      <c r="N69" s="18" t="str">
        <f>IF($B69="","",IF(R69="Ancien",0,Paramètres!$D$24))</f>
        <v/>
      </c>
      <c r="O69" s="19"/>
      <c r="P69" s="18" t="str">
        <f>IF($B69="","",N69-O69)</f>
        <v/>
      </c>
      <c r="Q69" s="8" t="str">
        <f>IF($B69="","",IF(AND(M69&lt;=0,P69&lt;=0),"Soldé","En retard"))</f>
        <v/>
      </c>
      <c r="R69" s="8"/>
    </row>
    <row r="70">
      <c r="A70" s="20"/>
      <c r="B70" s="20"/>
      <c r="C70" s="20"/>
      <c r="D70" s="21"/>
      <c r="E70" s="77"/>
      <c r="F70" s="20"/>
      <c r="G70" s="20"/>
      <c r="H70" s="18" t="str">
        <f>IF($B70="","",Paramètres!$C$24)</f>
        <v/>
      </c>
      <c r="I70" s="19"/>
      <c r="J70" s="19"/>
      <c r="K70" s="19"/>
      <c r="L70" s="18" t="str">
        <f>IF($B70="","",SUM(I70:K70))</f>
        <v/>
      </c>
      <c r="M70" s="18" t="str">
        <f>IF($B70="","",H70-L70)</f>
        <v/>
      </c>
      <c r="N70" s="18" t="str">
        <f>IF($B70="","",IF(R70="Ancien",0,Paramètres!$D$24))</f>
        <v/>
      </c>
      <c r="O70" s="19"/>
      <c r="P70" s="18" t="str">
        <f>IF($B70="","",N70-O70)</f>
        <v/>
      </c>
      <c r="Q70" s="21" t="str">
        <f>IF($B70="","",IF(AND(M70&lt;=0,P70&lt;=0),"Soldé","En retard"))</f>
        <v/>
      </c>
      <c r="R70" s="21"/>
    </row>
    <row r="71">
      <c r="A71" s="15"/>
      <c r="B71" s="15"/>
      <c r="C71" s="15"/>
      <c r="D71" s="8"/>
      <c r="E71" s="79"/>
      <c r="F71" s="15"/>
      <c r="G71" s="15"/>
      <c r="H71" s="18" t="str">
        <f>IF($B71="","",Paramètres!$C$24)</f>
        <v/>
      </c>
      <c r="I71" s="19"/>
      <c r="J71" s="19"/>
      <c r="K71" s="19"/>
      <c r="L71" s="18" t="str">
        <f>IF($B71="","",SUM(I71:K71))</f>
        <v/>
      </c>
      <c r="M71" s="18" t="str">
        <f>IF($B71="","",H71-L71)</f>
        <v/>
      </c>
      <c r="N71" s="18" t="str">
        <f>IF($B71="","",IF(R71="Ancien",0,Paramètres!$D$24))</f>
        <v/>
      </c>
      <c r="O71" s="19"/>
      <c r="P71" s="18" t="str">
        <f>IF($B71="","",N71-O71)</f>
        <v/>
      </c>
      <c r="Q71" s="8" t="str">
        <f>IF($B71="","",IF(AND(M71&lt;=0,P71&lt;=0),"Soldé","En retard"))</f>
        <v/>
      </c>
      <c r="R71" s="8"/>
    </row>
    <row r="72">
      <c r="A72" s="20"/>
      <c r="B72" s="20"/>
      <c r="C72" s="20"/>
      <c r="D72" s="21"/>
      <c r="E72" s="77"/>
      <c r="F72" s="20"/>
      <c r="G72" s="20"/>
      <c r="H72" s="18" t="str">
        <f>IF($B72="","",Paramètres!$C$24)</f>
        <v/>
      </c>
      <c r="I72" s="19"/>
      <c r="J72" s="19"/>
      <c r="K72" s="19"/>
      <c r="L72" s="18" t="str">
        <f>IF($B72="","",SUM(I72:K72))</f>
        <v/>
      </c>
      <c r="M72" s="18" t="str">
        <f>IF($B72="","",H72-L72)</f>
        <v/>
      </c>
      <c r="N72" s="18" t="str">
        <f>IF($B72="","",IF(R72="Ancien",0,Paramètres!$D$24))</f>
        <v/>
      </c>
      <c r="O72" s="19"/>
      <c r="P72" s="18" t="str">
        <f>IF($B72="","",N72-O72)</f>
        <v/>
      </c>
      <c r="Q72" s="21" t="str">
        <f>IF($B72="","",IF(AND(M72&lt;=0,P72&lt;=0),"Soldé","En retard"))</f>
        <v/>
      </c>
      <c r="R72" s="21"/>
    </row>
    <row r="73">
      <c r="A73" s="15"/>
      <c r="B73" s="15"/>
      <c r="C73" s="15"/>
      <c r="D73" s="8"/>
      <c r="E73" s="79"/>
      <c r="F73" s="15"/>
      <c r="G73" s="15"/>
      <c r="H73" s="18" t="str">
        <f>IF($B73="","",Paramètres!$C$24)</f>
        <v/>
      </c>
      <c r="I73" s="19"/>
      <c r="J73" s="19"/>
      <c r="K73" s="19"/>
      <c r="L73" s="18" t="str">
        <f>IF($B73="","",SUM(I73:K73))</f>
        <v/>
      </c>
      <c r="M73" s="18" t="str">
        <f>IF($B73="","",H73-L73)</f>
        <v/>
      </c>
      <c r="N73" s="18" t="str">
        <f>IF($B73="","",IF(R73="Ancien",0,Paramètres!$D$24))</f>
        <v/>
      </c>
      <c r="O73" s="19"/>
      <c r="P73" s="18" t="str">
        <f>IF($B73="","",N73-O73)</f>
        <v/>
      </c>
      <c r="Q73" s="8" t="str">
        <f>IF($B73="","",IF(AND(M73&lt;=0,P73&lt;=0),"Soldé","En retard"))</f>
        <v/>
      </c>
      <c r="R73" s="8"/>
    </row>
    <row r="74">
      <c r="A74" s="20"/>
      <c r="B74" s="20"/>
      <c r="C74" s="20"/>
      <c r="D74" s="21"/>
      <c r="E74" s="77"/>
      <c r="F74" s="20"/>
      <c r="G74" s="20"/>
      <c r="H74" s="18" t="str">
        <f>IF($B74="","",Paramètres!$C$24)</f>
        <v/>
      </c>
      <c r="I74" s="19"/>
      <c r="J74" s="19"/>
      <c r="K74" s="19"/>
      <c r="L74" s="18" t="str">
        <f>IF($B74="","",SUM(I74:K74))</f>
        <v/>
      </c>
      <c r="M74" s="18" t="str">
        <f>IF($B74="","",H74-L74)</f>
        <v/>
      </c>
      <c r="N74" s="18" t="str">
        <f>IF($B74="","",IF(R74="Ancien",0,Paramètres!$D$24))</f>
        <v/>
      </c>
      <c r="O74" s="19"/>
      <c r="P74" s="18" t="str">
        <f>IF($B74="","",N74-O74)</f>
        <v/>
      </c>
      <c r="Q74" s="21" t="str">
        <f>IF($B74="","",IF(AND(M74&lt;=0,P74&lt;=0),"Soldé","En retard"))</f>
        <v/>
      </c>
      <c r="R74" s="21"/>
    </row>
    <row r="75">
      <c r="A75" s="15"/>
      <c r="B75" s="15"/>
      <c r="C75" s="15"/>
      <c r="D75" s="8"/>
      <c r="E75" s="79"/>
      <c r="F75" s="15"/>
      <c r="G75" s="15"/>
      <c r="H75" s="18" t="str">
        <f>IF($B75="","",Paramètres!$C$24)</f>
        <v/>
      </c>
      <c r="I75" s="19"/>
      <c r="J75" s="19"/>
      <c r="K75" s="19"/>
      <c r="L75" s="18" t="str">
        <f>IF($B75="","",SUM(I75:K75))</f>
        <v/>
      </c>
      <c r="M75" s="18" t="str">
        <f>IF($B75="","",H75-L75)</f>
        <v/>
      </c>
      <c r="N75" s="18" t="str">
        <f>IF($B75="","",IF(R75="Ancien",0,Paramètres!$D$24))</f>
        <v/>
      </c>
      <c r="O75" s="19"/>
      <c r="P75" s="18" t="str">
        <f>IF($B75="","",N75-O75)</f>
        <v/>
      </c>
      <c r="Q75" s="8" t="str">
        <f>IF($B75="","",IF(AND(M75&lt;=0,P75&lt;=0),"Soldé","En retard"))</f>
        <v/>
      </c>
      <c r="R75" s="8"/>
    </row>
    <row r="76">
      <c r="A76" s="20"/>
      <c r="B76" s="20"/>
      <c r="C76" s="20"/>
      <c r="D76" s="21"/>
      <c r="E76" s="77"/>
      <c r="F76" s="20"/>
      <c r="G76" s="20"/>
      <c r="H76" s="18" t="str">
        <f>IF($B76="","",Paramètres!$C$24)</f>
        <v/>
      </c>
      <c r="I76" s="19"/>
      <c r="J76" s="19"/>
      <c r="K76" s="19"/>
      <c r="L76" s="18" t="str">
        <f>IF($B76="","",SUM(I76:K76))</f>
        <v/>
      </c>
      <c r="M76" s="18" t="str">
        <f>IF($B76="","",H76-L76)</f>
        <v/>
      </c>
      <c r="N76" s="18" t="str">
        <f>IF($B76="","",IF(R76="Ancien",0,Paramètres!$D$24))</f>
        <v/>
      </c>
      <c r="O76" s="19"/>
      <c r="P76" s="18" t="str">
        <f>IF($B76="","",N76-O76)</f>
        <v/>
      </c>
      <c r="Q76" s="21" t="str">
        <f>IF($B76="","",IF(AND(M76&lt;=0,P76&lt;=0),"Soldé","En retard"))</f>
        <v/>
      </c>
      <c r="R76" s="21"/>
    </row>
    <row r="77">
      <c r="A77" s="15"/>
      <c r="B77" s="15"/>
      <c r="C77" s="15"/>
      <c r="D77" s="8"/>
      <c r="E77" s="79"/>
      <c r="F77" s="15"/>
      <c r="G77" s="15"/>
      <c r="H77" s="18" t="str">
        <f>IF($B77="","",Paramètres!$C$24)</f>
        <v/>
      </c>
      <c r="I77" s="19"/>
      <c r="J77" s="19"/>
      <c r="K77" s="19"/>
      <c r="L77" s="18" t="str">
        <f>IF($B77="","",SUM(I77:K77))</f>
        <v/>
      </c>
      <c r="M77" s="18" t="str">
        <f>IF($B77="","",H77-L77)</f>
        <v/>
      </c>
      <c r="N77" s="18" t="str">
        <f>IF($B77="","",IF(R77="Ancien",0,Paramètres!$D$24))</f>
        <v/>
      </c>
      <c r="O77" s="19"/>
      <c r="P77" s="18" t="str">
        <f>IF($B77="","",N77-O77)</f>
        <v/>
      </c>
      <c r="Q77" s="8" t="str">
        <f>IF($B77="","",IF(AND(M77&lt;=0,P77&lt;=0),"Soldé","En retard"))</f>
        <v/>
      </c>
      <c r="R77" s="8"/>
    </row>
    <row r="78">
      <c r="A78" s="20"/>
      <c r="B78" s="20"/>
      <c r="C78" s="20"/>
      <c r="D78" s="21"/>
      <c r="E78" s="77"/>
      <c r="F78" s="20"/>
      <c r="G78" s="20"/>
      <c r="H78" s="18" t="str">
        <f>IF($B78="","",Paramètres!$C$24)</f>
        <v/>
      </c>
      <c r="I78" s="19"/>
      <c r="J78" s="19"/>
      <c r="K78" s="19"/>
      <c r="L78" s="18" t="str">
        <f>IF($B78="","",SUM(I78:K78))</f>
        <v/>
      </c>
      <c r="M78" s="18" t="str">
        <f>IF($B78="","",H78-L78)</f>
        <v/>
      </c>
      <c r="N78" s="18" t="str">
        <f>IF($B78="","",IF(R78="Ancien",0,Paramètres!$D$24))</f>
        <v/>
      </c>
      <c r="O78" s="19"/>
      <c r="P78" s="18" t="str">
        <f>IF($B78="","",N78-O78)</f>
        <v/>
      </c>
      <c r="Q78" s="21" t="str">
        <f>IF($B78="","",IF(AND(M78&lt;=0,P78&lt;=0),"Soldé","En retard"))</f>
        <v/>
      </c>
      <c r="R78" s="21"/>
    </row>
    <row r="79">
      <c r="A79" s="15"/>
      <c r="B79" s="15"/>
      <c r="C79" s="15"/>
      <c r="D79" s="8"/>
      <c r="E79" s="79"/>
      <c r="F79" s="15"/>
      <c r="G79" s="15"/>
      <c r="H79" s="18" t="str">
        <f>IF($B79="","",Paramètres!$C$24)</f>
        <v/>
      </c>
      <c r="I79" s="19"/>
      <c r="J79" s="19"/>
      <c r="K79" s="19"/>
      <c r="L79" s="18" t="str">
        <f>IF($B79="","",SUM(I79:K79))</f>
        <v/>
      </c>
      <c r="M79" s="18" t="str">
        <f>IF($B79="","",H79-L79)</f>
        <v/>
      </c>
      <c r="N79" s="18" t="str">
        <f>IF($B79="","",IF(R79="Ancien",0,Paramètres!$D$24))</f>
        <v/>
      </c>
      <c r="O79" s="19"/>
      <c r="P79" s="18" t="str">
        <f>IF($B79="","",N79-O79)</f>
        <v/>
      </c>
      <c r="Q79" s="8" t="str">
        <f>IF($B79="","",IF(AND(M79&lt;=0,P79&lt;=0),"Soldé","En retard"))</f>
        <v/>
      </c>
      <c r="R79" s="8"/>
    </row>
    <row r="80">
      <c r="A80" s="20"/>
      <c r="B80" s="20"/>
      <c r="C80" s="20"/>
      <c r="D80" s="21"/>
      <c r="E80" s="77"/>
      <c r="F80" s="20"/>
      <c r="G80" s="20"/>
      <c r="H80" s="18" t="str">
        <f>IF($B80="","",Paramètres!$C$24)</f>
        <v/>
      </c>
      <c r="I80" s="19"/>
      <c r="J80" s="19"/>
      <c r="K80" s="19"/>
      <c r="L80" s="18" t="str">
        <f>IF($B80="","",SUM(I80:K80))</f>
        <v/>
      </c>
      <c r="M80" s="18" t="str">
        <f>IF($B80="","",H80-L80)</f>
        <v/>
      </c>
      <c r="N80" s="18" t="str">
        <f>IF($B80="","",IF(R80="Ancien",0,Paramètres!$D$24))</f>
        <v/>
      </c>
      <c r="O80" s="19"/>
      <c r="P80" s="18" t="str">
        <f>IF($B80="","",N80-O80)</f>
        <v/>
      </c>
      <c r="Q80" s="21" t="str">
        <f>IF($B80="","",IF(AND(M80&lt;=0,P80&lt;=0),"Soldé","En retard"))</f>
        <v/>
      </c>
      <c r="R80" s="21"/>
    </row>
    <row r="81">
      <c r="A81" s="15"/>
      <c r="B81" s="15"/>
      <c r="C81" s="15"/>
      <c r="D81" s="8"/>
      <c r="E81" s="79"/>
      <c r="F81" s="15"/>
      <c r="G81" s="15"/>
      <c r="H81" s="18" t="str">
        <f>IF($B81="","",Paramètres!$C$24)</f>
        <v/>
      </c>
      <c r="I81" s="19"/>
      <c r="J81" s="19"/>
      <c r="K81" s="19"/>
      <c r="L81" s="18" t="str">
        <f>IF($B81="","",SUM(I81:K81))</f>
        <v/>
      </c>
      <c r="M81" s="18" t="str">
        <f>IF($B81="","",H81-L81)</f>
        <v/>
      </c>
      <c r="N81" s="18" t="str">
        <f>IF($B81="","",IF(R81="Ancien",0,Paramètres!$D$24))</f>
        <v/>
      </c>
      <c r="O81" s="19"/>
      <c r="P81" s="18" t="str">
        <f>IF($B81="","",N81-O81)</f>
        <v/>
      </c>
      <c r="Q81" s="8" t="str">
        <f>IF($B81="","",IF(AND(M81&lt;=0,P81&lt;=0),"Soldé","En retard"))</f>
        <v/>
      </c>
      <c r="R81" s="8"/>
    </row>
    <row r="82">
      <c r="A82" s="20"/>
      <c r="B82" s="20"/>
      <c r="C82" s="20"/>
      <c r="D82" s="21"/>
      <c r="E82" s="77"/>
      <c r="F82" s="20"/>
      <c r="G82" s="20"/>
      <c r="H82" s="18" t="str">
        <f>IF($B82="","",Paramètres!$C$24)</f>
        <v/>
      </c>
      <c r="I82" s="19"/>
      <c r="J82" s="19"/>
      <c r="K82" s="19"/>
      <c r="L82" s="18" t="str">
        <f>IF($B82="","",SUM(I82:K82))</f>
        <v/>
      </c>
      <c r="M82" s="18" t="str">
        <f>IF($B82="","",H82-L82)</f>
        <v/>
      </c>
      <c r="N82" s="18" t="str">
        <f>IF($B82="","",IF(R82="Ancien",0,Paramètres!$D$24))</f>
        <v/>
      </c>
      <c r="O82" s="19"/>
      <c r="P82" s="18" t="str">
        <f>IF($B82="","",N82-O82)</f>
        <v/>
      </c>
      <c r="Q82" s="21" t="str">
        <f>IF($B82="","",IF(AND(M82&lt;=0,P82&lt;=0),"Soldé","En retard"))</f>
        <v/>
      </c>
      <c r="R82" s="21"/>
    </row>
    <row r="83">
      <c r="A83" s="15"/>
      <c r="B83" s="15"/>
      <c r="C83" s="15"/>
      <c r="D83" s="8"/>
      <c r="E83" s="79"/>
      <c r="F83" s="15"/>
      <c r="G83" s="15"/>
      <c r="H83" s="18" t="str">
        <f>IF($B83="","",Paramètres!$C$24)</f>
        <v/>
      </c>
      <c r="I83" s="19"/>
      <c r="J83" s="19"/>
      <c r="K83" s="19"/>
      <c r="L83" s="18" t="str">
        <f>IF($B83="","",SUM(I83:K83))</f>
        <v/>
      </c>
      <c r="M83" s="18" t="str">
        <f>IF($B83="","",H83-L83)</f>
        <v/>
      </c>
      <c r="N83" s="18" t="str">
        <f>IF($B83="","",IF(R83="Ancien",0,Paramètres!$D$24))</f>
        <v/>
      </c>
      <c r="O83" s="19"/>
      <c r="P83" s="18" t="str">
        <f>IF($B83="","",N83-O83)</f>
        <v/>
      </c>
      <c r="Q83" s="8" t="str">
        <f>IF($B83="","",IF(AND(M83&lt;=0,P83&lt;=0),"Soldé","En retard"))</f>
        <v/>
      </c>
      <c r="R83" s="8"/>
    </row>
  </sheetData>
  <mergeCells count="2">
    <mergeCell ref="A1:R1"/>
    <mergeCell ref="A2:R2"/>
  </mergeCells>
  <conditionalFormatting sqref="M4:M83 P4:P83">
    <cfRule type="cellIs" dxfId="10" priority="3" operator="greaterThan">
      <formula>0</formula>
    </cfRule>
  </conditionalFormatting>
  <conditionalFormatting sqref="Q4:Q83">
    <cfRule type="cellIs" dxfId="9" priority="1" operator="equal">
      <formula>"Soldé"</formula>
    </cfRule>
    <cfRule type="cellIs" dxfId="8" priority="2" operator="equal">
      <formula>"En retard"</formula>
    </cfRule>
  </conditionalFormatting>
  <dataValidations count="2">
    <dataValidation type="list" allowBlank="1" showErrorMessage="1" errorTitle="Sexe non valide" error="Choisissez M ou F." sqref="D4:D83">
      <formula1>"M,F"</formula1>
    </dataValidation>
    <dataValidation type="list" allowBlank="1" showErrorMessage="1" errorTitle="Statut non valide" error="Choisissez Nouveau ou Ancien. Un élève marqué Ancien ne paie pas les frais d'inscription." sqref="R4:R83">
      <formula1>"Nouveau,Ancien"</formula1>
    </dataValidation>
  </dataValidations>
  <pageMargins left="0.5" right="0.5" top="0.75" bottom="0.75" header="0.3" footer="0.3"/>
  <pageSetup paperSize="9" orientation="landscape" fitToHeight="0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R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7" customWidth="1"/>
    <col min="5" max="5" width="14" customWidth="1"/>
    <col min="6" max="6" width="18" customWidth="1"/>
    <col min="7" max="7" width="16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3" customWidth="1"/>
    <col min="18" max="18" width="16" customWidth="1"/>
  </cols>
  <sheetData>
    <row r="1" ht="27.75" customHeight="1">
      <c r="A1" s="53" t="str">
        <f>"INSCRIPTIONS — "&amp;Paramètres!$A$25</f>
        <v>INSCRIPTIONS — 4e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ht="18" customHeight="1">
      <c r="A2" s="54" t="str">
        <f>"Année scolaire "&amp;Paramètres!$C$11&amp;"   •   Effectif : "&amp;COUNTIF($B$4:$B$83,"?*")&amp;"   •   Cellules jaunes = montants à saisir ; colonnes grises = calcul automatique"</f>
        <v>Année scolaire 2025-2026   •   Effectif : 1   •   Cellules jaunes = montants à saisir ; colonnes grises = calcul automatique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Sexe</t>
        </is>
      </c>
      <c r="E3" s="3" t="inlineStr">
        <is>
          <t>Date de naissance</t>
        </is>
      </c>
      <c r="F3" s="3" t="inlineStr">
        <is>
          <t>Nom du tuteur</t>
        </is>
      </c>
      <c r="G3" s="3" t="inlineStr">
        <is>
          <t>Téléphone</t>
        </is>
      </c>
      <c r="H3" s="3" t="inlineStr">
        <is>
          <t>Scolarité due</t>
        </is>
      </c>
      <c r="I3" s="3" t="inlineStr">
        <is>
          <t>Tranche 1</t>
        </is>
      </c>
      <c r="J3" s="3" t="inlineStr">
        <is>
          <t>Tranche 2</t>
        </is>
      </c>
      <c r="K3" s="3" t="inlineStr">
        <is>
          <t>Tranche 3</t>
        </is>
      </c>
      <c r="L3" s="3" t="inlineStr">
        <is>
          <t>Total payé</t>
        </is>
      </c>
      <c r="M3" s="3" t="inlineStr">
        <is>
          <t>Reste à payer</t>
        </is>
      </c>
      <c r="N3" s="3" t="inlineStr">
        <is>
          <t>Inscription due</t>
        </is>
      </c>
      <c r="O3" s="3" t="inlineStr">
        <is>
          <t>Inscription payée</t>
        </is>
      </c>
      <c r="P3" s="3" t="inlineStr">
        <is>
          <t>Reste inscription</t>
        </is>
      </c>
      <c r="Q3" s="3" t="inlineStr">
        <is>
          <t>Statut</t>
        </is>
      </c>
      <c r="R3" s="3" t="inlineStr">
        <is>
          <t>Nouveau / Ancien</t>
        </is>
      </c>
    </row>
    <row r="4">
      <c r="A4" s="20" t="inlineStr">
        <is>
          <t>2025-001</t>
        </is>
      </c>
      <c r="B4" s="20" t="inlineStr">
        <is>
          <t>DAOUDA</t>
        </is>
      </c>
      <c r="C4" s="20" t="inlineStr">
        <is>
          <t>Falmata</t>
        </is>
      </c>
      <c r="D4" s="21" t="inlineStr">
        <is>
          <t>F</t>
        </is>
      </c>
      <c r="E4" s="77" t="inlineStr">
        <is>
          <t>2015-09-14</t>
        </is>
      </c>
      <c r="F4" s="20" t="inlineStr">
        <is>
          <t>Daouda Marthé</t>
        </is>
      </c>
      <c r="G4" s="20" t="inlineStr">
        <is>
          <t>+227 90 00 00 00</t>
        </is>
      </c>
      <c r="H4" s="18">
        <f>IF($B4="","",Paramètres!$C$25)</f>
        <v>150000</v>
      </c>
      <c r="I4" s="19">
        <v>150000</v>
      </c>
      <c r="J4" s="19"/>
      <c r="K4" s="19"/>
      <c r="L4" s="18">
        <f>IF($B4="","",SUM(I4:K4))</f>
        <v>150000</v>
      </c>
      <c r="M4" s="18">
        <f>IF($B4="","",H4-L4)</f>
        <v>0</v>
      </c>
      <c r="N4" s="18">
        <f>IF($B4="","",IF(R4="Ancien",0,Paramètres!$D$25))</f>
        <v>3000</v>
      </c>
      <c r="O4" s="19"/>
      <c r="P4" s="18">
        <f>IF($B4="","",N4-O4)</f>
        <v>3000</v>
      </c>
      <c r="Q4" s="21" t="str">
        <f>IF($B4="","",IF(AND(M4&lt;=0,P4&lt;=0),"Soldé","En retard"))</f>
        <v>En retard</v>
      </c>
      <c r="R4" s="21"/>
    </row>
    <row r="5">
      <c r="A5" s="15"/>
      <c r="B5" s="15"/>
      <c r="C5" s="15"/>
      <c r="D5" s="8"/>
      <c r="E5" s="79"/>
      <c r="F5" s="15"/>
      <c r="G5" s="15"/>
      <c r="H5" s="18" t="str">
        <f>IF($B5="","",Paramètres!$C$25)</f>
        <v/>
      </c>
      <c r="I5" s="19"/>
      <c r="J5" s="19"/>
      <c r="K5" s="19"/>
      <c r="L5" s="18" t="str">
        <f>IF($B5="","",SUM(I5:K5))</f>
        <v/>
      </c>
      <c r="M5" s="18" t="str">
        <f>IF($B5="","",H5-L5)</f>
        <v/>
      </c>
      <c r="N5" s="18" t="str">
        <f>IF($B5="","",IF(R5="Ancien",0,Paramètres!$D$25))</f>
        <v/>
      </c>
      <c r="O5" s="19"/>
      <c r="P5" s="18" t="str">
        <f>IF($B5="","",N5-O5)</f>
        <v/>
      </c>
      <c r="Q5" s="8" t="str">
        <f>IF($B5="","",IF(AND(M5&lt;=0,P5&lt;=0),"Soldé","En retard"))</f>
        <v/>
      </c>
      <c r="R5" s="8"/>
    </row>
    <row r="6">
      <c r="A6" s="20"/>
      <c r="B6" s="20"/>
      <c r="C6" s="20"/>
      <c r="D6" s="21"/>
      <c r="E6" s="77"/>
      <c r="F6" s="20"/>
      <c r="G6" s="20"/>
      <c r="H6" s="18" t="str">
        <f>IF($B6="","",Paramètres!$C$25)</f>
        <v/>
      </c>
      <c r="I6" s="19"/>
      <c r="J6" s="19"/>
      <c r="K6" s="19"/>
      <c r="L6" s="18" t="str">
        <f>IF($B6="","",SUM(I6:K6))</f>
        <v/>
      </c>
      <c r="M6" s="18" t="str">
        <f>IF($B6="","",H6-L6)</f>
        <v/>
      </c>
      <c r="N6" s="18" t="str">
        <f>IF($B6="","",IF(R6="Ancien",0,Paramètres!$D$25))</f>
        <v/>
      </c>
      <c r="O6" s="19"/>
      <c r="P6" s="18" t="str">
        <f>IF($B6="","",N6-O6)</f>
        <v/>
      </c>
      <c r="Q6" s="21" t="str">
        <f>IF($B6="","",IF(AND(M6&lt;=0,P6&lt;=0),"Soldé","En retard"))</f>
        <v/>
      </c>
      <c r="R6" s="21"/>
    </row>
    <row r="7">
      <c r="A7" s="15"/>
      <c r="B7" s="15"/>
      <c r="C7" s="15"/>
      <c r="D7" s="8"/>
      <c r="E7" s="79"/>
      <c r="F7" s="15"/>
      <c r="G7" s="15"/>
      <c r="H7" s="18" t="str">
        <f>IF($B7="","",Paramètres!$C$25)</f>
        <v/>
      </c>
      <c r="I7" s="19"/>
      <c r="J7" s="19"/>
      <c r="K7" s="19"/>
      <c r="L7" s="18" t="str">
        <f>IF($B7="","",SUM(I7:K7))</f>
        <v/>
      </c>
      <c r="M7" s="18" t="str">
        <f>IF($B7="","",H7-L7)</f>
        <v/>
      </c>
      <c r="N7" s="18" t="str">
        <f>IF($B7="","",IF(R7="Ancien",0,Paramètres!$D$25))</f>
        <v/>
      </c>
      <c r="O7" s="19"/>
      <c r="P7" s="18" t="str">
        <f>IF($B7="","",N7-O7)</f>
        <v/>
      </c>
      <c r="Q7" s="8" t="str">
        <f>IF($B7="","",IF(AND(M7&lt;=0,P7&lt;=0),"Soldé","En retard"))</f>
        <v/>
      </c>
      <c r="R7" s="8"/>
    </row>
    <row r="8">
      <c r="A8" s="20"/>
      <c r="B8" s="20"/>
      <c r="C8" s="20"/>
      <c r="D8" s="21"/>
      <c r="E8" s="77"/>
      <c r="F8" s="20"/>
      <c r="G8" s="20"/>
      <c r="H8" s="18" t="str">
        <f>IF($B8="","",Paramètres!$C$25)</f>
        <v/>
      </c>
      <c r="I8" s="19"/>
      <c r="J8" s="19"/>
      <c r="K8" s="19"/>
      <c r="L8" s="18" t="str">
        <f>IF($B8="","",SUM(I8:K8))</f>
        <v/>
      </c>
      <c r="M8" s="18" t="str">
        <f>IF($B8="","",H8-L8)</f>
        <v/>
      </c>
      <c r="N8" s="18" t="str">
        <f>IF($B8="","",IF(R8="Ancien",0,Paramètres!$D$25))</f>
        <v/>
      </c>
      <c r="O8" s="19"/>
      <c r="P8" s="18" t="str">
        <f>IF($B8="","",N8-O8)</f>
        <v/>
      </c>
      <c r="Q8" s="21" t="str">
        <f>IF($B8="","",IF(AND(M8&lt;=0,P8&lt;=0),"Soldé","En retard"))</f>
        <v/>
      </c>
      <c r="R8" s="21"/>
    </row>
    <row r="9">
      <c r="A9" s="15"/>
      <c r="B9" s="15"/>
      <c r="C9" s="15"/>
      <c r="D9" s="8"/>
      <c r="E9" s="79"/>
      <c r="F9" s="15"/>
      <c r="G9" s="15"/>
      <c r="H9" s="18" t="str">
        <f>IF($B9="","",Paramètres!$C$25)</f>
        <v/>
      </c>
      <c r="I9" s="19"/>
      <c r="J9" s="19"/>
      <c r="K9" s="19"/>
      <c r="L9" s="18" t="str">
        <f>IF($B9="","",SUM(I9:K9))</f>
        <v/>
      </c>
      <c r="M9" s="18" t="str">
        <f>IF($B9="","",H9-L9)</f>
        <v/>
      </c>
      <c r="N9" s="18" t="str">
        <f>IF($B9="","",IF(R9="Ancien",0,Paramètres!$D$25))</f>
        <v/>
      </c>
      <c r="O9" s="19"/>
      <c r="P9" s="18" t="str">
        <f>IF($B9="","",N9-O9)</f>
        <v/>
      </c>
      <c r="Q9" s="8" t="str">
        <f>IF($B9="","",IF(AND(M9&lt;=0,P9&lt;=0),"Soldé","En retard"))</f>
        <v/>
      </c>
      <c r="R9" s="8"/>
    </row>
    <row r="10">
      <c r="A10" s="20"/>
      <c r="B10" s="20"/>
      <c r="C10" s="20"/>
      <c r="D10" s="21"/>
      <c r="E10" s="77"/>
      <c r="F10" s="20"/>
      <c r="G10" s="20"/>
      <c r="H10" s="18" t="str">
        <f>IF($B10="","",Paramètres!$C$25)</f>
        <v/>
      </c>
      <c r="I10" s="19"/>
      <c r="J10" s="19"/>
      <c r="K10" s="19"/>
      <c r="L10" s="18" t="str">
        <f>IF($B10="","",SUM(I10:K10))</f>
        <v/>
      </c>
      <c r="M10" s="18" t="str">
        <f>IF($B10="","",H10-L10)</f>
        <v/>
      </c>
      <c r="N10" s="18" t="str">
        <f>IF($B10="","",IF(R10="Ancien",0,Paramètres!$D$25))</f>
        <v/>
      </c>
      <c r="O10" s="19"/>
      <c r="P10" s="18" t="str">
        <f>IF($B10="","",N10-O10)</f>
        <v/>
      </c>
      <c r="Q10" s="21" t="str">
        <f>IF($B10="","",IF(AND(M10&lt;=0,P10&lt;=0),"Soldé","En retard"))</f>
        <v/>
      </c>
      <c r="R10" s="21"/>
    </row>
    <row r="11">
      <c r="A11" s="15"/>
      <c r="B11" s="15"/>
      <c r="C11" s="15"/>
      <c r="D11" s="8"/>
      <c r="E11" s="79"/>
      <c r="F11" s="15"/>
      <c r="G11" s="15"/>
      <c r="H11" s="18" t="str">
        <f>IF($B11="","",Paramètres!$C$25)</f>
        <v/>
      </c>
      <c r="I11" s="19"/>
      <c r="J11" s="19"/>
      <c r="K11" s="19"/>
      <c r="L11" s="18" t="str">
        <f>IF($B11="","",SUM(I11:K11))</f>
        <v/>
      </c>
      <c r="M11" s="18" t="str">
        <f>IF($B11="","",H11-L11)</f>
        <v/>
      </c>
      <c r="N11" s="18" t="str">
        <f>IF($B11="","",IF(R11="Ancien",0,Paramètres!$D$25))</f>
        <v/>
      </c>
      <c r="O11" s="19"/>
      <c r="P11" s="18" t="str">
        <f>IF($B11="","",N11-O11)</f>
        <v/>
      </c>
      <c r="Q11" s="8" t="str">
        <f>IF($B11="","",IF(AND(M11&lt;=0,P11&lt;=0),"Soldé","En retard"))</f>
        <v/>
      </c>
      <c r="R11" s="8"/>
    </row>
    <row r="12">
      <c r="A12" s="20"/>
      <c r="B12" s="20"/>
      <c r="C12" s="20"/>
      <c r="D12" s="21"/>
      <c r="E12" s="77"/>
      <c r="F12" s="20"/>
      <c r="G12" s="20"/>
      <c r="H12" s="18" t="str">
        <f>IF($B12="","",Paramètres!$C$25)</f>
        <v/>
      </c>
      <c r="I12" s="19"/>
      <c r="J12" s="19"/>
      <c r="K12" s="19"/>
      <c r="L12" s="18" t="str">
        <f>IF($B12="","",SUM(I12:K12))</f>
        <v/>
      </c>
      <c r="M12" s="18" t="str">
        <f>IF($B12="","",H12-L12)</f>
        <v/>
      </c>
      <c r="N12" s="18" t="str">
        <f>IF($B12="","",IF(R12="Ancien",0,Paramètres!$D$25))</f>
        <v/>
      </c>
      <c r="O12" s="19"/>
      <c r="P12" s="18" t="str">
        <f>IF($B12="","",N12-O12)</f>
        <v/>
      </c>
      <c r="Q12" s="21" t="str">
        <f>IF($B12="","",IF(AND(M12&lt;=0,P12&lt;=0),"Soldé","En retard"))</f>
        <v/>
      </c>
      <c r="R12" s="21"/>
    </row>
    <row r="13">
      <c r="A13" s="15"/>
      <c r="B13" s="15"/>
      <c r="C13" s="15"/>
      <c r="D13" s="8"/>
      <c r="E13" s="79"/>
      <c r="F13" s="15"/>
      <c r="G13" s="15"/>
      <c r="H13" s="18" t="str">
        <f>IF($B13="","",Paramètres!$C$25)</f>
        <v/>
      </c>
      <c r="I13" s="19"/>
      <c r="J13" s="19"/>
      <c r="K13" s="19"/>
      <c r="L13" s="18" t="str">
        <f>IF($B13="","",SUM(I13:K13))</f>
        <v/>
      </c>
      <c r="M13" s="18" t="str">
        <f>IF($B13="","",H13-L13)</f>
        <v/>
      </c>
      <c r="N13" s="18" t="str">
        <f>IF($B13="","",IF(R13="Ancien",0,Paramètres!$D$25))</f>
        <v/>
      </c>
      <c r="O13" s="19"/>
      <c r="P13" s="18" t="str">
        <f>IF($B13="","",N13-O13)</f>
        <v/>
      </c>
      <c r="Q13" s="8" t="str">
        <f>IF($B13="","",IF(AND(M13&lt;=0,P13&lt;=0),"Soldé","En retard"))</f>
        <v/>
      </c>
      <c r="R13" s="8"/>
    </row>
    <row r="14">
      <c r="A14" s="20"/>
      <c r="B14" s="20"/>
      <c r="C14" s="20"/>
      <c r="D14" s="21"/>
      <c r="E14" s="77"/>
      <c r="F14" s="20"/>
      <c r="G14" s="20"/>
      <c r="H14" s="18" t="str">
        <f>IF($B14="","",Paramètres!$C$25)</f>
        <v/>
      </c>
      <c r="I14" s="19"/>
      <c r="J14" s="19"/>
      <c r="K14" s="19"/>
      <c r="L14" s="18" t="str">
        <f>IF($B14="","",SUM(I14:K14))</f>
        <v/>
      </c>
      <c r="M14" s="18" t="str">
        <f>IF($B14="","",H14-L14)</f>
        <v/>
      </c>
      <c r="N14" s="18" t="str">
        <f>IF($B14="","",IF(R14="Ancien",0,Paramètres!$D$25))</f>
        <v/>
      </c>
      <c r="O14" s="19"/>
      <c r="P14" s="18" t="str">
        <f>IF($B14="","",N14-O14)</f>
        <v/>
      </c>
      <c r="Q14" s="21" t="str">
        <f>IF($B14="","",IF(AND(M14&lt;=0,P14&lt;=0),"Soldé","En retard"))</f>
        <v/>
      </c>
      <c r="R14" s="21"/>
    </row>
    <row r="15">
      <c r="A15" s="15"/>
      <c r="B15" s="15"/>
      <c r="C15" s="15"/>
      <c r="D15" s="8"/>
      <c r="E15" s="79"/>
      <c r="F15" s="15"/>
      <c r="G15" s="15"/>
      <c r="H15" s="18" t="str">
        <f>IF($B15="","",Paramètres!$C$25)</f>
        <v/>
      </c>
      <c r="I15" s="19"/>
      <c r="J15" s="19"/>
      <c r="K15" s="19"/>
      <c r="L15" s="18" t="str">
        <f>IF($B15="","",SUM(I15:K15))</f>
        <v/>
      </c>
      <c r="M15" s="18" t="str">
        <f>IF($B15="","",H15-L15)</f>
        <v/>
      </c>
      <c r="N15" s="18" t="str">
        <f>IF($B15="","",IF(R15="Ancien",0,Paramètres!$D$25))</f>
        <v/>
      </c>
      <c r="O15" s="19"/>
      <c r="P15" s="18" t="str">
        <f>IF($B15="","",N15-O15)</f>
        <v/>
      </c>
      <c r="Q15" s="8" t="str">
        <f>IF($B15="","",IF(AND(M15&lt;=0,P15&lt;=0),"Soldé","En retard"))</f>
        <v/>
      </c>
      <c r="R15" s="8"/>
    </row>
    <row r="16">
      <c r="A16" s="20"/>
      <c r="B16" s="20"/>
      <c r="C16" s="20"/>
      <c r="D16" s="21"/>
      <c r="E16" s="77"/>
      <c r="F16" s="20"/>
      <c r="G16" s="20"/>
      <c r="H16" s="18" t="str">
        <f>IF($B16="","",Paramètres!$C$25)</f>
        <v/>
      </c>
      <c r="I16" s="19"/>
      <c r="J16" s="19"/>
      <c r="K16" s="19"/>
      <c r="L16" s="18" t="str">
        <f>IF($B16="","",SUM(I16:K16))</f>
        <v/>
      </c>
      <c r="M16" s="18" t="str">
        <f>IF($B16="","",H16-L16)</f>
        <v/>
      </c>
      <c r="N16" s="18" t="str">
        <f>IF($B16="","",IF(R16="Ancien",0,Paramètres!$D$25))</f>
        <v/>
      </c>
      <c r="O16" s="19"/>
      <c r="P16" s="18" t="str">
        <f>IF($B16="","",N16-O16)</f>
        <v/>
      </c>
      <c r="Q16" s="21" t="str">
        <f>IF($B16="","",IF(AND(M16&lt;=0,P16&lt;=0),"Soldé","En retard"))</f>
        <v/>
      </c>
      <c r="R16" s="21"/>
    </row>
    <row r="17">
      <c r="A17" s="15"/>
      <c r="B17" s="15"/>
      <c r="C17" s="15"/>
      <c r="D17" s="8"/>
      <c r="E17" s="79"/>
      <c r="F17" s="15"/>
      <c r="G17" s="15"/>
      <c r="H17" s="18" t="str">
        <f>IF($B17="","",Paramètres!$C$25)</f>
        <v/>
      </c>
      <c r="I17" s="19"/>
      <c r="J17" s="19"/>
      <c r="K17" s="19"/>
      <c r="L17" s="18" t="str">
        <f>IF($B17="","",SUM(I17:K17))</f>
        <v/>
      </c>
      <c r="M17" s="18" t="str">
        <f>IF($B17="","",H17-L17)</f>
        <v/>
      </c>
      <c r="N17" s="18" t="str">
        <f>IF($B17="","",IF(R17="Ancien",0,Paramètres!$D$25))</f>
        <v/>
      </c>
      <c r="O17" s="19"/>
      <c r="P17" s="18" t="str">
        <f>IF($B17="","",N17-O17)</f>
        <v/>
      </c>
      <c r="Q17" s="8" t="str">
        <f>IF($B17="","",IF(AND(M17&lt;=0,P17&lt;=0),"Soldé","En retard"))</f>
        <v/>
      </c>
      <c r="R17" s="8"/>
    </row>
    <row r="18">
      <c r="A18" s="20"/>
      <c r="B18" s="20"/>
      <c r="C18" s="20"/>
      <c r="D18" s="21"/>
      <c r="E18" s="77"/>
      <c r="F18" s="20"/>
      <c r="G18" s="20"/>
      <c r="H18" s="18" t="str">
        <f>IF($B18="","",Paramètres!$C$25)</f>
        <v/>
      </c>
      <c r="I18" s="19"/>
      <c r="J18" s="19"/>
      <c r="K18" s="19"/>
      <c r="L18" s="18" t="str">
        <f>IF($B18="","",SUM(I18:K18))</f>
        <v/>
      </c>
      <c r="M18" s="18" t="str">
        <f>IF($B18="","",H18-L18)</f>
        <v/>
      </c>
      <c r="N18" s="18" t="str">
        <f>IF($B18="","",IF(R18="Ancien",0,Paramètres!$D$25))</f>
        <v/>
      </c>
      <c r="O18" s="19"/>
      <c r="P18" s="18" t="str">
        <f>IF($B18="","",N18-O18)</f>
        <v/>
      </c>
      <c r="Q18" s="21" t="str">
        <f>IF($B18="","",IF(AND(M18&lt;=0,P18&lt;=0),"Soldé","En retard"))</f>
        <v/>
      </c>
      <c r="R18" s="21"/>
    </row>
    <row r="19">
      <c r="A19" s="15"/>
      <c r="B19" s="15"/>
      <c r="C19" s="15"/>
      <c r="D19" s="8"/>
      <c r="E19" s="79"/>
      <c r="F19" s="15"/>
      <c r="G19" s="15"/>
      <c r="H19" s="18" t="str">
        <f>IF($B19="","",Paramètres!$C$25)</f>
        <v/>
      </c>
      <c r="I19" s="19"/>
      <c r="J19" s="19"/>
      <c r="K19" s="19"/>
      <c r="L19" s="18" t="str">
        <f>IF($B19="","",SUM(I19:K19))</f>
        <v/>
      </c>
      <c r="M19" s="18" t="str">
        <f>IF($B19="","",H19-L19)</f>
        <v/>
      </c>
      <c r="N19" s="18" t="str">
        <f>IF($B19="","",IF(R19="Ancien",0,Paramètres!$D$25))</f>
        <v/>
      </c>
      <c r="O19" s="19"/>
      <c r="P19" s="18" t="str">
        <f>IF($B19="","",N19-O19)</f>
        <v/>
      </c>
      <c r="Q19" s="8" t="str">
        <f>IF($B19="","",IF(AND(M19&lt;=0,P19&lt;=0),"Soldé","En retard"))</f>
        <v/>
      </c>
      <c r="R19" s="8"/>
    </row>
    <row r="20">
      <c r="A20" s="20"/>
      <c r="B20" s="20"/>
      <c r="C20" s="20"/>
      <c r="D20" s="21"/>
      <c r="E20" s="77"/>
      <c r="F20" s="20"/>
      <c r="G20" s="20"/>
      <c r="H20" s="18" t="str">
        <f>IF($B20="","",Paramètres!$C$25)</f>
        <v/>
      </c>
      <c r="I20" s="19"/>
      <c r="J20" s="19"/>
      <c r="K20" s="19"/>
      <c r="L20" s="18" t="str">
        <f>IF($B20="","",SUM(I20:K20))</f>
        <v/>
      </c>
      <c r="M20" s="18" t="str">
        <f>IF($B20="","",H20-L20)</f>
        <v/>
      </c>
      <c r="N20" s="18" t="str">
        <f>IF($B20="","",IF(R20="Ancien",0,Paramètres!$D$25))</f>
        <v/>
      </c>
      <c r="O20" s="19"/>
      <c r="P20" s="18" t="str">
        <f>IF($B20="","",N20-O20)</f>
        <v/>
      </c>
      <c r="Q20" s="21" t="str">
        <f>IF($B20="","",IF(AND(M20&lt;=0,P20&lt;=0),"Soldé","En retard"))</f>
        <v/>
      </c>
      <c r="R20" s="21"/>
    </row>
    <row r="21">
      <c r="A21" s="15"/>
      <c r="B21" s="15"/>
      <c r="C21" s="15"/>
      <c r="D21" s="8"/>
      <c r="E21" s="79"/>
      <c r="F21" s="15"/>
      <c r="G21" s="15"/>
      <c r="H21" s="18" t="str">
        <f>IF($B21="","",Paramètres!$C$25)</f>
        <v/>
      </c>
      <c r="I21" s="19"/>
      <c r="J21" s="19"/>
      <c r="K21" s="19"/>
      <c r="L21" s="18" t="str">
        <f>IF($B21="","",SUM(I21:K21))</f>
        <v/>
      </c>
      <c r="M21" s="18" t="str">
        <f>IF($B21="","",H21-L21)</f>
        <v/>
      </c>
      <c r="N21" s="18" t="str">
        <f>IF($B21="","",IF(R21="Ancien",0,Paramètres!$D$25))</f>
        <v/>
      </c>
      <c r="O21" s="19"/>
      <c r="P21" s="18" t="str">
        <f>IF($B21="","",N21-O21)</f>
        <v/>
      </c>
      <c r="Q21" s="8" t="str">
        <f>IF($B21="","",IF(AND(M21&lt;=0,P21&lt;=0),"Soldé","En retard"))</f>
        <v/>
      </c>
      <c r="R21" s="8"/>
    </row>
    <row r="22">
      <c r="A22" s="20"/>
      <c r="B22" s="20"/>
      <c r="C22" s="20"/>
      <c r="D22" s="21"/>
      <c r="E22" s="77"/>
      <c r="F22" s="20"/>
      <c r="G22" s="20"/>
      <c r="H22" s="18" t="str">
        <f>IF($B22="","",Paramètres!$C$25)</f>
        <v/>
      </c>
      <c r="I22" s="19"/>
      <c r="J22" s="19"/>
      <c r="K22" s="19"/>
      <c r="L22" s="18" t="str">
        <f>IF($B22="","",SUM(I22:K22))</f>
        <v/>
      </c>
      <c r="M22" s="18" t="str">
        <f>IF($B22="","",H22-L22)</f>
        <v/>
      </c>
      <c r="N22" s="18" t="str">
        <f>IF($B22="","",IF(R22="Ancien",0,Paramètres!$D$25))</f>
        <v/>
      </c>
      <c r="O22" s="19"/>
      <c r="P22" s="18" t="str">
        <f>IF($B22="","",N22-O22)</f>
        <v/>
      </c>
      <c r="Q22" s="21" t="str">
        <f>IF($B22="","",IF(AND(M22&lt;=0,P22&lt;=0),"Soldé","En retard"))</f>
        <v/>
      </c>
      <c r="R22" s="21"/>
    </row>
    <row r="23">
      <c r="A23" s="15"/>
      <c r="B23" s="15"/>
      <c r="C23" s="15"/>
      <c r="D23" s="8"/>
      <c r="E23" s="79"/>
      <c r="F23" s="15"/>
      <c r="G23" s="15"/>
      <c r="H23" s="18" t="str">
        <f>IF($B23="","",Paramètres!$C$25)</f>
        <v/>
      </c>
      <c r="I23" s="19"/>
      <c r="J23" s="19"/>
      <c r="K23" s="19"/>
      <c r="L23" s="18" t="str">
        <f>IF($B23="","",SUM(I23:K23))</f>
        <v/>
      </c>
      <c r="M23" s="18" t="str">
        <f>IF($B23="","",H23-L23)</f>
        <v/>
      </c>
      <c r="N23" s="18" t="str">
        <f>IF($B23="","",IF(R23="Ancien",0,Paramètres!$D$25))</f>
        <v/>
      </c>
      <c r="O23" s="19"/>
      <c r="P23" s="18" t="str">
        <f>IF($B23="","",N23-O23)</f>
        <v/>
      </c>
      <c r="Q23" s="8" t="str">
        <f>IF($B23="","",IF(AND(M23&lt;=0,P23&lt;=0),"Soldé","En retard"))</f>
        <v/>
      </c>
      <c r="R23" s="8"/>
    </row>
    <row r="24">
      <c r="A24" s="20"/>
      <c r="B24" s="20"/>
      <c r="C24" s="20"/>
      <c r="D24" s="21"/>
      <c r="E24" s="77"/>
      <c r="F24" s="20"/>
      <c r="G24" s="20"/>
      <c r="H24" s="18" t="str">
        <f>IF($B24="","",Paramètres!$C$25)</f>
        <v/>
      </c>
      <c r="I24" s="19"/>
      <c r="J24" s="19"/>
      <c r="K24" s="19"/>
      <c r="L24" s="18" t="str">
        <f>IF($B24="","",SUM(I24:K24))</f>
        <v/>
      </c>
      <c r="M24" s="18" t="str">
        <f>IF($B24="","",H24-L24)</f>
        <v/>
      </c>
      <c r="N24" s="18" t="str">
        <f>IF($B24="","",IF(R24="Ancien",0,Paramètres!$D$25))</f>
        <v/>
      </c>
      <c r="O24" s="19"/>
      <c r="P24" s="18" t="str">
        <f>IF($B24="","",N24-O24)</f>
        <v/>
      </c>
      <c r="Q24" s="21" t="str">
        <f>IF($B24="","",IF(AND(M24&lt;=0,P24&lt;=0),"Soldé","En retard"))</f>
        <v/>
      </c>
      <c r="R24" s="21"/>
    </row>
    <row r="25">
      <c r="A25" s="15"/>
      <c r="B25" s="15"/>
      <c r="C25" s="15"/>
      <c r="D25" s="8"/>
      <c r="E25" s="79"/>
      <c r="F25" s="15"/>
      <c r="G25" s="15"/>
      <c r="H25" s="18" t="str">
        <f>IF($B25="","",Paramètres!$C$25)</f>
        <v/>
      </c>
      <c r="I25" s="19"/>
      <c r="J25" s="19"/>
      <c r="K25" s="19"/>
      <c r="L25" s="18" t="str">
        <f>IF($B25="","",SUM(I25:K25))</f>
        <v/>
      </c>
      <c r="M25" s="18" t="str">
        <f>IF($B25="","",H25-L25)</f>
        <v/>
      </c>
      <c r="N25" s="18" t="str">
        <f>IF($B25="","",IF(R25="Ancien",0,Paramètres!$D$25))</f>
        <v/>
      </c>
      <c r="O25" s="19"/>
      <c r="P25" s="18" t="str">
        <f>IF($B25="","",N25-O25)</f>
        <v/>
      </c>
      <c r="Q25" s="8" t="str">
        <f>IF($B25="","",IF(AND(M25&lt;=0,P25&lt;=0),"Soldé","En retard"))</f>
        <v/>
      </c>
      <c r="R25" s="8"/>
    </row>
    <row r="26">
      <c r="A26" s="20"/>
      <c r="B26" s="20"/>
      <c r="C26" s="20"/>
      <c r="D26" s="21"/>
      <c r="E26" s="77"/>
      <c r="F26" s="20"/>
      <c r="G26" s="20"/>
      <c r="H26" s="18" t="str">
        <f>IF($B26="","",Paramètres!$C$25)</f>
        <v/>
      </c>
      <c r="I26" s="19"/>
      <c r="J26" s="19"/>
      <c r="K26" s="19"/>
      <c r="L26" s="18" t="str">
        <f>IF($B26="","",SUM(I26:K26))</f>
        <v/>
      </c>
      <c r="M26" s="18" t="str">
        <f>IF($B26="","",H26-L26)</f>
        <v/>
      </c>
      <c r="N26" s="18" t="str">
        <f>IF($B26="","",IF(R26="Ancien",0,Paramètres!$D$25))</f>
        <v/>
      </c>
      <c r="O26" s="19"/>
      <c r="P26" s="18" t="str">
        <f>IF($B26="","",N26-O26)</f>
        <v/>
      </c>
      <c r="Q26" s="21" t="str">
        <f>IF($B26="","",IF(AND(M26&lt;=0,P26&lt;=0),"Soldé","En retard"))</f>
        <v/>
      </c>
      <c r="R26" s="21"/>
    </row>
    <row r="27">
      <c r="A27" s="15"/>
      <c r="B27" s="15"/>
      <c r="C27" s="15"/>
      <c r="D27" s="8"/>
      <c r="E27" s="79"/>
      <c r="F27" s="15"/>
      <c r="G27" s="15"/>
      <c r="H27" s="18" t="str">
        <f>IF($B27="","",Paramètres!$C$25)</f>
        <v/>
      </c>
      <c r="I27" s="19"/>
      <c r="J27" s="19"/>
      <c r="K27" s="19"/>
      <c r="L27" s="18" t="str">
        <f>IF($B27="","",SUM(I27:K27))</f>
        <v/>
      </c>
      <c r="M27" s="18" t="str">
        <f>IF($B27="","",H27-L27)</f>
        <v/>
      </c>
      <c r="N27" s="18" t="str">
        <f>IF($B27="","",IF(R27="Ancien",0,Paramètres!$D$25))</f>
        <v/>
      </c>
      <c r="O27" s="19"/>
      <c r="P27" s="18" t="str">
        <f>IF($B27="","",N27-O27)</f>
        <v/>
      </c>
      <c r="Q27" s="8" t="str">
        <f>IF($B27="","",IF(AND(M27&lt;=0,P27&lt;=0),"Soldé","En retard"))</f>
        <v/>
      </c>
      <c r="R27" s="8"/>
    </row>
    <row r="28">
      <c r="A28" s="20"/>
      <c r="B28" s="20"/>
      <c r="C28" s="20"/>
      <c r="D28" s="21"/>
      <c r="E28" s="77"/>
      <c r="F28" s="20"/>
      <c r="G28" s="20"/>
      <c r="H28" s="18" t="str">
        <f>IF($B28="","",Paramètres!$C$25)</f>
        <v/>
      </c>
      <c r="I28" s="19"/>
      <c r="J28" s="19"/>
      <c r="K28" s="19"/>
      <c r="L28" s="18" t="str">
        <f>IF($B28="","",SUM(I28:K28))</f>
        <v/>
      </c>
      <c r="M28" s="18" t="str">
        <f>IF($B28="","",H28-L28)</f>
        <v/>
      </c>
      <c r="N28" s="18" t="str">
        <f>IF($B28="","",IF(R28="Ancien",0,Paramètres!$D$25))</f>
        <v/>
      </c>
      <c r="O28" s="19"/>
      <c r="P28" s="18" t="str">
        <f>IF($B28="","",N28-O28)</f>
        <v/>
      </c>
      <c r="Q28" s="21" t="str">
        <f>IF($B28="","",IF(AND(M28&lt;=0,P28&lt;=0),"Soldé","En retard"))</f>
        <v/>
      </c>
      <c r="R28" s="21"/>
    </row>
    <row r="29">
      <c r="A29" s="15"/>
      <c r="B29" s="15"/>
      <c r="C29" s="15"/>
      <c r="D29" s="8"/>
      <c r="E29" s="79"/>
      <c r="F29" s="15"/>
      <c r="G29" s="15"/>
      <c r="H29" s="18" t="str">
        <f>IF($B29="","",Paramètres!$C$25)</f>
        <v/>
      </c>
      <c r="I29" s="19"/>
      <c r="J29" s="19"/>
      <c r="K29" s="19"/>
      <c r="L29" s="18" t="str">
        <f>IF($B29="","",SUM(I29:K29))</f>
        <v/>
      </c>
      <c r="M29" s="18" t="str">
        <f>IF($B29="","",H29-L29)</f>
        <v/>
      </c>
      <c r="N29" s="18" t="str">
        <f>IF($B29="","",IF(R29="Ancien",0,Paramètres!$D$25))</f>
        <v/>
      </c>
      <c r="O29" s="19"/>
      <c r="P29" s="18" t="str">
        <f>IF($B29="","",N29-O29)</f>
        <v/>
      </c>
      <c r="Q29" s="8" t="str">
        <f>IF($B29="","",IF(AND(M29&lt;=0,P29&lt;=0),"Soldé","En retard"))</f>
        <v/>
      </c>
      <c r="R29" s="8"/>
    </row>
    <row r="30">
      <c r="A30" s="20"/>
      <c r="B30" s="20"/>
      <c r="C30" s="20"/>
      <c r="D30" s="21"/>
      <c r="E30" s="77"/>
      <c r="F30" s="20"/>
      <c r="G30" s="20"/>
      <c r="H30" s="18" t="str">
        <f>IF($B30="","",Paramètres!$C$25)</f>
        <v/>
      </c>
      <c r="I30" s="19"/>
      <c r="J30" s="19"/>
      <c r="K30" s="19"/>
      <c r="L30" s="18" t="str">
        <f>IF($B30="","",SUM(I30:K30))</f>
        <v/>
      </c>
      <c r="M30" s="18" t="str">
        <f>IF($B30="","",H30-L30)</f>
        <v/>
      </c>
      <c r="N30" s="18" t="str">
        <f>IF($B30="","",IF(R30="Ancien",0,Paramètres!$D$25))</f>
        <v/>
      </c>
      <c r="O30" s="19"/>
      <c r="P30" s="18" t="str">
        <f>IF($B30="","",N30-O30)</f>
        <v/>
      </c>
      <c r="Q30" s="21" t="str">
        <f>IF($B30="","",IF(AND(M30&lt;=0,P30&lt;=0),"Soldé","En retard"))</f>
        <v/>
      </c>
      <c r="R30" s="21"/>
    </row>
    <row r="31">
      <c r="A31" s="15"/>
      <c r="B31" s="15"/>
      <c r="C31" s="15"/>
      <c r="D31" s="8"/>
      <c r="E31" s="79"/>
      <c r="F31" s="15"/>
      <c r="G31" s="15"/>
      <c r="H31" s="18" t="str">
        <f>IF($B31="","",Paramètres!$C$25)</f>
        <v/>
      </c>
      <c r="I31" s="19"/>
      <c r="J31" s="19"/>
      <c r="K31" s="19"/>
      <c r="L31" s="18" t="str">
        <f>IF($B31="","",SUM(I31:K31))</f>
        <v/>
      </c>
      <c r="M31" s="18" t="str">
        <f>IF($B31="","",H31-L31)</f>
        <v/>
      </c>
      <c r="N31" s="18" t="str">
        <f>IF($B31="","",IF(R31="Ancien",0,Paramètres!$D$25))</f>
        <v/>
      </c>
      <c r="O31" s="19"/>
      <c r="P31" s="18" t="str">
        <f>IF($B31="","",N31-O31)</f>
        <v/>
      </c>
      <c r="Q31" s="8" t="str">
        <f>IF($B31="","",IF(AND(M31&lt;=0,P31&lt;=0),"Soldé","En retard"))</f>
        <v/>
      </c>
      <c r="R31" s="8"/>
    </row>
    <row r="32">
      <c r="A32" s="20"/>
      <c r="B32" s="20"/>
      <c r="C32" s="20"/>
      <c r="D32" s="21"/>
      <c r="E32" s="77"/>
      <c r="F32" s="20"/>
      <c r="G32" s="20"/>
      <c r="H32" s="18" t="str">
        <f>IF($B32="","",Paramètres!$C$25)</f>
        <v/>
      </c>
      <c r="I32" s="19"/>
      <c r="J32" s="19"/>
      <c r="K32" s="19"/>
      <c r="L32" s="18" t="str">
        <f>IF($B32="","",SUM(I32:K32))</f>
        <v/>
      </c>
      <c r="M32" s="18" t="str">
        <f>IF($B32="","",H32-L32)</f>
        <v/>
      </c>
      <c r="N32" s="18" t="str">
        <f>IF($B32="","",IF(R32="Ancien",0,Paramètres!$D$25))</f>
        <v/>
      </c>
      <c r="O32" s="19"/>
      <c r="P32" s="18" t="str">
        <f>IF($B32="","",N32-O32)</f>
        <v/>
      </c>
      <c r="Q32" s="21" t="str">
        <f>IF($B32="","",IF(AND(M32&lt;=0,P32&lt;=0),"Soldé","En retard"))</f>
        <v/>
      </c>
      <c r="R32" s="21"/>
    </row>
    <row r="33">
      <c r="A33" s="15"/>
      <c r="B33" s="15"/>
      <c r="C33" s="15"/>
      <c r="D33" s="8"/>
      <c r="E33" s="79"/>
      <c r="F33" s="15"/>
      <c r="G33" s="15"/>
      <c r="H33" s="18" t="str">
        <f>IF($B33="","",Paramètres!$C$25)</f>
        <v/>
      </c>
      <c r="I33" s="19"/>
      <c r="J33" s="19"/>
      <c r="K33" s="19"/>
      <c r="L33" s="18" t="str">
        <f>IF($B33="","",SUM(I33:K33))</f>
        <v/>
      </c>
      <c r="M33" s="18" t="str">
        <f>IF($B33="","",H33-L33)</f>
        <v/>
      </c>
      <c r="N33" s="18" t="str">
        <f>IF($B33="","",IF(R33="Ancien",0,Paramètres!$D$25))</f>
        <v/>
      </c>
      <c r="O33" s="19"/>
      <c r="P33" s="18" t="str">
        <f>IF($B33="","",N33-O33)</f>
        <v/>
      </c>
      <c r="Q33" s="8" t="str">
        <f>IF($B33="","",IF(AND(M33&lt;=0,P33&lt;=0),"Soldé","En retard"))</f>
        <v/>
      </c>
      <c r="R33" s="8"/>
    </row>
    <row r="34">
      <c r="A34" s="20"/>
      <c r="B34" s="20"/>
      <c r="C34" s="20"/>
      <c r="D34" s="21"/>
      <c r="E34" s="77"/>
      <c r="F34" s="20"/>
      <c r="G34" s="20"/>
      <c r="H34" s="18" t="str">
        <f>IF($B34="","",Paramètres!$C$25)</f>
        <v/>
      </c>
      <c r="I34" s="19"/>
      <c r="J34" s="19"/>
      <c r="K34" s="19"/>
      <c r="L34" s="18" t="str">
        <f>IF($B34="","",SUM(I34:K34))</f>
        <v/>
      </c>
      <c r="M34" s="18" t="str">
        <f>IF($B34="","",H34-L34)</f>
        <v/>
      </c>
      <c r="N34" s="18" t="str">
        <f>IF($B34="","",IF(R34="Ancien",0,Paramètres!$D$25))</f>
        <v/>
      </c>
      <c r="O34" s="19"/>
      <c r="P34" s="18" t="str">
        <f>IF($B34="","",N34-O34)</f>
        <v/>
      </c>
      <c r="Q34" s="21" t="str">
        <f>IF($B34="","",IF(AND(M34&lt;=0,P34&lt;=0),"Soldé","En retard"))</f>
        <v/>
      </c>
      <c r="R34" s="21"/>
    </row>
    <row r="35">
      <c r="A35" s="15"/>
      <c r="B35" s="15"/>
      <c r="C35" s="15"/>
      <c r="D35" s="8"/>
      <c r="E35" s="79"/>
      <c r="F35" s="15"/>
      <c r="G35" s="15"/>
      <c r="H35" s="18" t="str">
        <f>IF($B35="","",Paramètres!$C$25)</f>
        <v/>
      </c>
      <c r="I35" s="19"/>
      <c r="J35" s="19"/>
      <c r="K35" s="19"/>
      <c r="L35" s="18" t="str">
        <f>IF($B35="","",SUM(I35:K35))</f>
        <v/>
      </c>
      <c r="M35" s="18" t="str">
        <f>IF($B35="","",H35-L35)</f>
        <v/>
      </c>
      <c r="N35" s="18" t="str">
        <f>IF($B35="","",IF(R35="Ancien",0,Paramètres!$D$25))</f>
        <v/>
      </c>
      <c r="O35" s="19"/>
      <c r="P35" s="18" t="str">
        <f>IF($B35="","",N35-O35)</f>
        <v/>
      </c>
      <c r="Q35" s="8" t="str">
        <f>IF($B35="","",IF(AND(M35&lt;=0,P35&lt;=0),"Soldé","En retard"))</f>
        <v/>
      </c>
      <c r="R35" s="8"/>
    </row>
    <row r="36">
      <c r="A36" s="20"/>
      <c r="B36" s="20"/>
      <c r="C36" s="20"/>
      <c r="D36" s="21"/>
      <c r="E36" s="77"/>
      <c r="F36" s="20"/>
      <c r="G36" s="20"/>
      <c r="H36" s="18" t="str">
        <f>IF($B36="","",Paramètres!$C$25)</f>
        <v/>
      </c>
      <c r="I36" s="19"/>
      <c r="J36" s="19"/>
      <c r="K36" s="19"/>
      <c r="L36" s="18" t="str">
        <f>IF($B36="","",SUM(I36:K36))</f>
        <v/>
      </c>
      <c r="M36" s="18" t="str">
        <f>IF($B36="","",H36-L36)</f>
        <v/>
      </c>
      <c r="N36" s="18" t="str">
        <f>IF($B36="","",IF(R36="Ancien",0,Paramètres!$D$25))</f>
        <v/>
      </c>
      <c r="O36" s="19"/>
      <c r="P36" s="18" t="str">
        <f>IF($B36="","",N36-O36)</f>
        <v/>
      </c>
      <c r="Q36" s="21" t="str">
        <f>IF($B36="","",IF(AND(M36&lt;=0,P36&lt;=0),"Soldé","En retard"))</f>
        <v/>
      </c>
      <c r="R36" s="21"/>
    </row>
    <row r="37">
      <c r="A37" s="15"/>
      <c r="B37" s="15"/>
      <c r="C37" s="15"/>
      <c r="D37" s="8"/>
      <c r="E37" s="79"/>
      <c r="F37" s="15"/>
      <c r="G37" s="15"/>
      <c r="H37" s="18" t="str">
        <f>IF($B37="","",Paramètres!$C$25)</f>
        <v/>
      </c>
      <c r="I37" s="19"/>
      <c r="J37" s="19"/>
      <c r="K37" s="19"/>
      <c r="L37" s="18" t="str">
        <f>IF($B37="","",SUM(I37:K37))</f>
        <v/>
      </c>
      <c r="M37" s="18" t="str">
        <f>IF($B37="","",H37-L37)</f>
        <v/>
      </c>
      <c r="N37" s="18" t="str">
        <f>IF($B37="","",IF(R37="Ancien",0,Paramètres!$D$25))</f>
        <v/>
      </c>
      <c r="O37" s="19"/>
      <c r="P37" s="18" t="str">
        <f>IF($B37="","",N37-O37)</f>
        <v/>
      </c>
      <c r="Q37" s="8" t="str">
        <f>IF($B37="","",IF(AND(M37&lt;=0,P37&lt;=0),"Soldé","En retard"))</f>
        <v/>
      </c>
      <c r="R37" s="8"/>
    </row>
    <row r="38">
      <c r="A38" s="20"/>
      <c r="B38" s="20"/>
      <c r="C38" s="20"/>
      <c r="D38" s="21"/>
      <c r="E38" s="77"/>
      <c r="F38" s="20"/>
      <c r="G38" s="20"/>
      <c r="H38" s="18" t="str">
        <f>IF($B38="","",Paramètres!$C$25)</f>
        <v/>
      </c>
      <c r="I38" s="19"/>
      <c r="J38" s="19"/>
      <c r="K38" s="19"/>
      <c r="L38" s="18" t="str">
        <f>IF($B38="","",SUM(I38:K38))</f>
        <v/>
      </c>
      <c r="M38" s="18" t="str">
        <f>IF($B38="","",H38-L38)</f>
        <v/>
      </c>
      <c r="N38" s="18" t="str">
        <f>IF($B38="","",IF(R38="Ancien",0,Paramètres!$D$25))</f>
        <v/>
      </c>
      <c r="O38" s="19"/>
      <c r="P38" s="18" t="str">
        <f>IF($B38="","",N38-O38)</f>
        <v/>
      </c>
      <c r="Q38" s="21" t="str">
        <f>IF($B38="","",IF(AND(M38&lt;=0,P38&lt;=0),"Soldé","En retard"))</f>
        <v/>
      </c>
      <c r="R38" s="21"/>
    </row>
    <row r="39">
      <c r="A39" s="15"/>
      <c r="B39" s="15"/>
      <c r="C39" s="15"/>
      <c r="D39" s="8"/>
      <c r="E39" s="79"/>
      <c r="F39" s="15"/>
      <c r="G39" s="15"/>
      <c r="H39" s="18" t="str">
        <f>IF($B39="","",Paramètres!$C$25)</f>
        <v/>
      </c>
      <c r="I39" s="19"/>
      <c r="J39" s="19"/>
      <c r="K39" s="19"/>
      <c r="L39" s="18" t="str">
        <f>IF($B39="","",SUM(I39:K39))</f>
        <v/>
      </c>
      <c r="M39" s="18" t="str">
        <f>IF($B39="","",H39-L39)</f>
        <v/>
      </c>
      <c r="N39" s="18" t="str">
        <f>IF($B39="","",IF(R39="Ancien",0,Paramètres!$D$25))</f>
        <v/>
      </c>
      <c r="O39" s="19"/>
      <c r="P39" s="18" t="str">
        <f>IF($B39="","",N39-O39)</f>
        <v/>
      </c>
      <c r="Q39" s="8" t="str">
        <f>IF($B39="","",IF(AND(M39&lt;=0,P39&lt;=0),"Soldé","En retard"))</f>
        <v/>
      </c>
      <c r="R39" s="8"/>
    </row>
    <row r="40">
      <c r="A40" s="20"/>
      <c r="B40" s="20"/>
      <c r="C40" s="20"/>
      <c r="D40" s="21"/>
      <c r="E40" s="77"/>
      <c r="F40" s="20"/>
      <c r="G40" s="20"/>
      <c r="H40" s="18" t="str">
        <f>IF($B40="","",Paramètres!$C$25)</f>
        <v/>
      </c>
      <c r="I40" s="19"/>
      <c r="J40" s="19"/>
      <c r="K40" s="19"/>
      <c r="L40" s="18" t="str">
        <f>IF($B40="","",SUM(I40:K40))</f>
        <v/>
      </c>
      <c r="M40" s="18" t="str">
        <f>IF($B40="","",H40-L40)</f>
        <v/>
      </c>
      <c r="N40" s="18" t="str">
        <f>IF($B40="","",IF(R40="Ancien",0,Paramètres!$D$25))</f>
        <v/>
      </c>
      <c r="O40" s="19"/>
      <c r="P40" s="18" t="str">
        <f>IF($B40="","",N40-O40)</f>
        <v/>
      </c>
      <c r="Q40" s="21" t="str">
        <f>IF($B40="","",IF(AND(M40&lt;=0,P40&lt;=0),"Soldé","En retard"))</f>
        <v/>
      </c>
      <c r="R40" s="21"/>
    </row>
    <row r="41">
      <c r="A41" s="15"/>
      <c r="B41" s="15"/>
      <c r="C41" s="15"/>
      <c r="D41" s="8"/>
      <c r="E41" s="79"/>
      <c r="F41" s="15"/>
      <c r="G41" s="15"/>
      <c r="H41" s="18" t="str">
        <f>IF($B41="","",Paramètres!$C$25)</f>
        <v/>
      </c>
      <c r="I41" s="19"/>
      <c r="J41" s="19"/>
      <c r="K41" s="19"/>
      <c r="L41" s="18" t="str">
        <f>IF($B41="","",SUM(I41:K41))</f>
        <v/>
      </c>
      <c r="M41" s="18" t="str">
        <f>IF($B41="","",H41-L41)</f>
        <v/>
      </c>
      <c r="N41" s="18" t="str">
        <f>IF($B41="","",IF(R41="Ancien",0,Paramètres!$D$25))</f>
        <v/>
      </c>
      <c r="O41" s="19"/>
      <c r="P41" s="18" t="str">
        <f>IF($B41="","",N41-O41)</f>
        <v/>
      </c>
      <c r="Q41" s="8" t="str">
        <f>IF($B41="","",IF(AND(M41&lt;=0,P41&lt;=0),"Soldé","En retard"))</f>
        <v/>
      </c>
      <c r="R41" s="8"/>
    </row>
    <row r="42">
      <c r="A42" s="20"/>
      <c r="B42" s="20"/>
      <c r="C42" s="20"/>
      <c r="D42" s="21"/>
      <c r="E42" s="77"/>
      <c r="F42" s="20"/>
      <c r="G42" s="20"/>
      <c r="H42" s="18" t="str">
        <f>IF($B42="","",Paramètres!$C$25)</f>
        <v/>
      </c>
      <c r="I42" s="19"/>
      <c r="J42" s="19"/>
      <c r="K42" s="19"/>
      <c r="L42" s="18" t="str">
        <f>IF($B42="","",SUM(I42:K42))</f>
        <v/>
      </c>
      <c r="M42" s="18" t="str">
        <f>IF($B42="","",H42-L42)</f>
        <v/>
      </c>
      <c r="N42" s="18" t="str">
        <f>IF($B42="","",IF(R42="Ancien",0,Paramètres!$D$25))</f>
        <v/>
      </c>
      <c r="O42" s="19"/>
      <c r="P42" s="18" t="str">
        <f>IF($B42="","",N42-O42)</f>
        <v/>
      </c>
      <c r="Q42" s="21" t="str">
        <f>IF($B42="","",IF(AND(M42&lt;=0,P42&lt;=0),"Soldé","En retard"))</f>
        <v/>
      </c>
      <c r="R42" s="21"/>
    </row>
    <row r="43">
      <c r="A43" s="15"/>
      <c r="B43" s="15"/>
      <c r="C43" s="15"/>
      <c r="D43" s="8"/>
      <c r="E43" s="79"/>
      <c r="F43" s="15"/>
      <c r="G43" s="15"/>
      <c r="H43" s="18" t="str">
        <f>IF($B43="","",Paramètres!$C$25)</f>
        <v/>
      </c>
      <c r="I43" s="19"/>
      <c r="J43" s="19"/>
      <c r="K43" s="19"/>
      <c r="L43" s="18" t="str">
        <f>IF($B43="","",SUM(I43:K43))</f>
        <v/>
      </c>
      <c r="M43" s="18" t="str">
        <f>IF($B43="","",H43-L43)</f>
        <v/>
      </c>
      <c r="N43" s="18" t="str">
        <f>IF($B43="","",IF(R43="Ancien",0,Paramètres!$D$25))</f>
        <v/>
      </c>
      <c r="O43" s="19"/>
      <c r="P43" s="18" t="str">
        <f>IF($B43="","",N43-O43)</f>
        <v/>
      </c>
      <c r="Q43" s="8" t="str">
        <f>IF($B43="","",IF(AND(M43&lt;=0,P43&lt;=0),"Soldé","En retard"))</f>
        <v/>
      </c>
      <c r="R43" s="8"/>
    </row>
    <row r="44">
      <c r="A44" s="20"/>
      <c r="B44" s="20"/>
      <c r="C44" s="20"/>
      <c r="D44" s="21"/>
      <c r="E44" s="77"/>
      <c r="F44" s="20"/>
      <c r="G44" s="20"/>
      <c r="H44" s="18" t="str">
        <f>IF($B44="","",Paramètres!$C$25)</f>
        <v/>
      </c>
      <c r="I44" s="19"/>
      <c r="J44" s="19"/>
      <c r="K44" s="19"/>
      <c r="L44" s="18" t="str">
        <f>IF($B44="","",SUM(I44:K44))</f>
        <v/>
      </c>
      <c r="M44" s="18" t="str">
        <f>IF($B44="","",H44-L44)</f>
        <v/>
      </c>
      <c r="N44" s="18" t="str">
        <f>IF($B44="","",IF(R44="Ancien",0,Paramètres!$D$25))</f>
        <v/>
      </c>
      <c r="O44" s="19"/>
      <c r="P44" s="18" t="str">
        <f>IF($B44="","",N44-O44)</f>
        <v/>
      </c>
      <c r="Q44" s="21" t="str">
        <f>IF($B44="","",IF(AND(M44&lt;=0,P44&lt;=0),"Soldé","En retard"))</f>
        <v/>
      </c>
      <c r="R44" s="21"/>
    </row>
    <row r="45">
      <c r="A45" s="15"/>
      <c r="B45" s="15"/>
      <c r="C45" s="15"/>
      <c r="D45" s="8"/>
      <c r="E45" s="79"/>
      <c r="F45" s="15"/>
      <c r="G45" s="15"/>
      <c r="H45" s="18" t="str">
        <f>IF($B45="","",Paramètres!$C$25)</f>
        <v/>
      </c>
      <c r="I45" s="19"/>
      <c r="J45" s="19"/>
      <c r="K45" s="19"/>
      <c r="L45" s="18" t="str">
        <f>IF($B45="","",SUM(I45:K45))</f>
        <v/>
      </c>
      <c r="M45" s="18" t="str">
        <f>IF($B45="","",H45-L45)</f>
        <v/>
      </c>
      <c r="N45" s="18" t="str">
        <f>IF($B45="","",IF(R45="Ancien",0,Paramètres!$D$25))</f>
        <v/>
      </c>
      <c r="O45" s="19"/>
      <c r="P45" s="18" t="str">
        <f>IF($B45="","",N45-O45)</f>
        <v/>
      </c>
      <c r="Q45" s="8" t="str">
        <f>IF($B45="","",IF(AND(M45&lt;=0,P45&lt;=0),"Soldé","En retard"))</f>
        <v/>
      </c>
      <c r="R45" s="8"/>
    </row>
    <row r="46">
      <c r="A46" s="20"/>
      <c r="B46" s="20"/>
      <c r="C46" s="20"/>
      <c r="D46" s="21"/>
      <c r="E46" s="77"/>
      <c r="F46" s="20"/>
      <c r="G46" s="20"/>
      <c r="H46" s="18" t="str">
        <f>IF($B46="","",Paramètres!$C$25)</f>
        <v/>
      </c>
      <c r="I46" s="19"/>
      <c r="J46" s="19"/>
      <c r="K46" s="19"/>
      <c r="L46" s="18" t="str">
        <f>IF($B46="","",SUM(I46:K46))</f>
        <v/>
      </c>
      <c r="M46" s="18" t="str">
        <f>IF($B46="","",H46-L46)</f>
        <v/>
      </c>
      <c r="N46" s="18" t="str">
        <f>IF($B46="","",IF(R46="Ancien",0,Paramètres!$D$25))</f>
        <v/>
      </c>
      <c r="O46" s="19"/>
      <c r="P46" s="18" t="str">
        <f>IF($B46="","",N46-O46)</f>
        <v/>
      </c>
      <c r="Q46" s="21" t="str">
        <f>IF($B46="","",IF(AND(M46&lt;=0,P46&lt;=0),"Soldé","En retard"))</f>
        <v/>
      </c>
      <c r="R46" s="21"/>
    </row>
    <row r="47">
      <c r="A47" s="15"/>
      <c r="B47" s="15"/>
      <c r="C47" s="15"/>
      <c r="D47" s="8"/>
      <c r="E47" s="79"/>
      <c r="F47" s="15"/>
      <c r="G47" s="15"/>
      <c r="H47" s="18" t="str">
        <f>IF($B47="","",Paramètres!$C$25)</f>
        <v/>
      </c>
      <c r="I47" s="19"/>
      <c r="J47" s="19"/>
      <c r="K47" s="19"/>
      <c r="L47" s="18" t="str">
        <f>IF($B47="","",SUM(I47:K47))</f>
        <v/>
      </c>
      <c r="M47" s="18" t="str">
        <f>IF($B47="","",H47-L47)</f>
        <v/>
      </c>
      <c r="N47" s="18" t="str">
        <f>IF($B47="","",IF(R47="Ancien",0,Paramètres!$D$25))</f>
        <v/>
      </c>
      <c r="O47" s="19"/>
      <c r="P47" s="18" t="str">
        <f>IF($B47="","",N47-O47)</f>
        <v/>
      </c>
      <c r="Q47" s="8" t="str">
        <f>IF($B47="","",IF(AND(M47&lt;=0,P47&lt;=0),"Soldé","En retard"))</f>
        <v/>
      </c>
      <c r="R47" s="8"/>
    </row>
    <row r="48">
      <c r="A48" s="20"/>
      <c r="B48" s="20"/>
      <c r="C48" s="20"/>
      <c r="D48" s="21"/>
      <c r="E48" s="77"/>
      <c r="F48" s="20"/>
      <c r="G48" s="20"/>
      <c r="H48" s="18" t="str">
        <f>IF($B48="","",Paramètres!$C$25)</f>
        <v/>
      </c>
      <c r="I48" s="19"/>
      <c r="J48" s="19"/>
      <c r="K48" s="19"/>
      <c r="L48" s="18" t="str">
        <f>IF($B48="","",SUM(I48:K48))</f>
        <v/>
      </c>
      <c r="M48" s="18" t="str">
        <f>IF($B48="","",H48-L48)</f>
        <v/>
      </c>
      <c r="N48" s="18" t="str">
        <f>IF($B48="","",IF(R48="Ancien",0,Paramètres!$D$25))</f>
        <v/>
      </c>
      <c r="O48" s="19"/>
      <c r="P48" s="18" t="str">
        <f>IF($B48="","",N48-O48)</f>
        <v/>
      </c>
      <c r="Q48" s="21" t="str">
        <f>IF($B48="","",IF(AND(M48&lt;=0,P48&lt;=0),"Soldé","En retard"))</f>
        <v/>
      </c>
      <c r="R48" s="21"/>
    </row>
    <row r="49">
      <c r="A49" s="15"/>
      <c r="B49" s="15"/>
      <c r="C49" s="15"/>
      <c r="D49" s="8"/>
      <c r="E49" s="79"/>
      <c r="F49" s="15"/>
      <c r="G49" s="15"/>
      <c r="H49" s="18" t="str">
        <f>IF($B49="","",Paramètres!$C$25)</f>
        <v/>
      </c>
      <c r="I49" s="19"/>
      <c r="J49" s="19"/>
      <c r="K49" s="19"/>
      <c r="L49" s="18" t="str">
        <f>IF($B49="","",SUM(I49:K49))</f>
        <v/>
      </c>
      <c r="M49" s="18" t="str">
        <f>IF($B49="","",H49-L49)</f>
        <v/>
      </c>
      <c r="N49" s="18" t="str">
        <f>IF($B49="","",IF(R49="Ancien",0,Paramètres!$D$25))</f>
        <v/>
      </c>
      <c r="O49" s="19"/>
      <c r="P49" s="18" t="str">
        <f>IF($B49="","",N49-O49)</f>
        <v/>
      </c>
      <c r="Q49" s="8" t="str">
        <f>IF($B49="","",IF(AND(M49&lt;=0,P49&lt;=0),"Soldé","En retard"))</f>
        <v/>
      </c>
      <c r="R49" s="8"/>
    </row>
    <row r="50">
      <c r="A50" s="20"/>
      <c r="B50" s="20"/>
      <c r="C50" s="20"/>
      <c r="D50" s="21"/>
      <c r="E50" s="77"/>
      <c r="F50" s="20"/>
      <c r="G50" s="20"/>
      <c r="H50" s="18" t="str">
        <f>IF($B50="","",Paramètres!$C$25)</f>
        <v/>
      </c>
      <c r="I50" s="19"/>
      <c r="J50" s="19"/>
      <c r="K50" s="19"/>
      <c r="L50" s="18" t="str">
        <f>IF($B50="","",SUM(I50:K50))</f>
        <v/>
      </c>
      <c r="M50" s="18" t="str">
        <f>IF($B50="","",H50-L50)</f>
        <v/>
      </c>
      <c r="N50" s="18" t="str">
        <f>IF($B50="","",IF(R50="Ancien",0,Paramètres!$D$25))</f>
        <v/>
      </c>
      <c r="O50" s="19"/>
      <c r="P50" s="18" t="str">
        <f>IF($B50="","",N50-O50)</f>
        <v/>
      </c>
      <c r="Q50" s="21" t="str">
        <f>IF($B50="","",IF(AND(M50&lt;=0,P50&lt;=0),"Soldé","En retard"))</f>
        <v/>
      </c>
      <c r="R50" s="21"/>
    </row>
    <row r="51">
      <c r="A51" s="15"/>
      <c r="B51" s="15"/>
      <c r="C51" s="15"/>
      <c r="D51" s="8"/>
      <c r="E51" s="79"/>
      <c r="F51" s="15"/>
      <c r="G51" s="15"/>
      <c r="H51" s="18" t="str">
        <f>IF($B51="","",Paramètres!$C$25)</f>
        <v/>
      </c>
      <c r="I51" s="19"/>
      <c r="J51" s="19"/>
      <c r="K51" s="19"/>
      <c r="L51" s="18" t="str">
        <f>IF($B51="","",SUM(I51:K51))</f>
        <v/>
      </c>
      <c r="M51" s="18" t="str">
        <f>IF($B51="","",H51-L51)</f>
        <v/>
      </c>
      <c r="N51" s="18" t="str">
        <f>IF($B51="","",IF(R51="Ancien",0,Paramètres!$D$25))</f>
        <v/>
      </c>
      <c r="O51" s="19"/>
      <c r="P51" s="18" t="str">
        <f>IF($B51="","",N51-O51)</f>
        <v/>
      </c>
      <c r="Q51" s="8" t="str">
        <f>IF($B51="","",IF(AND(M51&lt;=0,P51&lt;=0),"Soldé","En retard"))</f>
        <v/>
      </c>
      <c r="R51" s="8"/>
    </row>
    <row r="52">
      <c r="A52" s="20"/>
      <c r="B52" s="20"/>
      <c r="C52" s="20"/>
      <c r="D52" s="21"/>
      <c r="E52" s="77"/>
      <c r="F52" s="20"/>
      <c r="G52" s="20"/>
      <c r="H52" s="18" t="str">
        <f>IF($B52="","",Paramètres!$C$25)</f>
        <v/>
      </c>
      <c r="I52" s="19"/>
      <c r="J52" s="19"/>
      <c r="K52" s="19"/>
      <c r="L52" s="18" t="str">
        <f>IF($B52="","",SUM(I52:K52))</f>
        <v/>
      </c>
      <c r="M52" s="18" t="str">
        <f>IF($B52="","",H52-L52)</f>
        <v/>
      </c>
      <c r="N52" s="18" t="str">
        <f>IF($B52="","",IF(R52="Ancien",0,Paramètres!$D$25))</f>
        <v/>
      </c>
      <c r="O52" s="19"/>
      <c r="P52" s="18" t="str">
        <f>IF($B52="","",N52-O52)</f>
        <v/>
      </c>
      <c r="Q52" s="21" t="str">
        <f>IF($B52="","",IF(AND(M52&lt;=0,P52&lt;=0),"Soldé","En retard"))</f>
        <v/>
      </c>
      <c r="R52" s="21"/>
    </row>
    <row r="53">
      <c r="A53" s="15"/>
      <c r="B53" s="15"/>
      <c r="C53" s="15"/>
      <c r="D53" s="8"/>
      <c r="E53" s="79"/>
      <c r="F53" s="15"/>
      <c r="G53" s="15"/>
      <c r="H53" s="18" t="str">
        <f>IF($B53="","",Paramètres!$C$25)</f>
        <v/>
      </c>
      <c r="I53" s="19"/>
      <c r="J53" s="19"/>
      <c r="K53" s="19"/>
      <c r="L53" s="18" t="str">
        <f>IF($B53="","",SUM(I53:K53))</f>
        <v/>
      </c>
      <c r="M53" s="18" t="str">
        <f>IF($B53="","",H53-L53)</f>
        <v/>
      </c>
      <c r="N53" s="18" t="str">
        <f>IF($B53="","",IF(R53="Ancien",0,Paramètres!$D$25))</f>
        <v/>
      </c>
      <c r="O53" s="19"/>
      <c r="P53" s="18" t="str">
        <f>IF($B53="","",N53-O53)</f>
        <v/>
      </c>
      <c r="Q53" s="8" t="str">
        <f>IF($B53="","",IF(AND(M53&lt;=0,P53&lt;=0),"Soldé","En retard"))</f>
        <v/>
      </c>
      <c r="R53" s="8"/>
    </row>
    <row r="54">
      <c r="A54" s="20"/>
      <c r="B54" s="20"/>
      <c r="C54" s="20"/>
      <c r="D54" s="21"/>
      <c r="E54" s="77"/>
      <c r="F54" s="20"/>
      <c r="G54" s="20"/>
      <c r="H54" s="18" t="str">
        <f>IF($B54="","",Paramètres!$C$25)</f>
        <v/>
      </c>
      <c r="I54" s="19"/>
      <c r="J54" s="19"/>
      <c r="K54" s="19"/>
      <c r="L54" s="18" t="str">
        <f>IF($B54="","",SUM(I54:K54))</f>
        <v/>
      </c>
      <c r="M54" s="18" t="str">
        <f>IF($B54="","",H54-L54)</f>
        <v/>
      </c>
      <c r="N54" s="18" t="str">
        <f>IF($B54="","",IF(R54="Ancien",0,Paramètres!$D$25))</f>
        <v/>
      </c>
      <c r="O54" s="19"/>
      <c r="P54" s="18" t="str">
        <f>IF($B54="","",N54-O54)</f>
        <v/>
      </c>
      <c r="Q54" s="21" t="str">
        <f>IF($B54="","",IF(AND(M54&lt;=0,P54&lt;=0),"Soldé","En retard"))</f>
        <v/>
      </c>
      <c r="R54" s="21"/>
    </row>
    <row r="55">
      <c r="A55" s="15"/>
      <c r="B55" s="15"/>
      <c r="C55" s="15"/>
      <c r="D55" s="8"/>
      <c r="E55" s="79"/>
      <c r="F55" s="15"/>
      <c r="G55" s="15"/>
      <c r="H55" s="18" t="str">
        <f>IF($B55="","",Paramètres!$C$25)</f>
        <v/>
      </c>
      <c r="I55" s="19"/>
      <c r="J55" s="19"/>
      <c r="K55" s="19"/>
      <c r="L55" s="18" t="str">
        <f>IF($B55="","",SUM(I55:K55))</f>
        <v/>
      </c>
      <c r="M55" s="18" t="str">
        <f>IF($B55="","",H55-L55)</f>
        <v/>
      </c>
      <c r="N55" s="18" t="str">
        <f>IF($B55="","",IF(R55="Ancien",0,Paramètres!$D$25))</f>
        <v/>
      </c>
      <c r="O55" s="19"/>
      <c r="P55" s="18" t="str">
        <f>IF($B55="","",N55-O55)</f>
        <v/>
      </c>
      <c r="Q55" s="8" t="str">
        <f>IF($B55="","",IF(AND(M55&lt;=0,P55&lt;=0),"Soldé","En retard"))</f>
        <v/>
      </c>
      <c r="R55" s="8"/>
    </row>
    <row r="56">
      <c r="A56" s="20"/>
      <c r="B56" s="20"/>
      <c r="C56" s="20"/>
      <c r="D56" s="21"/>
      <c r="E56" s="77"/>
      <c r="F56" s="20"/>
      <c r="G56" s="20"/>
      <c r="H56" s="18" t="str">
        <f>IF($B56="","",Paramètres!$C$25)</f>
        <v/>
      </c>
      <c r="I56" s="19"/>
      <c r="J56" s="19"/>
      <c r="K56" s="19"/>
      <c r="L56" s="18" t="str">
        <f>IF($B56="","",SUM(I56:K56))</f>
        <v/>
      </c>
      <c r="M56" s="18" t="str">
        <f>IF($B56="","",H56-L56)</f>
        <v/>
      </c>
      <c r="N56" s="18" t="str">
        <f>IF($B56="","",IF(R56="Ancien",0,Paramètres!$D$25))</f>
        <v/>
      </c>
      <c r="O56" s="19"/>
      <c r="P56" s="18" t="str">
        <f>IF($B56="","",N56-O56)</f>
        <v/>
      </c>
      <c r="Q56" s="21" t="str">
        <f>IF($B56="","",IF(AND(M56&lt;=0,P56&lt;=0),"Soldé","En retard"))</f>
        <v/>
      </c>
      <c r="R56" s="21"/>
    </row>
    <row r="57">
      <c r="A57" s="15"/>
      <c r="B57" s="15"/>
      <c r="C57" s="15"/>
      <c r="D57" s="8"/>
      <c r="E57" s="79"/>
      <c r="F57" s="15"/>
      <c r="G57" s="15"/>
      <c r="H57" s="18" t="str">
        <f>IF($B57="","",Paramètres!$C$25)</f>
        <v/>
      </c>
      <c r="I57" s="19"/>
      <c r="J57" s="19"/>
      <c r="K57" s="19"/>
      <c r="L57" s="18" t="str">
        <f>IF($B57="","",SUM(I57:K57))</f>
        <v/>
      </c>
      <c r="M57" s="18" t="str">
        <f>IF($B57="","",H57-L57)</f>
        <v/>
      </c>
      <c r="N57" s="18" t="str">
        <f>IF($B57="","",IF(R57="Ancien",0,Paramètres!$D$25))</f>
        <v/>
      </c>
      <c r="O57" s="19"/>
      <c r="P57" s="18" t="str">
        <f>IF($B57="","",N57-O57)</f>
        <v/>
      </c>
      <c r="Q57" s="8" t="str">
        <f>IF($B57="","",IF(AND(M57&lt;=0,P57&lt;=0),"Soldé","En retard"))</f>
        <v/>
      </c>
      <c r="R57" s="8"/>
    </row>
    <row r="58">
      <c r="A58" s="20"/>
      <c r="B58" s="20"/>
      <c r="C58" s="20"/>
      <c r="D58" s="21"/>
      <c r="E58" s="77"/>
      <c r="F58" s="20"/>
      <c r="G58" s="20"/>
      <c r="H58" s="18" t="str">
        <f>IF($B58="","",Paramètres!$C$25)</f>
        <v/>
      </c>
      <c r="I58" s="19"/>
      <c r="J58" s="19"/>
      <c r="K58" s="19"/>
      <c r="L58" s="18" t="str">
        <f>IF($B58="","",SUM(I58:K58))</f>
        <v/>
      </c>
      <c r="M58" s="18" t="str">
        <f>IF($B58="","",H58-L58)</f>
        <v/>
      </c>
      <c r="N58" s="18" t="str">
        <f>IF($B58="","",IF(R58="Ancien",0,Paramètres!$D$25))</f>
        <v/>
      </c>
      <c r="O58" s="19"/>
      <c r="P58" s="18" t="str">
        <f>IF($B58="","",N58-O58)</f>
        <v/>
      </c>
      <c r="Q58" s="21" t="str">
        <f>IF($B58="","",IF(AND(M58&lt;=0,P58&lt;=0),"Soldé","En retard"))</f>
        <v/>
      </c>
      <c r="R58" s="21"/>
    </row>
    <row r="59">
      <c r="A59" s="15"/>
      <c r="B59" s="15"/>
      <c r="C59" s="15"/>
      <c r="D59" s="8"/>
      <c r="E59" s="79"/>
      <c r="F59" s="15"/>
      <c r="G59" s="15"/>
      <c r="H59" s="18" t="str">
        <f>IF($B59="","",Paramètres!$C$25)</f>
        <v/>
      </c>
      <c r="I59" s="19"/>
      <c r="J59" s="19"/>
      <c r="K59" s="19"/>
      <c r="L59" s="18" t="str">
        <f>IF($B59="","",SUM(I59:K59))</f>
        <v/>
      </c>
      <c r="M59" s="18" t="str">
        <f>IF($B59="","",H59-L59)</f>
        <v/>
      </c>
      <c r="N59" s="18" t="str">
        <f>IF($B59="","",IF(R59="Ancien",0,Paramètres!$D$25))</f>
        <v/>
      </c>
      <c r="O59" s="19"/>
      <c r="P59" s="18" t="str">
        <f>IF($B59="","",N59-O59)</f>
        <v/>
      </c>
      <c r="Q59" s="8" t="str">
        <f>IF($B59="","",IF(AND(M59&lt;=0,P59&lt;=0),"Soldé","En retard"))</f>
        <v/>
      </c>
      <c r="R59" s="8"/>
    </row>
    <row r="60">
      <c r="A60" s="20"/>
      <c r="B60" s="20"/>
      <c r="C60" s="20"/>
      <c r="D60" s="21"/>
      <c r="E60" s="77"/>
      <c r="F60" s="20"/>
      <c r="G60" s="20"/>
      <c r="H60" s="18" t="str">
        <f>IF($B60="","",Paramètres!$C$25)</f>
        <v/>
      </c>
      <c r="I60" s="19"/>
      <c r="J60" s="19"/>
      <c r="K60" s="19"/>
      <c r="L60" s="18" t="str">
        <f>IF($B60="","",SUM(I60:K60))</f>
        <v/>
      </c>
      <c r="M60" s="18" t="str">
        <f>IF($B60="","",H60-L60)</f>
        <v/>
      </c>
      <c r="N60" s="18" t="str">
        <f>IF($B60="","",IF(R60="Ancien",0,Paramètres!$D$25))</f>
        <v/>
      </c>
      <c r="O60" s="19"/>
      <c r="P60" s="18" t="str">
        <f>IF($B60="","",N60-O60)</f>
        <v/>
      </c>
      <c r="Q60" s="21" t="str">
        <f>IF($B60="","",IF(AND(M60&lt;=0,P60&lt;=0),"Soldé","En retard"))</f>
        <v/>
      </c>
      <c r="R60" s="21"/>
    </row>
    <row r="61">
      <c r="A61" s="15"/>
      <c r="B61" s="15"/>
      <c r="C61" s="15"/>
      <c r="D61" s="8"/>
      <c r="E61" s="79"/>
      <c r="F61" s="15"/>
      <c r="G61" s="15"/>
      <c r="H61" s="18" t="str">
        <f>IF($B61="","",Paramètres!$C$25)</f>
        <v/>
      </c>
      <c r="I61" s="19"/>
      <c r="J61" s="19"/>
      <c r="K61" s="19"/>
      <c r="L61" s="18" t="str">
        <f>IF($B61="","",SUM(I61:K61))</f>
        <v/>
      </c>
      <c r="M61" s="18" t="str">
        <f>IF($B61="","",H61-L61)</f>
        <v/>
      </c>
      <c r="N61" s="18" t="str">
        <f>IF($B61="","",IF(R61="Ancien",0,Paramètres!$D$25))</f>
        <v/>
      </c>
      <c r="O61" s="19"/>
      <c r="P61" s="18" t="str">
        <f>IF($B61="","",N61-O61)</f>
        <v/>
      </c>
      <c r="Q61" s="8" t="str">
        <f>IF($B61="","",IF(AND(M61&lt;=0,P61&lt;=0),"Soldé","En retard"))</f>
        <v/>
      </c>
      <c r="R61" s="8"/>
    </row>
    <row r="62">
      <c r="A62" s="20"/>
      <c r="B62" s="20"/>
      <c r="C62" s="20"/>
      <c r="D62" s="21"/>
      <c r="E62" s="77"/>
      <c r="F62" s="20"/>
      <c r="G62" s="20"/>
      <c r="H62" s="18" t="str">
        <f>IF($B62="","",Paramètres!$C$25)</f>
        <v/>
      </c>
      <c r="I62" s="19"/>
      <c r="J62" s="19"/>
      <c r="K62" s="19"/>
      <c r="L62" s="18" t="str">
        <f>IF($B62="","",SUM(I62:K62))</f>
        <v/>
      </c>
      <c r="M62" s="18" t="str">
        <f>IF($B62="","",H62-L62)</f>
        <v/>
      </c>
      <c r="N62" s="18" t="str">
        <f>IF($B62="","",IF(R62="Ancien",0,Paramètres!$D$25))</f>
        <v/>
      </c>
      <c r="O62" s="19"/>
      <c r="P62" s="18" t="str">
        <f>IF($B62="","",N62-O62)</f>
        <v/>
      </c>
      <c r="Q62" s="21" t="str">
        <f>IF($B62="","",IF(AND(M62&lt;=0,P62&lt;=0),"Soldé","En retard"))</f>
        <v/>
      </c>
      <c r="R62" s="21"/>
    </row>
    <row r="63">
      <c r="A63" s="15"/>
      <c r="B63" s="15"/>
      <c r="C63" s="15"/>
      <c r="D63" s="8"/>
      <c r="E63" s="79"/>
      <c r="F63" s="15"/>
      <c r="G63" s="15"/>
      <c r="H63" s="18" t="str">
        <f>IF($B63="","",Paramètres!$C$25)</f>
        <v/>
      </c>
      <c r="I63" s="19"/>
      <c r="J63" s="19"/>
      <c r="K63" s="19"/>
      <c r="L63" s="18" t="str">
        <f>IF($B63="","",SUM(I63:K63))</f>
        <v/>
      </c>
      <c r="M63" s="18" t="str">
        <f>IF($B63="","",H63-L63)</f>
        <v/>
      </c>
      <c r="N63" s="18" t="str">
        <f>IF($B63="","",IF(R63="Ancien",0,Paramètres!$D$25))</f>
        <v/>
      </c>
      <c r="O63" s="19"/>
      <c r="P63" s="18" t="str">
        <f>IF($B63="","",N63-O63)</f>
        <v/>
      </c>
      <c r="Q63" s="8" t="str">
        <f>IF($B63="","",IF(AND(M63&lt;=0,P63&lt;=0),"Soldé","En retard"))</f>
        <v/>
      </c>
      <c r="R63" s="8"/>
    </row>
    <row r="64">
      <c r="A64" s="20"/>
      <c r="B64" s="20"/>
      <c r="C64" s="20"/>
      <c r="D64" s="21"/>
      <c r="E64" s="77"/>
      <c r="F64" s="20"/>
      <c r="G64" s="20"/>
      <c r="H64" s="18" t="str">
        <f>IF($B64="","",Paramètres!$C$25)</f>
        <v/>
      </c>
      <c r="I64" s="19"/>
      <c r="J64" s="19"/>
      <c r="K64" s="19"/>
      <c r="L64" s="18" t="str">
        <f>IF($B64="","",SUM(I64:K64))</f>
        <v/>
      </c>
      <c r="M64" s="18" t="str">
        <f>IF($B64="","",H64-L64)</f>
        <v/>
      </c>
      <c r="N64" s="18" t="str">
        <f>IF($B64="","",IF(R64="Ancien",0,Paramètres!$D$25))</f>
        <v/>
      </c>
      <c r="O64" s="19"/>
      <c r="P64" s="18" t="str">
        <f>IF($B64="","",N64-O64)</f>
        <v/>
      </c>
      <c r="Q64" s="21" t="str">
        <f>IF($B64="","",IF(AND(M64&lt;=0,P64&lt;=0),"Soldé","En retard"))</f>
        <v/>
      </c>
      <c r="R64" s="21"/>
    </row>
    <row r="65">
      <c r="A65" s="15"/>
      <c r="B65" s="15"/>
      <c r="C65" s="15"/>
      <c r="D65" s="8"/>
      <c r="E65" s="79"/>
      <c r="F65" s="15"/>
      <c r="G65" s="15"/>
      <c r="H65" s="18" t="str">
        <f>IF($B65="","",Paramètres!$C$25)</f>
        <v/>
      </c>
      <c r="I65" s="19"/>
      <c r="J65" s="19"/>
      <c r="K65" s="19"/>
      <c r="L65" s="18" t="str">
        <f>IF($B65="","",SUM(I65:K65))</f>
        <v/>
      </c>
      <c r="M65" s="18" t="str">
        <f>IF($B65="","",H65-L65)</f>
        <v/>
      </c>
      <c r="N65" s="18" t="str">
        <f>IF($B65="","",IF(R65="Ancien",0,Paramètres!$D$25))</f>
        <v/>
      </c>
      <c r="O65" s="19"/>
      <c r="P65" s="18" t="str">
        <f>IF($B65="","",N65-O65)</f>
        <v/>
      </c>
      <c r="Q65" s="8" t="str">
        <f>IF($B65="","",IF(AND(M65&lt;=0,P65&lt;=0),"Soldé","En retard"))</f>
        <v/>
      </c>
      <c r="R65" s="8"/>
    </row>
    <row r="66">
      <c r="A66" s="20"/>
      <c r="B66" s="20"/>
      <c r="C66" s="20"/>
      <c r="D66" s="21"/>
      <c r="E66" s="77"/>
      <c r="F66" s="20"/>
      <c r="G66" s="20"/>
      <c r="H66" s="18" t="str">
        <f>IF($B66="","",Paramètres!$C$25)</f>
        <v/>
      </c>
      <c r="I66" s="19"/>
      <c r="J66" s="19"/>
      <c r="K66" s="19"/>
      <c r="L66" s="18" t="str">
        <f>IF($B66="","",SUM(I66:K66))</f>
        <v/>
      </c>
      <c r="M66" s="18" t="str">
        <f>IF($B66="","",H66-L66)</f>
        <v/>
      </c>
      <c r="N66" s="18" t="str">
        <f>IF($B66="","",IF(R66="Ancien",0,Paramètres!$D$25))</f>
        <v/>
      </c>
      <c r="O66" s="19"/>
      <c r="P66" s="18" t="str">
        <f>IF($B66="","",N66-O66)</f>
        <v/>
      </c>
      <c r="Q66" s="21" t="str">
        <f>IF($B66="","",IF(AND(M66&lt;=0,P66&lt;=0),"Soldé","En retard"))</f>
        <v/>
      </c>
      <c r="R66" s="21"/>
    </row>
    <row r="67">
      <c r="A67" s="15"/>
      <c r="B67" s="15"/>
      <c r="C67" s="15"/>
      <c r="D67" s="8"/>
      <c r="E67" s="79"/>
      <c r="F67" s="15"/>
      <c r="G67" s="15"/>
      <c r="H67" s="18" t="str">
        <f>IF($B67="","",Paramètres!$C$25)</f>
        <v/>
      </c>
      <c r="I67" s="19"/>
      <c r="J67" s="19"/>
      <c r="K67" s="19"/>
      <c r="L67" s="18" t="str">
        <f>IF($B67="","",SUM(I67:K67))</f>
        <v/>
      </c>
      <c r="M67" s="18" t="str">
        <f>IF($B67="","",H67-L67)</f>
        <v/>
      </c>
      <c r="N67" s="18" t="str">
        <f>IF($B67="","",IF(R67="Ancien",0,Paramètres!$D$25))</f>
        <v/>
      </c>
      <c r="O67" s="19"/>
      <c r="P67" s="18" t="str">
        <f>IF($B67="","",N67-O67)</f>
        <v/>
      </c>
      <c r="Q67" s="8" t="str">
        <f>IF($B67="","",IF(AND(M67&lt;=0,P67&lt;=0),"Soldé","En retard"))</f>
        <v/>
      </c>
      <c r="R67" s="8"/>
    </row>
    <row r="68">
      <c r="A68" s="20"/>
      <c r="B68" s="20"/>
      <c r="C68" s="20"/>
      <c r="D68" s="21"/>
      <c r="E68" s="77"/>
      <c r="F68" s="20"/>
      <c r="G68" s="20"/>
      <c r="H68" s="18" t="str">
        <f>IF($B68="","",Paramètres!$C$25)</f>
        <v/>
      </c>
      <c r="I68" s="19"/>
      <c r="J68" s="19"/>
      <c r="K68" s="19"/>
      <c r="L68" s="18" t="str">
        <f>IF($B68="","",SUM(I68:K68))</f>
        <v/>
      </c>
      <c r="M68" s="18" t="str">
        <f>IF($B68="","",H68-L68)</f>
        <v/>
      </c>
      <c r="N68" s="18" t="str">
        <f>IF($B68="","",IF(R68="Ancien",0,Paramètres!$D$25))</f>
        <v/>
      </c>
      <c r="O68" s="19"/>
      <c r="P68" s="18" t="str">
        <f>IF($B68="","",N68-O68)</f>
        <v/>
      </c>
      <c r="Q68" s="21" t="str">
        <f>IF($B68="","",IF(AND(M68&lt;=0,P68&lt;=0),"Soldé","En retard"))</f>
        <v/>
      </c>
      <c r="R68" s="21"/>
    </row>
    <row r="69">
      <c r="A69" s="15"/>
      <c r="B69" s="15"/>
      <c r="C69" s="15"/>
      <c r="D69" s="8"/>
      <c r="E69" s="79"/>
      <c r="F69" s="15"/>
      <c r="G69" s="15"/>
      <c r="H69" s="18" t="str">
        <f>IF($B69="","",Paramètres!$C$25)</f>
        <v/>
      </c>
      <c r="I69" s="19"/>
      <c r="J69" s="19"/>
      <c r="K69" s="19"/>
      <c r="L69" s="18" t="str">
        <f>IF($B69="","",SUM(I69:K69))</f>
        <v/>
      </c>
      <c r="M69" s="18" t="str">
        <f>IF($B69="","",H69-L69)</f>
        <v/>
      </c>
      <c r="N69" s="18" t="str">
        <f>IF($B69="","",IF(R69="Ancien",0,Paramètres!$D$25))</f>
        <v/>
      </c>
      <c r="O69" s="19"/>
      <c r="P69" s="18" t="str">
        <f>IF($B69="","",N69-O69)</f>
        <v/>
      </c>
      <c r="Q69" s="8" t="str">
        <f>IF($B69="","",IF(AND(M69&lt;=0,P69&lt;=0),"Soldé","En retard"))</f>
        <v/>
      </c>
      <c r="R69" s="8"/>
    </row>
    <row r="70">
      <c r="A70" s="20"/>
      <c r="B70" s="20"/>
      <c r="C70" s="20"/>
      <c r="D70" s="21"/>
      <c r="E70" s="77"/>
      <c r="F70" s="20"/>
      <c r="G70" s="20"/>
      <c r="H70" s="18" t="str">
        <f>IF($B70="","",Paramètres!$C$25)</f>
        <v/>
      </c>
      <c r="I70" s="19"/>
      <c r="J70" s="19"/>
      <c r="K70" s="19"/>
      <c r="L70" s="18" t="str">
        <f>IF($B70="","",SUM(I70:K70))</f>
        <v/>
      </c>
      <c r="M70" s="18" t="str">
        <f>IF($B70="","",H70-L70)</f>
        <v/>
      </c>
      <c r="N70" s="18" t="str">
        <f>IF($B70="","",IF(R70="Ancien",0,Paramètres!$D$25))</f>
        <v/>
      </c>
      <c r="O70" s="19"/>
      <c r="P70" s="18" t="str">
        <f>IF($B70="","",N70-O70)</f>
        <v/>
      </c>
      <c r="Q70" s="21" t="str">
        <f>IF($B70="","",IF(AND(M70&lt;=0,P70&lt;=0),"Soldé","En retard"))</f>
        <v/>
      </c>
      <c r="R70" s="21"/>
    </row>
    <row r="71">
      <c r="A71" s="15"/>
      <c r="B71" s="15"/>
      <c r="C71" s="15"/>
      <c r="D71" s="8"/>
      <c r="E71" s="79"/>
      <c r="F71" s="15"/>
      <c r="G71" s="15"/>
      <c r="H71" s="18" t="str">
        <f>IF($B71="","",Paramètres!$C$25)</f>
        <v/>
      </c>
      <c r="I71" s="19"/>
      <c r="J71" s="19"/>
      <c r="K71" s="19"/>
      <c r="L71" s="18" t="str">
        <f>IF($B71="","",SUM(I71:K71))</f>
        <v/>
      </c>
      <c r="M71" s="18" t="str">
        <f>IF($B71="","",H71-L71)</f>
        <v/>
      </c>
      <c r="N71" s="18" t="str">
        <f>IF($B71="","",IF(R71="Ancien",0,Paramètres!$D$25))</f>
        <v/>
      </c>
      <c r="O71" s="19"/>
      <c r="P71" s="18" t="str">
        <f>IF($B71="","",N71-O71)</f>
        <v/>
      </c>
      <c r="Q71" s="8" t="str">
        <f>IF($B71="","",IF(AND(M71&lt;=0,P71&lt;=0),"Soldé","En retard"))</f>
        <v/>
      </c>
      <c r="R71" s="8"/>
    </row>
    <row r="72">
      <c r="A72" s="20"/>
      <c r="B72" s="20"/>
      <c r="C72" s="20"/>
      <c r="D72" s="21"/>
      <c r="E72" s="77"/>
      <c r="F72" s="20"/>
      <c r="G72" s="20"/>
      <c r="H72" s="18" t="str">
        <f>IF($B72="","",Paramètres!$C$25)</f>
        <v/>
      </c>
      <c r="I72" s="19"/>
      <c r="J72" s="19"/>
      <c r="K72" s="19"/>
      <c r="L72" s="18" t="str">
        <f>IF($B72="","",SUM(I72:K72))</f>
        <v/>
      </c>
      <c r="M72" s="18" t="str">
        <f>IF($B72="","",H72-L72)</f>
        <v/>
      </c>
      <c r="N72" s="18" t="str">
        <f>IF($B72="","",IF(R72="Ancien",0,Paramètres!$D$25))</f>
        <v/>
      </c>
      <c r="O72" s="19"/>
      <c r="P72" s="18" t="str">
        <f>IF($B72="","",N72-O72)</f>
        <v/>
      </c>
      <c r="Q72" s="21" t="str">
        <f>IF($B72="","",IF(AND(M72&lt;=0,P72&lt;=0),"Soldé","En retard"))</f>
        <v/>
      </c>
      <c r="R72" s="21"/>
    </row>
    <row r="73">
      <c r="A73" s="15"/>
      <c r="B73" s="15"/>
      <c r="C73" s="15"/>
      <c r="D73" s="8"/>
      <c r="E73" s="79"/>
      <c r="F73" s="15"/>
      <c r="G73" s="15"/>
      <c r="H73" s="18" t="str">
        <f>IF($B73="","",Paramètres!$C$25)</f>
        <v/>
      </c>
      <c r="I73" s="19"/>
      <c r="J73" s="19"/>
      <c r="K73" s="19"/>
      <c r="L73" s="18" t="str">
        <f>IF($B73="","",SUM(I73:K73))</f>
        <v/>
      </c>
      <c r="M73" s="18" t="str">
        <f>IF($B73="","",H73-L73)</f>
        <v/>
      </c>
      <c r="N73" s="18" t="str">
        <f>IF($B73="","",IF(R73="Ancien",0,Paramètres!$D$25))</f>
        <v/>
      </c>
      <c r="O73" s="19"/>
      <c r="P73" s="18" t="str">
        <f>IF($B73="","",N73-O73)</f>
        <v/>
      </c>
      <c r="Q73" s="8" t="str">
        <f>IF($B73="","",IF(AND(M73&lt;=0,P73&lt;=0),"Soldé","En retard"))</f>
        <v/>
      </c>
      <c r="R73" s="8"/>
    </row>
    <row r="74">
      <c r="A74" s="20"/>
      <c r="B74" s="20"/>
      <c r="C74" s="20"/>
      <c r="D74" s="21"/>
      <c r="E74" s="77"/>
      <c r="F74" s="20"/>
      <c r="G74" s="20"/>
      <c r="H74" s="18" t="str">
        <f>IF($B74="","",Paramètres!$C$25)</f>
        <v/>
      </c>
      <c r="I74" s="19"/>
      <c r="J74" s="19"/>
      <c r="K74" s="19"/>
      <c r="L74" s="18" t="str">
        <f>IF($B74="","",SUM(I74:K74))</f>
        <v/>
      </c>
      <c r="M74" s="18" t="str">
        <f>IF($B74="","",H74-L74)</f>
        <v/>
      </c>
      <c r="N74" s="18" t="str">
        <f>IF($B74="","",IF(R74="Ancien",0,Paramètres!$D$25))</f>
        <v/>
      </c>
      <c r="O74" s="19"/>
      <c r="P74" s="18" t="str">
        <f>IF($B74="","",N74-O74)</f>
        <v/>
      </c>
      <c r="Q74" s="21" t="str">
        <f>IF($B74="","",IF(AND(M74&lt;=0,P74&lt;=0),"Soldé","En retard"))</f>
        <v/>
      </c>
      <c r="R74" s="21"/>
    </row>
    <row r="75">
      <c r="A75" s="15"/>
      <c r="B75" s="15"/>
      <c r="C75" s="15"/>
      <c r="D75" s="8"/>
      <c r="E75" s="79"/>
      <c r="F75" s="15"/>
      <c r="G75" s="15"/>
      <c r="H75" s="18" t="str">
        <f>IF($B75="","",Paramètres!$C$25)</f>
        <v/>
      </c>
      <c r="I75" s="19"/>
      <c r="J75" s="19"/>
      <c r="K75" s="19"/>
      <c r="L75" s="18" t="str">
        <f>IF($B75="","",SUM(I75:K75))</f>
        <v/>
      </c>
      <c r="M75" s="18" t="str">
        <f>IF($B75="","",H75-L75)</f>
        <v/>
      </c>
      <c r="N75" s="18" t="str">
        <f>IF($B75="","",IF(R75="Ancien",0,Paramètres!$D$25))</f>
        <v/>
      </c>
      <c r="O75" s="19"/>
      <c r="P75" s="18" t="str">
        <f>IF($B75="","",N75-O75)</f>
        <v/>
      </c>
      <c r="Q75" s="8" t="str">
        <f>IF($B75="","",IF(AND(M75&lt;=0,P75&lt;=0),"Soldé","En retard"))</f>
        <v/>
      </c>
      <c r="R75" s="8"/>
    </row>
    <row r="76">
      <c r="A76" s="20"/>
      <c r="B76" s="20"/>
      <c r="C76" s="20"/>
      <c r="D76" s="21"/>
      <c r="E76" s="77"/>
      <c r="F76" s="20"/>
      <c r="G76" s="20"/>
      <c r="H76" s="18" t="str">
        <f>IF($B76="","",Paramètres!$C$25)</f>
        <v/>
      </c>
      <c r="I76" s="19"/>
      <c r="J76" s="19"/>
      <c r="K76" s="19"/>
      <c r="L76" s="18" t="str">
        <f>IF($B76="","",SUM(I76:K76))</f>
        <v/>
      </c>
      <c r="M76" s="18" t="str">
        <f>IF($B76="","",H76-L76)</f>
        <v/>
      </c>
      <c r="N76" s="18" t="str">
        <f>IF($B76="","",IF(R76="Ancien",0,Paramètres!$D$25))</f>
        <v/>
      </c>
      <c r="O76" s="19"/>
      <c r="P76" s="18" t="str">
        <f>IF($B76="","",N76-O76)</f>
        <v/>
      </c>
      <c r="Q76" s="21" t="str">
        <f>IF($B76="","",IF(AND(M76&lt;=0,P76&lt;=0),"Soldé","En retard"))</f>
        <v/>
      </c>
      <c r="R76" s="21"/>
    </row>
    <row r="77">
      <c r="A77" s="15"/>
      <c r="B77" s="15"/>
      <c r="C77" s="15"/>
      <c r="D77" s="8"/>
      <c r="E77" s="79"/>
      <c r="F77" s="15"/>
      <c r="G77" s="15"/>
      <c r="H77" s="18" t="str">
        <f>IF($B77="","",Paramètres!$C$25)</f>
        <v/>
      </c>
      <c r="I77" s="19"/>
      <c r="J77" s="19"/>
      <c r="K77" s="19"/>
      <c r="L77" s="18" t="str">
        <f>IF($B77="","",SUM(I77:K77))</f>
        <v/>
      </c>
      <c r="M77" s="18" t="str">
        <f>IF($B77="","",H77-L77)</f>
        <v/>
      </c>
      <c r="N77" s="18" t="str">
        <f>IF($B77="","",IF(R77="Ancien",0,Paramètres!$D$25))</f>
        <v/>
      </c>
      <c r="O77" s="19"/>
      <c r="P77" s="18" t="str">
        <f>IF($B77="","",N77-O77)</f>
        <v/>
      </c>
      <c r="Q77" s="8" t="str">
        <f>IF($B77="","",IF(AND(M77&lt;=0,P77&lt;=0),"Soldé","En retard"))</f>
        <v/>
      </c>
      <c r="R77" s="8"/>
    </row>
    <row r="78">
      <c r="A78" s="20"/>
      <c r="B78" s="20"/>
      <c r="C78" s="20"/>
      <c r="D78" s="21"/>
      <c r="E78" s="77"/>
      <c r="F78" s="20"/>
      <c r="G78" s="20"/>
      <c r="H78" s="18" t="str">
        <f>IF($B78="","",Paramètres!$C$25)</f>
        <v/>
      </c>
      <c r="I78" s="19"/>
      <c r="J78" s="19"/>
      <c r="K78" s="19"/>
      <c r="L78" s="18" t="str">
        <f>IF($B78="","",SUM(I78:K78))</f>
        <v/>
      </c>
      <c r="M78" s="18" t="str">
        <f>IF($B78="","",H78-L78)</f>
        <v/>
      </c>
      <c r="N78" s="18" t="str">
        <f>IF($B78="","",IF(R78="Ancien",0,Paramètres!$D$25))</f>
        <v/>
      </c>
      <c r="O78" s="19"/>
      <c r="P78" s="18" t="str">
        <f>IF($B78="","",N78-O78)</f>
        <v/>
      </c>
      <c r="Q78" s="21" t="str">
        <f>IF($B78="","",IF(AND(M78&lt;=0,P78&lt;=0),"Soldé","En retard"))</f>
        <v/>
      </c>
      <c r="R78" s="21"/>
    </row>
    <row r="79">
      <c r="A79" s="15"/>
      <c r="B79" s="15"/>
      <c r="C79" s="15"/>
      <c r="D79" s="8"/>
      <c r="E79" s="79"/>
      <c r="F79" s="15"/>
      <c r="G79" s="15"/>
      <c r="H79" s="18" t="str">
        <f>IF($B79="","",Paramètres!$C$25)</f>
        <v/>
      </c>
      <c r="I79" s="19"/>
      <c r="J79" s="19"/>
      <c r="K79" s="19"/>
      <c r="L79" s="18" t="str">
        <f>IF($B79="","",SUM(I79:K79))</f>
        <v/>
      </c>
      <c r="M79" s="18" t="str">
        <f>IF($B79="","",H79-L79)</f>
        <v/>
      </c>
      <c r="N79" s="18" t="str">
        <f>IF($B79="","",IF(R79="Ancien",0,Paramètres!$D$25))</f>
        <v/>
      </c>
      <c r="O79" s="19"/>
      <c r="P79" s="18" t="str">
        <f>IF($B79="","",N79-O79)</f>
        <v/>
      </c>
      <c r="Q79" s="8" t="str">
        <f>IF($B79="","",IF(AND(M79&lt;=0,P79&lt;=0),"Soldé","En retard"))</f>
        <v/>
      </c>
      <c r="R79" s="8"/>
    </row>
    <row r="80">
      <c r="A80" s="20"/>
      <c r="B80" s="20"/>
      <c r="C80" s="20"/>
      <c r="D80" s="21"/>
      <c r="E80" s="77"/>
      <c r="F80" s="20"/>
      <c r="G80" s="20"/>
      <c r="H80" s="18" t="str">
        <f>IF($B80="","",Paramètres!$C$25)</f>
        <v/>
      </c>
      <c r="I80" s="19"/>
      <c r="J80" s="19"/>
      <c r="K80" s="19"/>
      <c r="L80" s="18" t="str">
        <f>IF($B80="","",SUM(I80:K80))</f>
        <v/>
      </c>
      <c r="M80" s="18" t="str">
        <f>IF($B80="","",H80-L80)</f>
        <v/>
      </c>
      <c r="N80" s="18" t="str">
        <f>IF($B80="","",IF(R80="Ancien",0,Paramètres!$D$25))</f>
        <v/>
      </c>
      <c r="O80" s="19"/>
      <c r="P80" s="18" t="str">
        <f>IF($B80="","",N80-O80)</f>
        <v/>
      </c>
      <c r="Q80" s="21" t="str">
        <f>IF($B80="","",IF(AND(M80&lt;=0,P80&lt;=0),"Soldé","En retard"))</f>
        <v/>
      </c>
      <c r="R80" s="21"/>
    </row>
    <row r="81">
      <c r="A81" s="15"/>
      <c r="B81" s="15"/>
      <c r="C81" s="15"/>
      <c r="D81" s="8"/>
      <c r="E81" s="79"/>
      <c r="F81" s="15"/>
      <c r="G81" s="15"/>
      <c r="H81" s="18" t="str">
        <f>IF($B81="","",Paramètres!$C$25)</f>
        <v/>
      </c>
      <c r="I81" s="19"/>
      <c r="J81" s="19"/>
      <c r="K81" s="19"/>
      <c r="L81" s="18" t="str">
        <f>IF($B81="","",SUM(I81:K81))</f>
        <v/>
      </c>
      <c r="M81" s="18" t="str">
        <f>IF($B81="","",H81-L81)</f>
        <v/>
      </c>
      <c r="N81" s="18" t="str">
        <f>IF($B81="","",IF(R81="Ancien",0,Paramètres!$D$25))</f>
        <v/>
      </c>
      <c r="O81" s="19"/>
      <c r="P81" s="18" t="str">
        <f>IF($B81="","",N81-O81)</f>
        <v/>
      </c>
      <c r="Q81" s="8" t="str">
        <f>IF($B81="","",IF(AND(M81&lt;=0,P81&lt;=0),"Soldé","En retard"))</f>
        <v/>
      </c>
      <c r="R81" s="8"/>
    </row>
    <row r="82">
      <c r="A82" s="20"/>
      <c r="B82" s="20"/>
      <c r="C82" s="20"/>
      <c r="D82" s="21"/>
      <c r="E82" s="77"/>
      <c r="F82" s="20"/>
      <c r="G82" s="20"/>
      <c r="H82" s="18" t="str">
        <f>IF($B82="","",Paramètres!$C$25)</f>
        <v/>
      </c>
      <c r="I82" s="19"/>
      <c r="J82" s="19"/>
      <c r="K82" s="19"/>
      <c r="L82" s="18" t="str">
        <f>IF($B82="","",SUM(I82:K82))</f>
        <v/>
      </c>
      <c r="M82" s="18" t="str">
        <f>IF($B82="","",H82-L82)</f>
        <v/>
      </c>
      <c r="N82" s="18" t="str">
        <f>IF($B82="","",IF(R82="Ancien",0,Paramètres!$D$25))</f>
        <v/>
      </c>
      <c r="O82" s="19"/>
      <c r="P82" s="18" t="str">
        <f>IF($B82="","",N82-O82)</f>
        <v/>
      </c>
      <c r="Q82" s="21" t="str">
        <f>IF($B82="","",IF(AND(M82&lt;=0,P82&lt;=0),"Soldé","En retard"))</f>
        <v/>
      </c>
      <c r="R82" s="21"/>
    </row>
    <row r="83">
      <c r="A83" s="15"/>
      <c r="B83" s="15"/>
      <c r="C83" s="15"/>
      <c r="D83" s="8"/>
      <c r="E83" s="79"/>
      <c r="F83" s="15"/>
      <c r="G83" s="15"/>
      <c r="H83" s="18" t="str">
        <f>IF($B83="","",Paramètres!$C$25)</f>
        <v/>
      </c>
      <c r="I83" s="19"/>
      <c r="J83" s="19"/>
      <c r="K83" s="19"/>
      <c r="L83" s="18" t="str">
        <f>IF($B83="","",SUM(I83:K83))</f>
        <v/>
      </c>
      <c r="M83" s="18" t="str">
        <f>IF($B83="","",H83-L83)</f>
        <v/>
      </c>
      <c r="N83" s="18" t="str">
        <f>IF($B83="","",IF(R83="Ancien",0,Paramètres!$D$25))</f>
        <v/>
      </c>
      <c r="O83" s="19"/>
      <c r="P83" s="18" t="str">
        <f>IF($B83="","",N83-O83)</f>
        <v/>
      </c>
      <c r="Q83" s="8" t="str">
        <f>IF($B83="","",IF(AND(M83&lt;=0,P83&lt;=0),"Soldé","En retard"))</f>
        <v/>
      </c>
      <c r="R83" s="8"/>
    </row>
  </sheetData>
  <mergeCells count="2">
    <mergeCell ref="A1:R1"/>
    <mergeCell ref="A2:R2"/>
  </mergeCells>
  <conditionalFormatting sqref="M4:M83 P4:P83">
    <cfRule type="cellIs" dxfId="10" priority="3" operator="greaterThan">
      <formula>0</formula>
    </cfRule>
  </conditionalFormatting>
  <conditionalFormatting sqref="Q4:Q83">
    <cfRule type="cellIs" dxfId="9" priority="1" operator="equal">
      <formula>"Soldé"</formula>
    </cfRule>
    <cfRule type="cellIs" dxfId="8" priority="2" operator="equal">
      <formula>"En retard"</formula>
    </cfRule>
  </conditionalFormatting>
  <dataValidations count="2">
    <dataValidation type="list" allowBlank="1" showErrorMessage="1" errorTitle="Sexe non valide" error="Choisissez M ou F." sqref="D4:D83">
      <formula1>"M,F"</formula1>
    </dataValidation>
    <dataValidation type="list" allowBlank="1" showErrorMessage="1" errorTitle="Statut non valide" error="Choisissez Nouveau ou Ancien. Un élève marqué Ancien ne paie pas les frais d'inscription." sqref="R4:R83">
      <formula1>"Nouveau,Ancien"</formula1>
    </dataValidation>
  </dataValidations>
  <pageMargins left="0.5" right="0.5" top="0.75" bottom="0.75" header="0.3" footer="0.3"/>
  <pageSetup paperSize="9" orientation="landscape" fitToHeight="0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R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7" customWidth="1"/>
    <col min="5" max="5" width="14" customWidth="1"/>
    <col min="6" max="6" width="18" customWidth="1"/>
    <col min="7" max="7" width="16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3" customWidth="1"/>
    <col min="18" max="18" width="16" customWidth="1"/>
  </cols>
  <sheetData>
    <row r="1" ht="27.75" customHeight="1">
      <c r="A1" s="53" t="str">
        <f>"INSCRIPTIONS — "&amp;Paramètres!$A$26</f>
        <v>INSCRIPTIONS — 3e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ht="18" customHeight="1">
      <c r="A2" s="54" t="str">
        <f>"Année scolaire "&amp;Paramètres!$C$11&amp;"   •   Effectif : "&amp;COUNTIF($B$4:$B$83,"?*")&amp;"   •   Cellules jaunes = montants à saisir ; colonnes grises = calcul automatique"</f>
        <v>Année scolaire 2025-2026   •   Effectif : 0   •   Cellules jaunes = montants à saisir ; colonnes grises = calcul automatique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Sexe</t>
        </is>
      </c>
      <c r="E3" s="3" t="inlineStr">
        <is>
          <t>Date de naissance</t>
        </is>
      </c>
      <c r="F3" s="3" t="inlineStr">
        <is>
          <t>Nom du tuteur</t>
        </is>
      </c>
      <c r="G3" s="3" t="inlineStr">
        <is>
          <t>Téléphone</t>
        </is>
      </c>
      <c r="H3" s="3" t="inlineStr">
        <is>
          <t>Scolarité due</t>
        </is>
      </c>
      <c r="I3" s="3" t="inlineStr">
        <is>
          <t>Tranche 1</t>
        </is>
      </c>
      <c r="J3" s="3" t="inlineStr">
        <is>
          <t>Tranche 2</t>
        </is>
      </c>
      <c r="K3" s="3" t="inlineStr">
        <is>
          <t>Tranche 3</t>
        </is>
      </c>
      <c r="L3" s="3" t="inlineStr">
        <is>
          <t>Total payé</t>
        </is>
      </c>
      <c r="M3" s="3" t="inlineStr">
        <is>
          <t>Reste à payer</t>
        </is>
      </c>
      <c r="N3" s="3" t="inlineStr">
        <is>
          <t>Inscription due</t>
        </is>
      </c>
      <c r="O3" s="3" t="inlineStr">
        <is>
          <t>Inscription payée</t>
        </is>
      </c>
      <c r="P3" s="3" t="inlineStr">
        <is>
          <t>Reste inscription</t>
        </is>
      </c>
      <c r="Q3" s="3" t="inlineStr">
        <is>
          <t>Statut</t>
        </is>
      </c>
      <c r="R3" s="3" t="inlineStr">
        <is>
          <t>Nouveau / Ancien</t>
        </is>
      </c>
    </row>
    <row r="4">
      <c r="A4" s="20"/>
      <c r="B4" s="20"/>
      <c r="C4" s="20"/>
      <c r="D4" s="21"/>
      <c r="E4" s="77"/>
      <c r="F4" s="20"/>
      <c r="G4" s="20"/>
      <c r="H4" s="18" t="str">
        <f>IF($B4="","",Paramètres!$C$26)</f>
        <v/>
      </c>
      <c r="I4" s="19"/>
      <c r="J4" s="19"/>
      <c r="K4" s="19"/>
      <c r="L4" s="18" t="str">
        <f>IF($B4="","",SUM(I4:K4))</f>
        <v/>
      </c>
      <c r="M4" s="18" t="str">
        <f>IF($B4="","",H4-L4)</f>
        <v/>
      </c>
      <c r="N4" s="18" t="str">
        <f>IF($B4="","",IF(R4="Ancien",0,Paramètres!$D$26))</f>
        <v/>
      </c>
      <c r="O4" s="19"/>
      <c r="P4" s="18" t="str">
        <f>IF($B4="","",N4-O4)</f>
        <v/>
      </c>
      <c r="Q4" s="21" t="str">
        <f>IF($B4="","",IF(AND(M4&lt;=0,P4&lt;=0),"Soldé","En retard"))</f>
        <v/>
      </c>
      <c r="R4" s="21"/>
    </row>
    <row r="5">
      <c r="A5" s="15"/>
      <c r="B5" s="15"/>
      <c r="C5" s="15"/>
      <c r="D5" s="8"/>
      <c r="E5" s="79"/>
      <c r="F5" s="15"/>
      <c r="G5" s="15"/>
      <c r="H5" s="18" t="str">
        <f>IF($B5="","",Paramètres!$C$26)</f>
        <v/>
      </c>
      <c r="I5" s="19"/>
      <c r="J5" s="19"/>
      <c r="K5" s="19"/>
      <c r="L5" s="18" t="str">
        <f>IF($B5="","",SUM(I5:K5))</f>
        <v/>
      </c>
      <c r="M5" s="18" t="str">
        <f>IF($B5="","",H5-L5)</f>
        <v/>
      </c>
      <c r="N5" s="18" t="str">
        <f>IF($B5="","",IF(R5="Ancien",0,Paramètres!$D$26))</f>
        <v/>
      </c>
      <c r="O5" s="19"/>
      <c r="P5" s="18" t="str">
        <f>IF($B5="","",N5-O5)</f>
        <v/>
      </c>
      <c r="Q5" s="8" t="str">
        <f>IF($B5="","",IF(AND(M5&lt;=0,P5&lt;=0),"Soldé","En retard"))</f>
        <v/>
      </c>
      <c r="R5" s="8"/>
    </row>
    <row r="6">
      <c r="A6" s="20"/>
      <c r="B6" s="20"/>
      <c r="C6" s="20"/>
      <c r="D6" s="21"/>
      <c r="E6" s="77"/>
      <c r="F6" s="20"/>
      <c r="G6" s="20"/>
      <c r="H6" s="18" t="str">
        <f>IF($B6="","",Paramètres!$C$26)</f>
        <v/>
      </c>
      <c r="I6" s="19"/>
      <c r="J6" s="19"/>
      <c r="K6" s="19"/>
      <c r="L6" s="18" t="str">
        <f>IF($B6="","",SUM(I6:K6))</f>
        <v/>
      </c>
      <c r="M6" s="18" t="str">
        <f>IF($B6="","",H6-L6)</f>
        <v/>
      </c>
      <c r="N6" s="18" t="str">
        <f>IF($B6="","",IF(R6="Ancien",0,Paramètres!$D$26))</f>
        <v/>
      </c>
      <c r="O6" s="19"/>
      <c r="P6" s="18" t="str">
        <f>IF($B6="","",N6-O6)</f>
        <v/>
      </c>
      <c r="Q6" s="21" t="str">
        <f>IF($B6="","",IF(AND(M6&lt;=0,P6&lt;=0),"Soldé","En retard"))</f>
        <v/>
      </c>
      <c r="R6" s="21"/>
    </row>
    <row r="7">
      <c r="A7" s="15"/>
      <c r="B7" s="15"/>
      <c r="C7" s="15"/>
      <c r="D7" s="8"/>
      <c r="E7" s="79"/>
      <c r="F7" s="15"/>
      <c r="G7" s="15"/>
      <c r="H7" s="18" t="str">
        <f>IF($B7="","",Paramètres!$C$26)</f>
        <v/>
      </c>
      <c r="I7" s="19"/>
      <c r="J7" s="19"/>
      <c r="K7" s="19"/>
      <c r="L7" s="18" t="str">
        <f>IF($B7="","",SUM(I7:K7))</f>
        <v/>
      </c>
      <c r="M7" s="18" t="str">
        <f>IF($B7="","",H7-L7)</f>
        <v/>
      </c>
      <c r="N7" s="18" t="str">
        <f>IF($B7="","",IF(R7="Ancien",0,Paramètres!$D$26))</f>
        <v/>
      </c>
      <c r="O7" s="19"/>
      <c r="P7" s="18" t="str">
        <f>IF($B7="","",N7-O7)</f>
        <v/>
      </c>
      <c r="Q7" s="8" t="str">
        <f>IF($B7="","",IF(AND(M7&lt;=0,P7&lt;=0),"Soldé","En retard"))</f>
        <v/>
      </c>
      <c r="R7" s="8"/>
    </row>
    <row r="8">
      <c r="A8" s="20"/>
      <c r="B8" s="20"/>
      <c r="C8" s="20"/>
      <c r="D8" s="21"/>
      <c r="E8" s="77"/>
      <c r="F8" s="20"/>
      <c r="G8" s="20"/>
      <c r="H8" s="18" t="str">
        <f>IF($B8="","",Paramètres!$C$26)</f>
        <v/>
      </c>
      <c r="I8" s="19"/>
      <c r="J8" s="19"/>
      <c r="K8" s="19"/>
      <c r="L8" s="18" t="str">
        <f>IF($B8="","",SUM(I8:K8))</f>
        <v/>
      </c>
      <c r="M8" s="18" t="str">
        <f>IF($B8="","",H8-L8)</f>
        <v/>
      </c>
      <c r="N8" s="18" t="str">
        <f>IF($B8="","",IF(R8="Ancien",0,Paramètres!$D$26))</f>
        <v/>
      </c>
      <c r="O8" s="19"/>
      <c r="P8" s="18" t="str">
        <f>IF($B8="","",N8-O8)</f>
        <v/>
      </c>
      <c r="Q8" s="21" t="str">
        <f>IF($B8="","",IF(AND(M8&lt;=0,P8&lt;=0),"Soldé","En retard"))</f>
        <v/>
      </c>
      <c r="R8" s="21"/>
    </row>
    <row r="9">
      <c r="A9" s="15"/>
      <c r="B9" s="15"/>
      <c r="C9" s="15"/>
      <c r="D9" s="8"/>
      <c r="E9" s="79"/>
      <c r="F9" s="15"/>
      <c r="G9" s="15"/>
      <c r="H9" s="18" t="str">
        <f>IF($B9="","",Paramètres!$C$26)</f>
        <v/>
      </c>
      <c r="I9" s="19"/>
      <c r="J9" s="19"/>
      <c r="K9" s="19"/>
      <c r="L9" s="18" t="str">
        <f>IF($B9="","",SUM(I9:K9))</f>
        <v/>
      </c>
      <c r="M9" s="18" t="str">
        <f>IF($B9="","",H9-L9)</f>
        <v/>
      </c>
      <c r="N9" s="18" t="str">
        <f>IF($B9="","",IF(R9="Ancien",0,Paramètres!$D$26))</f>
        <v/>
      </c>
      <c r="O9" s="19"/>
      <c r="P9" s="18" t="str">
        <f>IF($B9="","",N9-O9)</f>
        <v/>
      </c>
      <c r="Q9" s="8" t="str">
        <f>IF($B9="","",IF(AND(M9&lt;=0,P9&lt;=0),"Soldé","En retard"))</f>
        <v/>
      </c>
      <c r="R9" s="8"/>
    </row>
    <row r="10">
      <c r="A10" s="20"/>
      <c r="B10" s="20"/>
      <c r="C10" s="20"/>
      <c r="D10" s="21"/>
      <c r="E10" s="77"/>
      <c r="F10" s="20"/>
      <c r="G10" s="20"/>
      <c r="H10" s="18" t="str">
        <f>IF($B10="","",Paramètres!$C$26)</f>
        <v/>
      </c>
      <c r="I10" s="19"/>
      <c r="J10" s="19"/>
      <c r="K10" s="19"/>
      <c r="L10" s="18" t="str">
        <f>IF($B10="","",SUM(I10:K10))</f>
        <v/>
      </c>
      <c r="M10" s="18" t="str">
        <f>IF($B10="","",H10-L10)</f>
        <v/>
      </c>
      <c r="N10" s="18" t="str">
        <f>IF($B10="","",IF(R10="Ancien",0,Paramètres!$D$26))</f>
        <v/>
      </c>
      <c r="O10" s="19"/>
      <c r="P10" s="18" t="str">
        <f>IF($B10="","",N10-O10)</f>
        <v/>
      </c>
      <c r="Q10" s="21" t="str">
        <f>IF($B10="","",IF(AND(M10&lt;=0,P10&lt;=0),"Soldé","En retard"))</f>
        <v/>
      </c>
      <c r="R10" s="21"/>
    </row>
    <row r="11">
      <c r="A11" s="15"/>
      <c r="B11" s="15"/>
      <c r="C11" s="15"/>
      <c r="D11" s="8"/>
      <c r="E11" s="79"/>
      <c r="F11" s="15"/>
      <c r="G11" s="15"/>
      <c r="H11" s="18" t="str">
        <f>IF($B11="","",Paramètres!$C$26)</f>
        <v/>
      </c>
      <c r="I11" s="19"/>
      <c r="J11" s="19"/>
      <c r="K11" s="19"/>
      <c r="L11" s="18" t="str">
        <f>IF($B11="","",SUM(I11:K11))</f>
        <v/>
      </c>
      <c r="M11" s="18" t="str">
        <f>IF($B11="","",H11-L11)</f>
        <v/>
      </c>
      <c r="N11" s="18" t="str">
        <f>IF($B11="","",IF(R11="Ancien",0,Paramètres!$D$26))</f>
        <v/>
      </c>
      <c r="O11" s="19"/>
      <c r="P11" s="18" t="str">
        <f>IF($B11="","",N11-O11)</f>
        <v/>
      </c>
      <c r="Q11" s="8" t="str">
        <f>IF($B11="","",IF(AND(M11&lt;=0,P11&lt;=0),"Soldé","En retard"))</f>
        <v/>
      </c>
      <c r="R11" s="8"/>
    </row>
    <row r="12">
      <c r="A12" s="20"/>
      <c r="B12" s="20"/>
      <c r="C12" s="20"/>
      <c r="D12" s="21"/>
      <c r="E12" s="77"/>
      <c r="F12" s="20"/>
      <c r="G12" s="20"/>
      <c r="H12" s="18" t="str">
        <f>IF($B12="","",Paramètres!$C$26)</f>
        <v/>
      </c>
      <c r="I12" s="19"/>
      <c r="J12" s="19"/>
      <c r="K12" s="19"/>
      <c r="L12" s="18" t="str">
        <f>IF($B12="","",SUM(I12:K12))</f>
        <v/>
      </c>
      <c r="M12" s="18" t="str">
        <f>IF($B12="","",H12-L12)</f>
        <v/>
      </c>
      <c r="N12" s="18" t="str">
        <f>IF($B12="","",IF(R12="Ancien",0,Paramètres!$D$26))</f>
        <v/>
      </c>
      <c r="O12" s="19"/>
      <c r="P12" s="18" t="str">
        <f>IF($B12="","",N12-O12)</f>
        <v/>
      </c>
      <c r="Q12" s="21" t="str">
        <f>IF($B12="","",IF(AND(M12&lt;=0,P12&lt;=0),"Soldé","En retard"))</f>
        <v/>
      </c>
      <c r="R12" s="21"/>
    </row>
    <row r="13">
      <c r="A13" s="15"/>
      <c r="B13" s="15"/>
      <c r="C13" s="15"/>
      <c r="D13" s="8"/>
      <c r="E13" s="79"/>
      <c r="F13" s="15"/>
      <c r="G13" s="15"/>
      <c r="H13" s="18" t="str">
        <f>IF($B13="","",Paramètres!$C$26)</f>
        <v/>
      </c>
      <c r="I13" s="19"/>
      <c r="J13" s="19"/>
      <c r="K13" s="19"/>
      <c r="L13" s="18" t="str">
        <f>IF($B13="","",SUM(I13:K13))</f>
        <v/>
      </c>
      <c r="M13" s="18" t="str">
        <f>IF($B13="","",H13-L13)</f>
        <v/>
      </c>
      <c r="N13" s="18" t="str">
        <f>IF($B13="","",IF(R13="Ancien",0,Paramètres!$D$26))</f>
        <v/>
      </c>
      <c r="O13" s="19"/>
      <c r="P13" s="18" t="str">
        <f>IF($B13="","",N13-O13)</f>
        <v/>
      </c>
      <c r="Q13" s="8" t="str">
        <f>IF($B13="","",IF(AND(M13&lt;=0,P13&lt;=0),"Soldé","En retard"))</f>
        <v/>
      </c>
      <c r="R13" s="8"/>
    </row>
    <row r="14">
      <c r="A14" s="20"/>
      <c r="B14" s="20"/>
      <c r="C14" s="20"/>
      <c r="D14" s="21"/>
      <c r="E14" s="77"/>
      <c r="F14" s="20"/>
      <c r="G14" s="20"/>
      <c r="H14" s="18" t="str">
        <f>IF($B14="","",Paramètres!$C$26)</f>
        <v/>
      </c>
      <c r="I14" s="19"/>
      <c r="J14" s="19"/>
      <c r="K14" s="19"/>
      <c r="L14" s="18" t="str">
        <f>IF($B14="","",SUM(I14:K14))</f>
        <v/>
      </c>
      <c r="M14" s="18" t="str">
        <f>IF($B14="","",H14-L14)</f>
        <v/>
      </c>
      <c r="N14" s="18" t="str">
        <f>IF($B14="","",IF(R14="Ancien",0,Paramètres!$D$26))</f>
        <v/>
      </c>
      <c r="O14" s="19"/>
      <c r="P14" s="18" t="str">
        <f>IF($B14="","",N14-O14)</f>
        <v/>
      </c>
      <c r="Q14" s="21" t="str">
        <f>IF($B14="","",IF(AND(M14&lt;=0,P14&lt;=0),"Soldé","En retard"))</f>
        <v/>
      </c>
      <c r="R14" s="21"/>
    </row>
    <row r="15">
      <c r="A15" s="15"/>
      <c r="B15" s="15"/>
      <c r="C15" s="15"/>
      <c r="D15" s="8"/>
      <c r="E15" s="79"/>
      <c r="F15" s="15"/>
      <c r="G15" s="15"/>
      <c r="H15" s="18" t="str">
        <f>IF($B15="","",Paramètres!$C$26)</f>
        <v/>
      </c>
      <c r="I15" s="19"/>
      <c r="J15" s="19"/>
      <c r="K15" s="19"/>
      <c r="L15" s="18" t="str">
        <f>IF($B15="","",SUM(I15:K15))</f>
        <v/>
      </c>
      <c r="M15" s="18" t="str">
        <f>IF($B15="","",H15-L15)</f>
        <v/>
      </c>
      <c r="N15" s="18" t="str">
        <f>IF($B15="","",IF(R15="Ancien",0,Paramètres!$D$26))</f>
        <v/>
      </c>
      <c r="O15" s="19"/>
      <c r="P15" s="18" t="str">
        <f>IF($B15="","",N15-O15)</f>
        <v/>
      </c>
      <c r="Q15" s="8" t="str">
        <f>IF($B15="","",IF(AND(M15&lt;=0,P15&lt;=0),"Soldé","En retard"))</f>
        <v/>
      </c>
      <c r="R15" s="8"/>
    </row>
    <row r="16">
      <c r="A16" s="20"/>
      <c r="B16" s="20"/>
      <c r="C16" s="20"/>
      <c r="D16" s="21"/>
      <c r="E16" s="77"/>
      <c r="F16" s="20"/>
      <c r="G16" s="20"/>
      <c r="H16" s="18" t="str">
        <f>IF($B16="","",Paramètres!$C$26)</f>
        <v/>
      </c>
      <c r="I16" s="19"/>
      <c r="J16" s="19"/>
      <c r="K16" s="19"/>
      <c r="L16" s="18" t="str">
        <f>IF($B16="","",SUM(I16:K16))</f>
        <v/>
      </c>
      <c r="M16" s="18" t="str">
        <f>IF($B16="","",H16-L16)</f>
        <v/>
      </c>
      <c r="N16" s="18" t="str">
        <f>IF($B16="","",IF(R16="Ancien",0,Paramètres!$D$26))</f>
        <v/>
      </c>
      <c r="O16" s="19"/>
      <c r="P16" s="18" t="str">
        <f>IF($B16="","",N16-O16)</f>
        <v/>
      </c>
      <c r="Q16" s="21" t="str">
        <f>IF($B16="","",IF(AND(M16&lt;=0,P16&lt;=0),"Soldé","En retard"))</f>
        <v/>
      </c>
      <c r="R16" s="21"/>
    </row>
    <row r="17">
      <c r="A17" s="15"/>
      <c r="B17" s="15"/>
      <c r="C17" s="15"/>
      <c r="D17" s="8"/>
      <c r="E17" s="79"/>
      <c r="F17" s="15"/>
      <c r="G17" s="15"/>
      <c r="H17" s="18" t="str">
        <f>IF($B17="","",Paramètres!$C$26)</f>
        <v/>
      </c>
      <c r="I17" s="19"/>
      <c r="J17" s="19"/>
      <c r="K17" s="19"/>
      <c r="L17" s="18" t="str">
        <f>IF($B17="","",SUM(I17:K17))</f>
        <v/>
      </c>
      <c r="M17" s="18" t="str">
        <f>IF($B17="","",H17-L17)</f>
        <v/>
      </c>
      <c r="N17" s="18" t="str">
        <f>IF($B17="","",IF(R17="Ancien",0,Paramètres!$D$26))</f>
        <v/>
      </c>
      <c r="O17" s="19"/>
      <c r="P17" s="18" t="str">
        <f>IF($B17="","",N17-O17)</f>
        <v/>
      </c>
      <c r="Q17" s="8" t="str">
        <f>IF($B17="","",IF(AND(M17&lt;=0,P17&lt;=0),"Soldé","En retard"))</f>
        <v/>
      </c>
      <c r="R17" s="8"/>
    </row>
    <row r="18">
      <c r="A18" s="20"/>
      <c r="B18" s="20"/>
      <c r="C18" s="20"/>
      <c r="D18" s="21"/>
      <c r="E18" s="77"/>
      <c r="F18" s="20"/>
      <c r="G18" s="20"/>
      <c r="H18" s="18" t="str">
        <f>IF($B18="","",Paramètres!$C$26)</f>
        <v/>
      </c>
      <c r="I18" s="19"/>
      <c r="J18" s="19"/>
      <c r="K18" s="19"/>
      <c r="L18" s="18" t="str">
        <f>IF($B18="","",SUM(I18:K18))</f>
        <v/>
      </c>
      <c r="M18" s="18" t="str">
        <f>IF($B18="","",H18-L18)</f>
        <v/>
      </c>
      <c r="N18" s="18" t="str">
        <f>IF($B18="","",IF(R18="Ancien",0,Paramètres!$D$26))</f>
        <v/>
      </c>
      <c r="O18" s="19"/>
      <c r="P18" s="18" t="str">
        <f>IF($B18="","",N18-O18)</f>
        <v/>
      </c>
      <c r="Q18" s="21" t="str">
        <f>IF($B18="","",IF(AND(M18&lt;=0,P18&lt;=0),"Soldé","En retard"))</f>
        <v/>
      </c>
      <c r="R18" s="21"/>
    </row>
    <row r="19">
      <c r="A19" s="15"/>
      <c r="B19" s="15"/>
      <c r="C19" s="15"/>
      <c r="D19" s="8"/>
      <c r="E19" s="79"/>
      <c r="F19" s="15"/>
      <c r="G19" s="15"/>
      <c r="H19" s="18" t="str">
        <f>IF($B19="","",Paramètres!$C$26)</f>
        <v/>
      </c>
      <c r="I19" s="19"/>
      <c r="J19" s="19"/>
      <c r="K19" s="19"/>
      <c r="L19" s="18" t="str">
        <f>IF($B19="","",SUM(I19:K19))</f>
        <v/>
      </c>
      <c r="M19" s="18" t="str">
        <f>IF($B19="","",H19-L19)</f>
        <v/>
      </c>
      <c r="N19" s="18" t="str">
        <f>IF($B19="","",IF(R19="Ancien",0,Paramètres!$D$26))</f>
        <v/>
      </c>
      <c r="O19" s="19"/>
      <c r="P19" s="18" t="str">
        <f>IF($B19="","",N19-O19)</f>
        <v/>
      </c>
      <c r="Q19" s="8" t="str">
        <f>IF($B19="","",IF(AND(M19&lt;=0,P19&lt;=0),"Soldé","En retard"))</f>
        <v/>
      </c>
      <c r="R19" s="8"/>
    </row>
    <row r="20">
      <c r="A20" s="20"/>
      <c r="B20" s="20"/>
      <c r="C20" s="20"/>
      <c r="D20" s="21"/>
      <c r="E20" s="77"/>
      <c r="F20" s="20"/>
      <c r="G20" s="20"/>
      <c r="H20" s="18" t="str">
        <f>IF($B20="","",Paramètres!$C$26)</f>
        <v/>
      </c>
      <c r="I20" s="19"/>
      <c r="J20" s="19"/>
      <c r="K20" s="19"/>
      <c r="L20" s="18" t="str">
        <f>IF($B20="","",SUM(I20:K20))</f>
        <v/>
      </c>
      <c r="M20" s="18" t="str">
        <f>IF($B20="","",H20-L20)</f>
        <v/>
      </c>
      <c r="N20" s="18" t="str">
        <f>IF($B20="","",IF(R20="Ancien",0,Paramètres!$D$26))</f>
        <v/>
      </c>
      <c r="O20" s="19"/>
      <c r="P20" s="18" t="str">
        <f>IF($B20="","",N20-O20)</f>
        <v/>
      </c>
      <c r="Q20" s="21" t="str">
        <f>IF($B20="","",IF(AND(M20&lt;=0,P20&lt;=0),"Soldé","En retard"))</f>
        <v/>
      </c>
      <c r="R20" s="21"/>
    </row>
    <row r="21">
      <c r="A21" s="15"/>
      <c r="B21" s="15"/>
      <c r="C21" s="15"/>
      <c r="D21" s="8"/>
      <c r="E21" s="79"/>
      <c r="F21" s="15"/>
      <c r="G21" s="15"/>
      <c r="H21" s="18" t="str">
        <f>IF($B21="","",Paramètres!$C$26)</f>
        <v/>
      </c>
      <c r="I21" s="19"/>
      <c r="J21" s="19"/>
      <c r="K21" s="19"/>
      <c r="L21" s="18" t="str">
        <f>IF($B21="","",SUM(I21:K21))</f>
        <v/>
      </c>
      <c r="M21" s="18" t="str">
        <f>IF($B21="","",H21-L21)</f>
        <v/>
      </c>
      <c r="N21" s="18" t="str">
        <f>IF($B21="","",IF(R21="Ancien",0,Paramètres!$D$26))</f>
        <v/>
      </c>
      <c r="O21" s="19"/>
      <c r="P21" s="18" t="str">
        <f>IF($B21="","",N21-O21)</f>
        <v/>
      </c>
      <c r="Q21" s="8" t="str">
        <f>IF($B21="","",IF(AND(M21&lt;=0,P21&lt;=0),"Soldé","En retard"))</f>
        <v/>
      </c>
      <c r="R21" s="8"/>
    </row>
    <row r="22">
      <c r="A22" s="20"/>
      <c r="B22" s="20"/>
      <c r="C22" s="20"/>
      <c r="D22" s="21"/>
      <c r="E22" s="77"/>
      <c r="F22" s="20"/>
      <c r="G22" s="20"/>
      <c r="H22" s="18" t="str">
        <f>IF($B22="","",Paramètres!$C$26)</f>
        <v/>
      </c>
      <c r="I22" s="19"/>
      <c r="J22" s="19"/>
      <c r="K22" s="19"/>
      <c r="L22" s="18" t="str">
        <f>IF($B22="","",SUM(I22:K22))</f>
        <v/>
      </c>
      <c r="M22" s="18" t="str">
        <f>IF($B22="","",H22-L22)</f>
        <v/>
      </c>
      <c r="N22" s="18" t="str">
        <f>IF($B22="","",IF(R22="Ancien",0,Paramètres!$D$26))</f>
        <v/>
      </c>
      <c r="O22" s="19"/>
      <c r="P22" s="18" t="str">
        <f>IF($B22="","",N22-O22)</f>
        <v/>
      </c>
      <c r="Q22" s="21" t="str">
        <f>IF($B22="","",IF(AND(M22&lt;=0,P22&lt;=0),"Soldé","En retard"))</f>
        <v/>
      </c>
      <c r="R22" s="21"/>
    </row>
    <row r="23">
      <c r="A23" s="15"/>
      <c r="B23" s="15"/>
      <c r="C23" s="15"/>
      <c r="D23" s="8"/>
      <c r="E23" s="79"/>
      <c r="F23" s="15"/>
      <c r="G23" s="15"/>
      <c r="H23" s="18" t="str">
        <f>IF($B23="","",Paramètres!$C$26)</f>
        <v/>
      </c>
      <c r="I23" s="19"/>
      <c r="J23" s="19"/>
      <c r="K23" s="19"/>
      <c r="L23" s="18" t="str">
        <f>IF($B23="","",SUM(I23:K23))</f>
        <v/>
      </c>
      <c r="M23" s="18" t="str">
        <f>IF($B23="","",H23-L23)</f>
        <v/>
      </c>
      <c r="N23" s="18" t="str">
        <f>IF($B23="","",IF(R23="Ancien",0,Paramètres!$D$26))</f>
        <v/>
      </c>
      <c r="O23" s="19"/>
      <c r="P23" s="18" t="str">
        <f>IF($B23="","",N23-O23)</f>
        <v/>
      </c>
      <c r="Q23" s="8" t="str">
        <f>IF($B23="","",IF(AND(M23&lt;=0,P23&lt;=0),"Soldé","En retard"))</f>
        <v/>
      </c>
      <c r="R23" s="8"/>
    </row>
    <row r="24">
      <c r="A24" s="20"/>
      <c r="B24" s="20"/>
      <c r="C24" s="20"/>
      <c r="D24" s="21"/>
      <c r="E24" s="77"/>
      <c r="F24" s="20"/>
      <c r="G24" s="20"/>
      <c r="H24" s="18" t="str">
        <f>IF($B24="","",Paramètres!$C$26)</f>
        <v/>
      </c>
      <c r="I24" s="19"/>
      <c r="J24" s="19"/>
      <c r="K24" s="19"/>
      <c r="L24" s="18" t="str">
        <f>IF($B24="","",SUM(I24:K24))</f>
        <v/>
      </c>
      <c r="M24" s="18" t="str">
        <f>IF($B24="","",H24-L24)</f>
        <v/>
      </c>
      <c r="N24" s="18" t="str">
        <f>IF($B24="","",IF(R24="Ancien",0,Paramètres!$D$26))</f>
        <v/>
      </c>
      <c r="O24" s="19"/>
      <c r="P24" s="18" t="str">
        <f>IF($B24="","",N24-O24)</f>
        <v/>
      </c>
      <c r="Q24" s="21" t="str">
        <f>IF($B24="","",IF(AND(M24&lt;=0,P24&lt;=0),"Soldé","En retard"))</f>
        <v/>
      </c>
      <c r="R24" s="21"/>
    </row>
    <row r="25">
      <c r="A25" s="15"/>
      <c r="B25" s="15"/>
      <c r="C25" s="15"/>
      <c r="D25" s="8"/>
      <c r="E25" s="79"/>
      <c r="F25" s="15"/>
      <c r="G25" s="15"/>
      <c r="H25" s="18" t="str">
        <f>IF($B25="","",Paramètres!$C$26)</f>
        <v/>
      </c>
      <c r="I25" s="19"/>
      <c r="J25" s="19"/>
      <c r="K25" s="19"/>
      <c r="L25" s="18" t="str">
        <f>IF($B25="","",SUM(I25:K25))</f>
        <v/>
      </c>
      <c r="M25" s="18" t="str">
        <f>IF($B25="","",H25-L25)</f>
        <v/>
      </c>
      <c r="N25" s="18" t="str">
        <f>IF($B25="","",IF(R25="Ancien",0,Paramètres!$D$26))</f>
        <v/>
      </c>
      <c r="O25" s="19"/>
      <c r="P25" s="18" t="str">
        <f>IF($B25="","",N25-O25)</f>
        <v/>
      </c>
      <c r="Q25" s="8" t="str">
        <f>IF($B25="","",IF(AND(M25&lt;=0,P25&lt;=0),"Soldé","En retard"))</f>
        <v/>
      </c>
      <c r="R25" s="8"/>
    </row>
    <row r="26">
      <c r="A26" s="20"/>
      <c r="B26" s="20"/>
      <c r="C26" s="20"/>
      <c r="D26" s="21"/>
      <c r="E26" s="77"/>
      <c r="F26" s="20"/>
      <c r="G26" s="20"/>
      <c r="H26" s="18" t="str">
        <f>IF($B26="","",Paramètres!$C$26)</f>
        <v/>
      </c>
      <c r="I26" s="19"/>
      <c r="J26" s="19"/>
      <c r="K26" s="19"/>
      <c r="L26" s="18" t="str">
        <f>IF($B26="","",SUM(I26:K26))</f>
        <v/>
      </c>
      <c r="M26" s="18" t="str">
        <f>IF($B26="","",H26-L26)</f>
        <v/>
      </c>
      <c r="N26" s="18" t="str">
        <f>IF($B26="","",IF(R26="Ancien",0,Paramètres!$D$26))</f>
        <v/>
      </c>
      <c r="O26" s="19"/>
      <c r="P26" s="18" t="str">
        <f>IF($B26="","",N26-O26)</f>
        <v/>
      </c>
      <c r="Q26" s="21" t="str">
        <f>IF($B26="","",IF(AND(M26&lt;=0,P26&lt;=0),"Soldé","En retard"))</f>
        <v/>
      </c>
      <c r="R26" s="21"/>
    </row>
    <row r="27">
      <c r="A27" s="15"/>
      <c r="B27" s="15"/>
      <c r="C27" s="15"/>
      <c r="D27" s="8"/>
      <c r="E27" s="79"/>
      <c r="F27" s="15"/>
      <c r="G27" s="15"/>
      <c r="H27" s="18" t="str">
        <f>IF($B27="","",Paramètres!$C$26)</f>
        <v/>
      </c>
      <c r="I27" s="19"/>
      <c r="J27" s="19"/>
      <c r="K27" s="19"/>
      <c r="L27" s="18" t="str">
        <f>IF($B27="","",SUM(I27:K27))</f>
        <v/>
      </c>
      <c r="M27" s="18" t="str">
        <f>IF($B27="","",H27-L27)</f>
        <v/>
      </c>
      <c r="N27" s="18" t="str">
        <f>IF($B27="","",IF(R27="Ancien",0,Paramètres!$D$26))</f>
        <v/>
      </c>
      <c r="O27" s="19"/>
      <c r="P27" s="18" t="str">
        <f>IF($B27="","",N27-O27)</f>
        <v/>
      </c>
      <c r="Q27" s="8" t="str">
        <f>IF($B27="","",IF(AND(M27&lt;=0,P27&lt;=0),"Soldé","En retard"))</f>
        <v/>
      </c>
      <c r="R27" s="8"/>
    </row>
    <row r="28">
      <c r="A28" s="20"/>
      <c r="B28" s="20"/>
      <c r="C28" s="20"/>
      <c r="D28" s="21"/>
      <c r="E28" s="77"/>
      <c r="F28" s="20"/>
      <c r="G28" s="20"/>
      <c r="H28" s="18" t="str">
        <f>IF($B28="","",Paramètres!$C$26)</f>
        <v/>
      </c>
      <c r="I28" s="19"/>
      <c r="J28" s="19"/>
      <c r="K28" s="19"/>
      <c r="L28" s="18" t="str">
        <f>IF($B28="","",SUM(I28:K28))</f>
        <v/>
      </c>
      <c r="M28" s="18" t="str">
        <f>IF($B28="","",H28-L28)</f>
        <v/>
      </c>
      <c r="N28" s="18" t="str">
        <f>IF($B28="","",IF(R28="Ancien",0,Paramètres!$D$26))</f>
        <v/>
      </c>
      <c r="O28" s="19"/>
      <c r="P28" s="18" t="str">
        <f>IF($B28="","",N28-O28)</f>
        <v/>
      </c>
      <c r="Q28" s="21" t="str">
        <f>IF($B28="","",IF(AND(M28&lt;=0,P28&lt;=0),"Soldé","En retard"))</f>
        <v/>
      </c>
      <c r="R28" s="21"/>
    </row>
    <row r="29">
      <c r="A29" s="15"/>
      <c r="B29" s="15"/>
      <c r="C29" s="15"/>
      <c r="D29" s="8"/>
      <c r="E29" s="79"/>
      <c r="F29" s="15"/>
      <c r="G29" s="15"/>
      <c r="H29" s="18" t="str">
        <f>IF($B29="","",Paramètres!$C$26)</f>
        <v/>
      </c>
      <c r="I29" s="19"/>
      <c r="J29" s="19"/>
      <c r="K29" s="19"/>
      <c r="L29" s="18" t="str">
        <f>IF($B29="","",SUM(I29:K29))</f>
        <v/>
      </c>
      <c r="M29" s="18" t="str">
        <f>IF($B29="","",H29-L29)</f>
        <v/>
      </c>
      <c r="N29" s="18" t="str">
        <f>IF($B29="","",IF(R29="Ancien",0,Paramètres!$D$26))</f>
        <v/>
      </c>
      <c r="O29" s="19"/>
      <c r="P29" s="18" t="str">
        <f>IF($B29="","",N29-O29)</f>
        <v/>
      </c>
      <c r="Q29" s="8" t="str">
        <f>IF($B29="","",IF(AND(M29&lt;=0,P29&lt;=0),"Soldé","En retard"))</f>
        <v/>
      </c>
      <c r="R29" s="8"/>
    </row>
    <row r="30">
      <c r="A30" s="20"/>
      <c r="B30" s="20"/>
      <c r="C30" s="20"/>
      <c r="D30" s="21"/>
      <c r="E30" s="77"/>
      <c r="F30" s="20"/>
      <c r="G30" s="20"/>
      <c r="H30" s="18" t="str">
        <f>IF($B30="","",Paramètres!$C$26)</f>
        <v/>
      </c>
      <c r="I30" s="19"/>
      <c r="J30" s="19"/>
      <c r="K30" s="19"/>
      <c r="L30" s="18" t="str">
        <f>IF($B30="","",SUM(I30:K30))</f>
        <v/>
      </c>
      <c r="M30" s="18" t="str">
        <f>IF($B30="","",H30-L30)</f>
        <v/>
      </c>
      <c r="N30" s="18" t="str">
        <f>IF($B30="","",IF(R30="Ancien",0,Paramètres!$D$26))</f>
        <v/>
      </c>
      <c r="O30" s="19"/>
      <c r="P30" s="18" t="str">
        <f>IF($B30="","",N30-O30)</f>
        <v/>
      </c>
      <c r="Q30" s="21" t="str">
        <f>IF($B30="","",IF(AND(M30&lt;=0,P30&lt;=0),"Soldé","En retard"))</f>
        <v/>
      </c>
      <c r="R30" s="21"/>
    </row>
    <row r="31">
      <c r="A31" s="15"/>
      <c r="B31" s="15"/>
      <c r="C31" s="15"/>
      <c r="D31" s="8"/>
      <c r="E31" s="79"/>
      <c r="F31" s="15"/>
      <c r="G31" s="15"/>
      <c r="H31" s="18" t="str">
        <f>IF($B31="","",Paramètres!$C$26)</f>
        <v/>
      </c>
      <c r="I31" s="19"/>
      <c r="J31" s="19"/>
      <c r="K31" s="19"/>
      <c r="L31" s="18" t="str">
        <f>IF($B31="","",SUM(I31:K31))</f>
        <v/>
      </c>
      <c r="M31" s="18" t="str">
        <f>IF($B31="","",H31-L31)</f>
        <v/>
      </c>
      <c r="N31" s="18" t="str">
        <f>IF($B31="","",IF(R31="Ancien",0,Paramètres!$D$26))</f>
        <v/>
      </c>
      <c r="O31" s="19"/>
      <c r="P31" s="18" t="str">
        <f>IF($B31="","",N31-O31)</f>
        <v/>
      </c>
      <c r="Q31" s="8" t="str">
        <f>IF($B31="","",IF(AND(M31&lt;=0,P31&lt;=0),"Soldé","En retard"))</f>
        <v/>
      </c>
      <c r="R31" s="8"/>
    </row>
    <row r="32">
      <c r="A32" s="20"/>
      <c r="B32" s="20"/>
      <c r="C32" s="20"/>
      <c r="D32" s="21"/>
      <c r="E32" s="77"/>
      <c r="F32" s="20"/>
      <c r="G32" s="20"/>
      <c r="H32" s="18" t="str">
        <f>IF($B32="","",Paramètres!$C$26)</f>
        <v/>
      </c>
      <c r="I32" s="19"/>
      <c r="J32" s="19"/>
      <c r="K32" s="19"/>
      <c r="L32" s="18" t="str">
        <f>IF($B32="","",SUM(I32:K32))</f>
        <v/>
      </c>
      <c r="M32" s="18" t="str">
        <f>IF($B32="","",H32-L32)</f>
        <v/>
      </c>
      <c r="N32" s="18" t="str">
        <f>IF($B32="","",IF(R32="Ancien",0,Paramètres!$D$26))</f>
        <v/>
      </c>
      <c r="O32" s="19"/>
      <c r="P32" s="18" t="str">
        <f>IF($B32="","",N32-O32)</f>
        <v/>
      </c>
      <c r="Q32" s="21" t="str">
        <f>IF($B32="","",IF(AND(M32&lt;=0,P32&lt;=0),"Soldé","En retard"))</f>
        <v/>
      </c>
      <c r="R32" s="21"/>
    </row>
    <row r="33">
      <c r="A33" s="15"/>
      <c r="B33" s="15"/>
      <c r="C33" s="15"/>
      <c r="D33" s="8"/>
      <c r="E33" s="79"/>
      <c r="F33" s="15"/>
      <c r="G33" s="15"/>
      <c r="H33" s="18" t="str">
        <f>IF($B33="","",Paramètres!$C$26)</f>
        <v/>
      </c>
      <c r="I33" s="19"/>
      <c r="J33" s="19"/>
      <c r="K33" s="19"/>
      <c r="L33" s="18" t="str">
        <f>IF($B33="","",SUM(I33:K33))</f>
        <v/>
      </c>
      <c r="M33" s="18" t="str">
        <f>IF($B33="","",H33-L33)</f>
        <v/>
      </c>
      <c r="N33" s="18" t="str">
        <f>IF($B33="","",IF(R33="Ancien",0,Paramètres!$D$26))</f>
        <v/>
      </c>
      <c r="O33" s="19"/>
      <c r="P33" s="18" t="str">
        <f>IF($B33="","",N33-O33)</f>
        <v/>
      </c>
      <c r="Q33" s="8" t="str">
        <f>IF($B33="","",IF(AND(M33&lt;=0,P33&lt;=0),"Soldé","En retard"))</f>
        <v/>
      </c>
      <c r="R33" s="8"/>
    </row>
    <row r="34">
      <c r="A34" s="20"/>
      <c r="B34" s="20"/>
      <c r="C34" s="20"/>
      <c r="D34" s="21"/>
      <c r="E34" s="77"/>
      <c r="F34" s="20"/>
      <c r="G34" s="20"/>
      <c r="H34" s="18" t="str">
        <f>IF($B34="","",Paramètres!$C$26)</f>
        <v/>
      </c>
      <c r="I34" s="19"/>
      <c r="J34" s="19"/>
      <c r="K34" s="19"/>
      <c r="L34" s="18" t="str">
        <f>IF($B34="","",SUM(I34:K34))</f>
        <v/>
      </c>
      <c r="M34" s="18" t="str">
        <f>IF($B34="","",H34-L34)</f>
        <v/>
      </c>
      <c r="N34" s="18" t="str">
        <f>IF($B34="","",IF(R34="Ancien",0,Paramètres!$D$26))</f>
        <v/>
      </c>
      <c r="O34" s="19"/>
      <c r="P34" s="18" t="str">
        <f>IF($B34="","",N34-O34)</f>
        <v/>
      </c>
      <c r="Q34" s="21" t="str">
        <f>IF($B34="","",IF(AND(M34&lt;=0,P34&lt;=0),"Soldé","En retard"))</f>
        <v/>
      </c>
      <c r="R34" s="21"/>
    </row>
    <row r="35">
      <c r="A35" s="15"/>
      <c r="B35" s="15"/>
      <c r="C35" s="15"/>
      <c r="D35" s="8"/>
      <c r="E35" s="79"/>
      <c r="F35" s="15"/>
      <c r="G35" s="15"/>
      <c r="H35" s="18" t="str">
        <f>IF($B35="","",Paramètres!$C$26)</f>
        <v/>
      </c>
      <c r="I35" s="19"/>
      <c r="J35" s="19"/>
      <c r="K35" s="19"/>
      <c r="L35" s="18" t="str">
        <f>IF($B35="","",SUM(I35:K35))</f>
        <v/>
      </c>
      <c r="M35" s="18" t="str">
        <f>IF($B35="","",H35-L35)</f>
        <v/>
      </c>
      <c r="N35" s="18" t="str">
        <f>IF($B35="","",IF(R35="Ancien",0,Paramètres!$D$26))</f>
        <v/>
      </c>
      <c r="O35" s="19"/>
      <c r="P35" s="18" t="str">
        <f>IF($B35="","",N35-O35)</f>
        <v/>
      </c>
      <c r="Q35" s="8" t="str">
        <f>IF($B35="","",IF(AND(M35&lt;=0,P35&lt;=0),"Soldé","En retard"))</f>
        <v/>
      </c>
      <c r="R35" s="8"/>
    </row>
    <row r="36">
      <c r="A36" s="20"/>
      <c r="B36" s="20"/>
      <c r="C36" s="20"/>
      <c r="D36" s="21"/>
      <c r="E36" s="77"/>
      <c r="F36" s="20"/>
      <c r="G36" s="20"/>
      <c r="H36" s="18" t="str">
        <f>IF($B36="","",Paramètres!$C$26)</f>
        <v/>
      </c>
      <c r="I36" s="19"/>
      <c r="J36" s="19"/>
      <c r="K36" s="19"/>
      <c r="L36" s="18" t="str">
        <f>IF($B36="","",SUM(I36:K36))</f>
        <v/>
      </c>
      <c r="M36" s="18" t="str">
        <f>IF($B36="","",H36-L36)</f>
        <v/>
      </c>
      <c r="N36" s="18" t="str">
        <f>IF($B36="","",IF(R36="Ancien",0,Paramètres!$D$26))</f>
        <v/>
      </c>
      <c r="O36" s="19"/>
      <c r="P36" s="18" t="str">
        <f>IF($B36="","",N36-O36)</f>
        <v/>
      </c>
      <c r="Q36" s="21" t="str">
        <f>IF($B36="","",IF(AND(M36&lt;=0,P36&lt;=0),"Soldé","En retard"))</f>
        <v/>
      </c>
      <c r="R36" s="21"/>
    </row>
    <row r="37">
      <c r="A37" s="15"/>
      <c r="B37" s="15"/>
      <c r="C37" s="15"/>
      <c r="D37" s="8"/>
      <c r="E37" s="79"/>
      <c r="F37" s="15"/>
      <c r="G37" s="15"/>
      <c r="H37" s="18" t="str">
        <f>IF($B37="","",Paramètres!$C$26)</f>
        <v/>
      </c>
      <c r="I37" s="19"/>
      <c r="J37" s="19"/>
      <c r="K37" s="19"/>
      <c r="L37" s="18" t="str">
        <f>IF($B37="","",SUM(I37:K37))</f>
        <v/>
      </c>
      <c r="M37" s="18" t="str">
        <f>IF($B37="","",H37-L37)</f>
        <v/>
      </c>
      <c r="N37" s="18" t="str">
        <f>IF($B37="","",IF(R37="Ancien",0,Paramètres!$D$26))</f>
        <v/>
      </c>
      <c r="O37" s="19"/>
      <c r="P37" s="18" t="str">
        <f>IF($B37="","",N37-O37)</f>
        <v/>
      </c>
      <c r="Q37" s="8" t="str">
        <f>IF($B37="","",IF(AND(M37&lt;=0,P37&lt;=0),"Soldé","En retard"))</f>
        <v/>
      </c>
      <c r="R37" s="8"/>
    </row>
    <row r="38">
      <c r="A38" s="20"/>
      <c r="B38" s="20"/>
      <c r="C38" s="20"/>
      <c r="D38" s="21"/>
      <c r="E38" s="77"/>
      <c r="F38" s="20"/>
      <c r="G38" s="20"/>
      <c r="H38" s="18" t="str">
        <f>IF($B38="","",Paramètres!$C$26)</f>
        <v/>
      </c>
      <c r="I38" s="19"/>
      <c r="J38" s="19"/>
      <c r="K38" s="19"/>
      <c r="L38" s="18" t="str">
        <f>IF($B38="","",SUM(I38:K38))</f>
        <v/>
      </c>
      <c r="M38" s="18" t="str">
        <f>IF($B38="","",H38-L38)</f>
        <v/>
      </c>
      <c r="N38" s="18" t="str">
        <f>IF($B38="","",IF(R38="Ancien",0,Paramètres!$D$26))</f>
        <v/>
      </c>
      <c r="O38" s="19"/>
      <c r="P38" s="18" t="str">
        <f>IF($B38="","",N38-O38)</f>
        <v/>
      </c>
      <c r="Q38" s="21" t="str">
        <f>IF($B38="","",IF(AND(M38&lt;=0,P38&lt;=0),"Soldé","En retard"))</f>
        <v/>
      </c>
      <c r="R38" s="21"/>
    </row>
    <row r="39">
      <c r="A39" s="15"/>
      <c r="B39" s="15"/>
      <c r="C39" s="15"/>
      <c r="D39" s="8"/>
      <c r="E39" s="79"/>
      <c r="F39" s="15"/>
      <c r="G39" s="15"/>
      <c r="H39" s="18" t="str">
        <f>IF($B39="","",Paramètres!$C$26)</f>
        <v/>
      </c>
      <c r="I39" s="19"/>
      <c r="J39" s="19"/>
      <c r="K39" s="19"/>
      <c r="L39" s="18" t="str">
        <f>IF($B39="","",SUM(I39:K39))</f>
        <v/>
      </c>
      <c r="M39" s="18" t="str">
        <f>IF($B39="","",H39-L39)</f>
        <v/>
      </c>
      <c r="N39" s="18" t="str">
        <f>IF($B39="","",IF(R39="Ancien",0,Paramètres!$D$26))</f>
        <v/>
      </c>
      <c r="O39" s="19"/>
      <c r="P39" s="18" t="str">
        <f>IF($B39="","",N39-O39)</f>
        <v/>
      </c>
      <c r="Q39" s="8" t="str">
        <f>IF($B39="","",IF(AND(M39&lt;=0,P39&lt;=0),"Soldé","En retard"))</f>
        <v/>
      </c>
      <c r="R39" s="8"/>
    </row>
    <row r="40">
      <c r="A40" s="20"/>
      <c r="B40" s="20"/>
      <c r="C40" s="20"/>
      <c r="D40" s="21"/>
      <c r="E40" s="77"/>
      <c r="F40" s="20"/>
      <c r="G40" s="20"/>
      <c r="H40" s="18" t="str">
        <f>IF($B40="","",Paramètres!$C$26)</f>
        <v/>
      </c>
      <c r="I40" s="19"/>
      <c r="J40" s="19"/>
      <c r="K40" s="19"/>
      <c r="L40" s="18" t="str">
        <f>IF($B40="","",SUM(I40:K40))</f>
        <v/>
      </c>
      <c r="M40" s="18" t="str">
        <f>IF($B40="","",H40-L40)</f>
        <v/>
      </c>
      <c r="N40" s="18" t="str">
        <f>IF($B40="","",IF(R40="Ancien",0,Paramètres!$D$26))</f>
        <v/>
      </c>
      <c r="O40" s="19"/>
      <c r="P40" s="18" t="str">
        <f>IF($B40="","",N40-O40)</f>
        <v/>
      </c>
      <c r="Q40" s="21" t="str">
        <f>IF($B40="","",IF(AND(M40&lt;=0,P40&lt;=0),"Soldé","En retard"))</f>
        <v/>
      </c>
      <c r="R40" s="21"/>
    </row>
    <row r="41">
      <c r="A41" s="15"/>
      <c r="B41" s="15"/>
      <c r="C41" s="15"/>
      <c r="D41" s="8"/>
      <c r="E41" s="79"/>
      <c r="F41" s="15"/>
      <c r="G41" s="15"/>
      <c r="H41" s="18" t="str">
        <f>IF($B41="","",Paramètres!$C$26)</f>
        <v/>
      </c>
      <c r="I41" s="19"/>
      <c r="J41" s="19"/>
      <c r="K41" s="19"/>
      <c r="L41" s="18" t="str">
        <f>IF($B41="","",SUM(I41:K41))</f>
        <v/>
      </c>
      <c r="M41" s="18" t="str">
        <f>IF($B41="","",H41-L41)</f>
        <v/>
      </c>
      <c r="N41" s="18" t="str">
        <f>IF($B41="","",IF(R41="Ancien",0,Paramètres!$D$26))</f>
        <v/>
      </c>
      <c r="O41" s="19"/>
      <c r="P41" s="18" t="str">
        <f>IF($B41="","",N41-O41)</f>
        <v/>
      </c>
      <c r="Q41" s="8" t="str">
        <f>IF($B41="","",IF(AND(M41&lt;=0,P41&lt;=0),"Soldé","En retard"))</f>
        <v/>
      </c>
      <c r="R41" s="8"/>
    </row>
    <row r="42">
      <c r="A42" s="20"/>
      <c r="B42" s="20"/>
      <c r="C42" s="20"/>
      <c r="D42" s="21"/>
      <c r="E42" s="77"/>
      <c r="F42" s="20"/>
      <c r="G42" s="20"/>
      <c r="H42" s="18" t="str">
        <f>IF($B42="","",Paramètres!$C$26)</f>
        <v/>
      </c>
      <c r="I42" s="19"/>
      <c r="J42" s="19"/>
      <c r="K42" s="19"/>
      <c r="L42" s="18" t="str">
        <f>IF($B42="","",SUM(I42:K42))</f>
        <v/>
      </c>
      <c r="M42" s="18" t="str">
        <f>IF($B42="","",H42-L42)</f>
        <v/>
      </c>
      <c r="N42" s="18" t="str">
        <f>IF($B42="","",IF(R42="Ancien",0,Paramètres!$D$26))</f>
        <v/>
      </c>
      <c r="O42" s="19"/>
      <c r="P42" s="18" t="str">
        <f>IF($B42="","",N42-O42)</f>
        <v/>
      </c>
      <c r="Q42" s="21" t="str">
        <f>IF($B42="","",IF(AND(M42&lt;=0,P42&lt;=0),"Soldé","En retard"))</f>
        <v/>
      </c>
      <c r="R42" s="21"/>
    </row>
    <row r="43">
      <c r="A43" s="15"/>
      <c r="B43" s="15"/>
      <c r="C43" s="15"/>
      <c r="D43" s="8"/>
      <c r="E43" s="79"/>
      <c r="F43" s="15"/>
      <c r="G43" s="15"/>
      <c r="H43" s="18" t="str">
        <f>IF($B43="","",Paramètres!$C$26)</f>
        <v/>
      </c>
      <c r="I43" s="19"/>
      <c r="J43" s="19"/>
      <c r="K43" s="19"/>
      <c r="L43" s="18" t="str">
        <f>IF($B43="","",SUM(I43:K43))</f>
        <v/>
      </c>
      <c r="M43" s="18" t="str">
        <f>IF($B43="","",H43-L43)</f>
        <v/>
      </c>
      <c r="N43" s="18" t="str">
        <f>IF($B43="","",IF(R43="Ancien",0,Paramètres!$D$26))</f>
        <v/>
      </c>
      <c r="O43" s="19"/>
      <c r="P43" s="18" t="str">
        <f>IF($B43="","",N43-O43)</f>
        <v/>
      </c>
      <c r="Q43" s="8" t="str">
        <f>IF($B43="","",IF(AND(M43&lt;=0,P43&lt;=0),"Soldé","En retard"))</f>
        <v/>
      </c>
      <c r="R43" s="8"/>
    </row>
    <row r="44">
      <c r="A44" s="20"/>
      <c r="B44" s="20"/>
      <c r="C44" s="20"/>
      <c r="D44" s="21"/>
      <c r="E44" s="77"/>
      <c r="F44" s="20"/>
      <c r="G44" s="20"/>
      <c r="H44" s="18" t="str">
        <f>IF($B44="","",Paramètres!$C$26)</f>
        <v/>
      </c>
      <c r="I44" s="19"/>
      <c r="J44" s="19"/>
      <c r="K44" s="19"/>
      <c r="L44" s="18" t="str">
        <f>IF($B44="","",SUM(I44:K44))</f>
        <v/>
      </c>
      <c r="M44" s="18" t="str">
        <f>IF($B44="","",H44-L44)</f>
        <v/>
      </c>
      <c r="N44" s="18" t="str">
        <f>IF($B44="","",IF(R44="Ancien",0,Paramètres!$D$26))</f>
        <v/>
      </c>
      <c r="O44" s="19"/>
      <c r="P44" s="18" t="str">
        <f>IF($B44="","",N44-O44)</f>
        <v/>
      </c>
      <c r="Q44" s="21" t="str">
        <f>IF($B44="","",IF(AND(M44&lt;=0,P44&lt;=0),"Soldé","En retard"))</f>
        <v/>
      </c>
      <c r="R44" s="21"/>
    </row>
    <row r="45">
      <c r="A45" s="15"/>
      <c r="B45" s="15"/>
      <c r="C45" s="15"/>
      <c r="D45" s="8"/>
      <c r="E45" s="79"/>
      <c r="F45" s="15"/>
      <c r="G45" s="15"/>
      <c r="H45" s="18" t="str">
        <f>IF($B45="","",Paramètres!$C$26)</f>
        <v/>
      </c>
      <c r="I45" s="19"/>
      <c r="J45" s="19"/>
      <c r="K45" s="19"/>
      <c r="L45" s="18" t="str">
        <f>IF($B45="","",SUM(I45:K45))</f>
        <v/>
      </c>
      <c r="M45" s="18" t="str">
        <f>IF($B45="","",H45-L45)</f>
        <v/>
      </c>
      <c r="N45" s="18" t="str">
        <f>IF($B45="","",IF(R45="Ancien",0,Paramètres!$D$26))</f>
        <v/>
      </c>
      <c r="O45" s="19"/>
      <c r="P45" s="18" t="str">
        <f>IF($B45="","",N45-O45)</f>
        <v/>
      </c>
      <c r="Q45" s="8" t="str">
        <f>IF($B45="","",IF(AND(M45&lt;=0,P45&lt;=0),"Soldé","En retard"))</f>
        <v/>
      </c>
      <c r="R45" s="8"/>
    </row>
    <row r="46">
      <c r="A46" s="20"/>
      <c r="B46" s="20"/>
      <c r="C46" s="20"/>
      <c r="D46" s="21"/>
      <c r="E46" s="77"/>
      <c r="F46" s="20"/>
      <c r="G46" s="20"/>
      <c r="H46" s="18" t="str">
        <f>IF($B46="","",Paramètres!$C$26)</f>
        <v/>
      </c>
      <c r="I46" s="19"/>
      <c r="J46" s="19"/>
      <c r="K46" s="19"/>
      <c r="L46" s="18" t="str">
        <f>IF($B46="","",SUM(I46:K46))</f>
        <v/>
      </c>
      <c r="M46" s="18" t="str">
        <f>IF($B46="","",H46-L46)</f>
        <v/>
      </c>
      <c r="N46" s="18" t="str">
        <f>IF($B46="","",IF(R46="Ancien",0,Paramètres!$D$26))</f>
        <v/>
      </c>
      <c r="O46" s="19"/>
      <c r="P46" s="18" t="str">
        <f>IF($B46="","",N46-O46)</f>
        <v/>
      </c>
      <c r="Q46" s="21" t="str">
        <f>IF($B46="","",IF(AND(M46&lt;=0,P46&lt;=0),"Soldé","En retard"))</f>
        <v/>
      </c>
      <c r="R46" s="21"/>
    </row>
    <row r="47">
      <c r="A47" s="15"/>
      <c r="B47" s="15"/>
      <c r="C47" s="15"/>
      <c r="D47" s="8"/>
      <c r="E47" s="79"/>
      <c r="F47" s="15"/>
      <c r="G47" s="15"/>
      <c r="H47" s="18" t="str">
        <f>IF($B47="","",Paramètres!$C$26)</f>
        <v/>
      </c>
      <c r="I47" s="19"/>
      <c r="J47" s="19"/>
      <c r="K47" s="19"/>
      <c r="L47" s="18" t="str">
        <f>IF($B47="","",SUM(I47:K47))</f>
        <v/>
      </c>
      <c r="M47" s="18" t="str">
        <f>IF($B47="","",H47-L47)</f>
        <v/>
      </c>
      <c r="N47" s="18" t="str">
        <f>IF($B47="","",IF(R47="Ancien",0,Paramètres!$D$26))</f>
        <v/>
      </c>
      <c r="O47" s="19"/>
      <c r="P47" s="18" t="str">
        <f>IF($B47="","",N47-O47)</f>
        <v/>
      </c>
      <c r="Q47" s="8" t="str">
        <f>IF($B47="","",IF(AND(M47&lt;=0,P47&lt;=0),"Soldé","En retard"))</f>
        <v/>
      </c>
      <c r="R47" s="8"/>
    </row>
    <row r="48">
      <c r="A48" s="20"/>
      <c r="B48" s="20"/>
      <c r="C48" s="20"/>
      <c r="D48" s="21"/>
      <c r="E48" s="77"/>
      <c r="F48" s="20"/>
      <c r="G48" s="20"/>
      <c r="H48" s="18" t="str">
        <f>IF($B48="","",Paramètres!$C$26)</f>
        <v/>
      </c>
      <c r="I48" s="19"/>
      <c r="J48" s="19"/>
      <c r="K48" s="19"/>
      <c r="L48" s="18" t="str">
        <f>IF($B48="","",SUM(I48:K48))</f>
        <v/>
      </c>
      <c r="M48" s="18" t="str">
        <f>IF($B48="","",H48-L48)</f>
        <v/>
      </c>
      <c r="N48" s="18" t="str">
        <f>IF($B48="","",IF(R48="Ancien",0,Paramètres!$D$26))</f>
        <v/>
      </c>
      <c r="O48" s="19"/>
      <c r="P48" s="18" t="str">
        <f>IF($B48="","",N48-O48)</f>
        <v/>
      </c>
      <c r="Q48" s="21" t="str">
        <f>IF($B48="","",IF(AND(M48&lt;=0,P48&lt;=0),"Soldé","En retard"))</f>
        <v/>
      </c>
      <c r="R48" s="21"/>
    </row>
    <row r="49">
      <c r="A49" s="15"/>
      <c r="B49" s="15"/>
      <c r="C49" s="15"/>
      <c r="D49" s="8"/>
      <c r="E49" s="79"/>
      <c r="F49" s="15"/>
      <c r="G49" s="15"/>
      <c r="H49" s="18" t="str">
        <f>IF($B49="","",Paramètres!$C$26)</f>
        <v/>
      </c>
      <c r="I49" s="19"/>
      <c r="J49" s="19"/>
      <c r="K49" s="19"/>
      <c r="L49" s="18" t="str">
        <f>IF($B49="","",SUM(I49:K49))</f>
        <v/>
      </c>
      <c r="M49" s="18" t="str">
        <f>IF($B49="","",H49-L49)</f>
        <v/>
      </c>
      <c r="N49" s="18" t="str">
        <f>IF($B49="","",IF(R49="Ancien",0,Paramètres!$D$26))</f>
        <v/>
      </c>
      <c r="O49" s="19"/>
      <c r="P49" s="18" t="str">
        <f>IF($B49="","",N49-O49)</f>
        <v/>
      </c>
      <c r="Q49" s="8" t="str">
        <f>IF($B49="","",IF(AND(M49&lt;=0,P49&lt;=0),"Soldé","En retard"))</f>
        <v/>
      </c>
      <c r="R49" s="8"/>
    </row>
    <row r="50">
      <c r="A50" s="20"/>
      <c r="B50" s="20"/>
      <c r="C50" s="20"/>
      <c r="D50" s="21"/>
      <c r="E50" s="77"/>
      <c r="F50" s="20"/>
      <c r="G50" s="20"/>
      <c r="H50" s="18" t="str">
        <f>IF($B50="","",Paramètres!$C$26)</f>
        <v/>
      </c>
      <c r="I50" s="19"/>
      <c r="J50" s="19"/>
      <c r="K50" s="19"/>
      <c r="L50" s="18" t="str">
        <f>IF($B50="","",SUM(I50:K50))</f>
        <v/>
      </c>
      <c r="M50" s="18" t="str">
        <f>IF($B50="","",H50-L50)</f>
        <v/>
      </c>
      <c r="N50" s="18" t="str">
        <f>IF($B50="","",IF(R50="Ancien",0,Paramètres!$D$26))</f>
        <v/>
      </c>
      <c r="O50" s="19"/>
      <c r="P50" s="18" t="str">
        <f>IF($B50="","",N50-O50)</f>
        <v/>
      </c>
      <c r="Q50" s="21" t="str">
        <f>IF($B50="","",IF(AND(M50&lt;=0,P50&lt;=0),"Soldé","En retard"))</f>
        <v/>
      </c>
      <c r="R50" s="21"/>
    </row>
    <row r="51">
      <c r="A51" s="15"/>
      <c r="B51" s="15"/>
      <c r="C51" s="15"/>
      <c r="D51" s="8"/>
      <c r="E51" s="79"/>
      <c r="F51" s="15"/>
      <c r="G51" s="15"/>
      <c r="H51" s="18" t="str">
        <f>IF($B51="","",Paramètres!$C$26)</f>
        <v/>
      </c>
      <c r="I51" s="19"/>
      <c r="J51" s="19"/>
      <c r="K51" s="19"/>
      <c r="L51" s="18" t="str">
        <f>IF($B51="","",SUM(I51:K51))</f>
        <v/>
      </c>
      <c r="M51" s="18" t="str">
        <f>IF($B51="","",H51-L51)</f>
        <v/>
      </c>
      <c r="N51" s="18" t="str">
        <f>IF($B51="","",IF(R51="Ancien",0,Paramètres!$D$26))</f>
        <v/>
      </c>
      <c r="O51" s="19"/>
      <c r="P51" s="18" t="str">
        <f>IF($B51="","",N51-O51)</f>
        <v/>
      </c>
      <c r="Q51" s="8" t="str">
        <f>IF($B51="","",IF(AND(M51&lt;=0,P51&lt;=0),"Soldé","En retard"))</f>
        <v/>
      </c>
      <c r="R51" s="8"/>
    </row>
    <row r="52">
      <c r="A52" s="20"/>
      <c r="B52" s="20"/>
      <c r="C52" s="20"/>
      <c r="D52" s="21"/>
      <c r="E52" s="77"/>
      <c r="F52" s="20"/>
      <c r="G52" s="20"/>
      <c r="H52" s="18" t="str">
        <f>IF($B52="","",Paramètres!$C$26)</f>
        <v/>
      </c>
      <c r="I52" s="19"/>
      <c r="J52" s="19"/>
      <c r="K52" s="19"/>
      <c r="L52" s="18" t="str">
        <f>IF($B52="","",SUM(I52:K52))</f>
        <v/>
      </c>
      <c r="M52" s="18" t="str">
        <f>IF($B52="","",H52-L52)</f>
        <v/>
      </c>
      <c r="N52" s="18" t="str">
        <f>IF($B52="","",IF(R52="Ancien",0,Paramètres!$D$26))</f>
        <v/>
      </c>
      <c r="O52" s="19"/>
      <c r="P52" s="18" t="str">
        <f>IF($B52="","",N52-O52)</f>
        <v/>
      </c>
      <c r="Q52" s="21" t="str">
        <f>IF($B52="","",IF(AND(M52&lt;=0,P52&lt;=0),"Soldé","En retard"))</f>
        <v/>
      </c>
      <c r="R52" s="21"/>
    </row>
    <row r="53">
      <c r="A53" s="15"/>
      <c r="B53" s="15"/>
      <c r="C53" s="15"/>
      <c r="D53" s="8"/>
      <c r="E53" s="79"/>
      <c r="F53" s="15"/>
      <c r="G53" s="15"/>
      <c r="H53" s="18" t="str">
        <f>IF($B53="","",Paramètres!$C$26)</f>
        <v/>
      </c>
      <c r="I53" s="19"/>
      <c r="J53" s="19"/>
      <c r="K53" s="19"/>
      <c r="L53" s="18" t="str">
        <f>IF($B53="","",SUM(I53:K53))</f>
        <v/>
      </c>
      <c r="M53" s="18" t="str">
        <f>IF($B53="","",H53-L53)</f>
        <v/>
      </c>
      <c r="N53" s="18" t="str">
        <f>IF($B53="","",IF(R53="Ancien",0,Paramètres!$D$26))</f>
        <v/>
      </c>
      <c r="O53" s="19"/>
      <c r="P53" s="18" t="str">
        <f>IF($B53="","",N53-O53)</f>
        <v/>
      </c>
      <c r="Q53" s="8" t="str">
        <f>IF($B53="","",IF(AND(M53&lt;=0,P53&lt;=0),"Soldé","En retard"))</f>
        <v/>
      </c>
      <c r="R53" s="8"/>
    </row>
    <row r="54">
      <c r="A54" s="20"/>
      <c r="B54" s="20"/>
      <c r="C54" s="20"/>
      <c r="D54" s="21"/>
      <c r="E54" s="77"/>
      <c r="F54" s="20"/>
      <c r="G54" s="20"/>
      <c r="H54" s="18" t="str">
        <f>IF($B54="","",Paramètres!$C$26)</f>
        <v/>
      </c>
      <c r="I54" s="19"/>
      <c r="J54" s="19"/>
      <c r="K54" s="19"/>
      <c r="L54" s="18" t="str">
        <f>IF($B54="","",SUM(I54:K54))</f>
        <v/>
      </c>
      <c r="M54" s="18" t="str">
        <f>IF($B54="","",H54-L54)</f>
        <v/>
      </c>
      <c r="N54" s="18" t="str">
        <f>IF($B54="","",IF(R54="Ancien",0,Paramètres!$D$26))</f>
        <v/>
      </c>
      <c r="O54" s="19"/>
      <c r="P54" s="18" t="str">
        <f>IF($B54="","",N54-O54)</f>
        <v/>
      </c>
      <c r="Q54" s="21" t="str">
        <f>IF($B54="","",IF(AND(M54&lt;=0,P54&lt;=0),"Soldé","En retard"))</f>
        <v/>
      </c>
      <c r="R54" s="21"/>
    </row>
    <row r="55">
      <c r="A55" s="15"/>
      <c r="B55" s="15"/>
      <c r="C55" s="15"/>
      <c r="D55" s="8"/>
      <c r="E55" s="79"/>
      <c r="F55" s="15"/>
      <c r="G55" s="15"/>
      <c r="H55" s="18" t="str">
        <f>IF($B55="","",Paramètres!$C$26)</f>
        <v/>
      </c>
      <c r="I55" s="19"/>
      <c r="J55" s="19"/>
      <c r="K55" s="19"/>
      <c r="L55" s="18" t="str">
        <f>IF($B55="","",SUM(I55:K55))</f>
        <v/>
      </c>
      <c r="M55" s="18" t="str">
        <f>IF($B55="","",H55-L55)</f>
        <v/>
      </c>
      <c r="N55" s="18" t="str">
        <f>IF($B55="","",IF(R55="Ancien",0,Paramètres!$D$26))</f>
        <v/>
      </c>
      <c r="O55" s="19"/>
      <c r="P55" s="18" t="str">
        <f>IF($B55="","",N55-O55)</f>
        <v/>
      </c>
      <c r="Q55" s="8" t="str">
        <f>IF($B55="","",IF(AND(M55&lt;=0,P55&lt;=0),"Soldé","En retard"))</f>
        <v/>
      </c>
      <c r="R55" s="8"/>
    </row>
    <row r="56">
      <c r="A56" s="20"/>
      <c r="B56" s="20"/>
      <c r="C56" s="20"/>
      <c r="D56" s="21"/>
      <c r="E56" s="77"/>
      <c r="F56" s="20"/>
      <c r="G56" s="20"/>
      <c r="H56" s="18" t="str">
        <f>IF($B56="","",Paramètres!$C$26)</f>
        <v/>
      </c>
      <c r="I56" s="19"/>
      <c r="J56" s="19"/>
      <c r="K56" s="19"/>
      <c r="L56" s="18" t="str">
        <f>IF($B56="","",SUM(I56:K56))</f>
        <v/>
      </c>
      <c r="M56" s="18" t="str">
        <f>IF($B56="","",H56-L56)</f>
        <v/>
      </c>
      <c r="N56" s="18" t="str">
        <f>IF($B56="","",IF(R56="Ancien",0,Paramètres!$D$26))</f>
        <v/>
      </c>
      <c r="O56" s="19"/>
      <c r="P56" s="18" t="str">
        <f>IF($B56="","",N56-O56)</f>
        <v/>
      </c>
      <c r="Q56" s="21" t="str">
        <f>IF($B56="","",IF(AND(M56&lt;=0,P56&lt;=0),"Soldé","En retard"))</f>
        <v/>
      </c>
      <c r="R56" s="21"/>
    </row>
    <row r="57">
      <c r="A57" s="15"/>
      <c r="B57" s="15"/>
      <c r="C57" s="15"/>
      <c r="D57" s="8"/>
      <c r="E57" s="79"/>
      <c r="F57" s="15"/>
      <c r="G57" s="15"/>
      <c r="H57" s="18" t="str">
        <f>IF($B57="","",Paramètres!$C$26)</f>
        <v/>
      </c>
      <c r="I57" s="19"/>
      <c r="J57" s="19"/>
      <c r="K57" s="19"/>
      <c r="L57" s="18" t="str">
        <f>IF($B57="","",SUM(I57:K57))</f>
        <v/>
      </c>
      <c r="M57" s="18" t="str">
        <f>IF($B57="","",H57-L57)</f>
        <v/>
      </c>
      <c r="N57" s="18" t="str">
        <f>IF($B57="","",IF(R57="Ancien",0,Paramètres!$D$26))</f>
        <v/>
      </c>
      <c r="O57" s="19"/>
      <c r="P57" s="18" t="str">
        <f>IF($B57="","",N57-O57)</f>
        <v/>
      </c>
      <c r="Q57" s="8" t="str">
        <f>IF($B57="","",IF(AND(M57&lt;=0,P57&lt;=0),"Soldé","En retard"))</f>
        <v/>
      </c>
      <c r="R57" s="8"/>
    </row>
    <row r="58">
      <c r="A58" s="20"/>
      <c r="B58" s="20"/>
      <c r="C58" s="20"/>
      <c r="D58" s="21"/>
      <c r="E58" s="77"/>
      <c r="F58" s="20"/>
      <c r="G58" s="20"/>
      <c r="H58" s="18" t="str">
        <f>IF($B58="","",Paramètres!$C$26)</f>
        <v/>
      </c>
      <c r="I58" s="19"/>
      <c r="J58" s="19"/>
      <c r="K58" s="19"/>
      <c r="L58" s="18" t="str">
        <f>IF($B58="","",SUM(I58:K58))</f>
        <v/>
      </c>
      <c r="M58" s="18" t="str">
        <f>IF($B58="","",H58-L58)</f>
        <v/>
      </c>
      <c r="N58" s="18" t="str">
        <f>IF($B58="","",IF(R58="Ancien",0,Paramètres!$D$26))</f>
        <v/>
      </c>
      <c r="O58" s="19"/>
      <c r="P58" s="18" t="str">
        <f>IF($B58="","",N58-O58)</f>
        <v/>
      </c>
      <c r="Q58" s="21" t="str">
        <f>IF($B58="","",IF(AND(M58&lt;=0,P58&lt;=0),"Soldé","En retard"))</f>
        <v/>
      </c>
      <c r="R58" s="21"/>
    </row>
    <row r="59">
      <c r="A59" s="15"/>
      <c r="B59" s="15"/>
      <c r="C59" s="15"/>
      <c r="D59" s="8"/>
      <c r="E59" s="79"/>
      <c r="F59" s="15"/>
      <c r="G59" s="15"/>
      <c r="H59" s="18" t="str">
        <f>IF($B59="","",Paramètres!$C$26)</f>
        <v/>
      </c>
      <c r="I59" s="19"/>
      <c r="J59" s="19"/>
      <c r="K59" s="19"/>
      <c r="L59" s="18" t="str">
        <f>IF($B59="","",SUM(I59:K59))</f>
        <v/>
      </c>
      <c r="M59" s="18" t="str">
        <f>IF($B59="","",H59-L59)</f>
        <v/>
      </c>
      <c r="N59" s="18" t="str">
        <f>IF($B59="","",IF(R59="Ancien",0,Paramètres!$D$26))</f>
        <v/>
      </c>
      <c r="O59" s="19"/>
      <c r="P59" s="18" t="str">
        <f>IF($B59="","",N59-O59)</f>
        <v/>
      </c>
      <c r="Q59" s="8" t="str">
        <f>IF($B59="","",IF(AND(M59&lt;=0,P59&lt;=0),"Soldé","En retard"))</f>
        <v/>
      </c>
      <c r="R59" s="8"/>
    </row>
    <row r="60">
      <c r="A60" s="20"/>
      <c r="B60" s="20"/>
      <c r="C60" s="20"/>
      <c r="D60" s="21"/>
      <c r="E60" s="77"/>
      <c r="F60" s="20"/>
      <c r="G60" s="20"/>
      <c r="H60" s="18" t="str">
        <f>IF($B60="","",Paramètres!$C$26)</f>
        <v/>
      </c>
      <c r="I60" s="19"/>
      <c r="J60" s="19"/>
      <c r="K60" s="19"/>
      <c r="L60" s="18" t="str">
        <f>IF($B60="","",SUM(I60:K60))</f>
        <v/>
      </c>
      <c r="M60" s="18" t="str">
        <f>IF($B60="","",H60-L60)</f>
        <v/>
      </c>
      <c r="N60" s="18" t="str">
        <f>IF($B60="","",IF(R60="Ancien",0,Paramètres!$D$26))</f>
        <v/>
      </c>
      <c r="O60" s="19"/>
      <c r="P60" s="18" t="str">
        <f>IF($B60="","",N60-O60)</f>
        <v/>
      </c>
      <c r="Q60" s="21" t="str">
        <f>IF($B60="","",IF(AND(M60&lt;=0,P60&lt;=0),"Soldé","En retard"))</f>
        <v/>
      </c>
      <c r="R60" s="21"/>
    </row>
    <row r="61">
      <c r="A61" s="15"/>
      <c r="B61" s="15"/>
      <c r="C61" s="15"/>
      <c r="D61" s="8"/>
      <c r="E61" s="79"/>
      <c r="F61" s="15"/>
      <c r="G61" s="15"/>
      <c r="H61" s="18" t="str">
        <f>IF($B61="","",Paramètres!$C$26)</f>
        <v/>
      </c>
      <c r="I61" s="19"/>
      <c r="J61" s="19"/>
      <c r="K61" s="19"/>
      <c r="L61" s="18" t="str">
        <f>IF($B61="","",SUM(I61:K61))</f>
        <v/>
      </c>
      <c r="M61" s="18" t="str">
        <f>IF($B61="","",H61-L61)</f>
        <v/>
      </c>
      <c r="N61" s="18" t="str">
        <f>IF($B61="","",IF(R61="Ancien",0,Paramètres!$D$26))</f>
        <v/>
      </c>
      <c r="O61" s="19"/>
      <c r="P61" s="18" t="str">
        <f>IF($B61="","",N61-O61)</f>
        <v/>
      </c>
      <c r="Q61" s="8" t="str">
        <f>IF($B61="","",IF(AND(M61&lt;=0,P61&lt;=0),"Soldé","En retard"))</f>
        <v/>
      </c>
      <c r="R61" s="8"/>
    </row>
    <row r="62">
      <c r="A62" s="20"/>
      <c r="B62" s="20"/>
      <c r="C62" s="20"/>
      <c r="D62" s="21"/>
      <c r="E62" s="77"/>
      <c r="F62" s="20"/>
      <c r="G62" s="20"/>
      <c r="H62" s="18" t="str">
        <f>IF($B62="","",Paramètres!$C$26)</f>
        <v/>
      </c>
      <c r="I62" s="19"/>
      <c r="J62" s="19"/>
      <c r="K62" s="19"/>
      <c r="L62" s="18" t="str">
        <f>IF($B62="","",SUM(I62:K62))</f>
        <v/>
      </c>
      <c r="M62" s="18" t="str">
        <f>IF($B62="","",H62-L62)</f>
        <v/>
      </c>
      <c r="N62" s="18" t="str">
        <f>IF($B62="","",IF(R62="Ancien",0,Paramètres!$D$26))</f>
        <v/>
      </c>
      <c r="O62" s="19"/>
      <c r="P62" s="18" t="str">
        <f>IF($B62="","",N62-O62)</f>
        <v/>
      </c>
      <c r="Q62" s="21" t="str">
        <f>IF($B62="","",IF(AND(M62&lt;=0,P62&lt;=0),"Soldé","En retard"))</f>
        <v/>
      </c>
      <c r="R62" s="21"/>
    </row>
    <row r="63">
      <c r="A63" s="15"/>
      <c r="B63" s="15"/>
      <c r="C63" s="15"/>
      <c r="D63" s="8"/>
      <c r="E63" s="79"/>
      <c r="F63" s="15"/>
      <c r="G63" s="15"/>
      <c r="H63" s="18" t="str">
        <f>IF($B63="","",Paramètres!$C$26)</f>
        <v/>
      </c>
      <c r="I63" s="19"/>
      <c r="J63" s="19"/>
      <c r="K63" s="19"/>
      <c r="L63" s="18" t="str">
        <f>IF($B63="","",SUM(I63:K63))</f>
        <v/>
      </c>
      <c r="M63" s="18" t="str">
        <f>IF($B63="","",H63-L63)</f>
        <v/>
      </c>
      <c r="N63" s="18" t="str">
        <f>IF($B63="","",IF(R63="Ancien",0,Paramètres!$D$26))</f>
        <v/>
      </c>
      <c r="O63" s="19"/>
      <c r="P63" s="18" t="str">
        <f>IF($B63="","",N63-O63)</f>
        <v/>
      </c>
      <c r="Q63" s="8" t="str">
        <f>IF($B63="","",IF(AND(M63&lt;=0,P63&lt;=0),"Soldé","En retard"))</f>
        <v/>
      </c>
      <c r="R63" s="8"/>
    </row>
    <row r="64">
      <c r="A64" s="20"/>
      <c r="B64" s="20"/>
      <c r="C64" s="20"/>
      <c r="D64" s="21"/>
      <c r="E64" s="77"/>
      <c r="F64" s="20"/>
      <c r="G64" s="20"/>
      <c r="H64" s="18" t="str">
        <f>IF($B64="","",Paramètres!$C$26)</f>
        <v/>
      </c>
      <c r="I64" s="19"/>
      <c r="J64" s="19"/>
      <c r="K64" s="19"/>
      <c r="L64" s="18" t="str">
        <f>IF($B64="","",SUM(I64:K64))</f>
        <v/>
      </c>
      <c r="M64" s="18" t="str">
        <f>IF($B64="","",H64-L64)</f>
        <v/>
      </c>
      <c r="N64" s="18" t="str">
        <f>IF($B64="","",IF(R64="Ancien",0,Paramètres!$D$26))</f>
        <v/>
      </c>
      <c r="O64" s="19"/>
      <c r="P64" s="18" t="str">
        <f>IF($B64="","",N64-O64)</f>
        <v/>
      </c>
      <c r="Q64" s="21" t="str">
        <f>IF($B64="","",IF(AND(M64&lt;=0,P64&lt;=0),"Soldé","En retard"))</f>
        <v/>
      </c>
      <c r="R64" s="21"/>
    </row>
    <row r="65">
      <c r="A65" s="15"/>
      <c r="B65" s="15"/>
      <c r="C65" s="15"/>
      <c r="D65" s="8"/>
      <c r="E65" s="79"/>
      <c r="F65" s="15"/>
      <c r="G65" s="15"/>
      <c r="H65" s="18" t="str">
        <f>IF($B65="","",Paramètres!$C$26)</f>
        <v/>
      </c>
      <c r="I65" s="19"/>
      <c r="J65" s="19"/>
      <c r="K65" s="19"/>
      <c r="L65" s="18" t="str">
        <f>IF($B65="","",SUM(I65:K65))</f>
        <v/>
      </c>
      <c r="M65" s="18" t="str">
        <f>IF($B65="","",H65-L65)</f>
        <v/>
      </c>
      <c r="N65" s="18" t="str">
        <f>IF($B65="","",IF(R65="Ancien",0,Paramètres!$D$26))</f>
        <v/>
      </c>
      <c r="O65" s="19"/>
      <c r="P65" s="18" t="str">
        <f>IF($B65="","",N65-O65)</f>
        <v/>
      </c>
      <c r="Q65" s="8" t="str">
        <f>IF($B65="","",IF(AND(M65&lt;=0,P65&lt;=0),"Soldé","En retard"))</f>
        <v/>
      </c>
      <c r="R65" s="8"/>
    </row>
    <row r="66">
      <c r="A66" s="20"/>
      <c r="B66" s="20"/>
      <c r="C66" s="20"/>
      <c r="D66" s="21"/>
      <c r="E66" s="77"/>
      <c r="F66" s="20"/>
      <c r="G66" s="20"/>
      <c r="H66" s="18" t="str">
        <f>IF($B66="","",Paramètres!$C$26)</f>
        <v/>
      </c>
      <c r="I66" s="19"/>
      <c r="J66" s="19"/>
      <c r="K66" s="19"/>
      <c r="L66" s="18" t="str">
        <f>IF($B66="","",SUM(I66:K66))</f>
        <v/>
      </c>
      <c r="M66" s="18" t="str">
        <f>IF($B66="","",H66-L66)</f>
        <v/>
      </c>
      <c r="N66" s="18" t="str">
        <f>IF($B66="","",IF(R66="Ancien",0,Paramètres!$D$26))</f>
        <v/>
      </c>
      <c r="O66" s="19"/>
      <c r="P66" s="18" t="str">
        <f>IF($B66="","",N66-O66)</f>
        <v/>
      </c>
      <c r="Q66" s="21" t="str">
        <f>IF($B66="","",IF(AND(M66&lt;=0,P66&lt;=0),"Soldé","En retard"))</f>
        <v/>
      </c>
      <c r="R66" s="21"/>
    </row>
    <row r="67">
      <c r="A67" s="15"/>
      <c r="B67" s="15"/>
      <c r="C67" s="15"/>
      <c r="D67" s="8"/>
      <c r="E67" s="79"/>
      <c r="F67" s="15"/>
      <c r="G67" s="15"/>
      <c r="H67" s="18" t="str">
        <f>IF($B67="","",Paramètres!$C$26)</f>
        <v/>
      </c>
      <c r="I67" s="19"/>
      <c r="J67" s="19"/>
      <c r="K67" s="19"/>
      <c r="L67" s="18" t="str">
        <f>IF($B67="","",SUM(I67:K67))</f>
        <v/>
      </c>
      <c r="M67" s="18" t="str">
        <f>IF($B67="","",H67-L67)</f>
        <v/>
      </c>
      <c r="N67" s="18" t="str">
        <f>IF($B67="","",IF(R67="Ancien",0,Paramètres!$D$26))</f>
        <v/>
      </c>
      <c r="O67" s="19"/>
      <c r="P67" s="18" t="str">
        <f>IF($B67="","",N67-O67)</f>
        <v/>
      </c>
      <c r="Q67" s="8" t="str">
        <f>IF($B67="","",IF(AND(M67&lt;=0,P67&lt;=0),"Soldé","En retard"))</f>
        <v/>
      </c>
      <c r="R67" s="8"/>
    </row>
    <row r="68">
      <c r="A68" s="20"/>
      <c r="B68" s="20"/>
      <c r="C68" s="20"/>
      <c r="D68" s="21"/>
      <c r="E68" s="77"/>
      <c r="F68" s="20"/>
      <c r="G68" s="20"/>
      <c r="H68" s="18" t="str">
        <f>IF($B68="","",Paramètres!$C$26)</f>
        <v/>
      </c>
      <c r="I68" s="19"/>
      <c r="J68" s="19"/>
      <c r="K68" s="19"/>
      <c r="L68" s="18" t="str">
        <f>IF($B68="","",SUM(I68:K68))</f>
        <v/>
      </c>
      <c r="M68" s="18" t="str">
        <f>IF($B68="","",H68-L68)</f>
        <v/>
      </c>
      <c r="N68" s="18" t="str">
        <f>IF($B68="","",IF(R68="Ancien",0,Paramètres!$D$26))</f>
        <v/>
      </c>
      <c r="O68" s="19"/>
      <c r="P68" s="18" t="str">
        <f>IF($B68="","",N68-O68)</f>
        <v/>
      </c>
      <c r="Q68" s="21" t="str">
        <f>IF($B68="","",IF(AND(M68&lt;=0,P68&lt;=0),"Soldé","En retard"))</f>
        <v/>
      </c>
      <c r="R68" s="21"/>
    </row>
    <row r="69">
      <c r="A69" s="15"/>
      <c r="B69" s="15"/>
      <c r="C69" s="15"/>
      <c r="D69" s="8"/>
      <c r="E69" s="79"/>
      <c r="F69" s="15"/>
      <c r="G69" s="15"/>
      <c r="H69" s="18" t="str">
        <f>IF($B69="","",Paramètres!$C$26)</f>
        <v/>
      </c>
      <c r="I69" s="19"/>
      <c r="J69" s="19"/>
      <c r="K69" s="19"/>
      <c r="L69" s="18" t="str">
        <f>IF($B69="","",SUM(I69:K69))</f>
        <v/>
      </c>
      <c r="M69" s="18" t="str">
        <f>IF($B69="","",H69-L69)</f>
        <v/>
      </c>
      <c r="N69" s="18" t="str">
        <f>IF($B69="","",IF(R69="Ancien",0,Paramètres!$D$26))</f>
        <v/>
      </c>
      <c r="O69" s="19"/>
      <c r="P69" s="18" t="str">
        <f>IF($B69="","",N69-O69)</f>
        <v/>
      </c>
      <c r="Q69" s="8" t="str">
        <f>IF($B69="","",IF(AND(M69&lt;=0,P69&lt;=0),"Soldé","En retard"))</f>
        <v/>
      </c>
      <c r="R69" s="8"/>
    </row>
    <row r="70">
      <c r="A70" s="20"/>
      <c r="B70" s="20"/>
      <c r="C70" s="20"/>
      <c r="D70" s="21"/>
      <c r="E70" s="77"/>
      <c r="F70" s="20"/>
      <c r="G70" s="20"/>
      <c r="H70" s="18" t="str">
        <f>IF($B70="","",Paramètres!$C$26)</f>
        <v/>
      </c>
      <c r="I70" s="19"/>
      <c r="J70" s="19"/>
      <c r="K70" s="19"/>
      <c r="L70" s="18" t="str">
        <f>IF($B70="","",SUM(I70:K70))</f>
        <v/>
      </c>
      <c r="M70" s="18" t="str">
        <f>IF($B70="","",H70-L70)</f>
        <v/>
      </c>
      <c r="N70" s="18" t="str">
        <f>IF($B70="","",IF(R70="Ancien",0,Paramètres!$D$26))</f>
        <v/>
      </c>
      <c r="O70" s="19"/>
      <c r="P70" s="18" t="str">
        <f>IF($B70="","",N70-O70)</f>
        <v/>
      </c>
      <c r="Q70" s="21" t="str">
        <f>IF($B70="","",IF(AND(M70&lt;=0,P70&lt;=0),"Soldé","En retard"))</f>
        <v/>
      </c>
      <c r="R70" s="21"/>
    </row>
    <row r="71">
      <c r="A71" s="15"/>
      <c r="B71" s="15"/>
      <c r="C71" s="15"/>
      <c r="D71" s="8"/>
      <c r="E71" s="79"/>
      <c r="F71" s="15"/>
      <c r="G71" s="15"/>
      <c r="H71" s="18" t="str">
        <f>IF($B71="","",Paramètres!$C$26)</f>
        <v/>
      </c>
      <c r="I71" s="19"/>
      <c r="J71" s="19"/>
      <c r="K71" s="19"/>
      <c r="L71" s="18" t="str">
        <f>IF($B71="","",SUM(I71:K71))</f>
        <v/>
      </c>
      <c r="M71" s="18" t="str">
        <f>IF($B71="","",H71-L71)</f>
        <v/>
      </c>
      <c r="N71" s="18" t="str">
        <f>IF($B71="","",IF(R71="Ancien",0,Paramètres!$D$26))</f>
        <v/>
      </c>
      <c r="O71" s="19"/>
      <c r="P71" s="18" t="str">
        <f>IF($B71="","",N71-O71)</f>
        <v/>
      </c>
      <c r="Q71" s="8" t="str">
        <f>IF($B71="","",IF(AND(M71&lt;=0,P71&lt;=0),"Soldé","En retard"))</f>
        <v/>
      </c>
      <c r="R71" s="8"/>
    </row>
    <row r="72">
      <c r="A72" s="20"/>
      <c r="B72" s="20"/>
      <c r="C72" s="20"/>
      <c r="D72" s="21"/>
      <c r="E72" s="77"/>
      <c r="F72" s="20"/>
      <c r="G72" s="20"/>
      <c r="H72" s="18" t="str">
        <f>IF($B72="","",Paramètres!$C$26)</f>
        <v/>
      </c>
      <c r="I72" s="19"/>
      <c r="J72" s="19"/>
      <c r="K72" s="19"/>
      <c r="L72" s="18" t="str">
        <f>IF($B72="","",SUM(I72:K72))</f>
        <v/>
      </c>
      <c r="M72" s="18" t="str">
        <f>IF($B72="","",H72-L72)</f>
        <v/>
      </c>
      <c r="N72" s="18" t="str">
        <f>IF($B72="","",IF(R72="Ancien",0,Paramètres!$D$26))</f>
        <v/>
      </c>
      <c r="O72" s="19"/>
      <c r="P72" s="18" t="str">
        <f>IF($B72="","",N72-O72)</f>
        <v/>
      </c>
      <c r="Q72" s="21" t="str">
        <f>IF($B72="","",IF(AND(M72&lt;=0,P72&lt;=0),"Soldé","En retard"))</f>
        <v/>
      </c>
      <c r="R72" s="21"/>
    </row>
    <row r="73">
      <c r="A73" s="15"/>
      <c r="B73" s="15"/>
      <c r="C73" s="15"/>
      <c r="D73" s="8"/>
      <c r="E73" s="79"/>
      <c r="F73" s="15"/>
      <c r="G73" s="15"/>
      <c r="H73" s="18" t="str">
        <f>IF($B73="","",Paramètres!$C$26)</f>
        <v/>
      </c>
      <c r="I73" s="19"/>
      <c r="J73" s="19"/>
      <c r="K73" s="19"/>
      <c r="L73" s="18" t="str">
        <f>IF($B73="","",SUM(I73:K73))</f>
        <v/>
      </c>
      <c r="M73" s="18" t="str">
        <f>IF($B73="","",H73-L73)</f>
        <v/>
      </c>
      <c r="N73" s="18" t="str">
        <f>IF($B73="","",IF(R73="Ancien",0,Paramètres!$D$26))</f>
        <v/>
      </c>
      <c r="O73" s="19"/>
      <c r="P73" s="18" t="str">
        <f>IF($B73="","",N73-O73)</f>
        <v/>
      </c>
      <c r="Q73" s="8" t="str">
        <f>IF($B73="","",IF(AND(M73&lt;=0,P73&lt;=0),"Soldé","En retard"))</f>
        <v/>
      </c>
      <c r="R73" s="8"/>
    </row>
    <row r="74">
      <c r="A74" s="20"/>
      <c r="B74" s="20"/>
      <c r="C74" s="20"/>
      <c r="D74" s="21"/>
      <c r="E74" s="77"/>
      <c r="F74" s="20"/>
      <c r="G74" s="20"/>
      <c r="H74" s="18" t="str">
        <f>IF($B74="","",Paramètres!$C$26)</f>
        <v/>
      </c>
      <c r="I74" s="19"/>
      <c r="J74" s="19"/>
      <c r="K74" s="19"/>
      <c r="L74" s="18" t="str">
        <f>IF($B74="","",SUM(I74:K74))</f>
        <v/>
      </c>
      <c r="M74" s="18" t="str">
        <f>IF($B74="","",H74-L74)</f>
        <v/>
      </c>
      <c r="N74" s="18" t="str">
        <f>IF($B74="","",IF(R74="Ancien",0,Paramètres!$D$26))</f>
        <v/>
      </c>
      <c r="O74" s="19"/>
      <c r="P74" s="18" t="str">
        <f>IF($B74="","",N74-O74)</f>
        <v/>
      </c>
      <c r="Q74" s="21" t="str">
        <f>IF($B74="","",IF(AND(M74&lt;=0,P74&lt;=0),"Soldé","En retard"))</f>
        <v/>
      </c>
      <c r="R74" s="21"/>
    </row>
    <row r="75">
      <c r="A75" s="15"/>
      <c r="B75" s="15"/>
      <c r="C75" s="15"/>
      <c r="D75" s="8"/>
      <c r="E75" s="79"/>
      <c r="F75" s="15"/>
      <c r="G75" s="15"/>
      <c r="H75" s="18" t="str">
        <f>IF($B75="","",Paramètres!$C$26)</f>
        <v/>
      </c>
      <c r="I75" s="19"/>
      <c r="J75" s="19"/>
      <c r="K75" s="19"/>
      <c r="L75" s="18" t="str">
        <f>IF($B75="","",SUM(I75:K75))</f>
        <v/>
      </c>
      <c r="M75" s="18" t="str">
        <f>IF($B75="","",H75-L75)</f>
        <v/>
      </c>
      <c r="N75" s="18" t="str">
        <f>IF($B75="","",IF(R75="Ancien",0,Paramètres!$D$26))</f>
        <v/>
      </c>
      <c r="O75" s="19"/>
      <c r="P75" s="18" t="str">
        <f>IF($B75="","",N75-O75)</f>
        <v/>
      </c>
      <c r="Q75" s="8" t="str">
        <f>IF($B75="","",IF(AND(M75&lt;=0,P75&lt;=0),"Soldé","En retard"))</f>
        <v/>
      </c>
      <c r="R75" s="8"/>
    </row>
    <row r="76">
      <c r="A76" s="20"/>
      <c r="B76" s="20"/>
      <c r="C76" s="20"/>
      <c r="D76" s="21"/>
      <c r="E76" s="77"/>
      <c r="F76" s="20"/>
      <c r="G76" s="20"/>
      <c r="H76" s="18" t="str">
        <f>IF($B76="","",Paramètres!$C$26)</f>
        <v/>
      </c>
      <c r="I76" s="19"/>
      <c r="J76" s="19"/>
      <c r="K76" s="19"/>
      <c r="L76" s="18" t="str">
        <f>IF($B76="","",SUM(I76:K76))</f>
        <v/>
      </c>
      <c r="M76" s="18" t="str">
        <f>IF($B76="","",H76-L76)</f>
        <v/>
      </c>
      <c r="N76" s="18" t="str">
        <f>IF($B76="","",IF(R76="Ancien",0,Paramètres!$D$26))</f>
        <v/>
      </c>
      <c r="O76" s="19"/>
      <c r="P76" s="18" t="str">
        <f>IF($B76="","",N76-O76)</f>
        <v/>
      </c>
      <c r="Q76" s="21" t="str">
        <f>IF($B76="","",IF(AND(M76&lt;=0,P76&lt;=0),"Soldé","En retard"))</f>
        <v/>
      </c>
      <c r="R76" s="21"/>
    </row>
    <row r="77">
      <c r="A77" s="15"/>
      <c r="B77" s="15"/>
      <c r="C77" s="15"/>
      <c r="D77" s="8"/>
      <c r="E77" s="79"/>
      <c r="F77" s="15"/>
      <c r="G77" s="15"/>
      <c r="H77" s="18" t="str">
        <f>IF($B77="","",Paramètres!$C$26)</f>
        <v/>
      </c>
      <c r="I77" s="19"/>
      <c r="J77" s="19"/>
      <c r="K77" s="19"/>
      <c r="L77" s="18" t="str">
        <f>IF($B77="","",SUM(I77:K77))</f>
        <v/>
      </c>
      <c r="M77" s="18" t="str">
        <f>IF($B77="","",H77-L77)</f>
        <v/>
      </c>
      <c r="N77" s="18" t="str">
        <f>IF($B77="","",IF(R77="Ancien",0,Paramètres!$D$26))</f>
        <v/>
      </c>
      <c r="O77" s="19"/>
      <c r="P77" s="18" t="str">
        <f>IF($B77="","",N77-O77)</f>
        <v/>
      </c>
      <c r="Q77" s="8" t="str">
        <f>IF($B77="","",IF(AND(M77&lt;=0,P77&lt;=0),"Soldé","En retard"))</f>
        <v/>
      </c>
      <c r="R77" s="8"/>
    </row>
    <row r="78">
      <c r="A78" s="20"/>
      <c r="B78" s="20"/>
      <c r="C78" s="20"/>
      <c r="D78" s="21"/>
      <c r="E78" s="77"/>
      <c r="F78" s="20"/>
      <c r="G78" s="20"/>
      <c r="H78" s="18" t="str">
        <f>IF($B78="","",Paramètres!$C$26)</f>
        <v/>
      </c>
      <c r="I78" s="19"/>
      <c r="J78" s="19"/>
      <c r="K78" s="19"/>
      <c r="L78" s="18" t="str">
        <f>IF($B78="","",SUM(I78:K78))</f>
        <v/>
      </c>
      <c r="M78" s="18" t="str">
        <f>IF($B78="","",H78-L78)</f>
        <v/>
      </c>
      <c r="N78" s="18" t="str">
        <f>IF($B78="","",IF(R78="Ancien",0,Paramètres!$D$26))</f>
        <v/>
      </c>
      <c r="O78" s="19"/>
      <c r="P78" s="18" t="str">
        <f>IF($B78="","",N78-O78)</f>
        <v/>
      </c>
      <c r="Q78" s="21" t="str">
        <f>IF($B78="","",IF(AND(M78&lt;=0,P78&lt;=0),"Soldé","En retard"))</f>
        <v/>
      </c>
      <c r="R78" s="21"/>
    </row>
    <row r="79">
      <c r="A79" s="15"/>
      <c r="B79" s="15"/>
      <c r="C79" s="15"/>
      <c r="D79" s="8"/>
      <c r="E79" s="79"/>
      <c r="F79" s="15"/>
      <c r="G79" s="15"/>
      <c r="H79" s="18" t="str">
        <f>IF($B79="","",Paramètres!$C$26)</f>
        <v/>
      </c>
      <c r="I79" s="19"/>
      <c r="J79" s="19"/>
      <c r="K79" s="19"/>
      <c r="L79" s="18" t="str">
        <f>IF($B79="","",SUM(I79:K79))</f>
        <v/>
      </c>
      <c r="M79" s="18" t="str">
        <f>IF($B79="","",H79-L79)</f>
        <v/>
      </c>
      <c r="N79" s="18" t="str">
        <f>IF($B79="","",IF(R79="Ancien",0,Paramètres!$D$26))</f>
        <v/>
      </c>
      <c r="O79" s="19"/>
      <c r="P79" s="18" t="str">
        <f>IF($B79="","",N79-O79)</f>
        <v/>
      </c>
      <c r="Q79" s="8" t="str">
        <f>IF($B79="","",IF(AND(M79&lt;=0,P79&lt;=0),"Soldé","En retard"))</f>
        <v/>
      </c>
      <c r="R79" s="8"/>
    </row>
    <row r="80">
      <c r="A80" s="20"/>
      <c r="B80" s="20"/>
      <c r="C80" s="20"/>
      <c r="D80" s="21"/>
      <c r="E80" s="77"/>
      <c r="F80" s="20"/>
      <c r="G80" s="20"/>
      <c r="H80" s="18" t="str">
        <f>IF($B80="","",Paramètres!$C$26)</f>
        <v/>
      </c>
      <c r="I80" s="19"/>
      <c r="J80" s="19"/>
      <c r="K80" s="19"/>
      <c r="L80" s="18" t="str">
        <f>IF($B80="","",SUM(I80:K80))</f>
        <v/>
      </c>
      <c r="M80" s="18" t="str">
        <f>IF($B80="","",H80-L80)</f>
        <v/>
      </c>
      <c r="N80" s="18" t="str">
        <f>IF($B80="","",IF(R80="Ancien",0,Paramètres!$D$26))</f>
        <v/>
      </c>
      <c r="O80" s="19"/>
      <c r="P80" s="18" t="str">
        <f>IF($B80="","",N80-O80)</f>
        <v/>
      </c>
      <c r="Q80" s="21" t="str">
        <f>IF($B80="","",IF(AND(M80&lt;=0,P80&lt;=0),"Soldé","En retard"))</f>
        <v/>
      </c>
      <c r="R80" s="21"/>
    </row>
    <row r="81">
      <c r="A81" s="15"/>
      <c r="B81" s="15"/>
      <c r="C81" s="15"/>
      <c r="D81" s="8"/>
      <c r="E81" s="79"/>
      <c r="F81" s="15"/>
      <c r="G81" s="15"/>
      <c r="H81" s="18" t="str">
        <f>IF($B81="","",Paramètres!$C$26)</f>
        <v/>
      </c>
      <c r="I81" s="19"/>
      <c r="J81" s="19"/>
      <c r="K81" s="19"/>
      <c r="L81" s="18" t="str">
        <f>IF($B81="","",SUM(I81:K81))</f>
        <v/>
      </c>
      <c r="M81" s="18" t="str">
        <f>IF($B81="","",H81-L81)</f>
        <v/>
      </c>
      <c r="N81" s="18" t="str">
        <f>IF($B81="","",IF(R81="Ancien",0,Paramètres!$D$26))</f>
        <v/>
      </c>
      <c r="O81" s="19"/>
      <c r="P81" s="18" t="str">
        <f>IF($B81="","",N81-O81)</f>
        <v/>
      </c>
      <c r="Q81" s="8" t="str">
        <f>IF($B81="","",IF(AND(M81&lt;=0,P81&lt;=0),"Soldé","En retard"))</f>
        <v/>
      </c>
      <c r="R81" s="8"/>
    </row>
    <row r="82">
      <c r="A82" s="20"/>
      <c r="B82" s="20"/>
      <c r="C82" s="20"/>
      <c r="D82" s="21"/>
      <c r="E82" s="77"/>
      <c r="F82" s="20"/>
      <c r="G82" s="20"/>
      <c r="H82" s="18" t="str">
        <f>IF($B82="","",Paramètres!$C$26)</f>
        <v/>
      </c>
      <c r="I82" s="19"/>
      <c r="J82" s="19"/>
      <c r="K82" s="19"/>
      <c r="L82" s="18" t="str">
        <f>IF($B82="","",SUM(I82:K82))</f>
        <v/>
      </c>
      <c r="M82" s="18" t="str">
        <f>IF($B82="","",H82-L82)</f>
        <v/>
      </c>
      <c r="N82" s="18" t="str">
        <f>IF($B82="","",IF(R82="Ancien",0,Paramètres!$D$26))</f>
        <v/>
      </c>
      <c r="O82" s="19"/>
      <c r="P82" s="18" t="str">
        <f>IF($B82="","",N82-O82)</f>
        <v/>
      </c>
      <c r="Q82" s="21" t="str">
        <f>IF($B82="","",IF(AND(M82&lt;=0,P82&lt;=0),"Soldé","En retard"))</f>
        <v/>
      </c>
      <c r="R82" s="21"/>
    </row>
    <row r="83">
      <c r="A83" s="15"/>
      <c r="B83" s="15"/>
      <c r="C83" s="15"/>
      <c r="D83" s="8"/>
      <c r="E83" s="79"/>
      <c r="F83" s="15"/>
      <c r="G83" s="15"/>
      <c r="H83" s="18" t="str">
        <f>IF($B83="","",Paramètres!$C$26)</f>
        <v/>
      </c>
      <c r="I83" s="19"/>
      <c r="J83" s="19"/>
      <c r="K83" s="19"/>
      <c r="L83" s="18" t="str">
        <f>IF($B83="","",SUM(I83:K83))</f>
        <v/>
      </c>
      <c r="M83" s="18" t="str">
        <f>IF($B83="","",H83-L83)</f>
        <v/>
      </c>
      <c r="N83" s="18" t="str">
        <f>IF($B83="","",IF(R83="Ancien",0,Paramètres!$D$26))</f>
        <v/>
      </c>
      <c r="O83" s="19"/>
      <c r="P83" s="18" t="str">
        <f>IF($B83="","",N83-O83)</f>
        <v/>
      </c>
      <c r="Q83" s="8" t="str">
        <f>IF($B83="","",IF(AND(M83&lt;=0,P83&lt;=0),"Soldé","En retard"))</f>
        <v/>
      </c>
      <c r="R83" s="8"/>
    </row>
  </sheetData>
  <mergeCells count="2">
    <mergeCell ref="A1:R1"/>
    <mergeCell ref="A2:R2"/>
  </mergeCells>
  <conditionalFormatting sqref="M4:M83 P4:P83">
    <cfRule type="cellIs" dxfId="10" priority="3" operator="greaterThan">
      <formula>0</formula>
    </cfRule>
  </conditionalFormatting>
  <conditionalFormatting sqref="Q4:Q83">
    <cfRule type="cellIs" dxfId="9" priority="1" operator="equal">
      <formula>"Soldé"</formula>
    </cfRule>
    <cfRule type="cellIs" dxfId="8" priority="2" operator="equal">
      <formula>"En retard"</formula>
    </cfRule>
  </conditionalFormatting>
  <dataValidations count="2">
    <dataValidation type="list" allowBlank="1" showErrorMessage="1" errorTitle="Sexe non valide" error="Choisissez M ou F." sqref="D4:D83">
      <formula1>"M,F"</formula1>
    </dataValidation>
    <dataValidation type="list" allowBlank="1" showErrorMessage="1" errorTitle="Statut non valide" error="Choisissez Nouveau ou Ancien. Un élève marqué Ancien ne paie pas les frais d'inscription." sqref="R4:R83">
      <formula1>"Nouveau,Ancien"</formula1>
    </dataValidation>
  </dataValidations>
  <pageMargins left="0.5" right="0.5" top="0.75" bottom="0.75" header="0.3" footer="0.3"/>
  <pageSetup paperSize="9" orientation="landscape" fitToHeight="0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R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7" customWidth="1"/>
    <col min="5" max="5" width="14" customWidth="1"/>
    <col min="6" max="6" width="18" customWidth="1"/>
    <col min="7" max="7" width="16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3" customWidth="1"/>
    <col min="18" max="18" width="16" customWidth="1"/>
  </cols>
  <sheetData>
    <row r="1" ht="27.75" customHeight="1">
      <c r="A1" s="53" t="str">
        <f>"INSCRIPTIONS — "&amp;Paramètres!$A$27</f>
        <v>INSCRIPTIONS — 2nde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ht="18" customHeight="1">
      <c r="A2" s="54" t="str">
        <f>"Année scolaire "&amp;Paramètres!$C$11&amp;"   •   Effectif : "&amp;COUNTIF($B$4:$B$83,"?*")&amp;"   •   Cellules jaunes = montants à saisir ; colonnes grises = calcul automatique"</f>
        <v>Année scolaire 2025-2026   •   Effectif : 1   •   Cellules jaunes = montants à saisir ; colonnes grises = calcul automatique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Sexe</t>
        </is>
      </c>
      <c r="E3" s="3" t="inlineStr">
        <is>
          <t>Date de naissance</t>
        </is>
      </c>
      <c r="F3" s="3" t="inlineStr">
        <is>
          <t>Nom du tuteur</t>
        </is>
      </c>
      <c r="G3" s="3" t="inlineStr">
        <is>
          <t>Téléphone</t>
        </is>
      </c>
      <c r="H3" s="3" t="inlineStr">
        <is>
          <t>Scolarité due</t>
        </is>
      </c>
      <c r="I3" s="3" t="inlineStr">
        <is>
          <t>Tranche 1</t>
        </is>
      </c>
      <c r="J3" s="3" t="inlineStr">
        <is>
          <t>Tranche 2</t>
        </is>
      </c>
      <c r="K3" s="3" t="inlineStr">
        <is>
          <t>Tranche 3</t>
        </is>
      </c>
      <c r="L3" s="3" t="inlineStr">
        <is>
          <t>Total payé</t>
        </is>
      </c>
      <c r="M3" s="3" t="inlineStr">
        <is>
          <t>Reste à payer</t>
        </is>
      </c>
      <c r="N3" s="3" t="inlineStr">
        <is>
          <t>Inscription due</t>
        </is>
      </c>
      <c r="O3" s="3" t="inlineStr">
        <is>
          <t>Inscription payée</t>
        </is>
      </c>
      <c r="P3" s="3" t="inlineStr">
        <is>
          <t>Reste inscription</t>
        </is>
      </c>
      <c r="Q3" s="3" t="inlineStr">
        <is>
          <t>Statut</t>
        </is>
      </c>
      <c r="R3" s="3" t="inlineStr">
        <is>
          <t>Nouveau / Ancien</t>
        </is>
      </c>
    </row>
    <row r="4">
      <c r="A4" s="20" t="inlineStr">
        <is>
          <t>2025-002</t>
        </is>
      </c>
      <c r="B4" s="20" t="inlineStr">
        <is>
          <t>DAOUDA</t>
        </is>
      </c>
      <c r="C4" s="20" t="inlineStr">
        <is>
          <t>Arimi</t>
        </is>
      </c>
      <c r="D4" s="21" t="inlineStr">
        <is>
          <t>M</t>
        </is>
      </c>
      <c r="E4" s="77">
        <v>36804</v>
      </c>
      <c r="F4" s="20" t="inlineStr">
        <is>
          <t>Daouda Marthé</t>
        </is>
      </c>
      <c r="G4" s="20" t="inlineStr">
        <is>
          <t>+227 90 00 00 00</t>
        </is>
      </c>
      <c r="H4" s="18">
        <f>IF($B4="","",Paramètres!$C$27)</f>
        <v>150000</v>
      </c>
      <c r="I4" s="19">
        <v>50000</v>
      </c>
      <c r="J4" s="19"/>
      <c r="K4" s="19"/>
      <c r="L4" s="18">
        <f>IF($B4="","",SUM(I4:K4))</f>
        <v>50000</v>
      </c>
      <c r="M4" s="18">
        <f>IF($B4="","",H4-L4)</f>
        <v>100000</v>
      </c>
      <c r="N4" s="18">
        <f>IF($B4="","",IF(R4="Ancien",0,Paramètres!$D$27))</f>
        <v>3000</v>
      </c>
      <c r="O4" s="19"/>
      <c r="P4" s="18">
        <f>IF($B4="","",N4-O4)</f>
        <v>3000</v>
      </c>
      <c r="Q4" s="21" t="str">
        <f>IF($B4="","",IF(AND(M4&lt;=0,P4&lt;=0),"Soldé","En retard"))</f>
        <v>En retard</v>
      </c>
      <c r="R4" s="21"/>
    </row>
    <row r="5">
      <c r="A5" s="15"/>
      <c r="B5" s="15"/>
      <c r="C5" s="15"/>
      <c r="D5" s="8"/>
      <c r="E5" s="79"/>
      <c r="F5" s="15"/>
      <c r="G5" s="15"/>
      <c r="H5" s="18" t="str">
        <f>IF($B5="","",Paramètres!$C$27)</f>
        <v/>
      </c>
      <c r="I5" s="19"/>
      <c r="J5" s="19"/>
      <c r="K5" s="19"/>
      <c r="L5" s="18" t="str">
        <f>IF($B5="","",SUM(I5:K5))</f>
        <v/>
      </c>
      <c r="M5" s="18" t="str">
        <f>IF($B5="","",H5-L5)</f>
        <v/>
      </c>
      <c r="N5" s="18" t="str">
        <f>IF($B5="","",IF(R5="Ancien",0,Paramètres!$D$27))</f>
        <v/>
      </c>
      <c r="O5" s="19"/>
      <c r="P5" s="18" t="str">
        <f>IF($B5="","",N5-O5)</f>
        <v/>
      </c>
      <c r="Q5" s="8" t="str">
        <f>IF($B5="","",IF(AND(M5&lt;=0,P5&lt;=0),"Soldé","En retard"))</f>
        <v/>
      </c>
      <c r="R5" s="8"/>
    </row>
    <row r="6">
      <c r="A6" s="20"/>
      <c r="B6" s="20"/>
      <c r="C6" s="20"/>
      <c r="D6" s="21"/>
      <c r="E6" s="77"/>
      <c r="F6" s="20"/>
      <c r="G6" s="20"/>
      <c r="H6" s="18" t="str">
        <f>IF($B6="","",Paramètres!$C$27)</f>
        <v/>
      </c>
      <c r="I6" s="19"/>
      <c r="J6" s="19"/>
      <c r="K6" s="19"/>
      <c r="L6" s="18" t="str">
        <f>IF($B6="","",SUM(I6:K6))</f>
        <v/>
      </c>
      <c r="M6" s="18" t="str">
        <f>IF($B6="","",H6-L6)</f>
        <v/>
      </c>
      <c r="N6" s="18" t="str">
        <f>IF($B6="","",IF(R6="Ancien",0,Paramètres!$D$27))</f>
        <v/>
      </c>
      <c r="O6" s="19"/>
      <c r="P6" s="18" t="str">
        <f>IF($B6="","",N6-O6)</f>
        <v/>
      </c>
      <c r="Q6" s="21" t="str">
        <f>IF($B6="","",IF(AND(M6&lt;=0,P6&lt;=0),"Soldé","En retard"))</f>
        <v/>
      </c>
      <c r="R6" s="21"/>
    </row>
    <row r="7">
      <c r="A7" s="15"/>
      <c r="B7" s="15"/>
      <c r="C7" s="15"/>
      <c r="D7" s="8"/>
      <c r="E7" s="79"/>
      <c r="F7" s="15"/>
      <c r="G7" s="15"/>
      <c r="H7" s="18" t="str">
        <f>IF($B7="","",Paramètres!$C$27)</f>
        <v/>
      </c>
      <c r="I7" s="19"/>
      <c r="J7" s="19"/>
      <c r="K7" s="19"/>
      <c r="L7" s="18" t="str">
        <f>IF($B7="","",SUM(I7:K7))</f>
        <v/>
      </c>
      <c r="M7" s="18" t="str">
        <f>IF($B7="","",H7-L7)</f>
        <v/>
      </c>
      <c r="N7" s="18" t="str">
        <f>IF($B7="","",IF(R7="Ancien",0,Paramètres!$D$27))</f>
        <v/>
      </c>
      <c r="O7" s="19"/>
      <c r="P7" s="18" t="str">
        <f>IF($B7="","",N7-O7)</f>
        <v/>
      </c>
      <c r="Q7" s="8" t="str">
        <f>IF($B7="","",IF(AND(M7&lt;=0,P7&lt;=0),"Soldé","En retard"))</f>
        <v/>
      </c>
      <c r="R7" s="8"/>
    </row>
    <row r="8">
      <c r="A8" s="20"/>
      <c r="B8" s="20"/>
      <c r="C8" s="20"/>
      <c r="D8" s="21"/>
      <c r="E8" s="77"/>
      <c r="F8" s="20"/>
      <c r="G8" s="20"/>
      <c r="H8" s="18" t="str">
        <f>IF($B8="","",Paramètres!$C$27)</f>
        <v/>
      </c>
      <c r="I8" s="19"/>
      <c r="J8" s="19"/>
      <c r="K8" s="19"/>
      <c r="L8" s="18" t="str">
        <f>IF($B8="","",SUM(I8:K8))</f>
        <v/>
      </c>
      <c r="M8" s="18" t="str">
        <f>IF($B8="","",H8-L8)</f>
        <v/>
      </c>
      <c r="N8" s="18" t="str">
        <f>IF($B8="","",IF(R8="Ancien",0,Paramètres!$D$27))</f>
        <v/>
      </c>
      <c r="O8" s="19"/>
      <c r="P8" s="18" t="str">
        <f>IF($B8="","",N8-O8)</f>
        <v/>
      </c>
      <c r="Q8" s="21" t="str">
        <f>IF($B8="","",IF(AND(M8&lt;=0,P8&lt;=0),"Soldé","En retard"))</f>
        <v/>
      </c>
      <c r="R8" s="21"/>
    </row>
    <row r="9">
      <c r="A9" s="15"/>
      <c r="B9" s="15"/>
      <c r="C9" s="15"/>
      <c r="D9" s="8"/>
      <c r="E9" s="79"/>
      <c r="F9" s="15"/>
      <c r="G9" s="15"/>
      <c r="H9" s="18" t="str">
        <f>IF($B9="","",Paramètres!$C$27)</f>
        <v/>
      </c>
      <c r="I9" s="19"/>
      <c r="J9" s="19"/>
      <c r="K9" s="19"/>
      <c r="L9" s="18" t="str">
        <f>IF($B9="","",SUM(I9:K9))</f>
        <v/>
      </c>
      <c r="M9" s="18" t="str">
        <f>IF($B9="","",H9-L9)</f>
        <v/>
      </c>
      <c r="N9" s="18" t="str">
        <f>IF($B9="","",IF(R9="Ancien",0,Paramètres!$D$27))</f>
        <v/>
      </c>
      <c r="O9" s="19"/>
      <c r="P9" s="18" t="str">
        <f>IF($B9="","",N9-O9)</f>
        <v/>
      </c>
      <c r="Q9" s="8" t="str">
        <f>IF($B9="","",IF(AND(M9&lt;=0,P9&lt;=0),"Soldé","En retard"))</f>
        <v/>
      </c>
      <c r="R9" s="8"/>
    </row>
    <row r="10">
      <c r="A10" s="20"/>
      <c r="B10" s="20"/>
      <c r="C10" s="20"/>
      <c r="D10" s="21"/>
      <c r="E10" s="77"/>
      <c r="F10" s="20"/>
      <c r="G10" s="20"/>
      <c r="H10" s="18" t="str">
        <f>IF($B10="","",Paramètres!$C$27)</f>
        <v/>
      </c>
      <c r="I10" s="19"/>
      <c r="J10" s="19"/>
      <c r="K10" s="19"/>
      <c r="L10" s="18" t="str">
        <f>IF($B10="","",SUM(I10:K10))</f>
        <v/>
      </c>
      <c r="M10" s="18" t="str">
        <f>IF($B10="","",H10-L10)</f>
        <v/>
      </c>
      <c r="N10" s="18" t="str">
        <f>IF($B10="","",IF(R10="Ancien",0,Paramètres!$D$27))</f>
        <v/>
      </c>
      <c r="O10" s="19"/>
      <c r="P10" s="18" t="str">
        <f>IF($B10="","",N10-O10)</f>
        <v/>
      </c>
      <c r="Q10" s="21" t="str">
        <f>IF($B10="","",IF(AND(M10&lt;=0,P10&lt;=0),"Soldé","En retard"))</f>
        <v/>
      </c>
      <c r="R10" s="21"/>
    </row>
    <row r="11">
      <c r="A11" s="15"/>
      <c r="B11" s="15"/>
      <c r="C11" s="15"/>
      <c r="D11" s="8"/>
      <c r="E11" s="79"/>
      <c r="F11" s="15"/>
      <c r="G11" s="15"/>
      <c r="H11" s="18" t="str">
        <f>IF($B11="","",Paramètres!$C$27)</f>
        <v/>
      </c>
      <c r="I11" s="19"/>
      <c r="J11" s="19"/>
      <c r="K11" s="19"/>
      <c r="L11" s="18" t="str">
        <f>IF($B11="","",SUM(I11:K11))</f>
        <v/>
      </c>
      <c r="M11" s="18" t="str">
        <f>IF($B11="","",H11-L11)</f>
        <v/>
      </c>
      <c r="N11" s="18" t="str">
        <f>IF($B11="","",IF(R11="Ancien",0,Paramètres!$D$27))</f>
        <v/>
      </c>
      <c r="O11" s="19"/>
      <c r="P11" s="18" t="str">
        <f>IF($B11="","",N11-O11)</f>
        <v/>
      </c>
      <c r="Q11" s="8" t="str">
        <f>IF($B11="","",IF(AND(M11&lt;=0,P11&lt;=0),"Soldé","En retard"))</f>
        <v/>
      </c>
      <c r="R11" s="8"/>
    </row>
    <row r="12">
      <c r="A12" s="20"/>
      <c r="B12" s="20"/>
      <c r="C12" s="20"/>
      <c r="D12" s="21"/>
      <c r="E12" s="77"/>
      <c r="F12" s="20"/>
      <c r="G12" s="20"/>
      <c r="H12" s="18" t="str">
        <f>IF($B12="","",Paramètres!$C$27)</f>
        <v/>
      </c>
      <c r="I12" s="19"/>
      <c r="J12" s="19"/>
      <c r="K12" s="19"/>
      <c r="L12" s="18" t="str">
        <f>IF($B12="","",SUM(I12:K12))</f>
        <v/>
      </c>
      <c r="M12" s="18" t="str">
        <f>IF($B12="","",H12-L12)</f>
        <v/>
      </c>
      <c r="N12" s="18" t="str">
        <f>IF($B12="","",IF(R12="Ancien",0,Paramètres!$D$27))</f>
        <v/>
      </c>
      <c r="O12" s="19"/>
      <c r="P12" s="18" t="str">
        <f>IF($B12="","",N12-O12)</f>
        <v/>
      </c>
      <c r="Q12" s="21" t="str">
        <f>IF($B12="","",IF(AND(M12&lt;=0,P12&lt;=0),"Soldé","En retard"))</f>
        <v/>
      </c>
      <c r="R12" s="21"/>
    </row>
    <row r="13">
      <c r="A13" s="15"/>
      <c r="B13" s="15"/>
      <c r="C13" s="15"/>
      <c r="D13" s="8"/>
      <c r="E13" s="79"/>
      <c r="F13" s="15"/>
      <c r="G13" s="15"/>
      <c r="H13" s="18" t="str">
        <f>IF($B13="","",Paramètres!$C$27)</f>
        <v/>
      </c>
      <c r="I13" s="19"/>
      <c r="J13" s="19"/>
      <c r="K13" s="19"/>
      <c r="L13" s="18" t="str">
        <f>IF($B13="","",SUM(I13:K13))</f>
        <v/>
      </c>
      <c r="M13" s="18" t="str">
        <f>IF($B13="","",H13-L13)</f>
        <v/>
      </c>
      <c r="N13" s="18" t="str">
        <f>IF($B13="","",IF(R13="Ancien",0,Paramètres!$D$27))</f>
        <v/>
      </c>
      <c r="O13" s="19"/>
      <c r="P13" s="18" t="str">
        <f>IF($B13="","",N13-O13)</f>
        <v/>
      </c>
      <c r="Q13" s="8" t="str">
        <f>IF($B13="","",IF(AND(M13&lt;=0,P13&lt;=0),"Soldé","En retard"))</f>
        <v/>
      </c>
      <c r="R13" s="8"/>
    </row>
    <row r="14">
      <c r="A14" s="20"/>
      <c r="B14" s="20"/>
      <c r="C14" s="20"/>
      <c r="D14" s="21"/>
      <c r="E14" s="77"/>
      <c r="F14" s="20"/>
      <c r="G14" s="20"/>
      <c r="H14" s="18" t="str">
        <f>IF($B14="","",Paramètres!$C$27)</f>
        <v/>
      </c>
      <c r="I14" s="19"/>
      <c r="J14" s="19"/>
      <c r="K14" s="19"/>
      <c r="L14" s="18" t="str">
        <f>IF($B14="","",SUM(I14:K14))</f>
        <v/>
      </c>
      <c r="M14" s="18" t="str">
        <f>IF($B14="","",H14-L14)</f>
        <v/>
      </c>
      <c r="N14" s="18" t="str">
        <f>IF($B14="","",IF(R14="Ancien",0,Paramètres!$D$27))</f>
        <v/>
      </c>
      <c r="O14" s="19"/>
      <c r="P14" s="18" t="str">
        <f>IF($B14="","",N14-O14)</f>
        <v/>
      </c>
      <c r="Q14" s="21" t="str">
        <f>IF($B14="","",IF(AND(M14&lt;=0,P14&lt;=0),"Soldé","En retard"))</f>
        <v/>
      </c>
      <c r="R14" s="21"/>
    </row>
    <row r="15">
      <c r="A15" s="15"/>
      <c r="B15" s="15"/>
      <c r="C15" s="15"/>
      <c r="D15" s="8"/>
      <c r="E15" s="79"/>
      <c r="F15" s="15"/>
      <c r="G15" s="15"/>
      <c r="H15" s="18" t="str">
        <f>IF($B15="","",Paramètres!$C$27)</f>
        <v/>
      </c>
      <c r="I15" s="19"/>
      <c r="J15" s="19"/>
      <c r="K15" s="19"/>
      <c r="L15" s="18" t="str">
        <f>IF($B15="","",SUM(I15:K15))</f>
        <v/>
      </c>
      <c r="M15" s="18" t="str">
        <f>IF($B15="","",H15-L15)</f>
        <v/>
      </c>
      <c r="N15" s="18" t="str">
        <f>IF($B15="","",IF(R15="Ancien",0,Paramètres!$D$27))</f>
        <v/>
      </c>
      <c r="O15" s="19"/>
      <c r="P15" s="18" t="str">
        <f>IF($B15="","",N15-O15)</f>
        <v/>
      </c>
      <c r="Q15" s="8" t="str">
        <f>IF($B15="","",IF(AND(M15&lt;=0,P15&lt;=0),"Soldé","En retard"))</f>
        <v/>
      </c>
      <c r="R15" s="8"/>
    </row>
    <row r="16">
      <c r="A16" s="20"/>
      <c r="B16" s="20"/>
      <c r="C16" s="20"/>
      <c r="D16" s="21"/>
      <c r="E16" s="77"/>
      <c r="F16" s="20"/>
      <c r="G16" s="20"/>
      <c r="H16" s="18" t="str">
        <f>IF($B16="","",Paramètres!$C$27)</f>
        <v/>
      </c>
      <c r="I16" s="19"/>
      <c r="J16" s="19"/>
      <c r="K16" s="19"/>
      <c r="L16" s="18" t="str">
        <f>IF($B16="","",SUM(I16:K16))</f>
        <v/>
      </c>
      <c r="M16" s="18" t="str">
        <f>IF($B16="","",H16-L16)</f>
        <v/>
      </c>
      <c r="N16" s="18" t="str">
        <f>IF($B16="","",IF(R16="Ancien",0,Paramètres!$D$27))</f>
        <v/>
      </c>
      <c r="O16" s="19"/>
      <c r="P16" s="18" t="str">
        <f>IF($B16="","",N16-O16)</f>
        <v/>
      </c>
      <c r="Q16" s="21" t="str">
        <f>IF($B16="","",IF(AND(M16&lt;=0,P16&lt;=0),"Soldé","En retard"))</f>
        <v/>
      </c>
      <c r="R16" s="21"/>
    </row>
    <row r="17">
      <c r="A17" s="15"/>
      <c r="B17" s="15"/>
      <c r="C17" s="15"/>
      <c r="D17" s="8"/>
      <c r="E17" s="79"/>
      <c r="F17" s="15"/>
      <c r="G17" s="15"/>
      <c r="H17" s="18" t="str">
        <f>IF($B17="","",Paramètres!$C$27)</f>
        <v/>
      </c>
      <c r="I17" s="19"/>
      <c r="J17" s="19"/>
      <c r="K17" s="19"/>
      <c r="L17" s="18" t="str">
        <f>IF($B17="","",SUM(I17:K17))</f>
        <v/>
      </c>
      <c r="M17" s="18" t="str">
        <f>IF($B17="","",H17-L17)</f>
        <v/>
      </c>
      <c r="N17" s="18" t="str">
        <f>IF($B17="","",IF(R17="Ancien",0,Paramètres!$D$27))</f>
        <v/>
      </c>
      <c r="O17" s="19"/>
      <c r="P17" s="18" t="str">
        <f>IF($B17="","",N17-O17)</f>
        <v/>
      </c>
      <c r="Q17" s="8" t="str">
        <f>IF($B17="","",IF(AND(M17&lt;=0,P17&lt;=0),"Soldé","En retard"))</f>
        <v/>
      </c>
      <c r="R17" s="8"/>
    </row>
    <row r="18">
      <c r="A18" s="20"/>
      <c r="B18" s="20"/>
      <c r="C18" s="20"/>
      <c r="D18" s="21"/>
      <c r="E18" s="77"/>
      <c r="F18" s="20"/>
      <c r="G18" s="20"/>
      <c r="H18" s="18" t="str">
        <f>IF($B18="","",Paramètres!$C$27)</f>
        <v/>
      </c>
      <c r="I18" s="19"/>
      <c r="J18" s="19"/>
      <c r="K18" s="19"/>
      <c r="L18" s="18" t="str">
        <f>IF($B18="","",SUM(I18:K18))</f>
        <v/>
      </c>
      <c r="M18" s="18" t="str">
        <f>IF($B18="","",H18-L18)</f>
        <v/>
      </c>
      <c r="N18" s="18" t="str">
        <f>IF($B18="","",IF(R18="Ancien",0,Paramètres!$D$27))</f>
        <v/>
      </c>
      <c r="O18" s="19"/>
      <c r="P18" s="18" t="str">
        <f>IF($B18="","",N18-O18)</f>
        <v/>
      </c>
      <c r="Q18" s="21" t="str">
        <f>IF($B18="","",IF(AND(M18&lt;=0,P18&lt;=0),"Soldé","En retard"))</f>
        <v/>
      </c>
      <c r="R18" s="21"/>
    </row>
    <row r="19">
      <c r="A19" s="15"/>
      <c r="B19" s="15"/>
      <c r="C19" s="15"/>
      <c r="D19" s="8"/>
      <c r="E19" s="79"/>
      <c r="F19" s="15"/>
      <c r="G19" s="15"/>
      <c r="H19" s="18" t="str">
        <f>IF($B19="","",Paramètres!$C$27)</f>
        <v/>
      </c>
      <c r="I19" s="19"/>
      <c r="J19" s="19"/>
      <c r="K19" s="19"/>
      <c r="L19" s="18" t="str">
        <f>IF($B19="","",SUM(I19:K19))</f>
        <v/>
      </c>
      <c r="M19" s="18" t="str">
        <f>IF($B19="","",H19-L19)</f>
        <v/>
      </c>
      <c r="N19" s="18" t="str">
        <f>IF($B19="","",IF(R19="Ancien",0,Paramètres!$D$27))</f>
        <v/>
      </c>
      <c r="O19" s="19"/>
      <c r="P19" s="18" t="str">
        <f>IF($B19="","",N19-O19)</f>
        <v/>
      </c>
      <c r="Q19" s="8" t="str">
        <f>IF($B19="","",IF(AND(M19&lt;=0,P19&lt;=0),"Soldé","En retard"))</f>
        <v/>
      </c>
      <c r="R19" s="8"/>
    </row>
    <row r="20">
      <c r="A20" s="20"/>
      <c r="B20" s="20"/>
      <c r="C20" s="20"/>
      <c r="D20" s="21"/>
      <c r="E20" s="77"/>
      <c r="F20" s="20"/>
      <c r="G20" s="20"/>
      <c r="H20" s="18" t="str">
        <f>IF($B20="","",Paramètres!$C$27)</f>
        <v/>
      </c>
      <c r="I20" s="19"/>
      <c r="J20" s="19"/>
      <c r="K20" s="19"/>
      <c r="L20" s="18" t="str">
        <f>IF($B20="","",SUM(I20:K20))</f>
        <v/>
      </c>
      <c r="M20" s="18" t="str">
        <f>IF($B20="","",H20-L20)</f>
        <v/>
      </c>
      <c r="N20" s="18" t="str">
        <f>IF($B20="","",IF(R20="Ancien",0,Paramètres!$D$27))</f>
        <v/>
      </c>
      <c r="O20" s="19"/>
      <c r="P20" s="18" t="str">
        <f>IF($B20="","",N20-O20)</f>
        <v/>
      </c>
      <c r="Q20" s="21" t="str">
        <f>IF($B20="","",IF(AND(M20&lt;=0,P20&lt;=0),"Soldé","En retard"))</f>
        <v/>
      </c>
      <c r="R20" s="21"/>
    </row>
    <row r="21">
      <c r="A21" s="15"/>
      <c r="B21" s="15"/>
      <c r="C21" s="15"/>
      <c r="D21" s="8"/>
      <c r="E21" s="79"/>
      <c r="F21" s="15"/>
      <c r="G21" s="15"/>
      <c r="H21" s="18" t="str">
        <f>IF($B21="","",Paramètres!$C$27)</f>
        <v/>
      </c>
      <c r="I21" s="19"/>
      <c r="J21" s="19"/>
      <c r="K21" s="19"/>
      <c r="L21" s="18" t="str">
        <f>IF($B21="","",SUM(I21:K21))</f>
        <v/>
      </c>
      <c r="M21" s="18" t="str">
        <f>IF($B21="","",H21-L21)</f>
        <v/>
      </c>
      <c r="N21" s="18" t="str">
        <f>IF($B21="","",IF(R21="Ancien",0,Paramètres!$D$27))</f>
        <v/>
      </c>
      <c r="O21" s="19"/>
      <c r="P21" s="18" t="str">
        <f>IF($B21="","",N21-O21)</f>
        <v/>
      </c>
      <c r="Q21" s="8" t="str">
        <f>IF($B21="","",IF(AND(M21&lt;=0,P21&lt;=0),"Soldé","En retard"))</f>
        <v/>
      </c>
      <c r="R21" s="8"/>
    </row>
    <row r="22">
      <c r="A22" s="20"/>
      <c r="B22" s="20"/>
      <c r="C22" s="20"/>
      <c r="D22" s="21"/>
      <c r="E22" s="77"/>
      <c r="F22" s="20"/>
      <c r="G22" s="20"/>
      <c r="H22" s="18" t="str">
        <f>IF($B22="","",Paramètres!$C$27)</f>
        <v/>
      </c>
      <c r="I22" s="19"/>
      <c r="J22" s="19"/>
      <c r="K22" s="19"/>
      <c r="L22" s="18" t="str">
        <f>IF($B22="","",SUM(I22:K22))</f>
        <v/>
      </c>
      <c r="M22" s="18" t="str">
        <f>IF($B22="","",H22-L22)</f>
        <v/>
      </c>
      <c r="N22" s="18" t="str">
        <f>IF($B22="","",IF(R22="Ancien",0,Paramètres!$D$27))</f>
        <v/>
      </c>
      <c r="O22" s="19"/>
      <c r="P22" s="18" t="str">
        <f>IF($B22="","",N22-O22)</f>
        <v/>
      </c>
      <c r="Q22" s="21" t="str">
        <f>IF($B22="","",IF(AND(M22&lt;=0,P22&lt;=0),"Soldé","En retard"))</f>
        <v/>
      </c>
      <c r="R22" s="21"/>
    </row>
    <row r="23">
      <c r="A23" s="15"/>
      <c r="B23" s="15"/>
      <c r="C23" s="15"/>
      <c r="D23" s="8"/>
      <c r="E23" s="79"/>
      <c r="F23" s="15"/>
      <c r="G23" s="15"/>
      <c r="H23" s="18" t="str">
        <f>IF($B23="","",Paramètres!$C$27)</f>
        <v/>
      </c>
      <c r="I23" s="19"/>
      <c r="J23" s="19"/>
      <c r="K23" s="19"/>
      <c r="L23" s="18" t="str">
        <f>IF($B23="","",SUM(I23:K23))</f>
        <v/>
      </c>
      <c r="M23" s="18" t="str">
        <f>IF($B23="","",H23-L23)</f>
        <v/>
      </c>
      <c r="N23" s="18" t="str">
        <f>IF($B23="","",IF(R23="Ancien",0,Paramètres!$D$27))</f>
        <v/>
      </c>
      <c r="O23" s="19"/>
      <c r="P23" s="18" t="str">
        <f>IF($B23="","",N23-O23)</f>
        <v/>
      </c>
      <c r="Q23" s="8" t="str">
        <f>IF($B23="","",IF(AND(M23&lt;=0,P23&lt;=0),"Soldé","En retard"))</f>
        <v/>
      </c>
      <c r="R23" s="8"/>
    </row>
    <row r="24">
      <c r="A24" s="20"/>
      <c r="B24" s="20"/>
      <c r="C24" s="20"/>
      <c r="D24" s="21"/>
      <c r="E24" s="77"/>
      <c r="F24" s="20"/>
      <c r="G24" s="20"/>
      <c r="H24" s="18" t="str">
        <f>IF($B24="","",Paramètres!$C$27)</f>
        <v/>
      </c>
      <c r="I24" s="19"/>
      <c r="J24" s="19"/>
      <c r="K24" s="19"/>
      <c r="L24" s="18" t="str">
        <f>IF($B24="","",SUM(I24:K24))</f>
        <v/>
      </c>
      <c r="M24" s="18" t="str">
        <f>IF($B24="","",H24-L24)</f>
        <v/>
      </c>
      <c r="N24" s="18" t="str">
        <f>IF($B24="","",IF(R24="Ancien",0,Paramètres!$D$27))</f>
        <v/>
      </c>
      <c r="O24" s="19"/>
      <c r="P24" s="18" t="str">
        <f>IF($B24="","",N24-O24)</f>
        <v/>
      </c>
      <c r="Q24" s="21" t="str">
        <f>IF($B24="","",IF(AND(M24&lt;=0,P24&lt;=0),"Soldé","En retard"))</f>
        <v/>
      </c>
      <c r="R24" s="21"/>
    </row>
    <row r="25">
      <c r="A25" s="15"/>
      <c r="B25" s="15"/>
      <c r="C25" s="15"/>
      <c r="D25" s="8"/>
      <c r="E25" s="79"/>
      <c r="F25" s="15"/>
      <c r="G25" s="15"/>
      <c r="H25" s="18" t="str">
        <f>IF($B25="","",Paramètres!$C$27)</f>
        <v/>
      </c>
      <c r="I25" s="19"/>
      <c r="J25" s="19"/>
      <c r="K25" s="19"/>
      <c r="L25" s="18" t="str">
        <f>IF($B25="","",SUM(I25:K25))</f>
        <v/>
      </c>
      <c r="M25" s="18" t="str">
        <f>IF($B25="","",H25-L25)</f>
        <v/>
      </c>
      <c r="N25" s="18" t="str">
        <f>IF($B25="","",IF(R25="Ancien",0,Paramètres!$D$27))</f>
        <v/>
      </c>
      <c r="O25" s="19"/>
      <c r="P25" s="18" t="str">
        <f>IF($B25="","",N25-O25)</f>
        <v/>
      </c>
      <c r="Q25" s="8" t="str">
        <f>IF($B25="","",IF(AND(M25&lt;=0,P25&lt;=0),"Soldé","En retard"))</f>
        <v/>
      </c>
      <c r="R25" s="8"/>
    </row>
    <row r="26">
      <c r="A26" s="20"/>
      <c r="B26" s="20"/>
      <c r="C26" s="20"/>
      <c r="D26" s="21"/>
      <c r="E26" s="77"/>
      <c r="F26" s="20"/>
      <c r="G26" s="20"/>
      <c r="H26" s="18" t="str">
        <f>IF($B26="","",Paramètres!$C$27)</f>
        <v/>
      </c>
      <c r="I26" s="19"/>
      <c r="J26" s="19"/>
      <c r="K26" s="19"/>
      <c r="L26" s="18" t="str">
        <f>IF($B26="","",SUM(I26:K26))</f>
        <v/>
      </c>
      <c r="M26" s="18" t="str">
        <f>IF($B26="","",H26-L26)</f>
        <v/>
      </c>
      <c r="N26" s="18" t="str">
        <f>IF($B26="","",IF(R26="Ancien",0,Paramètres!$D$27))</f>
        <v/>
      </c>
      <c r="O26" s="19"/>
      <c r="P26" s="18" t="str">
        <f>IF($B26="","",N26-O26)</f>
        <v/>
      </c>
      <c r="Q26" s="21" t="str">
        <f>IF($B26="","",IF(AND(M26&lt;=0,P26&lt;=0),"Soldé","En retard"))</f>
        <v/>
      </c>
      <c r="R26" s="21"/>
    </row>
    <row r="27">
      <c r="A27" s="15"/>
      <c r="B27" s="15"/>
      <c r="C27" s="15"/>
      <c r="D27" s="8"/>
      <c r="E27" s="79"/>
      <c r="F27" s="15"/>
      <c r="G27" s="15"/>
      <c r="H27" s="18" t="str">
        <f>IF($B27="","",Paramètres!$C$27)</f>
        <v/>
      </c>
      <c r="I27" s="19"/>
      <c r="J27" s="19"/>
      <c r="K27" s="19"/>
      <c r="L27" s="18" t="str">
        <f>IF($B27="","",SUM(I27:K27))</f>
        <v/>
      </c>
      <c r="M27" s="18" t="str">
        <f>IF($B27="","",H27-L27)</f>
        <v/>
      </c>
      <c r="N27" s="18" t="str">
        <f>IF($B27="","",IF(R27="Ancien",0,Paramètres!$D$27))</f>
        <v/>
      </c>
      <c r="O27" s="19"/>
      <c r="P27" s="18" t="str">
        <f>IF($B27="","",N27-O27)</f>
        <v/>
      </c>
      <c r="Q27" s="8" t="str">
        <f>IF($B27="","",IF(AND(M27&lt;=0,P27&lt;=0),"Soldé","En retard"))</f>
        <v/>
      </c>
      <c r="R27" s="8"/>
    </row>
    <row r="28">
      <c r="A28" s="20"/>
      <c r="B28" s="20"/>
      <c r="C28" s="20"/>
      <c r="D28" s="21"/>
      <c r="E28" s="77"/>
      <c r="F28" s="20"/>
      <c r="G28" s="20"/>
      <c r="H28" s="18" t="str">
        <f>IF($B28="","",Paramètres!$C$27)</f>
        <v/>
      </c>
      <c r="I28" s="19"/>
      <c r="J28" s="19"/>
      <c r="K28" s="19"/>
      <c r="L28" s="18" t="str">
        <f>IF($B28="","",SUM(I28:K28))</f>
        <v/>
      </c>
      <c r="M28" s="18" t="str">
        <f>IF($B28="","",H28-L28)</f>
        <v/>
      </c>
      <c r="N28" s="18" t="str">
        <f>IF($B28="","",IF(R28="Ancien",0,Paramètres!$D$27))</f>
        <v/>
      </c>
      <c r="O28" s="19"/>
      <c r="P28" s="18" t="str">
        <f>IF($B28="","",N28-O28)</f>
        <v/>
      </c>
      <c r="Q28" s="21" t="str">
        <f>IF($B28="","",IF(AND(M28&lt;=0,P28&lt;=0),"Soldé","En retard"))</f>
        <v/>
      </c>
      <c r="R28" s="21"/>
    </row>
    <row r="29">
      <c r="A29" s="15"/>
      <c r="B29" s="15"/>
      <c r="C29" s="15"/>
      <c r="D29" s="8"/>
      <c r="E29" s="79"/>
      <c r="F29" s="15"/>
      <c r="G29" s="15"/>
      <c r="H29" s="18" t="str">
        <f>IF($B29="","",Paramètres!$C$27)</f>
        <v/>
      </c>
      <c r="I29" s="19"/>
      <c r="J29" s="19"/>
      <c r="K29" s="19"/>
      <c r="L29" s="18" t="str">
        <f>IF($B29="","",SUM(I29:K29))</f>
        <v/>
      </c>
      <c r="M29" s="18" t="str">
        <f>IF($B29="","",H29-L29)</f>
        <v/>
      </c>
      <c r="N29" s="18" t="str">
        <f>IF($B29="","",IF(R29="Ancien",0,Paramètres!$D$27))</f>
        <v/>
      </c>
      <c r="O29" s="19"/>
      <c r="P29" s="18" t="str">
        <f>IF($B29="","",N29-O29)</f>
        <v/>
      </c>
      <c r="Q29" s="8" t="str">
        <f>IF($B29="","",IF(AND(M29&lt;=0,P29&lt;=0),"Soldé","En retard"))</f>
        <v/>
      </c>
      <c r="R29" s="8"/>
    </row>
    <row r="30">
      <c r="A30" s="20"/>
      <c r="B30" s="20"/>
      <c r="C30" s="20"/>
      <c r="D30" s="21"/>
      <c r="E30" s="77"/>
      <c r="F30" s="20"/>
      <c r="G30" s="20"/>
      <c r="H30" s="18" t="str">
        <f>IF($B30="","",Paramètres!$C$27)</f>
        <v/>
      </c>
      <c r="I30" s="19"/>
      <c r="J30" s="19"/>
      <c r="K30" s="19"/>
      <c r="L30" s="18" t="str">
        <f>IF($B30="","",SUM(I30:K30))</f>
        <v/>
      </c>
      <c r="M30" s="18" t="str">
        <f>IF($B30="","",H30-L30)</f>
        <v/>
      </c>
      <c r="N30" s="18" t="str">
        <f>IF($B30="","",IF(R30="Ancien",0,Paramètres!$D$27))</f>
        <v/>
      </c>
      <c r="O30" s="19"/>
      <c r="P30" s="18" t="str">
        <f>IF($B30="","",N30-O30)</f>
        <v/>
      </c>
      <c r="Q30" s="21" t="str">
        <f>IF($B30="","",IF(AND(M30&lt;=0,P30&lt;=0),"Soldé","En retard"))</f>
        <v/>
      </c>
      <c r="R30" s="21"/>
    </row>
    <row r="31">
      <c r="A31" s="15"/>
      <c r="B31" s="15"/>
      <c r="C31" s="15"/>
      <c r="D31" s="8"/>
      <c r="E31" s="79"/>
      <c r="F31" s="15"/>
      <c r="G31" s="15"/>
      <c r="H31" s="18" t="str">
        <f>IF($B31="","",Paramètres!$C$27)</f>
        <v/>
      </c>
      <c r="I31" s="19"/>
      <c r="J31" s="19"/>
      <c r="K31" s="19"/>
      <c r="L31" s="18" t="str">
        <f>IF($B31="","",SUM(I31:K31))</f>
        <v/>
      </c>
      <c r="M31" s="18" t="str">
        <f>IF($B31="","",H31-L31)</f>
        <v/>
      </c>
      <c r="N31" s="18" t="str">
        <f>IF($B31="","",IF(R31="Ancien",0,Paramètres!$D$27))</f>
        <v/>
      </c>
      <c r="O31" s="19"/>
      <c r="P31" s="18" t="str">
        <f>IF($B31="","",N31-O31)</f>
        <v/>
      </c>
      <c r="Q31" s="8" t="str">
        <f>IF($B31="","",IF(AND(M31&lt;=0,P31&lt;=0),"Soldé","En retard"))</f>
        <v/>
      </c>
      <c r="R31" s="8"/>
    </row>
    <row r="32">
      <c r="A32" s="20"/>
      <c r="B32" s="20"/>
      <c r="C32" s="20"/>
      <c r="D32" s="21"/>
      <c r="E32" s="77"/>
      <c r="F32" s="20"/>
      <c r="G32" s="20"/>
      <c r="H32" s="18" t="str">
        <f>IF($B32="","",Paramètres!$C$27)</f>
        <v/>
      </c>
      <c r="I32" s="19"/>
      <c r="J32" s="19"/>
      <c r="K32" s="19"/>
      <c r="L32" s="18" t="str">
        <f>IF($B32="","",SUM(I32:K32))</f>
        <v/>
      </c>
      <c r="M32" s="18" t="str">
        <f>IF($B32="","",H32-L32)</f>
        <v/>
      </c>
      <c r="N32" s="18" t="str">
        <f>IF($B32="","",IF(R32="Ancien",0,Paramètres!$D$27))</f>
        <v/>
      </c>
      <c r="O32" s="19"/>
      <c r="P32" s="18" t="str">
        <f>IF($B32="","",N32-O32)</f>
        <v/>
      </c>
      <c r="Q32" s="21" t="str">
        <f>IF($B32="","",IF(AND(M32&lt;=0,P32&lt;=0),"Soldé","En retard"))</f>
        <v/>
      </c>
      <c r="R32" s="21"/>
    </row>
    <row r="33">
      <c r="A33" s="15"/>
      <c r="B33" s="15"/>
      <c r="C33" s="15"/>
      <c r="D33" s="8"/>
      <c r="E33" s="79"/>
      <c r="F33" s="15"/>
      <c r="G33" s="15"/>
      <c r="H33" s="18" t="str">
        <f>IF($B33="","",Paramètres!$C$27)</f>
        <v/>
      </c>
      <c r="I33" s="19"/>
      <c r="J33" s="19"/>
      <c r="K33" s="19"/>
      <c r="L33" s="18" t="str">
        <f>IF($B33="","",SUM(I33:K33))</f>
        <v/>
      </c>
      <c r="M33" s="18" t="str">
        <f>IF($B33="","",H33-L33)</f>
        <v/>
      </c>
      <c r="N33" s="18" t="str">
        <f>IF($B33="","",IF(R33="Ancien",0,Paramètres!$D$27))</f>
        <v/>
      </c>
      <c r="O33" s="19"/>
      <c r="P33" s="18" t="str">
        <f>IF($B33="","",N33-O33)</f>
        <v/>
      </c>
      <c r="Q33" s="8" t="str">
        <f>IF($B33="","",IF(AND(M33&lt;=0,P33&lt;=0),"Soldé","En retard"))</f>
        <v/>
      </c>
      <c r="R33" s="8"/>
    </row>
    <row r="34">
      <c r="A34" s="20"/>
      <c r="B34" s="20"/>
      <c r="C34" s="20"/>
      <c r="D34" s="21"/>
      <c r="E34" s="77"/>
      <c r="F34" s="20"/>
      <c r="G34" s="20"/>
      <c r="H34" s="18" t="str">
        <f>IF($B34="","",Paramètres!$C$27)</f>
        <v/>
      </c>
      <c r="I34" s="19"/>
      <c r="J34" s="19"/>
      <c r="K34" s="19"/>
      <c r="L34" s="18" t="str">
        <f>IF($B34="","",SUM(I34:K34))</f>
        <v/>
      </c>
      <c r="M34" s="18" t="str">
        <f>IF($B34="","",H34-L34)</f>
        <v/>
      </c>
      <c r="N34" s="18" t="str">
        <f>IF($B34="","",IF(R34="Ancien",0,Paramètres!$D$27))</f>
        <v/>
      </c>
      <c r="O34" s="19"/>
      <c r="P34" s="18" t="str">
        <f>IF($B34="","",N34-O34)</f>
        <v/>
      </c>
      <c r="Q34" s="21" t="str">
        <f>IF($B34="","",IF(AND(M34&lt;=0,P34&lt;=0),"Soldé","En retard"))</f>
        <v/>
      </c>
      <c r="R34" s="21"/>
    </row>
    <row r="35">
      <c r="A35" s="15"/>
      <c r="B35" s="15"/>
      <c r="C35" s="15"/>
      <c r="D35" s="8"/>
      <c r="E35" s="79"/>
      <c r="F35" s="15"/>
      <c r="G35" s="15"/>
      <c r="H35" s="18" t="str">
        <f>IF($B35="","",Paramètres!$C$27)</f>
        <v/>
      </c>
      <c r="I35" s="19"/>
      <c r="J35" s="19"/>
      <c r="K35" s="19"/>
      <c r="L35" s="18" t="str">
        <f>IF($B35="","",SUM(I35:K35))</f>
        <v/>
      </c>
      <c r="M35" s="18" t="str">
        <f>IF($B35="","",H35-L35)</f>
        <v/>
      </c>
      <c r="N35" s="18" t="str">
        <f>IF($B35="","",IF(R35="Ancien",0,Paramètres!$D$27))</f>
        <v/>
      </c>
      <c r="O35" s="19"/>
      <c r="P35" s="18" t="str">
        <f>IF($B35="","",N35-O35)</f>
        <v/>
      </c>
      <c r="Q35" s="8" t="str">
        <f>IF($B35="","",IF(AND(M35&lt;=0,P35&lt;=0),"Soldé","En retard"))</f>
        <v/>
      </c>
      <c r="R35" s="8"/>
    </row>
    <row r="36">
      <c r="A36" s="20"/>
      <c r="B36" s="20"/>
      <c r="C36" s="20"/>
      <c r="D36" s="21"/>
      <c r="E36" s="77"/>
      <c r="F36" s="20"/>
      <c r="G36" s="20"/>
      <c r="H36" s="18" t="str">
        <f>IF($B36="","",Paramètres!$C$27)</f>
        <v/>
      </c>
      <c r="I36" s="19"/>
      <c r="J36" s="19"/>
      <c r="K36" s="19"/>
      <c r="L36" s="18" t="str">
        <f>IF($B36="","",SUM(I36:K36))</f>
        <v/>
      </c>
      <c r="M36" s="18" t="str">
        <f>IF($B36="","",H36-L36)</f>
        <v/>
      </c>
      <c r="N36" s="18" t="str">
        <f>IF($B36="","",IF(R36="Ancien",0,Paramètres!$D$27))</f>
        <v/>
      </c>
      <c r="O36" s="19"/>
      <c r="P36" s="18" t="str">
        <f>IF($B36="","",N36-O36)</f>
        <v/>
      </c>
      <c r="Q36" s="21" t="str">
        <f>IF($B36="","",IF(AND(M36&lt;=0,P36&lt;=0),"Soldé","En retard"))</f>
        <v/>
      </c>
      <c r="R36" s="21"/>
    </row>
    <row r="37">
      <c r="A37" s="15"/>
      <c r="B37" s="15"/>
      <c r="C37" s="15"/>
      <c r="D37" s="8"/>
      <c r="E37" s="79"/>
      <c r="F37" s="15"/>
      <c r="G37" s="15"/>
      <c r="H37" s="18" t="str">
        <f>IF($B37="","",Paramètres!$C$27)</f>
        <v/>
      </c>
      <c r="I37" s="19"/>
      <c r="J37" s="19"/>
      <c r="K37" s="19"/>
      <c r="L37" s="18" t="str">
        <f>IF($B37="","",SUM(I37:K37))</f>
        <v/>
      </c>
      <c r="M37" s="18" t="str">
        <f>IF($B37="","",H37-L37)</f>
        <v/>
      </c>
      <c r="N37" s="18" t="str">
        <f>IF($B37="","",IF(R37="Ancien",0,Paramètres!$D$27))</f>
        <v/>
      </c>
      <c r="O37" s="19"/>
      <c r="P37" s="18" t="str">
        <f>IF($B37="","",N37-O37)</f>
        <v/>
      </c>
      <c r="Q37" s="8" t="str">
        <f>IF($B37="","",IF(AND(M37&lt;=0,P37&lt;=0),"Soldé","En retard"))</f>
        <v/>
      </c>
      <c r="R37" s="8"/>
    </row>
    <row r="38">
      <c r="A38" s="20"/>
      <c r="B38" s="20"/>
      <c r="C38" s="20"/>
      <c r="D38" s="21"/>
      <c r="E38" s="77"/>
      <c r="F38" s="20"/>
      <c r="G38" s="20"/>
      <c r="H38" s="18" t="str">
        <f>IF($B38="","",Paramètres!$C$27)</f>
        <v/>
      </c>
      <c r="I38" s="19"/>
      <c r="J38" s="19"/>
      <c r="K38" s="19"/>
      <c r="L38" s="18" t="str">
        <f>IF($B38="","",SUM(I38:K38))</f>
        <v/>
      </c>
      <c r="M38" s="18" t="str">
        <f>IF($B38="","",H38-L38)</f>
        <v/>
      </c>
      <c r="N38" s="18" t="str">
        <f>IF($B38="","",IF(R38="Ancien",0,Paramètres!$D$27))</f>
        <v/>
      </c>
      <c r="O38" s="19"/>
      <c r="P38" s="18" t="str">
        <f>IF($B38="","",N38-O38)</f>
        <v/>
      </c>
      <c r="Q38" s="21" t="str">
        <f>IF($B38="","",IF(AND(M38&lt;=0,P38&lt;=0),"Soldé","En retard"))</f>
        <v/>
      </c>
      <c r="R38" s="21"/>
    </row>
    <row r="39">
      <c r="A39" s="15"/>
      <c r="B39" s="15"/>
      <c r="C39" s="15"/>
      <c r="D39" s="8"/>
      <c r="E39" s="79"/>
      <c r="F39" s="15"/>
      <c r="G39" s="15"/>
      <c r="H39" s="18" t="str">
        <f>IF($B39="","",Paramètres!$C$27)</f>
        <v/>
      </c>
      <c r="I39" s="19"/>
      <c r="J39" s="19"/>
      <c r="K39" s="19"/>
      <c r="L39" s="18" t="str">
        <f>IF($B39="","",SUM(I39:K39))</f>
        <v/>
      </c>
      <c r="M39" s="18" t="str">
        <f>IF($B39="","",H39-L39)</f>
        <v/>
      </c>
      <c r="N39" s="18" t="str">
        <f>IF($B39="","",IF(R39="Ancien",0,Paramètres!$D$27))</f>
        <v/>
      </c>
      <c r="O39" s="19"/>
      <c r="P39" s="18" t="str">
        <f>IF($B39="","",N39-O39)</f>
        <v/>
      </c>
      <c r="Q39" s="8" t="str">
        <f>IF($B39="","",IF(AND(M39&lt;=0,P39&lt;=0),"Soldé","En retard"))</f>
        <v/>
      </c>
      <c r="R39" s="8"/>
    </row>
    <row r="40">
      <c r="A40" s="20"/>
      <c r="B40" s="20"/>
      <c r="C40" s="20"/>
      <c r="D40" s="21"/>
      <c r="E40" s="77"/>
      <c r="F40" s="20"/>
      <c r="G40" s="20"/>
      <c r="H40" s="18" t="str">
        <f>IF($B40="","",Paramètres!$C$27)</f>
        <v/>
      </c>
      <c r="I40" s="19"/>
      <c r="J40" s="19"/>
      <c r="K40" s="19"/>
      <c r="L40" s="18" t="str">
        <f>IF($B40="","",SUM(I40:K40))</f>
        <v/>
      </c>
      <c r="M40" s="18" t="str">
        <f>IF($B40="","",H40-L40)</f>
        <v/>
      </c>
      <c r="N40" s="18" t="str">
        <f>IF($B40="","",IF(R40="Ancien",0,Paramètres!$D$27))</f>
        <v/>
      </c>
      <c r="O40" s="19"/>
      <c r="P40" s="18" t="str">
        <f>IF($B40="","",N40-O40)</f>
        <v/>
      </c>
      <c r="Q40" s="21" t="str">
        <f>IF($B40="","",IF(AND(M40&lt;=0,P40&lt;=0),"Soldé","En retard"))</f>
        <v/>
      </c>
      <c r="R40" s="21"/>
    </row>
    <row r="41">
      <c r="A41" s="15"/>
      <c r="B41" s="15"/>
      <c r="C41" s="15"/>
      <c r="D41" s="8"/>
      <c r="E41" s="79"/>
      <c r="F41" s="15"/>
      <c r="G41" s="15"/>
      <c r="H41" s="18" t="str">
        <f>IF($B41="","",Paramètres!$C$27)</f>
        <v/>
      </c>
      <c r="I41" s="19"/>
      <c r="J41" s="19"/>
      <c r="K41" s="19"/>
      <c r="L41" s="18" t="str">
        <f>IF($B41="","",SUM(I41:K41))</f>
        <v/>
      </c>
      <c r="M41" s="18" t="str">
        <f>IF($B41="","",H41-L41)</f>
        <v/>
      </c>
      <c r="N41" s="18" t="str">
        <f>IF($B41="","",IF(R41="Ancien",0,Paramètres!$D$27))</f>
        <v/>
      </c>
      <c r="O41" s="19"/>
      <c r="P41" s="18" t="str">
        <f>IF($B41="","",N41-O41)</f>
        <v/>
      </c>
      <c r="Q41" s="8" t="str">
        <f>IF($B41="","",IF(AND(M41&lt;=0,P41&lt;=0),"Soldé","En retard"))</f>
        <v/>
      </c>
      <c r="R41" s="8"/>
    </row>
    <row r="42">
      <c r="A42" s="20"/>
      <c r="B42" s="20"/>
      <c r="C42" s="20"/>
      <c r="D42" s="21"/>
      <c r="E42" s="77"/>
      <c r="F42" s="20"/>
      <c r="G42" s="20"/>
      <c r="H42" s="18" t="str">
        <f>IF($B42="","",Paramètres!$C$27)</f>
        <v/>
      </c>
      <c r="I42" s="19"/>
      <c r="J42" s="19"/>
      <c r="K42" s="19"/>
      <c r="L42" s="18" t="str">
        <f>IF($B42="","",SUM(I42:K42))</f>
        <v/>
      </c>
      <c r="M42" s="18" t="str">
        <f>IF($B42="","",H42-L42)</f>
        <v/>
      </c>
      <c r="N42" s="18" t="str">
        <f>IF($B42="","",IF(R42="Ancien",0,Paramètres!$D$27))</f>
        <v/>
      </c>
      <c r="O42" s="19"/>
      <c r="P42" s="18" t="str">
        <f>IF($B42="","",N42-O42)</f>
        <v/>
      </c>
      <c r="Q42" s="21" t="str">
        <f>IF($B42="","",IF(AND(M42&lt;=0,P42&lt;=0),"Soldé","En retard"))</f>
        <v/>
      </c>
      <c r="R42" s="21"/>
    </row>
    <row r="43">
      <c r="A43" s="15"/>
      <c r="B43" s="15"/>
      <c r="C43" s="15"/>
      <c r="D43" s="8"/>
      <c r="E43" s="79"/>
      <c r="F43" s="15"/>
      <c r="G43" s="15"/>
      <c r="H43" s="18" t="str">
        <f>IF($B43="","",Paramètres!$C$27)</f>
        <v/>
      </c>
      <c r="I43" s="19"/>
      <c r="J43" s="19"/>
      <c r="K43" s="19"/>
      <c r="L43" s="18" t="str">
        <f>IF($B43="","",SUM(I43:K43))</f>
        <v/>
      </c>
      <c r="M43" s="18" t="str">
        <f>IF($B43="","",H43-L43)</f>
        <v/>
      </c>
      <c r="N43" s="18" t="str">
        <f>IF($B43="","",IF(R43="Ancien",0,Paramètres!$D$27))</f>
        <v/>
      </c>
      <c r="O43" s="19"/>
      <c r="P43" s="18" t="str">
        <f>IF($B43="","",N43-O43)</f>
        <v/>
      </c>
      <c r="Q43" s="8" t="str">
        <f>IF($B43="","",IF(AND(M43&lt;=0,P43&lt;=0),"Soldé","En retard"))</f>
        <v/>
      </c>
      <c r="R43" s="8"/>
    </row>
    <row r="44">
      <c r="A44" s="20"/>
      <c r="B44" s="20"/>
      <c r="C44" s="20"/>
      <c r="D44" s="21"/>
      <c r="E44" s="77"/>
      <c r="F44" s="20"/>
      <c r="G44" s="20"/>
      <c r="H44" s="18" t="str">
        <f>IF($B44="","",Paramètres!$C$27)</f>
        <v/>
      </c>
      <c r="I44" s="19"/>
      <c r="J44" s="19"/>
      <c r="K44" s="19"/>
      <c r="L44" s="18" t="str">
        <f>IF($B44="","",SUM(I44:K44))</f>
        <v/>
      </c>
      <c r="M44" s="18" t="str">
        <f>IF($B44="","",H44-L44)</f>
        <v/>
      </c>
      <c r="N44" s="18" t="str">
        <f>IF($B44="","",IF(R44="Ancien",0,Paramètres!$D$27))</f>
        <v/>
      </c>
      <c r="O44" s="19"/>
      <c r="P44" s="18" t="str">
        <f>IF($B44="","",N44-O44)</f>
        <v/>
      </c>
      <c r="Q44" s="21" t="str">
        <f>IF($B44="","",IF(AND(M44&lt;=0,P44&lt;=0),"Soldé","En retard"))</f>
        <v/>
      </c>
      <c r="R44" s="21"/>
    </row>
    <row r="45">
      <c r="A45" s="15"/>
      <c r="B45" s="15"/>
      <c r="C45" s="15"/>
      <c r="D45" s="8"/>
      <c r="E45" s="79"/>
      <c r="F45" s="15"/>
      <c r="G45" s="15"/>
      <c r="H45" s="18" t="str">
        <f>IF($B45="","",Paramètres!$C$27)</f>
        <v/>
      </c>
      <c r="I45" s="19"/>
      <c r="J45" s="19"/>
      <c r="K45" s="19"/>
      <c r="L45" s="18" t="str">
        <f>IF($B45="","",SUM(I45:K45))</f>
        <v/>
      </c>
      <c r="M45" s="18" t="str">
        <f>IF($B45="","",H45-L45)</f>
        <v/>
      </c>
      <c r="N45" s="18" t="str">
        <f>IF($B45="","",IF(R45="Ancien",0,Paramètres!$D$27))</f>
        <v/>
      </c>
      <c r="O45" s="19"/>
      <c r="P45" s="18" t="str">
        <f>IF($B45="","",N45-O45)</f>
        <v/>
      </c>
      <c r="Q45" s="8" t="str">
        <f>IF($B45="","",IF(AND(M45&lt;=0,P45&lt;=0),"Soldé","En retard"))</f>
        <v/>
      </c>
      <c r="R45" s="8"/>
    </row>
    <row r="46">
      <c r="A46" s="20"/>
      <c r="B46" s="20"/>
      <c r="C46" s="20"/>
      <c r="D46" s="21"/>
      <c r="E46" s="77"/>
      <c r="F46" s="20"/>
      <c r="G46" s="20"/>
      <c r="H46" s="18" t="str">
        <f>IF($B46="","",Paramètres!$C$27)</f>
        <v/>
      </c>
      <c r="I46" s="19"/>
      <c r="J46" s="19"/>
      <c r="K46" s="19"/>
      <c r="L46" s="18" t="str">
        <f>IF($B46="","",SUM(I46:K46))</f>
        <v/>
      </c>
      <c r="M46" s="18" t="str">
        <f>IF($B46="","",H46-L46)</f>
        <v/>
      </c>
      <c r="N46" s="18" t="str">
        <f>IF($B46="","",IF(R46="Ancien",0,Paramètres!$D$27))</f>
        <v/>
      </c>
      <c r="O46" s="19"/>
      <c r="P46" s="18" t="str">
        <f>IF($B46="","",N46-O46)</f>
        <v/>
      </c>
      <c r="Q46" s="21" t="str">
        <f>IF($B46="","",IF(AND(M46&lt;=0,P46&lt;=0),"Soldé","En retard"))</f>
        <v/>
      </c>
      <c r="R46" s="21"/>
    </row>
    <row r="47">
      <c r="A47" s="15"/>
      <c r="B47" s="15"/>
      <c r="C47" s="15"/>
      <c r="D47" s="8"/>
      <c r="E47" s="79"/>
      <c r="F47" s="15"/>
      <c r="G47" s="15"/>
      <c r="H47" s="18" t="str">
        <f>IF($B47="","",Paramètres!$C$27)</f>
        <v/>
      </c>
      <c r="I47" s="19"/>
      <c r="J47" s="19"/>
      <c r="K47" s="19"/>
      <c r="L47" s="18" t="str">
        <f>IF($B47="","",SUM(I47:K47))</f>
        <v/>
      </c>
      <c r="M47" s="18" t="str">
        <f>IF($B47="","",H47-L47)</f>
        <v/>
      </c>
      <c r="N47" s="18" t="str">
        <f>IF($B47="","",IF(R47="Ancien",0,Paramètres!$D$27))</f>
        <v/>
      </c>
      <c r="O47" s="19"/>
      <c r="P47" s="18" t="str">
        <f>IF($B47="","",N47-O47)</f>
        <v/>
      </c>
      <c r="Q47" s="8" t="str">
        <f>IF($B47="","",IF(AND(M47&lt;=0,P47&lt;=0),"Soldé","En retard"))</f>
        <v/>
      </c>
      <c r="R47" s="8"/>
    </row>
    <row r="48">
      <c r="A48" s="20"/>
      <c r="B48" s="20"/>
      <c r="C48" s="20"/>
      <c r="D48" s="21"/>
      <c r="E48" s="77"/>
      <c r="F48" s="20"/>
      <c r="G48" s="20"/>
      <c r="H48" s="18" t="str">
        <f>IF($B48="","",Paramètres!$C$27)</f>
        <v/>
      </c>
      <c r="I48" s="19"/>
      <c r="J48" s="19"/>
      <c r="K48" s="19"/>
      <c r="L48" s="18" t="str">
        <f>IF($B48="","",SUM(I48:K48))</f>
        <v/>
      </c>
      <c r="M48" s="18" t="str">
        <f>IF($B48="","",H48-L48)</f>
        <v/>
      </c>
      <c r="N48" s="18" t="str">
        <f>IF($B48="","",IF(R48="Ancien",0,Paramètres!$D$27))</f>
        <v/>
      </c>
      <c r="O48" s="19"/>
      <c r="P48" s="18" t="str">
        <f>IF($B48="","",N48-O48)</f>
        <v/>
      </c>
      <c r="Q48" s="21" t="str">
        <f>IF($B48="","",IF(AND(M48&lt;=0,P48&lt;=0),"Soldé","En retard"))</f>
        <v/>
      </c>
      <c r="R48" s="21"/>
    </row>
    <row r="49">
      <c r="A49" s="15"/>
      <c r="B49" s="15"/>
      <c r="C49" s="15"/>
      <c r="D49" s="8"/>
      <c r="E49" s="79"/>
      <c r="F49" s="15"/>
      <c r="G49" s="15"/>
      <c r="H49" s="18" t="str">
        <f>IF($B49="","",Paramètres!$C$27)</f>
        <v/>
      </c>
      <c r="I49" s="19"/>
      <c r="J49" s="19"/>
      <c r="K49" s="19"/>
      <c r="L49" s="18" t="str">
        <f>IF($B49="","",SUM(I49:K49))</f>
        <v/>
      </c>
      <c r="M49" s="18" t="str">
        <f>IF($B49="","",H49-L49)</f>
        <v/>
      </c>
      <c r="N49" s="18" t="str">
        <f>IF($B49="","",IF(R49="Ancien",0,Paramètres!$D$27))</f>
        <v/>
      </c>
      <c r="O49" s="19"/>
      <c r="P49" s="18" t="str">
        <f>IF($B49="","",N49-O49)</f>
        <v/>
      </c>
      <c r="Q49" s="8" t="str">
        <f>IF($B49="","",IF(AND(M49&lt;=0,P49&lt;=0),"Soldé","En retard"))</f>
        <v/>
      </c>
      <c r="R49" s="8"/>
    </row>
    <row r="50">
      <c r="A50" s="20"/>
      <c r="B50" s="20"/>
      <c r="C50" s="20"/>
      <c r="D50" s="21"/>
      <c r="E50" s="77"/>
      <c r="F50" s="20"/>
      <c r="G50" s="20"/>
      <c r="H50" s="18" t="str">
        <f>IF($B50="","",Paramètres!$C$27)</f>
        <v/>
      </c>
      <c r="I50" s="19"/>
      <c r="J50" s="19"/>
      <c r="K50" s="19"/>
      <c r="L50" s="18" t="str">
        <f>IF($B50="","",SUM(I50:K50))</f>
        <v/>
      </c>
      <c r="M50" s="18" t="str">
        <f>IF($B50="","",H50-L50)</f>
        <v/>
      </c>
      <c r="N50" s="18" t="str">
        <f>IF($B50="","",IF(R50="Ancien",0,Paramètres!$D$27))</f>
        <v/>
      </c>
      <c r="O50" s="19"/>
      <c r="P50" s="18" t="str">
        <f>IF($B50="","",N50-O50)</f>
        <v/>
      </c>
      <c r="Q50" s="21" t="str">
        <f>IF($B50="","",IF(AND(M50&lt;=0,P50&lt;=0),"Soldé","En retard"))</f>
        <v/>
      </c>
      <c r="R50" s="21"/>
    </row>
    <row r="51">
      <c r="A51" s="15"/>
      <c r="B51" s="15"/>
      <c r="C51" s="15"/>
      <c r="D51" s="8"/>
      <c r="E51" s="79"/>
      <c r="F51" s="15"/>
      <c r="G51" s="15"/>
      <c r="H51" s="18" t="str">
        <f>IF($B51="","",Paramètres!$C$27)</f>
        <v/>
      </c>
      <c r="I51" s="19"/>
      <c r="J51" s="19"/>
      <c r="K51" s="19"/>
      <c r="L51" s="18" t="str">
        <f>IF($B51="","",SUM(I51:K51))</f>
        <v/>
      </c>
      <c r="M51" s="18" t="str">
        <f>IF($B51="","",H51-L51)</f>
        <v/>
      </c>
      <c r="N51" s="18" t="str">
        <f>IF($B51="","",IF(R51="Ancien",0,Paramètres!$D$27))</f>
        <v/>
      </c>
      <c r="O51" s="19"/>
      <c r="P51" s="18" t="str">
        <f>IF($B51="","",N51-O51)</f>
        <v/>
      </c>
      <c r="Q51" s="8" t="str">
        <f>IF($B51="","",IF(AND(M51&lt;=0,P51&lt;=0),"Soldé","En retard"))</f>
        <v/>
      </c>
      <c r="R51" s="8"/>
    </row>
    <row r="52">
      <c r="A52" s="20"/>
      <c r="B52" s="20"/>
      <c r="C52" s="20"/>
      <c r="D52" s="21"/>
      <c r="E52" s="77"/>
      <c r="F52" s="20"/>
      <c r="G52" s="20"/>
      <c r="H52" s="18" t="str">
        <f>IF($B52="","",Paramètres!$C$27)</f>
        <v/>
      </c>
      <c r="I52" s="19"/>
      <c r="J52" s="19"/>
      <c r="K52" s="19"/>
      <c r="L52" s="18" t="str">
        <f>IF($B52="","",SUM(I52:K52))</f>
        <v/>
      </c>
      <c r="M52" s="18" t="str">
        <f>IF($B52="","",H52-L52)</f>
        <v/>
      </c>
      <c r="N52" s="18" t="str">
        <f>IF($B52="","",IF(R52="Ancien",0,Paramètres!$D$27))</f>
        <v/>
      </c>
      <c r="O52" s="19"/>
      <c r="P52" s="18" t="str">
        <f>IF($B52="","",N52-O52)</f>
        <v/>
      </c>
      <c r="Q52" s="21" t="str">
        <f>IF($B52="","",IF(AND(M52&lt;=0,P52&lt;=0),"Soldé","En retard"))</f>
        <v/>
      </c>
      <c r="R52" s="21"/>
    </row>
    <row r="53">
      <c r="A53" s="15"/>
      <c r="B53" s="15"/>
      <c r="C53" s="15"/>
      <c r="D53" s="8"/>
      <c r="E53" s="79"/>
      <c r="F53" s="15"/>
      <c r="G53" s="15"/>
      <c r="H53" s="18" t="str">
        <f>IF($B53="","",Paramètres!$C$27)</f>
        <v/>
      </c>
      <c r="I53" s="19"/>
      <c r="J53" s="19"/>
      <c r="K53" s="19"/>
      <c r="L53" s="18" t="str">
        <f>IF($B53="","",SUM(I53:K53))</f>
        <v/>
      </c>
      <c r="M53" s="18" t="str">
        <f>IF($B53="","",H53-L53)</f>
        <v/>
      </c>
      <c r="N53" s="18" t="str">
        <f>IF($B53="","",IF(R53="Ancien",0,Paramètres!$D$27))</f>
        <v/>
      </c>
      <c r="O53" s="19"/>
      <c r="P53" s="18" t="str">
        <f>IF($B53="","",N53-O53)</f>
        <v/>
      </c>
      <c r="Q53" s="8" t="str">
        <f>IF($B53="","",IF(AND(M53&lt;=0,P53&lt;=0),"Soldé","En retard"))</f>
        <v/>
      </c>
      <c r="R53" s="8"/>
    </row>
    <row r="54">
      <c r="A54" s="20"/>
      <c r="B54" s="20"/>
      <c r="C54" s="20"/>
      <c r="D54" s="21"/>
      <c r="E54" s="77"/>
      <c r="F54" s="20"/>
      <c r="G54" s="20"/>
      <c r="H54" s="18" t="str">
        <f>IF($B54="","",Paramètres!$C$27)</f>
        <v/>
      </c>
      <c r="I54" s="19"/>
      <c r="J54" s="19"/>
      <c r="K54" s="19"/>
      <c r="L54" s="18" t="str">
        <f>IF($B54="","",SUM(I54:K54))</f>
        <v/>
      </c>
      <c r="M54" s="18" t="str">
        <f>IF($B54="","",H54-L54)</f>
        <v/>
      </c>
      <c r="N54" s="18" t="str">
        <f>IF($B54="","",IF(R54="Ancien",0,Paramètres!$D$27))</f>
        <v/>
      </c>
      <c r="O54" s="19"/>
      <c r="P54" s="18" t="str">
        <f>IF($B54="","",N54-O54)</f>
        <v/>
      </c>
      <c r="Q54" s="21" t="str">
        <f>IF($B54="","",IF(AND(M54&lt;=0,P54&lt;=0),"Soldé","En retard"))</f>
        <v/>
      </c>
      <c r="R54" s="21"/>
    </row>
    <row r="55">
      <c r="A55" s="15"/>
      <c r="B55" s="15"/>
      <c r="C55" s="15"/>
      <c r="D55" s="8"/>
      <c r="E55" s="79"/>
      <c r="F55" s="15"/>
      <c r="G55" s="15"/>
      <c r="H55" s="18" t="str">
        <f>IF($B55="","",Paramètres!$C$27)</f>
        <v/>
      </c>
      <c r="I55" s="19"/>
      <c r="J55" s="19"/>
      <c r="K55" s="19"/>
      <c r="L55" s="18" t="str">
        <f>IF($B55="","",SUM(I55:K55))</f>
        <v/>
      </c>
      <c r="M55" s="18" t="str">
        <f>IF($B55="","",H55-L55)</f>
        <v/>
      </c>
      <c r="N55" s="18" t="str">
        <f>IF($B55="","",IF(R55="Ancien",0,Paramètres!$D$27))</f>
        <v/>
      </c>
      <c r="O55" s="19"/>
      <c r="P55" s="18" t="str">
        <f>IF($B55="","",N55-O55)</f>
        <v/>
      </c>
      <c r="Q55" s="8" t="str">
        <f>IF($B55="","",IF(AND(M55&lt;=0,P55&lt;=0),"Soldé","En retard"))</f>
        <v/>
      </c>
      <c r="R55" s="8"/>
    </row>
    <row r="56">
      <c r="A56" s="20"/>
      <c r="B56" s="20"/>
      <c r="C56" s="20"/>
      <c r="D56" s="21"/>
      <c r="E56" s="77"/>
      <c r="F56" s="20"/>
      <c r="G56" s="20"/>
      <c r="H56" s="18" t="str">
        <f>IF($B56="","",Paramètres!$C$27)</f>
        <v/>
      </c>
      <c r="I56" s="19"/>
      <c r="J56" s="19"/>
      <c r="K56" s="19"/>
      <c r="L56" s="18" t="str">
        <f>IF($B56="","",SUM(I56:K56))</f>
        <v/>
      </c>
      <c r="M56" s="18" t="str">
        <f>IF($B56="","",H56-L56)</f>
        <v/>
      </c>
      <c r="N56" s="18" t="str">
        <f>IF($B56="","",IF(R56="Ancien",0,Paramètres!$D$27))</f>
        <v/>
      </c>
      <c r="O56" s="19"/>
      <c r="P56" s="18" t="str">
        <f>IF($B56="","",N56-O56)</f>
        <v/>
      </c>
      <c r="Q56" s="21" t="str">
        <f>IF($B56="","",IF(AND(M56&lt;=0,P56&lt;=0),"Soldé","En retard"))</f>
        <v/>
      </c>
      <c r="R56" s="21"/>
    </row>
    <row r="57">
      <c r="A57" s="15"/>
      <c r="B57" s="15"/>
      <c r="C57" s="15"/>
      <c r="D57" s="8"/>
      <c r="E57" s="79"/>
      <c r="F57" s="15"/>
      <c r="G57" s="15"/>
      <c r="H57" s="18" t="str">
        <f>IF($B57="","",Paramètres!$C$27)</f>
        <v/>
      </c>
      <c r="I57" s="19"/>
      <c r="J57" s="19"/>
      <c r="K57" s="19"/>
      <c r="L57" s="18" t="str">
        <f>IF($B57="","",SUM(I57:K57))</f>
        <v/>
      </c>
      <c r="M57" s="18" t="str">
        <f>IF($B57="","",H57-L57)</f>
        <v/>
      </c>
      <c r="N57" s="18" t="str">
        <f>IF($B57="","",IF(R57="Ancien",0,Paramètres!$D$27))</f>
        <v/>
      </c>
      <c r="O57" s="19"/>
      <c r="P57" s="18" t="str">
        <f>IF($B57="","",N57-O57)</f>
        <v/>
      </c>
      <c r="Q57" s="8" t="str">
        <f>IF($B57="","",IF(AND(M57&lt;=0,P57&lt;=0),"Soldé","En retard"))</f>
        <v/>
      </c>
      <c r="R57" s="8"/>
    </row>
    <row r="58">
      <c r="A58" s="20"/>
      <c r="B58" s="20"/>
      <c r="C58" s="20"/>
      <c r="D58" s="21"/>
      <c r="E58" s="77"/>
      <c r="F58" s="20"/>
      <c r="G58" s="20"/>
      <c r="H58" s="18" t="str">
        <f>IF($B58="","",Paramètres!$C$27)</f>
        <v/>
      </c>
      <c r="I58" s="19"/>
      <c r="J58" s="19"/>
      <c r="K58" s="19"/>
      <c r="L58" s="18" t="str">
        <f>IF($B58="","",SUM(I58:K58))</f>
        <v/>
      </c>
      <c r="M58" s="18" t="str">
        <f>IF($B58="","",H58-L58)</f>
        <v/>
      </c>
      <c r="N58" s="18" t="str">
        <f>IF($B58="","",IF(R58="Ancien",0,Paramètres!$D$27))</f>
        <v/>
      </c>
      <c r="O58" s="19"/>
      <c r="P58" s="18" t="str">
        <f>IF($B58="","",N58-O58)</f>
        <v/>
      </c>
      <c r="Q58" s="21" t="str">
        <f>IF($B58="","",IF(AND(M58&lt;=0,P58&lt;=0),"Soldé","En retard"))</f>
        <v/>
      </c>
      <c r="R58" s="21"/>
    </row>
    <row r="59">
      <c r="A59" s="15"/>
      <c r="B59" s="15"/>
      <c r="C59" s="15"/>
      <c r="D59" s="8"/>
      <c r="E59" s="79"/>
      <c r="F59" s="15"/>
      <c r="G59" s="15"/>
      <c r="H59" s="18" t="str">
        <f>IF($B59="","",Paramètres!$C$27)</f>
        <v/>
      </c>
      <c r="I59" s="19"/>
      <c r="J59" s="19"/>
      <c r="K59" s="19"/>
      <c r="L59" s="18" t="str">
        <f>IF($B59="","",SUM(I59:K59))</f>
        <v/>
      </c>
      <c r="M59" s="18" t="str">
        <f>IF($B59="","",H59-L59)</f>
        <v/>
      </c>
      <c r="N59" s="18" t="str">
        <f>IF($B59="","",IF(R59="Ancien",0,Paramètres!$D$27))</f>
        <v/>
      </c>
      <c r="O59" s="19"/>
      <c r="P59" s="18" t="str">
        <f>IF($B59="","",N59-O59)</f>
        <v/>
      </c>
      <c r="Q59" s="8" t="str">
        <f>IF($B59="","",IF(AND(M59&lt;=0,P59&lt;=0),"Soldé","En retard"))</f>
        <v/>
      </c>
      <c r="R59" s="8"/>
    </row>
    <row r="60">
      <c r="A60" s="20"/>
      <c r="B60" s="20"/>
      <c r="C60" s="20"/>
      <c r="D60" s="21"/>
      <c r="E60" s="77"/>
      <c r="F60" s="20"/>
      <c r="G60" s="20"/>
      <c r="H60" s="18" t="str">
        <f>IF($B60="","",Paramètres!$C$27)</f>
        <v/>
      </c>
      <c r="I60" s="19"/>
      <c r="J60" s="19"/>
      <c r="K60" s="19"/>
      <c r="L60" s="18" t="str">
        <f>IF($B60="","",SUM(I60:K60))</f>
        <v/>
      </c>
      <c r="M60" s="18" t="str">
        <f>IF($B60="","",H60-L60)</f>
        <v/>
      </c>
      <c r="N60" s="18" t="str">
        <f>IF($B60="","",IF(R60="Ancien",0,Paramètres!$D$27))</f>
        <v/>
      </c>
      <c r="O60" s="19"/>
      <c r="P60" s="18" t="str">
        <f>IF($B60="","",N60-O60)</f>
        <v/>
      </c>
      <c r="Q60" s="21" t="str">
        <f>IF($B60="","",IF(AND(M60&lt;=0,P60&lt;=0),"Soldé","En retard"))</f>
        <v/>
      </c>
      <c r="R60" s="21"/>
    </row>
    <row r="61">
      <c r="A61" s="15"/>
      <c r="B61" s="15"/>
      <c r="C61" s="15"/>
      <c r="D61" s="8"/>
      <c r="E61" s="79"/>
      <c r="F61" s="15"/>
      <c r="G61" s="15"/>
      <c r="H61" s="18" t="str">
        <f>IF($B61="","",Paramètres!$C$27)</f>
        <v/>
      </c>
      <c r="I61" s="19"/>
      <c r="J61" s="19"/>
      <c r="K61" s="19"/>
      <c r="L61" s="18" t="str">
        <f>IF($B61="","",SUM(I61:K61))</f>
        <v/>
      </c>
      <c r="M61" s="18" t="str">
        <f>IF($B61="","",H61-L61)</f>
        <v/>
      </c>
      <c r="N61" s="18" t="str">
        <f>IF($B61="","",IF(R61="Ancien",0,Paramètres!$D$27))</f>
        <v/>
      </c>
      <c r="O61" s="19"/>
      <c r="P61" s="18" t="str">
        <f>IF($B61="","",N61-O61)</f>
        <v/>
      </c>
      <c r="Q61" s="8" t="str">
        <f>IF($B61="","",IF(AND(M61&lt;=0,P61&lt;=0),"Soldé","En retard"))</f>
        <v/>
      </c>
      <c r="R61" s="8"/>
    </row>
    <row r="62">
      <c r="A62" s="20"/>
      <c r="B62" s="20"/>
      <c r="C62" s="20"/>
      <c r="D62" s="21"/>
      <c r="E62" s="77"/>
      <c r="F62" s="20"/>
      <c r="G62" s="20"/>
      <c r="H62" s="18" t="str">
        <f>IF($B62="","",Paramètres!$C$27)</f>
        <v/>
      </c>
      <c r="I62" s="19"/>
      <c r="J62" s="19"/>
      <c r="K62" s="19"/>
      <c r="L62" s="18" t="str">
        <f>IF($B62="","",SUM(I62:K62))</f>
        <v/>
      </c>
      <c r="M62" s="18" t="str">
        <f>IF($B62="","",H62-L62)</f>
        <v/>
      </c>
      <c r="N62" s="18" t="str">
        <f>IF($B62="","",IF(R62="Ancien",0,Paramètres!$D$27))</f>
        <v/>
      </c>
      <c r="O62" s="19"/>
      <c r="P62" s="18" t="str">
        <f>IF($B62="","",N62-O62)</f>
        <v/>
      </c>
      <c r="Q62" s="21" t="str">
        <f>IF($B62="","",IF(AND(M62&lt;=0,P62&lt;=0),"Soldé","En retard"))</f>
        <v/>
      </c>
      <c r="R62" s="21"/>
    </row>
    <row r="63">
      <c r="A63" s="15"/>
      <c r="B63" s="15"/>
      <c r="C63" s="15"/>
      <c r="D63" s="8"/>
      <c r="E63" s="79"/>
      <c r="F63" s="15"/>
      <c r="G63" s="15"/>
      <c r="H63" s="18" t="str">
        <f>IF($B63="","",Paramètres!$C$27)</f>
        <v/>
      </c>
      <c r="I63" s="19"/>
      <c r="J63" s="19"/>
      <c r="K63" s="19"/>
      <c r="L63" s="18" t="str">
        <f>IF($B63="","",SUM(I63:K63))</f>
        <v/>
      </c>
      <c r="M63" s="18" t="str">
        <f>IF($B63="","",H63-L63)</f>
        <v/>
      </c>
      <c r="N63" s="18" t="str">
        <f>IF($B63="","",IF(R63="Ancien",0,Paramètres!$D$27))</f>
        <v/>
      </c>
      <c r="O63" s="19"/>
      <c r="P63" s="18" t="str">
        <f>IF($B63="","",N63-O63)</f>
        <v/>
      </c>
      <c r="Q63" s="8" t="str">
        <f>IF($B63="","",IF(AND(M63&lt;=0,P63&lt;=0),"Soldé","En retard"))</f>
        <v/>
      </c>
      <c r="R63" s="8"/>
    </row>
    <row r="64">
      <c r="A64" s="20"/>
      <c r="B64" s="20"/>
      <c r="C64" s="20"/>
      <c r="D64" s="21"/>
      <c r="E64" s="77"/>
      <c r="F64" s="20"/>
      <c r="G64" s="20"/>
      <c r="H64" s="18" t="str">
        <f>IF($B64="","",Paramètres!$C$27)</f>
        <v/>
      </c>
      <c r="I64" s="19"/>
      <c r="J64" s="19"/>
      <c r="K64" s="19"/>
      <c r="L64" s="18" t="str">
        <f>IF($B64="","",SUM(I64:K64))</f>
        <v/>
      </c>
      <c r="M64" s="18" t="str">
        <f>IF($B64="","",H64-L64)</f>
        <v/>
      </c>
      <c r="N64" s="18" t="str">
        <f>IF($B64="","",IF(R64="Ancien",0,Paramètres!$D$27))</f>
        <v/>
      </c>
      <c r="O64" s="19"/>
      <c r="P64" s="18" t="str">
        <f>IF($B64="","",N64-O64)</f>
        <v/>
      </c>
      <c r="Q64" s="21" t="str">
        <f>IF($B64="","",IF(AND(M64&lt;=0,P64&lt;=0),"Soldé","En retard"))</f>
        <v/>
      </c>
      <c r="R64" s="21"/>
    </row>
    <row r="65">
      <c r="A65" s="15"/>
      <c r="B65" s="15"/>
      <c r="C65" s="15"/>
      <c r="D65" s="8"/>
      <c r="E65" s="79"/>
      <c r="F65" s="15"/>
      <c r="G65" s="15"/>
      <c r="H65" s="18" t="str">
        <f>IF($B65="","",Paramètres!$C$27)</f>
        <v/>
      </c>
      <c r="I65" s="19"/>
      <c r="J65" s="19"/>
      <c r="K65" s="19"/>
      <c r="L65" s="18" t="str">
        <f>IF($B65="","",SUM(I65:K65))</f>
        <v/>
      </c>
      <c r="M65" s="18" t="str">
        <f>IF($B65="","",H65-L65)</f>
        <v/>
      </c>
      <c r="N65" s="18" t="str">
        <f>IF($B65="","",IF(R65="Ancien",0,Paramètres!$D$27))</f>
        <v/>
      </c>
      <c r="O65" s="19"/>
      <c r="P65" s="18" t="str">
        <f>IF($B65="","",N65-O65)</f>
        <v/>
      </c>
      <c r="Q65" s="8" t="str">
        <f>IF($B65="","",IF(AND(M65&lt;=0,P65&lt;=0),"Soldé","En retard"))</f>
        <v/>
      </c>
      <c r="R65" s="8"/>
    </row>
    <row r="66">
      <c r="A66" s="20"/>
      <c r="B66" s="20"/>
      <c r="C66" s="20"/>
      <c r="D66" s="21"/>
      <c r="E66" s="77"/>
      <c r="F66" s="20"/>
      <c r="G66" s="20"/>
      <c r="H66" s="18" t="str">
        <f>IF($B66="","",Paramètres!$C$27)</f>
        <v/>
      </c>
      <c r="I66" s="19"/>
      <c r="J66" s="19"/>
      <c r="K66" s="19"/>
      <c r="L66" s="18" t="str">
        <f>IF($B66="","",SUM(I66:K66))</f>
        <v/>
      </c>
      <c r="M66" s="18" t="str">
        <f>IF($B66="","",H66-L66)</f>
        <v/>
      </c>
      <c r="N66" s="18" t="str">
        <f>IF($B66="","",IF(R66="Ancien",0,Paramètres!$D$27))</f>
        <v/>
      </c>
      <c r="O66" s="19"/>
      <c r="P66" s="18" t="str">
        <f>IF($B66="","",N66-O66)</f>
        <v/>
      </c>
      <c r="Q66" s="21" t="str">
        <f>IF($B66="","",IF(AND(M66&lt;=0,P66&lt;=0),"Soldé","En retard"))</f>
        <v/>
      </c>
      <c r="R66" s="21"/>
    </row>
    <row r="67">
      <c r="A67" s="15"/>
      <c r="B67" s="15"/>
      <c r="C67" s="15"/>
      <c r="D67" s="8"/>
      <c r="E67" s="79"/>
      <c r="F67" s="15"/>
      <c r="G67" s="15"/>
      <c r="H67" s="18" t="str">
        <f>IF($B67="","",Paramètres!$C$27)</f>
        <v/>
      </c>
      <c r="I67" s="19"/>
      <c r="J67" s="19"/>
      <c r="K67" s="19"/>
      <c r="L67" s="18" t="str">
        <f>IF($B67="","",SUM(I67:K67))</f>
        <v/>
      </c>
      <c r="M67" s="18" t="str">
        <f>IF($B67="","",H67-L67)</f>
        <v/>
      </c>
      <c r="N67" s="18" t="str">
        <f>IF($B67="","",IF(R67="Ancien",0,Paramètres!$D$27))</f>
        <v/>
      </c>
      <c r="O67" s="19"/>
      <c r="P67" s="18" t="str">
        <f>IF($B67="","",N67-O67)</f>
        <v/>
      </c>
      <c r="Q67" s="8" t="str">
        <f>IF($B67="","",IF(AND(M67&lt;=0,P67&lt;=0),"Soldé","En retard"))</f>
        <v/>
      </c>
      <c r="R67" s="8"/>
    </row>
    <row r="68">
      <c r="A68" s="20"/>
      <c r="B68" s="20"/>
      <c r="C68" s="20"/>
      <c r="D68" s="21"/>
      <c r="E68" s="77"/>
      <c r="F68" s="20"/>
      <c r="G68" s="20"/>
      <c r="H68" s="18" t="str">
        <f>IF($B68="","",Paramètres!$C$27)</f>
        <v/>
      </c>
      <c r="I68" s="19"/>
      <c r="J68" s="19"/>
      <c r="K68" s="19"/>
      <c r="L68" s="18" t="str">
        <f>IF($B68="","",SUM(I68:K68))</f>
        <v/>
      </c>
      <c r="M68" s="18" t="str">
        <f>IF($B68="","",H68-L68)</f>
        <v/>
      </c>
      <c r="N68" s="18" t="str">
        <f>IF($B68="","",IF(R68="Ancien",0,Paramètres!$D$27))</f>
        <v/>
      </c>
      <c r="O68" s="19"/>
      <c r="P68" s="18" t="str">
        <f>IF($B68="","",N68-O68)</f>
        <v/>
      </c>
      <c r="Q68" s="21" t="str">
        <f>IF($B68="","",IF(AND(M68&lt;=0,P68&lt;=0),"Soldé","En retard"))</f>
        <v/>
      </c>
      <c r="R68" s="21"/>
    </row>
    <row r="69">
      <c r="A69" s="15"/>
      <c r="B69" s="15"/>
      <c r="C69" s="15"/>
      <c r="D69" s="8"/>
      <c r="E69" s="79"/>
      <c r="F69" s="15"/>
      <c r="G69" s="15"/>
      <c r="H69" s="18" t="str">
        <f>IF($B69="","",Paramètres!$C$27)</f>
        <v/>
      </c>
      <c r="I69" s="19"/>
      <c r="J69" s="19"/>
      <c r="K69" s="19"/>
      <c r="L69" s="18" t="str">
        <f>IF($B69="","",SUM(I69:K69))</f>
        <v/>
      </c>
      <c r="M69" s="18" t="str">
        <f>IF($B69="","",H69-L69)</f>
        <v/>
      </c>
      <c r="N69" s="18" t="str">
        <f>IF($B69="","",IF(R69="Ancien",0,Paramètres!$D$27))</f>
        <v/>
      </c>
      <c r="O69" s="19"/>
      <c r="P69" s="18" t="str">
        <f>IF($B69="","",N69-O69)</f>
        <v/>
      </c>
      <c r="Q69" s="8" t="str">
        <f>IF($B69="","",IF(AND(M69&lt;=0,P69&lt;=0),"Soldé","En retard"))</f>
        <v/>
      </c>
      <c r="R69" s="8"/>
    </row>
    <row r="70">
      <c r="A70" s="20"/>
      <c r="B70" s="20"/>
      <c r="C70" s="20"/>
      <c r="D70" s="21"/>
      <c r="E70" s="77"/>
      <c r="F70" s="20"/>
      <c r="G70" s="20"/>
      <c r="H70" s="18" t="str">
        <f>IF($B70="","",Paramètres!$C$27)</f>
        <v/>
      </c>
      <c r="I70" s="19"/>
      <c r="J70" s="19"/>
      <c r="K70" s="19"/>
      <c r="L70" s="18" t="str">
        <f>IF($B70="","",SUM(I70:K70))</f>
        <v/>
      </c>
      <c r="M70" s="18" t="str">
        <f>IF($B70="","",H70-L70)</f>
        <v/>
      </c>
      <c r="N70" s="18" t="str">
        <f>IF($B70="","",IF(R70="Ancien",0,Paramètres!$D$27))</f>
        <v/>
      </c>
      <c r="O70" s="19"/>
      <c r="P70" s="18" t="str">
        <f>IF($B70="","",N70-O70)</f>
        <v/>
      </c>
      <c r="Q70" s="21" t="str">
        <f>IF($B70="","",IF(AND(M70&lt;=0,P70&lt;=0),"Soldé","En retard"))</f>
        <v/>
      </c>
      <c r="R70" s="21"/>
    </row>
    <row r="71">
      <c r="A71" s="15"/>
      <c r="B71" s="15"/>
      <c r="C71" s="15"/>
      <c r="D71" s="8"/>
      <c r="E71" s="79"/>
      <c r="F71" s="15"/>
      <c r="G71" s="15"/>
      <c r="H71" s="18" t="str">
        <f>IF($B71="","",Paramètres!$C$27)</f>
        <v/>
      </c>
      <c r="I71" s="19"/>
      <c r="J71" s="19"/>
      <c r="K71" s="19"/>
      <c r="L71" s="18" t="str">
        <f>IF($B71="","",SUM(I71:K71))</f>
        <v/>
      </c>
      <c r="M71" s="18" t="str">
        <f>IF($B71="","",H71-L71)</f>
        <v/>
      </c>
      <c r="N71" s="18" t="str">
        <f>IF($B71="","",IF(R71="Ancien",0,Paramètres!$D$27))</f>
        <v/>
      </c>
      <c r="O71" s="19"/>
      <c r="P71" s="18" t="str">
        <f>IF($B71="","",N71-O71)</f>
        <v/>
      </c>
      <c r="Q71" s="8" t="str">
        <f>IF($B71="","",IF(AND(M71&lt;=0,P71&lt;=0),"Soldé","En retard"))</f>
        <v/>
      </c>
      <c r="R71" s="8"/>
    </row>
    <row r="72">
      <c r="A72" s="20"/>
      <c r="B72" s="20"/>
      <c r="C72" s="20"/>
      <c r="D72" s="21"/>
      <c r="E72" s="77"/>
      <c r="F72" s="20"/>
      <c r="G72" s="20"/>
      <c r="H72" s="18" t="str">
        <f>IF($B72="","",Paramètres!$C$27)</f>
        <v/>
      </c>
      <c r="I72" s="19"/>
      <c r="J72" s="19"/>
      <c r="K72" s="19"/>
      <c r="L72" s="18" t="str">
        <f>IF($B72="","",SUM(I72:K72))</f>
        <v/>
      </c>
      <c r="M72" s="18" t="str">
        <f>IF($B72="","",H72-L72)</f>
        <v/>
      </c>
      <c r="N72" s="18" t="str">
        <f>IF($B72="","",IF(R72="Ancien",0,Paramètres!$D$27))</f>
        <v/>
      </c>
      <c r="O72" s="19"/>
      <c r="P72" s="18" t="str">
        <f>IF($B72="","",N72-O72)</f>
        <v/>
      </c>
      <c r="Q72" s="21" t="str">
        <f>IF($B72="","",IF(AND(M72&lt;=0,P72&lt;=0),"Soldé","En retard"))</f>
        <v/>
      </c>
      <c r="R72" s="21"/>
    </row>
    <row r="73">
      <c r="A73" s="15"/>
      <c r="B73" s="15"/>
      <c r="C73" s="15"/>
      <c r="D73" s="8"/>
      <c r="E73" s="79"/>
      <c r="F73" s="15"/>
      <c r="G73" s="15"/>
      <c r="H73" s="18" t="str">
        <f>IF($B73="","",Paramètres!$C$27)</f>
        <v/>
      </c>
      <c r="I73" s="19"/>
      <c r="J73" s="19"/>
      <c r="K73" s="19"/>
      <c r="L73" s="18" t="str">
        <f>IF($B73="","",SUM(I73:K73))</f>
        <v/>
      </c>
      <c r="M73" s="18" t="str">
        <f>IF($B73="","",H73-L73)</f>
        <v/>
      </c>
      <c r="N73" s="18" t="str">
        <f>IF($B73="","",IF(R73="Ancien",0,Paramètres!$D$27))</f>
        <v/>
      </c>
      <c r="O73" s="19"/>
      <c r="P73" s="18" t="str">
        <f>IF($B73="","",N73-O73)</f>
        <v/>
      </c>
      <c r="Q73" s="8" t="str">
        <f>IF($B73="","",IF(AND(M73&lt;=0,P73&lt;=0),"Soldé","En retard"))</f>
        <v/>
      </c>
      <c r="R73" s="8"/>
    </row>
    <row r="74">
      <c r="A74" s="20"/>
      <c r="B74" s="20"/>
      <c r="C74" s="20"/>
      <c r="D74" s="21"/>
      <c r="E74" s="77"/>
      <c r="F74" s="20"/>
      <c r="G74" s="20"/>
      <c r="H74" s="18" t="str">
        <f>IF($B74="","",Paramètres!$C$27)</f>
        <v/>
      </c>
      <c r="I74" s="19"/>
      <c r="J74" s="19"/>
      <c r="K74" s="19"/>
      <c r="L74" s="18" t="str">
        <f>IF($B74="","",SUM(I74:K74))</f>
        <v/>
      </c>
      <c r="M74" s="18" t="str">
        <f>IF($B74="","",H74-L74)</f>
        <v/>
      </c>
      <c r="N74" s="18" t="str">
        <f>IF($B74="","",IF(R74="Ancien",0,Paramètres!$D$27))</f>
        <v/>
      </c>
      <c r="O74" s="19"/>
      <c r="P74" s="18" t="str">
        <f>IF($B74="","",N74-O74)</f>
        <v/>
      </c>
      <c r="Q74" s="21" t="str">
        <f>IF($B74="","",IF(AND(M74&lt;=0,P74&lt;=0),"Soldé","En retard"))</f>
        <v/>
      </c>
      <c r="R74" s="21"/>
    </row>
    <row r="75">
      <c r="A75" s="15"/>
      <c r="B75" s="15"/>
      <c r="C75" s="15"/>
      <c r="D75" s="8"/>
      <c r="E75" s="79"/>
      <c r="F75" s="15"/>
      <c r="G75" s="15"/>
      <c r="H75" s="18" t="str">
        <f>IF($B75="","",Paramètres!$C$27)</f>
        <v/>
      </c>
      <c r="I75" s="19"/>
      <c r="J75" s="19"/>
      <c r="K75" s="19"/>
      <c r="L75" s="18" t="str">
        <f>IF($B75="","",SUM(I75:K75))</f>
        <v/>
      </c>
      <c r="M75" s="18" t="str">
        <f>IF($B75="","",H75-L75)</f>
        <v/>
      </c>
      <c r="N75" s="18" t="str">
        <f>IF($B75="","",IF(R75="Ancien",0,Paramètres!$D$27))</f>
        <v/>
      </c>
      <c r="O75" s="19"/>
      <c r="P75" s="18" t="str">
        <f>IF($B75="","",N75-O75)</f>
        <v/>
      </c>
      <c r="Q75" s="8" t="str">
        <f>IF($B75="","",IF(AND(M75&lt;=0,P75&lt;=0),"Soldé","En retard"))</f>
        <v/>
      </c>
      <c r="R75" s="8"/>
    </row>
    <row r="76">
      <c r="A76" s="20"/>
      <c r="B76" s="20"/>
      <c r="C76" s="20"/>
      <c r="D76" s="21"/>
      <c r="E76" s="77"/>
      <c r="F76" s="20"/>
      <c r="G76" s="20"/>
      <c r="H76" s="18" t="str">
        <f>IF($B76="","",Paramètres!$C$27)</f>
        <v/>
      </c>
      <c r="I76" s="19"/>
      <c r="J76" s="19"/>
      <c r="K76" s="19"/>
      <c r="L76" s="18" t="str">
        <f>IF($B76="","",SUM(I76:K76))</f>
        <v/>
      </c>
      <c r="M76" s="18" t="str">
        <f>IF($B76="","",H76-L76)</f>
        <v/>
      </c>
      <c r="N76" s="18" t="str">
        <f>IF($B76="","",IF(R76="Ancien",0,Paramètres!$D$27))</f>
        <v/>
      </c>
      <c r="O76" s="19"/>
      <c r="P76" s="18" t="str">
        <f>IF($B76="","",N76-O76)</f>
        <v/>
      </c>
      <c r="Q76" s="21" t="str">
        <f>IF($B76="","",IF(AND(M76&lt;=0,P76&lt;=0),"Soldé","En retard"))</f>
        <v/>
      </c>
      <c r="R76" s="21"/>
    </row>
    <row r="77">
      <c r="A77" s="15"/>
      <c r="B77" s="15"/>
      <c r="C77" s="15"/>
      <c r="D77" s="8"/>
      <c r="E77" s="79"/>
      <c r="F77" s="15"/>
      <c r="G77" s="15"/>
      <c r="H77" s="18" t="str">
        <f>IF($B77="","",Paramètres!$C$27)</f>
        <v/>
      </c>
      <c r="I77" s="19"/>
      <c r="J77" s="19"/>
      <c r="K77" s="19"/>
      <c r="L77" s="18" t="str">
        <f>IF($B77="","",SUM(I77:K77))</f>
        <v/>
      </c>
      <c r="M77" s="18" t="str">
        <f>IF($B77="","",H77-L77)</f>
        <v/>
      </c>
      <c r="N77" s="18" t="str">
        <f>IF($B77="","",IF(R77="Ancien",0,Paramètres!$D$27))</f>
        <v/>
      </c>
      <c r="O77" s="19"/>
      <c r="P77" s="18" t="str">
        <f>IF($B77="","",N77-O77)</f>
        <v/>
      </c>
      <c r="Q77" s="8" t="str">
        <f>IF($B77="","",IF(AND(M77&lt;=0,P77&lt;=0),"Soldé","En retard"))</f>
        <v/>
      </c>
      <c r="R77" s="8"/>
    </row>
    <row r="78">
      <c r="A78" s="20"/>
      <c r="B78" s="20"/>
      <c r="C78" s="20"/>
      <c r="D78" s="21"/>
      <c r="E78" s="77"/>
      <c r="F78" s="20"/>
      <c r="G78" s="20"/>
      <c r="H78" s="18" t="str">
        <f>IF($B78="","",Paramètres!$C$27)</f>
        <v/>
      </c>
      <c r="I78" s="19"/>
      <c r="J78" s="19"/>
      <c r="K78" s="19"/>
      <c r="L78" s="18" t="str">
        <f>IF($B78="","",SUM(I78:K78))</f>
        <v/>
      </c>
      <c r="M78" s="18" t="str">
        <f>IF($B78="","",H78-L78)</f>
        <v/>
      </c>
      <c r="N78" s="18" t="str">
        <f>IF($B78="","",IF(R78="Ancien",0,Paramètres!$D$27))</f>
        <v/>
      </c>
      <c r="O78" s="19"/>
      <c r="P78" s="18" t="str">
        <f>IF($B78="","",N78-O78)</f>
        <v/>
      </c>
      <c r="Q78" s="21" t="str">
        <f>IF($B78="","",IF(AND(M78&lt;=0,P78&lt;=0),"Soldé","En retard"))</f>
        <v/>
      </c>
      <c r="R78" s="21"/>
    </row>
    <row r="79">
      <c r="A79" s="15"/>
      <c r="B79" s="15"/>
      <c r="C79" s="15"/>
      <c r="D79" s="8"/>
      <c r="E79" s="79"/>
      <c r="F79" s="15"/>
      <c r="G79" s="15"/>
      <c r="H79" s="18" t="str">
        <f>IF($B79="","",Paramètres!$C$27)</f>
        <v/>
      </c>
      <c r="I79" s="19"/>
      <c r="J79" s="19"/>
      <c r="K79" s="19"/>
      <c r="L79" s="18" t="str">
        <f>IF($B79="","",SUM(I79:K79))</f>
        <v/>
      </c>
      <c r="M79" s="18" t="str">
        <f>IF($B79="","",H79-L79)</f>
        <v/>
      </c>
      <c r="N79" s="18" t="str">
        <f>IF($B79="","",IF(R79="Ancien",0,Paramètres!$D$27))</f>
        <v/>
      </c>
      <c r="O79" s="19"/>
      <c r="P79" s="18" t="str">
        <f>IF($B79="","",N79-O79)</f>
        <v/>
      </c>
      <c r="Q79" s="8" t="str">
        <f>IF($B79="","",IF(AND(M79&lt;=0,P79&lt;=0),"Soldé","En retard"))</f>
        <v/>
      </c>
      <c r="R79" s="8"/>
    </row>
    <row r="80">
      <c r="A80" s="20"/>
      <c r="B80" s="20"/>
      <c r="C80" s="20"/>
      <c r="D80" s="21"/>
      <c r="E80" s="77"/>
      <c r="F80" s="20"/>
      <c r="G80" s="20"/>
      <c r="H80" s="18" t="str">
        <f>IF($B80="","",Paramètres!$C$27)</f>
        <v/>
      </c>
      <c r="I80" s="19"/>
      <c r="J80" s="19"/>
      <c r="K80" s="19"/>
      <c r="L80" s="18" t="str">
        <f>IF($B80="","",SUM(I80:K80))</f>
        <v/>
      </c>
      <c r="M80" s="18" t="str">
        <f>IF($B80="","",H80-L80)</f>
        <v/>
      </c>
      <c r="N80" s="18" t="str">
        <f>IF($B80="","",IF(R80="Ancien",0,Paramètres!$D$27))</f>
        <v/>
      </c>
      <c r="O80" s="19"/>
      <c r="P80" s="18" t="str">
        <f>IF($B80="","",N80-O80)</f>
        <v/>
      </c>
      <c r="Q80" s="21" t="str">
        <f>IF($B80="","",IF(AND(M80&lt;=0,P80&lt;=0),"Soldé","En retard"))</f>
        <v/>
      </c>
      <c r="R80" s="21"/>
    </row>
    <row r="81">
      <c r="A81" s="15"/>
      <c r="B81" s="15"/>
      <c r="C81" s="15"/>
      <c r="D81" s="8"/>
      <c r="E81" s="79"/>
      <c r="F81" s="15"/>
      <c r="G81" s="15"/>
      <c r="H81" s="18" t="str">
        <f>IF($B81="","",Paramètres!$C$27)</f>
        <v/>
      </c>
      <c r="I81" s="19"/>
      <c r="J81" s="19"/>
      <c r="K81" s="19"/>
      <c r="L81" s="18" t="str">
        <f>IF($B81="","",SUM(I81:K81))</f>
        <v/>
      </c>
      <c r="M81" s="18" t="str">
        <f>IF($B81="","",H81-L81)</f>
        <v/>
      </c>
      <c r="N81" s="18" t="str">
        <f>IF($B81="","",IF(R81="Ancien",0,Paramètres!$D$27))</f>
        <v/>
      </c>
      <c r="O81" s="19"/>
      <c r="P81" s="18" t="str">
        <f>IF($B81="","",N81-O81)</f>
        <v/>
      </c>
      <c r="Q81" s="8" t="str">
        <f>IF($B81="","",IF(AND(M81&lt;=0,P81&lt;=0),"Soldé","En retard"))</f>
        <v/>
      </c>
      <c r="R81" s="8"/>
    </row>
    <row r="82">
      <c r="A82" s="20"/>
      <c r="B82" s="20"/>
      <c r="C82" s="20"/>
      <c r="D82" s="21"/>
      <c r="E82" s="77"/>
      <c r="F82" s="20"/>
      <c r="G82" s="20"/>
      <c r="H82" s="18" t="str">
        <f>IF($B82="","",Paramètres!$C$27)</f>
        <v/>
      </c>
      <c r="I82" s="19"/>
      <c r="J82" s="19"/>
      <c r="K82" s="19"/>
      <c r="L82" s="18" t="str">
        <f>IF($B82="","",SUM(I82:K82))</f>
        <v/>
      </c>
      <c r="M82" s="18" t="str">
        <f>IF($B82="","",H82-L82)</f>
        <v/>
      </c>
      <c r="N82" s="18" t="str">
        <f>IF($B82="","",IF(R82="Ancien",0,Paramètres!$D$27))</f>
        <v/>
      </c>
      <c r="O82" s="19"/>
      <c r="P82" s="18" t="str">
        <f>IF($B82="","",N82-O82)</f>
        <v/>
      </c>
      <c r="Q82" s="21" t="str">
        <f>IF($B82="","",IF(AND(M82&lt;=0,P82&lt;=0),"Soldé","En retard"))</f>
        <v/>
      </c>
      <c r="R82" s="21"/>
    </row>
    <row r="83">
      <c r="A83" s="15"/>
      <c r="B83" s="15"/>
      <c r="C83" s="15"/>
      <c r="D83" s="8"/>
      <c r="E83" s="79"/>
      <c r="F83" s="15"/>
      <c r="G83" s="15"/>
      <c r="H83" s="18" t="str">
        <f>IF($B83="","",Paramètres!$C$27)</f>
        <v/>
      </c>
      <c r="I83" s="19"/>
      <c r="J83" s="19"/>
      <c r="K83" s="19"/>
      <c r="L83" s="18" t="str">
        <f>IF($B83="","",SUM(I83:K83))</f>
        <v/>
      </c>
      <c r="M83" s="18" t="str">
        <f>IF($B83="","",H83-L83)</f>
        <v/>
      </c>
      <c r="N83" s="18" t="str">
        <f>IF($B83="","",IF(R83="Ancien",0,Paramètres!$D$27))</f>
        <v/>
      </c>
      <c r="O83" s="19"/>
      <c r="P83" s="18" t="str">
        <f>IF($B83="","",N83-O83)</f>
        <v/>
      </c>
      <c r="Q83" s="8" t="str">
        <f>IF($B83="","",IF(AND(M83&lt;=0,P83&lt;=0),"Soldé","En retard"))</f>
        <v/>
      </c>
      <c r="R83" s="8"/>
    </row>
  </sheetData>
  <mergeCells count="2">
    <mergeCell ref="A1:R1"/>
    <mergeCell ref="A2:R2"/>
  </mergeCells>
  <conditionalFormatting sqref="M4:M83 P4:P83">
    <cfRule type="cellIs" dxfId="10" priority="3" operator="greaterThan">
      <formula>0</formula>
    </cfRule>
  </conditionalFormatting>
  <conditionalFormatting sqref="Q4:Q83">
    <cfRule type="cellIs" dxfId="9" priority="1" operator="equal">
      <formula>"Soldé"</formula>
    </cfRule>
    <cfRule type="cellIs" dxfId="8" priority="2" operator="equal">
      <formula>"En retard"</formula>
    </cfRule>
  </conditionalFormatting>
  <dataValidations count="2">
    <dataValidation type="list" allowBlank="1" showErrorMessage="1" errorTitle="Sexe non valide" error="Choisissez M ou F." sqref="D4:D83">
      <formula1>"M,F"</formula1>
    </dataValidation>
    <dataValidation type="list" allowBlank="1" showErrorMessage="1" errorTitle="Statut non valide" error="Choisissez Nouveau ou Ancien. Un élève marqué Ancien ne paie pas les frais d'inscription." sqref="R4:R83">
      <formula1>"Nouveau,Ancien"</formula1>
    </dataValidation>
  </dataValidations>
  <pageMargins left="0.5" right="0.5" top="0.75" bottom="0.75" header="0.3" footer="0.3"/>
  <pageSetup paperSize="9" orientation="landscape" fitToHeight="0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R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7" customWidth="1"/>
    <col min="5" max="5" width="14" customWidth="1"/>
    <col min="6" max="6" width="18" customWidth="1"/>
    <col min="7" max="7" width="16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3" customWidth="1"/>
    <col min="18" max="18" width="16" customWidth="1"/>
  </cols>
  <sheetData>
    <row r="1" ht="27.75" customHeight="1">
      <c r="A1" s="53" t="str">
        <f>"INSCRIPTIONS — "&amp;Paramètres!$A$28</f>
        <v>INSCRIPTIONS — 1ère A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ht="18" customHeight="1">
      <c r="A2" s="54" t="str">
        <f>"Année scolaire "&amp;Paramètres!$C$11&amp;"   •   Effectif : "&amp;COUNTIF($B$4:$B$83,"?*")&amp;"   •   Cellules jaunes = montants à saisir ; colonnes grises = calcul automatique"</f>
        <v>Année scolaire 2025-2026   •   Effectif : 0   •   Cellules jaunes = montants à saisir ; colonnes grises = calcul automatique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Sexe</t>
        </is>
      </c>
      <c r="E3" s="3" t="inlineStr">
        <is>
          <t>Date de naissance</t>
        </is>
      </c>
      <c r="F3" s="3" t="inlineStr">
        <is>
          <t>Nom du tuteur</t>
        </is>
      </c>
      <c r="G3" s="3" t="inlineStr">
        <is>
          <t>Téléphone</t>
        </is>
      </c>
      <c r="H3" s="3" t="inlineStr">
        <is>
          <t>Scolarité due</t>
        </is>
      </c>
      <c r="I3" s="3" t="inlineStr">
        <is>
          <t>Tranche 1</t>
        </is>
      </c>
      <c r="J3" s="3" t="inlineStr">
        <is>
          <t>Tranche 2</t>
        </is>
      </c>
      <c r="K3" s="3" t="inlineStr">
        <is>
          <t>Tranche 3</t>
        </is>
      </c>
      <c r="L3" s="3" t="inlineStr">
        <is>
          <t>Total payé</t>
        </is>
      </c>
      <c r="M3" s="3" t="inlineStr">
        <is>
          <t>Reste à payer</t>
        </is>
      </c>
      <c r="N3" s="3" t="inlineStr">
        <is>
          <t>Inscription due</t>
        </is>
      </c>
      <c r="O3" s="3" t="inlineStr">
        <is>
          <t>Inscription payée</t>
        </is>
      </c>
      <c r="P3" s="3" t="inlineStr">
        <is>
          <t>Reste inscription</t>
        </is>
      </c>
      <c r="Q3" s="3" t="inlineStr">
        <is>
          <t>Statut</t>
        </is>
      </c>
      <c r="R3" s="3" t="inlineStr">
        <is>
          <t>Nouveau / Ancien</t>
        </is>
      </c>
    </row>
    <row r="4">
      <c r="A4" s="20"/>
      <c r="B4" s="20"/>
      <c r="C4" s="20"/>
      <c r="D4" s="21"/>
      <c r="E4" s="77"/>
      <c r="F4" s="20"/>
      <c r="G4" s="20"/>
      <c r="H4" s="18" t="str">
        <f>IF($B4="","",Paramètres!$C$28)</f>
        <v/>
      </c>
      <c r="I4" s="19"/>
      <c r="J4" s="19"/>
      <c r="K4" s="19"/>
      <c r="L4" s="18" t="str">
        <f>IF($B4="","",SUM(I4:K4))</f>
        <v/>
      </c>
      <c r="M4" s="18" t="str">
        <f>IF($B4="","",H4-L4)</f>
        <v/>
      </c>
      <c r="N4" s="18" t="str">
        <f>IF($B4="","",IF(R4="Ancien",0,Paramètres!$D$28))</f>
        <v/>
      </c>
      <c r="O4" s="19"/>
      <c r="P4" s="18" t="str">
        <f>IF($B4="","",N4-O4)</f>
        <v/>
      </c>
      <c r="Q4" s="21" t="str">
        <f>IF($B4="","",IF(AND(M4&lt;=0,P4&lt;=0),"Soldé","En retard"))</f>
        <v/>
      </c>
      <c r="R4" s="21"/>
    </row>
    <row r="5">
      <c r="A5" s="15"/>
      <c r="B5" s="15"/>
      <c r="C5" s="15"/>
      <c r="D5" s="8"/>
      <c r="E5" s="79"/>
      <c r="F5" s="15"/>
      <c r="G5" s="15"/>
      <c r="H5" s="18" t="str">
        <f>IF($B5="","",Paramètres!$C$28)</f>
        <v/>
      </c>
      <c r="I5" s="19"/>
      <c r="J5" s="19"/>
      <c r="K5" s="19"/>
      <c r="L5" s="18" t="str">
        <f>IF($B5="","",SUM(I5:K5))</f>
        <v/>
      </c>
      <c r="M5" s="18" t="str">
        <f>IF($B5="","",H5-L5)</f>
        <v/>
      </c>
      <c r="N5" s="18" t="str">
        <f>IF($B5="","",IF(R5="Ancien",0,Paramètres!$D$28))</f>
        <v/>
      </c>
      <c r="O5" s="19"/>
      <c r="P5" s="18" t="str">
        <f>IF($B5="","",N5-O5)</f>
        <v/>
      </c>
      <c r="Q5" s="8" t="str">
        <f>IF($B5="","",IF(AND(M5&lt;=0,P5&lt;=0),"Soldé","En retard"))</f>
        <v/>
      </c>
      <c r="R5" s="8"/>
    </row>
    <row r="6">
      <c r="A6" s="20"/>
      <c r="B6" s="20"/>
      <c r="C6" s="20"/>
      <c r="D6" s="21"/>
      <c r="E6" s="77"/>
      <c r="F6" s="20"/>
      <c r="G6" s="20"/>
      <c r="H6" s="18" t="str">
        <f>IF($B6="","",Paramètres!$C$28)</f>
        <v/>
      </c>
      <c r="I6" s="19"/>
      <c r="J6" s="19"/>
      <c r="K6" s="19"/>
      <c r="L6" s="18" t="str">
        <f>IF($B6="","",SUM(I6:K6))</f>
        <v/>
      </c>
      <c r="M6" s="18" t="str">
        <f>IF($B6="","",H6-L6)</f>
        <v/>
      </c>
      <c r="N6" s="18" t="str">
        <f>IF($B6="","",IF(R6="Ancien",0,Paramètres!$D$28))</f>
        <v/>
      </c>
      <c r="O6" s="19"/>
      <c r="P6" s="18" t="str">
        <f>IF($B6="","",N6-O6)</f>
        <v/>
      </c>
      <c r="Q6" s="21" t="str">
        <f>IF($B6="","",IF(AND(M6&lt;=0,P6&lt;=0),"Soldé","En retard"))</f>
        <v/>
      </c>
      <c r="R6" s="21"/>
    </row>
    <row r="7">
      <c r="A7" s="15"/>
      <c r="B7" s="15"/>
      <c r="C7" s="15"/>
      <c r="D7" s="8"/>
      <c r="E7" s="79"/>
      <c r="F7" s="15"/>
      <c r="G7" s="15"/>
      <c r="H7" s="18" t="str">
        <f>IF($B7="","",Paramètres!$C$28)</f>
        <v/>
      </c>
      <c r="I7" s="19"/>
      <c r="J7" s="19"/>
      <c r="K7" s="19"/>
      <c r="L7" s="18" t="str">
        <f>IF($B7="","",SUM(I7:K7))</f>
        <v/>
      </c>
      <c r="M7" s="18" t="str">
        <f>IF($B7="","",H7-L7)</f>
        <v/>
      </c>
      <c r="N7" s="18" t="str">
        <f>IF($B7="","",IF(R7="Ancien",0,Paramètres!$D$28))</f>
        <v/>
      </c>
      <c r="O7" s="19"/>
      <c r="P7" s="18" t="str">
        <f>IF($B7="","",N7-O7)</f>
        <v/>
      </c>
      <c r="Q7" s="8" t="str">
        <f>IF($B7="","",IF(AND(M7&lt;=0,P7&lt;=0),"Soldé","En retard"))</f>
        <v/>
      </c>
      <c r="R7" s="8"/>
    </row>
    <row r="8">
      <c r="A8" s="20"/>
      <c r="B8" s="20"/>
      <c r="C8" s="20"/>
      <c r="D8" s="21"/>
      <c r="E8" s="77"/>
      <c r="F8" s="20"/>
      <c r="G8" s="20"/>
      <c r="H8" s="18" t="str">
        <f>IF($B8="","",Paramètres!$C$28)</f>
        <v/>
      </c>
      <c r="I8" s="19"/>
      <c r="J8" s="19"/>
      <c r="K8" s="19"/>
      <c r="L8" s="18" t="str">
        <f>IF($B8="","",SUM(I8:K8))</f>
        <v/>
      </c>
      <c r="M8" s="18" t="str">
        <f>IF($B8="","",H8-L8)</f>
        <v/>
      </c>
      <c r="N8" s="18" t="str">
        <f>IF($B8="","",IF(R8="Ancien",0,Paramètres!$D$28))</f>
        <v/>
      </c>
      <c r="O8" s="19"/>
      <c r="P8" s="18" t="str">
        <f>IF($B8="","",N8-O8)</f>
        <v/>
      </c>
      <c r="Q8" s="21" t="str">
        <f>IF($B8="","",IF(AND(M8&lt;=0,P8&lt;=0),"Soldé","En retard"))</f>
        <v/>
      </c>
      <c r="R8" s="21"/>
    </row>
    <row r="9">
      <c r="A9" s="15"/>
      <c r="B9" s="15"/>
      <c r="C9" s="15"/>
      <c r="D9" s="8"/>
      <c r="E9" s="79"/>
      <c r="F9" s="15"/>
      <c r="G9" s="15"/>
      <c r="H9" s="18" t="str">
        <f>IF($B9="","",Paramètres!$C$28)</f>
        <v/>
      </c>
      <c r="I9" s="19"/>
      <c r="J9" s="19"/>
      <c r="K9" s="19"/>
      <c r="L9" s="18" t="str">
        <f>IF($B9="","",SUM(I9:K9))</f>
        <v/>
      </c>
      <c r="M9" s="18" t="str">
        <f>IF($B9="","",H9-L9)</f>
        <v/>
      </c>
      <c r="N9" s="18" t="str">
        <f>IF($B9="","",IF(R9="Ancien",0,Paramètres!$D$28))</f>
        <v/>
      </c>
      <c r="O9" s="19"/>
      <c r="P9" s="18" t="str">
        <f>IF($B9="","",N9-O9)</f>
        <v/>
      </c>
      <c r="Q9" s="8" t="str">
        <f>IF($B9="","",IF(AND(M9&lt;=0,P9&lt;=0),"Soldé","En retard"))</f>
        <v/>
      </c>
      <c r="R9" s="8"/>
    </row>
    <row r="10">
      <c r="A10" s="20"/>
      <c r="B10" s="20"/>
      <c r="C10" s="20"/>
      <c r="D10" s="21"/>
      <c r="E10" s="77"/>
      <c r="F10" s="20"/>
      <c r="G10" s="20"/>
      <c r="H10" s="18" t="str">
        <f>IF($B10="","",Paramètres!$C$28)</f>
        <v/>
      </c>
      <c r="I10" s="19"/>
      <c r="J10" s="19"/>
      <c r="K10" s="19"/>
      <c r="L10" s="18" t="str">
        <f>IF($B10="","",SUM(I10:K10))</f>
        <v/>
      </c>
      <c r="M10" s="18" t="str">
        <f>IF($B10="","",H10-L10)</f>
        <v/>
      </c>
      <c r="N10" s="18" t="str">
        <f>IF($B10="","",IF(R10="Ancien",0,Paramètres!$D$28))</f>
        <v/>
      </c>
      <c r="O10" s="19"/>
      <c r="P10" s="18" t="str">
        <f>IF($B10="","",N10-O10)</f>
        <v/>
      </c>
      <c r="Q10" s="21" t="str">
        <f>IF($B10="","",IF(AND(M10&lt;=0,P10&lt;=0),"Soldé","En retard"))</f>
        <v/>
      </c>
      <c r="R10" s="21"/>
    </row>
    <row r="11">
      <c r="A11" s="15"/>
      <c r="B11" s="15"/>
      <c r="C11" s="15"/>
      <c r="D11" s="8"/>
      <c r="E11" s="79"/>
      <c r="F11" s="15"/>
      <c r="G11" s="15"/>
      <c r="H11" s="18" t="str">
        <f>IF($B11="","",Paramètres!$C$28)</f>
        <v/>
      </c>
      <c r="I11" s="19"/>
      <c r="J11" s="19"/>
      <c r="K11" s="19"/>
      <c r="L11" s="18" t="str">
        <f>IF($B11="","",SUM(I11:K11))</f>
        <v/>
      </c>
      <c r="M11" s="18" t="str">
        <f>IF($B11="","",H11-L11)</f>
        <v/>
      </c>
      <c r="N11" s="18" t="str">
        <f>IF($B11="","",IF(R11="Ancien",0,Paramètres!$D$28))</f>
        <v/>
      </c>
      <c r="O11" s="19"/>
      <c r="P11" s="18" t="str">
        <f>IF($B11="","",N11-O11)</f>
        <v/>
      </c>
      <c r="Q11" s="8" t="str">
        <f>IF($B11="","",IF(AND(M11&lt;=0,P11&lt;=0),"Soldé","En retard"))</f>
        <v/>
      </c>
      <c r="R11" s="8"/>
    </row>
    <row r="12">
      <c r="A12" s="20"/>
      <c r="B12" s="20"/>
      <c r="C12" s="20"/>
      <c r="D12" s="21"/>
      <c r="E12" s="77"/>
      <c r="F12" s="20"/>
      <c r="G12" s="20"/>
      <c r="H12" s="18" t="str">
        <f>IF($B12="","",Paramètres!$C$28)</f>
        <v/>
      </c>
      <c r="I12" s="19"/>
      <c r="J12" s="19"/>
      <c r="K12" s="19"/>
      <c r="L12" s="18" t="str">
        <f>IF($B12="","",SUM(I12:K12))</f>
        <v/>
      </c>
      <c r="M12" s="18" t="str">
        <f>IF($B12="","",H12-L12)</f>
        <v/>
      </c>
      <c r="N12" s="18" t="str">
        <f>IF($B12="","",IF(R12="Ancien",0,Paramètres!$D$28))</f>
        <v/>
      </c>
      <c r="O12" s="19"/>
      <c r="P12" s="18" t="str">
        <f>IF($B12="","",N12-O12)</f>
        <v/>
      </c>
      <c r="Q12" s="21" t="str">
        <f>IF($B12="","",IF(AND(M12&lt;=0,P12&lt;=0),"Soldé","En retard"))</f>
        <v/>
      </c>
      <c r="R12" s="21"/>
    </row>
    <row r="13">
      <c r="A13" s="15"/>
      <c r="B13" s="15"/>
      <c r="C13" s="15"/>
      <c r="D13" s="8"/>
      <c r="E13" s="79"/>
      <c r="F13" s="15"/>
      <c r="G13" s="15"/>
      <c r="H13" s="18" t="str">
        <f>IF($B13="","",Paramètres!$C$28)</f>
        <v/>
      </c>
      <c r="I13" s="19"/>
      <c r="J13" s="19"/>
      <c r="K13" s="19"/>
      <c r="L13" s="18" t="str">
        <f>IF($B13="","",SUM(I13:K13))</f>
        <v/>
      </c>
      <c r="M13" s="18" t="str">
        <f>IF($B13="","",H13-L13)</f>
        <v/>
      </c>
      <c r="N13" s="18" t="str">
        <f>IF($B13="","",IF(R13="Ancien",0,Paramètres!$D$28))</f>
        <v/>
      </c>
      <c r="O13" s="19"/>
      <c r="P13" s="18" t="str">
        <f>IF($B13="","",N13-O13)</f>
        <v/>
      </c>
      <c r="Q13" s="8" t="str">
        <f>IF($B13="","",IF(AND(M13&lt;=0,P13&lt;=0),"Soldé","En retard"))</f>
        <v/>
      </c>
      <c r="R13" s="8"/>
    </row>
    <row r="14">
      <c r="A14" s="20"/>
      <c r="B14" s="20"/>
      <c r="C14" s="20"/>
      <c r="D14" s="21"/>
      <c r="E14" s="77"/>
      <c r="F14" s="20"/>
      <c r="G14" s="20"/>
      <c r="H14" s="18" t="str">
        <f>IF($B14="","",Paramètres!$C$28)</f>
        <v/>
      </c>
      <c r="I14" s="19"/>
      <c r="J14" s="19"/>
      <c r="K14" s="19"/>
      <c r="L14" s="18" t="str">
        <f>IF($B14="","",SUM(I14:K14))</f>
        <v/>
      </c>
      <c r="M14" s="18" t="str">
        <f>IF($B14="","",H14-L14)</f>
        <v/>
      </c>
      <c r="N14" s="18" t="str">
        <f>IF($B14="","",IF(R14="Ancien",0,Paramètres!$D$28))</f>
        <v/>
      </c>
      <c r="O14" s="19"/>
      <c r="P14" s="18" t="str">
        <f>IF($B14="","",N14-O14)</f>
        <v/>
      </c>
      <c r="Q14" s="21" t="str">
        <f>IF($B14="","",IF(AND(M14&lt;=0,P14&lt;=0),"Soldé","En retard"))</f>
        <v/>
      </c>
      <c r="R14" s="21"/>
    </row>
    <row r="15">
      <c r="A15" s="15"/>
      <c r="B15" s="15"/>
      <c r="C15" s="15"/>
      <c r="D15" s="8"/>
      <c r="E15" s="79"/>
      <c r="F15" s="15"/>
      <c r="G15" s="15"/>
      <c r="H15" s="18" t="str">
        <f>IF($B15="","",Paramètres!$C$28)</f>
        <v/>
      </c>
      <c r="I15" s="19"/>
      <c r="J15" s="19"/>
      <c r="K15" s="19"/>
      <c r="L15" s="18" t="str">
        <f>IF($B15="","",SUM(I15:K15))</f>
        <v/>
      </c>
      <c r="M15" s="18" t="str">
        <f>IF($B15="","",H15-L15)</f>
        <v/>
      </c>
      <c r="N15" s="18" t="str">
        <f>IF($B15="","",IF(R15="Ancien",0,Paramètres!$D$28))</f>
        <v/>
      </c>
      <c r="O15" s="19"/>
      <c r="P15" s="18" t="str">
        <f>IF($B15="","",N15-O15)</f>
        <v/>
      </c>
      <c r="Q15" s="8" t="str">
        <f>IF($B15="","",IF(AND(M15&lt;=0,P15&lt;=0),"Soldé","En retard"))</f>
        <v/>
      </c>
      <c r="R15" s="8"/>
    </row>
    <row r="16">
      <c r="A16" s="20"/>
      <c r="B16" s="20"/>
      <c r="C16" s="20"/>
      <c r="D16" s="21"/>
      <c r="E16" s="77"/>
      <c r="F16" s="20"/>
      <c r="G16" s="20"/>
      <c r="H16" s="18" t="str">
        <f>IF($B16="","",Paramètres!$C$28)</f>
        <v/>
      </c>
      <c r="I16" s="19"/>
      <c r="J16" s="19"/>
      <c r="K16" s="19"/>
      <c r="L16" s="18" t="str">
        <f>IF($B16="","",SUM(I16:K16))</f>
        <v/>
      </c>
      <c r="M16" s="18" t="str">
        <f>IF($B16="","",H16-L16)</f>
        <v/>
      </c>
      <c r="N16" s="18" t="str">
        <f>IF($B16="","",IF(R16="Ancien",0,Paramètres!$D$28))</f>
        <v/>
      </c>
      <c r="O16" s="19"/>
      <c r="P16" s="18" t="str">
        <f>IF($B16="","",N16-O16)</f>
        <v/>
      </c>
      <c r="Q16" s="21" t="str">
        <f>IF($B16="","",IF(AND(M16&lt;=0,P16&lt;=0),"Soldé","En retard"))</f>
        <v/>
      </c>
      <c r="R16" s="21"/>
    </row>
    <row r="17">
      <c r="A17" s="15"/>
      <c r="B17" s="15"/>
      <c r="C17" s="15"/>
      <c r="D17" s="8"/>
      <c r="E17" s="79"/>
      <c r="F17" s="15"/>
      <c r="G17" s="15"/>
      <c r="H17" s="18" t="str">
        <f>IF($B17="","",Paramètres!$C$28)</f>
        <v/>
      </c>
      <c r="I17" s="19"/>
      <c r="J17" s="19"/>
      <c r="K17" s="19"/>
      <c r="L17" s="18" t="str">
        <f>IF($B17="","",SUM(I17:K17))</f>
        <v/>
      </c>
      <c r="M17" s="18" t="str">
        <f>IF($B17="","",H17-L17)</f>
        <v/>
      </c>
      <c r="N17" s="18" t="str">
        <f>IF($B17="","",IF(R17="Ancien",0,Paramètres!$D$28))</f>
        <v/>
      </c>
      <c r="O17" s="19"/>
      <c r="P17" s="18" t="str">
        <f>IF($B17="","",N17-O17)</f>
        <v/>
      </c>
      <c r="Q17" s="8" t="str">
        <f>IF($B17="","",IF(AND(M17&lt;=0,P17&lt;=0),"Soldé","En retard"))</f>
        <v/>
      </c>
      <c r="R17" s="8"/>
    </row>
    <row r="18">
      <c r="A18" s="20"/>
      <c r="B18" s="20"/>
      <c r="C18" s="20"/>
      <c r="D18" s="21"/>
      <c r="E18" s="77"/>
      <c r="F18" s="20"/>
      <c r="G18" s="20"/>
      <c r="H18" s="18" t="str">
        <f>IF($B18="","",Paramètres!$C$28)</f>
        <v/>
      </c>
      <c r="I18" s="19"/>
      <c r="J18" s="19"/>
      <c r="K18" s="19"/>
      <c r="L18" s="18" t="str">
        <f>IF($B18="","",SUM(I18:K18))</f>
        <v/>
      </c>
      <c r="M18" s="18" t="str">
        <f>IF($B18="","",H18-L18)</f>
        <v/>
      </c>
      <c r="N18" s="18" t="str">
        <f>IF($B18="","",IF(R18="Ancien",0,Paramètres!$D$28))</f>
        <v/>
      </c>
      <c r="O18" s="19"/>
      <c r="P18" s="18" t="str">
        <f>IF($B18="","",N18-O18)</f>
        <v/>
      </c>
      <c r="Q18" s="21" t="str">
        <f>IF($B18="","",IF(AND(M18&lt;=0,P18&lt;=0),"Soldé","En retard"))</f>
        <v/>
      </c>
      <c r="R18" s="21"/>
    </row>
    <row r="19">
      <c r="A19" s="15"/>
      <c r="B19" s="15"/>
      <c r="C19" s="15"/>
      <c r="D19" s="8"/>
      <c r="E19" s="79"/>
      <c r="F19" s="15"/>
      <c r="G19" s="15"/>
      <c r="H19" s="18" t="str">
        <f>IF($B19="","",Paramètres!$C$28)</f>
        <v/>
      </c>
      <c r="I19" s="19"/>
      <c r="J19" s="19"/>
      <c r="K19" s="19"/>
      <c r="L19" s="18" t="str">
        <f>IF($B19="","",SUM(I19:K19))</f>
        <v/>
      </c>
      <c r="M19" s="18" t="str">
        <f>IF($B19="","",H19-L19)</f>
        <v/>
      </c>
      <c r="N19" s="18" t="str">
        <f>IF($B19="","",IF(R19="Ancien",0,Paramètres!$D$28))</f>
        <v/>
      </c>
      <c r="O19" s="19"/>
      <c r="P19" s="18" t="str">
        <f>IF($B19="","",N19-O19)</f>
        <v/>
      </c>
      <c r="Q19" s="8" t="str">
        <f>IF($B19="","",IF(AND(M19&lt;=0,P19&lt;=0),"Soldé","En retard"))</f>
        <v/>
      </c>
      <c r="R19" s="8"/>
    </row>
    <row r="20">
      <c r="A20" s="20"/>
      <c r="B20" s="20"/>
      <c r="C20" s="20"/>
      <c r="D20" s="21"/>
      <c r="E20" s="77"/>
      <c r="F20" s="20"/>
      <c r="G20" s="20"/>
      <c r="H20" s="18" t="str">
        <f>IF($B20="","",Paramètres!$C$28)</f>
        <v/>
      </c>
      <c r="I20" s="19"/>
      <c r="J20" s="19"/>
      <c r="K20" s="19"/>
      <c r="L20" s="18" t="str">
        <f>IF($B20="","",SUM(I20:K20))</f>
        <v/>
      </c>
      <c r="M20" s="18" t="str">
        <f>IF($B20="","",H20-L20)</f>
        <v/>
      </c>
      <c r="N20" s="18" t="str">
        <f>IF($B20="","",IF(R20="Ancien",0,Paramètres!$D$28))</f>
        <v/>
      </c>
      <c r="O20" s="19"/>
      <c r="P20" s="18" t="str">
        <f>IF($B20="","",N20-O20)</f>
        <v/>
      </c>
      <c r="Q20" s="21" t="str">
        <f>IF($B20="","",IF(AND(M20&lt;=0,P20&lt;=0),"Soldé","En retard"))</f>
        <v/>
      </c>
      <c r="R20" s="21"/>
    </row>
    <row r="21">
      <c r="A21" s="15"/>
      <c r="B21" s="15"/>
      <c r="C21" s="15"/>
      <c r="D21" s="8"/>
      <c r="E21" s="79"/>
      <c r="F21" s="15"/>
      <c r="G21" s="15"/>
      <c r="H21" s="18" t="str">
        <f>IF($B21="","",Paramètres!$C$28)</f>
        <v/>
      </c>
      <c r="I21" s="19"/>
      <c r="J21" s="19"/>
      <c r="K21" s="19"/>
      <c r="L21" s="18" t="str">
        <f>IF($B21="","",SUM(I21:K21))</f>
        <v/>
      </c>
      <c r="M21" s="18" t="str">
        <f>IF($B21="","",H21-L21)</f>
        <v/>
      </c>
      <c r="N21" s="18" t="str">
        <f>IF($B21="","",IF(R21="Ancien",0,Paramètres!$D$28))</f>
        <v/>
      </c>
      <c r="O21" s="19"/>
      <c r="P21" s="18" t="str">
        <f>IF($B21="","",N21-O21)</f>
        <v/>
      </c>
      <c r="Q21" s="8" t="str">
        <f>IF($B21="","",IF(AND(M21&lt;=0,P21&lt;=0),"Soldé","En retard"))</f>
        <v/>
      </c>
      <c r="R21" s="8"/>
    </row>
    <row r="22">
      <c r="A22" s="20"/>
      <c r="B22" s="20"/>
      <c r="C22" s="20"/>
      <c r="D22" s="21"/>
      <c r="E22" s="77"/>
      <c r="F22" s="20"/>
      <c r="G22" s="20"/>
      <c r="H22" s="18" t="str">
        <f>IF($B22="","",Paramètres!$C$28)</f>
        <v/>
      </c>
      <c r="I22" s="19"/>
      <c r="J22" s="19"/>
      <c r="K22" s="19"/>
      <c r="L22" s="18" t="str">
        <f>IF($B22="","",SUM(I22:K22))</f>
        <v/>
      </c>
      <c r="M22" s="18" t="str">
        <f>IF($B22="","",H22-L22)</f>
        <v/>
      </c>
      <c r="N22" s="18" t="str">
        <f>IF($B22="","",IF(R22="Ancien",0,Paramètres!$D$28))</f>
        <v/>
      </c>
      <c r="O22" s="19"/>
      <c r="P22" s="18" t="str">
        <f>IF($B22="","",N22-O22)</f>
        <v/>
      </c>
      <c r="Q22" s="21" t="str">
        <f>IF($B22="","",IF(AND(M22&lt;=0,P22&lt;=0),"Soldé","En retard"))</f>
        <v/>
      </c>
      <c r="R22" s="21"/>
    </row>
    <row r="23">
      <c r="A23" s="15"/>
      <c r="B23" s="15"/>
      <c r="C23" s="15"/>
      <c r="D23" s="8"/>
      <c r="E23" s="79"/>
      <c r="F23" s="15"/>
      <c r="G23" s="15"/>
      <c r="H23" s="18" t="str">
        <f>IF($B23="","",Paramètres!$C$28)</f>
        <v/>
      </c>
      <c r="I23" s="19"/>
      <c r="J23" s="19"/>
      <c r="K23" s="19"/>
      <c r="L23" s="18" t="str">
        <f>IF($B23="","",SUM(I23:K23))</f>
        <v/>
      </c>
      <c r="M23" s="18" t="str">
        <f>IF($B23="","",H23-L23)</f>
        <v/>
      </c>
      <c r="N23" s="18" t="str">
        <f>IF($B23="","",IF(R23="Ancien",0,Paramètres!$D$28))</f>
        <v/>
      </c>
      <c r="O23" s="19"/>
      <c r="P23" s="18" t="str">
        <f>IF($B23="","",N23-O23)</f>
        <v/>
      </c>
      <c r="Q23" s="8" t="str">
        <f>IF($B23="","",IF(AND(M23&lt;=0,P23&lt;=0),"Soldé","En retard"))</f>
        <v/>
      </c>
      <c r="R23" s="8"/>
    </row>
    <row r="24">
      <c r="A24" s="20"/>
      <c r="B24" s="20"/>
      <c r="C24" s="20"/>
      <c r="D24" s="21"/>
      <c r="E24" s="77"/>
      <c r="F24" s="20"/>
      <c r="G24" s="20"/>
      <c r="H24" s="18" t="str">
        <f>IF($B24="","",Paramètres!$C$28)</f>
        <v/>
      </c>
      <c r="I24" s="19"/>
      <c r="J24" s="19"/>
      <c r="K24" s="19"/>
      <c r="L24" s="18" t="str">
        <f>IF($B24="","",SUM(I24:K24))</f>
        <v/>
      </c>
      <c r="M24" s="18" t="str">
        <f>IF($B24="","",H24-L24)</f>
        <v/>
      </c>
      <c r="N24" s="18" t="str">
        <f>IF($B24="","",IF(R24="Ancien",0,Paramètres!$D$28))</f>
        <v/>
      </c>
      <c r="O24" s="19"/>
      <c r="P24" s="18" t="str">
        <f>IF($B24="","",N24-O24)</f>
        <v/>
      </c>
      <c r="Q24" s="21" t="str">
        <f>IF($B24="","",IF(AND(M24&lt;=0,P24&lt;=0),"Soldé","En retard"))</f>
        <v/>
      </c>
      <c r="R24" s="21"/>
    </row>
    <row r="25">
      <c r="A25" s="15"/>
      <c r="B25" s="15"/>
      <c r="C25" s="15"/>
      <c r="D25" s="8"/>
      <c r="E25" s="79"/>
      <c r="F25" s="15"/>
      <c r="G25" s="15"/>
      <c r="H25" s="18" t="str">
        <f>IF($B25="","",Paramètres!$C$28)</f>
        <v/>
      </c>
      <c r="I25" s="19"/>
      <c r="J25" s="19"/>
      <c r="K25" s="19"/>
      <c r="L25" s="18" t="str">
        <f>IF($B25="","",SUM(I25:K25))</f>
        <v/>
      </c>
      <c r="M25" s="18" t="str">
        <f>IF($B25="","",H25-L25)</f>
        <v/>
      </c>
      <c r="N25" s="18" t="str">
        <f>IF($B25="","",IF(R25="Ancien",0,Paramètres!$D$28))</f>
        <v/>
      </c>
      <c r="O25" s="19"/>
      <c r="P25" s="18" t="str">
        <f>IF($B25="","",N25-O25)</f>
        <v/>
      </c>
      <c r="Q25" s="8" t="str">
        <f>IF($B25="","",IF(AND(M25&lt;=0,P25&lt;=0),"Soldé","En retard"))</f>
        <v/>
      </c>
      <c r="R25" s="8"/>
    </row>
    <row r="26">
      <c r="A26" s="20"/>
      <c r="B26" s="20"/>
      <c r="C26" s="20"/>
      <c r="D26" s="21"/>
      <c r="E26" s="77"/>
      <c r="F26" s="20"/>
      <c r="G26" s="20"/>
      <c r="H26" s="18" t="str">
        <f>IF($B26="","",Paramètres!$C$28)</f>
        <v/>
      </c>
      <c r="I26" s="19"/>
      <c r="J26" s="19"/>
      <c r="K26" s="19"/>
      <c r="L26" s="18" t="str">
        <f>IF($B26="","",SUM(I26:K26))</f>
        <v/>
      </c>
      <c r="M26" s="18" t="str">
        <f>IF($B26="","",H26-L26)</f>
        <v/>
      </c>
      <c r="N26" s="18" t="str">
        <f>IF($B26="","",IF(R26="Ancien",0,Paramètres!$D$28))</f>
        <v/>
      </c>
      <c r="O26" s="19"/>
      <c r="P26" s="18" t="str">
        <f>IF($B26="","",N26-O26)</f>
        <v/>
      </c>
      <c r="Q26" s="21" t="str">
        <f>IF($B26="","",IF(AND(M26&lt;=0,P26&lt;=0),"Soldé","En retard"))</f>
        <v/>
      </c>
      <c r="R26" s="21"/>
    </row>
    <row r="27">
      <c r="A27" s="15"/>
      <c r="B27" s="15"/>
      <c r="C27" s="15"/>
      <c r="D27" s="8"/>
      <c r="E27" s="79"/>
      <c r="F27" s="15"/>
      <c r="G27" s="15"/>
      <c r="H27" s="18" t="str">
        <f>IF($B27="","",Paramètres!$C$28)</f>
        <v/>
      </c>
      <c r="I27" s="19"/>
      <c r="J27" s="19"/>
      <c r="K27" s="19"/>
      <c r="L27" s="18" t="str">
        <f>IF($B27="","",SUM(I27:K27))</f>
        <v/>
      </c>
      <c r="M27" s="18" t="str">
        <f>IF($B27="","",H27-L27)</f>
        <v/>
      </c>
      <c r="N27" s="18" t="str">
        <f>IF($B27="","",IF(R27="Ancien",0,Paramètres!$D$28))</f>
        <v/>
      </c>
      <c r="O27" s="19"/>
      <c r="P27" s="18" t="str">
        <f>IF($B27="","",N27-O27)</f>
        <v/>
      </c>
      <c r="Q27" s="8" t="str">
        <f>IF($B27="","",IF(AND(M27&lt;=0,P27&lt;=0),"Soldé","En retard"))</f>
        <v/>
      </c>
      <c r="R27" s="8"/>
    </row>
    <row r="28">
      <c r="A28" s="20"/>
      <c r="B28" s="20"/>
      <c r="C28" s="20"/>
      <c r="D28" s="21"/>
      <c r="E28" s="77"/>
      <c r="F28" s="20"/>
      <c r="G28" s="20"/>
      <c r="H28" s="18" t="str">
        <f>IF($B28="","",Paramètres!$C$28)</f>
        <v/>
      </c>
      <c r="I28" s="19"/>
      <c r="J28" s="19"/>
      <c r="K28" s="19"/>
      <c r="L28" s="18" t="str">
        <f>IF($B28="","",SUM(I28:K28))</f>
        <v/>
      </c>
      <c r="M28" s="18" t="str">
        <f>IF($B28="","",H28-L28)</f>
        <v/>
      </c>
      <c r="N28" s="18" t="str">
        <f>IF($B28="","",IF(R28="Ancien",0,Paramètres!$D$28))</f>
        <v/>
      </c>
      <c r="O28" s="19"/>
      <c r="P28" s="18" t="str">
        <f>IF($B28="","",N28-O28)</f>
        <v/>
      </c>
      <c r="Q28" s="21" t="str">
        <f>IF($B28="","",IF(AND(M28&lt;=0,P28&lt;=0),"Soldé","En retard"))</f>
        <v/>
      </c>
      <c r="R28" s="21"/>
    </row>
    <row r="29">
      <c r="A29" s="15"/>
      <c r="B29" s="15"/>
      <c r="C29" s="15"/>
      <c r="D29" s="8"/>
      <c r="E29" s="79"/>
      <c r="F29" s="15"/>
      <c r="G29" s="15"/>
      <c r="H29" s="18" t="str">
        <f>IF($B29="","",Paramètres!$C$28)</f>
        <v/>
      </c>
      <c r="I29" s="19"/>
      <c r="J29" s="19"/>
      <c r="K29" s="19"/>
      <c r="L29" s="18" t="str">
        <f>IF($B29="","",SUM(I29:K29))</f>
        <v/>
      </c>
      <c r="M29" s="18" t="str">
        <f>IF($B29="","",H29-L29)</f>
        <v/>
      </c>
      <c r="N29" s="18" t="str">
        <f>IF($B29="","",IF(R29="Ancien",0,Paramètres!$D$28))</f>
        <v/>
      </c>
      <c r="O29" s="19"/>
      <c r="P29" s="18" t="str">
        <f>IF($B29="","",N29-O29)</f>
        <v/>
      </c>
      <c r="Q29" s="8" t="str">
        <f>IF($B29="","",IF(AND(M29&lt;=0,P29&lt;=0),"Soldé","En retard"))</f>
        <v/>
      </c>
      <c r="R29" s="8"/>
    </row>
    <row r="30">
      <c r="A30" s="20"/>
      <c r="B30" s="20"/>
      <c r="C30" s="20"/>
      <c r="D30" s="21"/>
      <c r="E30" s="77"/>
      <c r="F30" s="20"/>
      <c r="G30" s="20"/>
      <c r="H30" s="18" t="str">
        <f>IF($B30="","",Paramètres!$C$28)</f>
        <v/>
      </c>
      <c r="I30" s="19"/>
      <c r="J30" s="19"/>
      <c r="K30" s="19"/>
      <c r="L30" s="18" t="str">
        <f>IF($B30="","",SUM(I30:K30))</f>
        <v/>
      </c>
      <c r="M30" s="18" t="str">
        <f>IF($B30="","",H30-L30)</f>
        <v/>
      </c>
      <c r="N30" s="18" t="str">
        <f>IF($B30="","",IF(R30="Ancien",0,Paramètres!$D$28))</f>
        <v/>
      </c>
      <c r="O30" s="19"/>
      <c r="P30" s="18" t="str">
        <f>IF($B30="","",N30-O30)</f>
        <v/>
      </c>
      <c r="Q30" s="21" t="str">
        <f>IF($B30="","",IF(AND(M30&lt;=0,P30&lt;=0),"Soldé","En retard"))</f>
        <v/>
      </c>
      <c r="R30" s="21"/>
    </row>
    <row r="31">
      <c r="A31" s="15"/>
      <c r="B31" s="15"/>
      <c r="C31" s="15"/>
      <c r="D31" s="8"/>
      <c r="E31" s="79"/>
      <c r="F31" s="15"/>
      <c r="G31" s="15"/>
      <c r="H31" s="18" t="str">
        <f>IF($B31="","",Paramètres!$C$28)</f>
        <v/>
      </c>
      <c r="I31" s="19"/>
      <c r="J31" s="19"/>
      <c r="K31" s="19"/>
      <c r="L31" s="18" t="str">
        <f>IF($B31="","",SUM(I31:K31))</f>
        <v/>
      </c>
      <c r="M31" s="18" t="str">
        <f>IF($B31="","",H31-L31)</f>
        <v/>
      </c>
      <c r="N31" s="18" t="str">
        <f>IF($B31="","",IF(R31="Ancien",0,Paramètres!$D$28))</f>
        <v/>
      </c>
      <c r="O31" s="19"/>
      <c r="P31" s="18" t="str">
        <f>IF($B31="","",N31-O31)</f>
        <v/>
      </c>
      <c r="Q31" s="8" t="str">
        <f>IF($B31="","",IF(AND(M31&lt;=0,P31&lt;=0),"Soldé","En retard"))</f>
        <v/>
      </c>
      <c r="R31" s="8"/>
    </row>
    <row r="32">
      <c r="A32" s="20"/>
      <c r="B32" s="20"/>
      <c r="C32" s="20"/>
      <c r="D32" s="21"/>
      <c r="E32" s="77"/>
      <c r="F32" s="20"/>
      <c r="G32" s="20"/>
      <c r="H32" s="18" t="str">
        <f>IF($B32="","",Paramètres!$C$28)</f>
        <v/>
      </c>
      <c r="I32" s="19"/>
      <c r="J32" s="19"/>
      <c r="K32" s="19"/>
      <c r="L32" s="18" t="str">
        <f>IF($B32="","",SUM(I32:K32))</f>
        <v/>
      </c>
      <c r="M32" s="18" t="str">
        <f>IF($B32="","",H32-L32)</f>
        <v/>
      </c>
      <c r="N32" s="18" t="str">
        <f>IF($B32="","",IF(R32="Ancien",0,Paramètres!$D$28))</f>
        <v/>
      </c>
      <c r="O32" s="19"/>
      <c r="P32" s="18" t="str">
        <f>IF($B32="","",N32-O32)</f>
        <v/>
      </c>
      <c r="Q32" s="21" t="str">
        <f>IF($B32="","",IF(AND(M32&lt;=0,P32&lt;=0),"Soldé","En retard"))</f>
        <v/>
      </c>
      <c r="R32" s="21"/>
    </row>
    <row r="33">
      <c r="A33" s="15"/>
      <c r="B33" s="15"/>
      <c r="C33" s="15"/>
      <c r="D33" s="8"/>
      <c r="E33" s="79"/>
      <c r="F33" s="15"/>
      <c r="G33" s="15"/>
      <c r="H33" s="18" t="str">
        <f>IF($B33="","",Paramètres!$C$28)</f>
        <v/>
      </c>
      <c r="I33" s="19"/>
      <c r="J33" s="19"/>
      <c r="K33" s="19"/>
      <c r="L33" s="18" t="str">
        <f>IF($B33="","",SUM(I33:K33))</f>
        <v/>
      </c>
      <c r="M33" s="18" t="str">
        <f>IF($B33="","",H33-L33)</f>
        <v/>
      </c>
      <c r="N33" s="18" t="str">
        <f>IF($B33="","",IF(R33="Ancien",0,Paramètres!$D$28))</f>
        <v/>
      </c>
      <c r="O33" s="19"/>
      <c r="P33" s="18" t="str">
        <f>IF($B33="","",N33-O33)</f>
        <v/>
      </c>
      <c r="Q33" s="8" t="str">
        <f>IF($B33="","",IF(AND(M33&lt;=0,P33&lt;=0),"Soldé","En retard"))</f>
        <v/>
      </c>
      <c r="R33" s="8"/>
    </row>
    <row r="34">
      <c r="A34" s="20"/>
      <c r="B34" s="20"/>
      <c r="C34" s="20"/>
      <c r="D34" s="21"/>
      <c r="E34" s="77"/>
      <c r="F34" s="20"/>
      <c r="G34" s="20"/>
      <c r="H34" s="18" t="str">
        <f>IF($B34="","",Paramètres!$C$28)</f>
        <v/>
      </c>
      <c r="I34" s="19"/>
      <c r="J34" s="19"/>
      <c r="K34" s="19"/>
      <c r="L34" s="18" t="str">
        <f>IF($B34="","",SUM(I34:K34))</f>
        <v/>
      </c>
      <c r="M34" s="18" t="str">
        <f>IF($B34="","",H34-L34)</f>
        <v/>
      </c>
      <c r="N34" s="18" t="str">
        <f>IF($B34="","",IF(R34="Ancien",0,Paramètres!$D$28))</f>
        <v/>
      </c>
      <c r="O34" s="19"/>
      <c r="P34" s="18" t="str">
        <f>IF($B34="","",N34-O34)</f>
        <v/>
      </c>
      <c r="Q34" s="21" t="str">
        <f>IF($B34="","",IF(AND(M34&lt;=0,P34&lt;=0),"Soldé","En retard"))</f>
        <v/>
      </c>
      <c r="R34" s="21"/>
    </row>
    <row r="35">
      <c r="A35" s="15"/>
      <c r="B35" s="15"/>
      <c r="C35" s="15"/>
      <c r="D35" s="8"/>
      <c r="E35" s="79"/>
      <c r="F35" s="15"/>
      <c r="G35" s="15"/>
      <c r="H35" s="18" t="str">
        <f>IF($B35="","",Paramètres!$C$28)</f>
        <v/>
      </c>
      <c r="I35" s="19"/>
      <c r="J35" s="19"/>
      <c r="K35" s="19"/>
      <c r="L35" s="18" t="str">
        <f>IF($B35="","",SUM(I35:K35))</f>
        <v/>
      </c>
      <c r="M35" s="18" t="str">
        <f>IF($B35="","",H35-L35)</f>
        <v/>
      </c>
      <c r="N35" s="18" t="str">
        <f>IF($B35="","",IF(R35="Ancien",0,Paramètres!$D$28))</f>
        <v/>
      </c>
      <c r="O35" s="19"/>
      <c r="P35" s="18" t="str">
        <f>IF($B35="","",N35-O35)</f>
        <v/>
      </c>
      <c r="Q35" s="8" t="str">
        <f>IF($B35="","",IF(AND(M35&lt;=0,P35&lt;=0),"Soldé","En retard"))</f>
        <v/>
      </c>
      <c r="R35" s="8"/>
    </row>
    <row r="36">
      <c r="A36" s="20"/>
      <c r="B36" s="20"/>
      <c r="C36" s="20"/>
      <c r="D36" s="21"/>
      <c r="E36" s="77"/>
      <c r="F36" s="20"/>
      <c r="G36" s="20"/>
      <c r="H36" s="18" t="str">
        <f>IF($B36="","",Paramètres!$C$28)</f>
        <v/>
      </c>
      <c r="I36" s="19"/>
      <c r="J36" s="19"/>
      <c r="K36" s="19"/>
      <c r="L36" s="18" t="str">
        <f>IF($B36="","",SUM(I36:K36))</f>
        <v/>
      </c>
      <c r="M36" s="18" t="str">
        <f>IF($B36="","",H36-L36)</f>
        <v/>
      </c>
      <c r="N36" s="18" t="str">
        <f>IF($B36="","",IF(R36="Ancien",0,Paramètres!$D$28))</f>
        <v/>
      </c>
      <c r="O36" s="19"/>
      <c r="P36" s="18" t="str">
        <f>IF($B36="","",N36-O36)</f>
        <v/>
      </c>
      <c r="Q36" s="21" t="str">
        <f>IF($B36="","",IF(AND(M36&lt;=0,P36&lt;=0),"Soldé","En retard"))</f>
        <v/>
      </c>
      <c r="R36" s="21"/>
    </row>
    <row r="37">
      <c r="A37" s="15"/>
      <c r="B37" s="15"/>
      <c r="C37" s="15"/>
      <c r="D37" s="8"/>
      <c r="E37" s="79"/>
      <c r="F37" s="15"/>
      <c r="G37" s="15"/>
      <c r="H37" s="18" t="str">
        <f>IF($B37="","",Paramètres!$C$28)</f>
        <v/>
      </c>
      <c r="I37" s="19"/>
      <c r="J37" s="19"/>
      <c r="K37" s="19"/>
      <c r="L37" s="18" t="str">
        <f>IF($B37="","",SUM(I37:K37))</f>
        <v/>
      </c>
      <c r="M37" s="18" t="str">
        <f>IF($B37="","",H37-L37)</f>
        <v/>
      </c>
      <c r="N37" s="18" t="str">
        <f>IF($B37="","",IF(R37="Ancien",0,Paramètres!$D$28))</f>
        <v/>
      </c>
      <c r="O37" s="19"/>
      <c r="P37" s="18" t="str">
        <f>IF($B37="","",N37-O37)</f>
        <v/>
      </c>
      <c r="Q37" s="8" t="str">
        <f>IF($B37="","",IF(AND(M37&lt;=0,P37&lt;=0),"Soldé","En retard"))</f>
        <v/>
      </c>
      <c r="R37" s="8"/>
    </row>
    <row r="38">
      <c r="A38" s="20"/>
      <c r="B38" s="20"/>
      <c r="C38" s="20"/>
      <c r="D38" s="21"/>
      <c r="E38" s="77"/>
      <c r="F38" s="20"/>
      <c r="G38" s="20"/>
      <c r="H38" s="18" t="str">
        <f>IF($B38="","",Paramètres!$C$28)</f>
        <v/>
      </c>
      <c r="I38" s="19"/>
      <c r="J38" s="19"/>
      <c r="K38" s="19"/>
      <c r="L38" s="18" t="str">
        <f>IF($B38="","",SUM(I38:K38))</f>
        <v/>
      </c>
      <c r="M38" s="18" t="str">
        <f>IF($B38="","",H38-L38)</f>
        <v/>
      </c>
      <c r="N38" s="18" t="str">
        <f>IF($B38="","",IF(R38="Ancien",0,Paramètres!$D$28))</f>
        <v/>
      </c>
      <c r="O38" s="19"/>
      <c r="P38" s="18" t="str">
        <f>IF($B38="","",N38-O38)</f>
        <v/>
      </c>
      <c r="Q38" s="21" t="str">
        <f>IF($B38="","",IF(AND(M38&lt;=0,P38&lt;=0),"Soldé","En retard"))</f>
        <v/>
      </c>
      <c r="R38" s="21"/>
    </row>
    <row r="39">
      <c r="A39" s="15"/>
      <c r="B39" s="15"/>
      <c r="C39" s="15"/>
      <c r="D39" s="8"/>
      <c r="E39" s="79"/>
      <c r="F39" s="15"/>
      <c r="G39" s="15"/>
      <c r="H39" s="18" t="str">
        <f>IF($B39="","",Paramètres!$C$28)</f>
        <v/>
      </c>
      <c r="I39" s="19"/>
      <c r="J39" s="19"/>
      <c r="K39" s="19"/>
      <c r="L39" s="18" t="str">
        <f>IF($B39="","",SUM(I39:K39))</f>
        <v/>
      </c>
      <c r="M39" s="18" t="str">
        <f>IF($B39="","",H39-L39)</f>
        <v/>
      </c>
      <c r="N39" s="18" t="str">
        <f>IF($B39="","",IF(R39="Ancien",0,Paramètres!$D$28))</f>
        <v/>
      </c>
      <c r="O39" s="19"/>
      <c r="P39" s="18" t="str">
        <f>IF($B39="","",N39-O39)</f>
        <v/>
      </c>
      <c r="Q39" s="8" t="str">
        <f>IF($B39="","",IF(AND(M39&lt;=0,P39&lt;=0),"Soldé","En retard"))</f>
        <v/>
      </c>
      <c r="R39" s="8"/>
    </row>
    <row r="40">
      <c r="A40" s="20"/>
      <c r="B40" s="20"/>
      <c r="C40" s="20"/>
      <c r="D40" s="21"/>
      <c r="E40" s="77"/>
      <c r="F40" s="20"/>
      <c r="G40" s="20"/>
      <c r="H40" s="18" t="str">
        <f>IF($B40="","",Paramètres!$C$28)</f>
        <v/>
      </c>
      <c r="I40" s="19"/>
      <c r="J40" s="19"/>
      <c r="K40" s="19"/>
      <c r="L40" s="18" t="str">
        <f>IF($B40="","",SUM(I40:K40))</f>
        <v/>
      </c>
      <c r="M40" s="18" t="str">
        <f>IF($B40="","",H40-L40)</f>
        <v/>
      </c>
      <c r="N40" s="18" t="str">
        <f>IF($B40="","",IF(R40="Ancien",0,Paramètres!$D$28))</f>
        <v/>
      </c>
      <c r="O40" s="19"/>
      <c r="P40" s="18" t="str">
        <f>IF($B40="","",N40-O40)</f>
        <v/>
      </c>
      <c r="Q40" s="21" t="str">
        <f>IF($B40="","",IF(AND(M40&lt;=0,P40&lt;=0),"Soldé","En retard"))</f>
        <v/>
      </c>
      <c r="R40" s="21"/>
    </row>
    <row r="41">
      <c r="A41" s="15"/>
      <c r="B41" s="15"/>
      <c r="C41" s="15"/>
      <c r="D41" s="8"/>
      <c r="E41" s="79"/>
      <c r="F41" s="15"/>
      <c r="G41" s="15"/>
      <c r="H41" s="18" t="str">
        <f>IF($B41="","",Paramètres!$C$28)</f>
        <v/>
      </c>
      <c r="I41" s="19"/>
      <c r="J41" s="19"/>
      <c r="K41" s="19"/>
      <c r="L41" s="18" t="str">
        <f>IF($B41="","",SUM(I41:K41))</f>
        <v/>
      </c>
      <c r="M41" s="18" t="str">
        <f>IF($B41="","",H41-L41)</f>
        <v/>
      </c>
      <c r="N41" s="18" t="str">
        <f>IF($B41="","",IF(R41="Ancien",0,Paramètres!$D$28))</f>
        <v/>
      </c>
      <c r="O41" s="19"/>
      <c r="P41" s="18" t="str">
        <f>IF($B41="","",N41-O41)</f>
        <v/>
      </c>
      <c r="Q41" s="8" t="str">
        <f>IF($B41="","",IF(AND(M41&lt;=0,P41&lt;=0),"Soldé","En retard"))</f>
        <v/>
      </c>
      <c r="R41" s="8"/>
    </row>
    <row r="42">
      <c r="A42" s="20"/>
      <c r="B42" s="20"/>
      <c r="C42" s="20"/>
      <c r="D42" s="21"/>
      <c r="E42" s="77"/>
      <c r="F42" s="20"/>
      <c r="G42" s="20"/>
      <c r="H42" s="18" t="str">
        <f>IF($B42="","",Paramètres!$C$28)</f>
        <v/>
      </c>
      <c r="I42" s="19"/>
      <c r="J42" s="19"/>
      <c r="K42" s="19"/>
      <c r="L42" s="18" t="str">
        <f>IF($B42="","",SUM(I42:K42))</f>
        <v/>
      </c>
      <c r="M42" s="18" t="str">
        <f>IF($B42="","",H42-L42)</f>
        <v/>
      </c>
      <c r="N42" s="18" t="str">
        <f>IF($B42="","",IF(R42="Ancien",0,Paramètres!$D$28))</f>
        <v/>
      </c>
      <c r="O42" s="19"/>
      <c r="P42" s="18" t="str">
        <f>IF($B42="","",N42-O42)</f>
        <v/>
      </c>
      <c r="Q42" s="21" t="str">
        <f>IF($B42="","",IF(AND(M42&lt;=0,P42&lt;=0),"Soldé","En retard"))</f>
        <v/>
      </c>
      <c r="R42" s="21"/>
    </row>
    <row r="43">
      <c r="A43" s="15"/>
      <c r="B43" s="15"/>
      <c r="C43" s="15"/>
      <c r="D43" s="8"/>
      <c r="E43" s="79"/>
      <c r="F43" s="15"/>
      <c r="G43" s="15"/>
      <c r="H43" s="18" t="str">
        <f>IF($B43="","",Paramètres!$C$28)</f>
        <v/>
      </c>
      <c r="I43" s="19"/>
      <c r="J43" s="19"/>
      <c r="K43" s="19"/>
      <c r="L43" s="18" t="str">
        <f>IF($B43="","",SUM(I43:K43))</f>
        <v/>
      </c>
      <c r="M43" s="18" t="str">
        <f>IF($B43="","",H43-L43)</f>
        <v/>
      </c>
      <c r="N43" s="18" t="str">
        <f>IF($B43="","",IF(R43="Ancien",0,Paramètres!$D$28))</f>
        <v/>
      </c>
      <c r="O43" s="19"/>
      <c r="P43" s="18" t="str">
        <f>IF($B43="","",N43-O43)</f>
        <v/>
      </c>
      <c r="Q43" s="8" t="str">
        <f>IF($B43="","",IF(AND(M43&lt;=0,P43&lt;=0),"Soldé","En retard"))</f>
        <v/>
      </c>
      <c r="R43" s="8"/>
    </row>
    <row r="44">
      <c r="A44" s="20"/>
      <c r="B44" s="20"/>
      <c r="C44" s="20"/>
      <c r="D44" s="21"/>
      <c r="E44" s="77"/>
      <c r="F44" s="20"/>
      <c r="G44" s="20"/>
      <c r="H44" s="18" t="str">
        <f>IF($B44="","",Paramètres!$C$28)</f>
        <v/>
      </c>
      <c r="I44" s="19"/>
      <c r="J44" s="19"/>
      <c r="K44" s="19"/>
      <c r="L44" s="18" t="str">
        <f>IF($B44="","",SUM(I44:K44))</f>
        <v/>
      </c>
      <c r="M44" s="18" t="str">
        <f>IF($B44="","",H44-L44)</f>
        <v/>
      </c>
      <c r="N44" s="18" t="str">
        <f>IF($B44="","",IF(R44="Ancien",0,Paramètres!$D$28))</f>
        <v/>
      </c>
      <c r="O44" s="19"/>
      <c r="P44" s="18" t="str">
        <f>IF($B44="","",N44-O44)</f>
        <v/>
      </c>
      <c r="Q44" s="21" t="str">
        <f>IF($B44="","",IF(AND(M44&lt;=0,P44&lt;=0),"Soldé","En retard"))</f>
        <v/>
      </c>
      <c r="R44" s="21"/>
    </row>
    <row r="45">
      <c r="A45" s="15"/>
      <c r="B45" s="15"/>
      <c r="C45" s="15"/>
      <c r="D45" s="8"/>
      <c r="E45" s="79"/>
      <c r="F45" s="15"/>
      <c r="G45" s="15"/>
      <c r="H45" s="18" t="str">
        <f>IF($B45="","",Paramètres!$C$28)</f>
        <v/>
      </c>
      <c r="I45" s="19"/>
      <c r="J45" s="19"/>
      <c r="K45" s="19"/>
      <c r="L45" s="18" t="str">
        <f>IF($B45="","",SUM(I45:K45))</f>
        <v/>
      </c>
      <c r="M45" s="18" t="str">
        <f>IF($B45="","",H45-L45)</f>
        <v/>
      </c>
      <c r="N45" s="18" t="str">
        <f>IF($B45="","",IF(R45="Ancien",0,Paramètres!$D$28))</f>
        <v/>
      </c>
      <c r="O45" s="19"/>
      <c r="P45" s="18" t="str">
        <f>IF($B45="","",N45-O45)</f>
        <v/>
      </c>
      <c r="Q45" s="8" t="str">
        <f>IF($B45="","",IF(AND(M45&lt;=0,P45&lt;=0),"Soldé","En retard"))</f>
        <v/>
      </c>
      <c r="R45" s="8"/>
    </row>
    <row r="46">
      <c r="A46" s="20"/>
      <c r="B46" s="20"/>
      <c r="C46" s="20"/>
      <c r="D46" s="21"/>
      <c r="E46" s="77"/>
      <c r="F46" s="20"/>
      <c r="G46" s="20"/>
      <c r="H46" s="18" t="str">
        <f>IF($B46="","",Paramètres!$C$28)</f>
        <v/>
      </c>
      <c r="I46" s="19"/>
      <c r="J46" s="19"/>
      <c r="K46" s="19"/>
      <c r="L46" s="18" t="str">
        <f>IF($B46="","",SUM(I46:K46))</f>
        <v/>
      </c>
      <c r="M46" s="18" t="str">
        <f>IF($B46="","",H46-L46)</f>
        <v/>
      </c>
      <c r="N46" s="18" t="str">
        <f>IF($B46="","",IF(R46="Ancien",0,Paramètres!$D$28))</f>
        <v/>
      </c>
      <c r="O46" s="19"/>
      <c r="P46" s="18" t="str">
        <f>IF($B46="","",N46-O46)</f>
        <v/>
      </c>
      <c r="Q46" s="21" t="str">
        <f>IF($B46="","",IF(AND(M46&lt;=0,P46&lt;=0),"Soldé","En retard"))</f>
        <v/>
      </c>
      <c r="R46" s="21"/>
    </row>
    <row r="47">
      <c r="A47" s="15"/>
      <c r="B47" s="15"/>
      <c r="C47" s="15"/>
      <c r="D47" s="8"/>
      <c r="E47" s="79"/>
      <c r="F47" s="15"/>
      <c r="G47" s="15"/>
      <c r="H47" s="18" t="str">
        <f>IF($B47="","",Paramètres!$C$28)</f>
        <v/>
      </c>
      <c r="I47" s="19"/>
      <c r="J47" s="19"/>
      <c r="K47" s="19"/>
      <c r="L47" s="18" t="str">
        <f>IF($B47="","",SUM(I47:K47))</f>
        <v/>
      </c>
      <c r="M47" s="18" t="str">
        <f>IF($B47="","",H47-L47)</f>
        <v/>
      </c>
      <c r="N47" s="18" t="str">
        <f>IF($B47="","",IF(R47="Ancien",0,Paramètres!$D$28))</f>
        <v/>
      </c>
      <c r="O47" s="19"/>
      <c r="P47" s="18" t="str">
        <f>IF($B47="","",N47-O47)</f>
        <v/>
      </c>
      <c r="Q47" s="8" t="str">
        <f>IF($B47="","",IF(AND(M47&lt;=0,P47&lt;=0),"Soldé","En retard"))</f>
        <v/>
      </c>
      <c r="R47" s="8"/>
    </row>
    <row r="48">
      <c r="A48" s="20"/>
      <c r="B48" s="20"/>
      <c r="C48" s="20"/>
      <c r="D48" s="21"/>
      <c r="E48" s="77"/>
      <c r="F48" s="20"/>
      <c r="G48" s="20"/>
      <c r="H48" s="18" t="str">
        <f>IF($B48="","",Paramètres!$C$28)</f>
        <v/>
      </c>
      <c r="I48" s="19"/>
      <c r="J48" s="19"/>
      <c r="K48" s="19"/>
      <c r="L48" s="18" t="str">
        <f>IF($B48="","",SUM(I48:K48))</f>
        <v/>
      </c>
      <c r="M48" s="18" t="str">
        <f>IF($B48="","",H48-L48)</f>
        <v/>
      </c>
      <c r="N48" s="18" t="str">
        <f>IF($B48="","",IF(R48="Ancien",0,Paramètres!$D$28))</f>
        <v/>
      </c>
      <c r="O48" s="19"/>
      <c r="P48" s="18" t="str">
        <f>IF($B48="","",N48-O48)</f>
        <v/>
      </c>
      <c r="Q48" s="21" t="str">
        <f>IF($B48="","",IF(AND(M48&lt;=0,P48&lt;=0),"Soldé","En retard"))</f>
        <v/>
      </c>
      <c r="R48" s="21"/>
    </row>
    <row r="49">
      <c r="A49" s="15"/>
      <c r="B49" s="15"/>
      <c r="C49" s="15"/>
      <c r="D49" s="8"/>
      <c r="E49" s="79"/>
      <c r="F49" s="15"/>
      <c r="G49" s="15"/>
      <c r="H49" s="18" t="str">
        <f>IF($B49="","",Paramètres!$C$28)</f>
        <v/>
      </c>
      <c r="I49" s="19"/>
      <c r="J49" s="19"/>
      <c r="K49" s="19"/>
      <c r="L49" s="18" t="str">
        <f>IF($B49="","",SUM(I49:K49))</f>
        <v/>
      </c>
      <c r="M49" s="18" t="str">
        <f>IF($B49="","",H49-L49)</f>
        <v/>
      </c>
      <c r="N49" s="18" t="str">
        <f>IF($B49="","",IF(R49="Ancien",0,Paramètres!$D$28))</f>
        <v/>
      </c>
      <c r="O49" s="19"/>
      <c r="P49" s="18" t="str">
        <f>IF($B49="","",N49-O49)</f>
        <v/>
      </c>
      <c r="Q49" s="8" t="str">
        <f>IF($B49="","",IF(AND(M49&lt;=0,P49&lt;=0),"Soldé","En retard"))</f>
        <v/>
      </c>
      <c r="R49" s="8"/>
    </row>
    <row r="50">
      <c r="A50" s="20"/>
      <c r="B50" s="20"/>
      <c r="C50" s="20"/>
      <c r="D50" s="21"/>
      <c r="E50" s="77"/>
      <c r="F50" s="20"/>
      <c r="G50" s="20"/>
      <c r="H50" s="18" t="str">
        <f>IF($B50="","",Paramètres!$C$28)</f>
        <v/>
      </c>
      <c r="I50" s="19"/>
      <c r="J50" s="19"/>
      <c r="K50" s="19"/>
      <c r="L50" s="18" t="str">
        <f>IF($B50="","",SUM(I50:K50))</f>
        <v/>
      </c>
      <c r="M50" s="18" t="str">
        <f>IF($B50="","",H50-L50)</f>
        <v/>
      </c>
      <c r="N50" s="18" t="str">
        <f>IF($B50="","",IF(R50="Ancien",0,Paramètres!$D$28))</f>
        <v/>
      </c>
      <c r="O50" s="19"/>
      <c r="P50" s="18" t="str">
        <f>IF($B50="","",N50-O50)</f>
        <v/>
      </c>
      <c r="Q50" s="21" t="str">
        <f>IF($B50="","",IF(AND(M50&lt;=0,P50&lt;=0),"Soldé","En retard"))</f>
        <v/>
      </c>
      <c r="R50" s="21"/>
    </row>
    <row r="51">
      <c r="A51" s="15"/>
      <c r="B51" s="15"/>
      <c r="C51" s="15"/>
      <c r="D51" s="8"/>
      <c r="E51" s="79"/>
      <c r="F51" s="15"/>
      <c r="G51" s="15"/>
      <c r="H51" s="18" t="str">
        <f>IF($B51="","",Paramètres!$C$28)</f>
        <v/>
      </c>
      <c r="I51" s="19"/>
      <c r="J51" s="19"/>
      <c r="K51" s="19"/>
      <c r="L51" s="18" t="str">
        <f>IF($B51="","",SUM(I51:K51))</f>
        <v/>
      </c>
      <c r="M51" s="18" t="str">
        <f>IF($B51="","",H51-L51)</f>
        <v/>
      </c>
      <c r="N51" s="18" t="str">
        <f>IF($B51="","",IF(R51="Ancien",0,Paramètres!$D$28))</f>
        <v/>
      </c>
      <c r="O51" s="19"/>
      <c r="P51" s="18" t="str">
        <f>IF($B51="","",N51-O51)</f>
        <v/>
      </c>
      <c r="Q51" s="8" t="str">
        <f>IF($B51="","",IF(AND(M51&lt;=0,P51&lt;=0),"Soldé","En retard"))</f>
        <v/>
      </c>
      <c r="R51" s="8"/>
    </row>
    <row r="52">
      <c r="A52" s="20"/>
      <c r="B52" s="20"/>
      <c r="C52" s="20"/>
      <c r="D52" s="21"/>
      <c r="E52" s="77"/>
      <c r="F52" s="20"/>
      <c r="G52" s="20"/>
      <c r="H52" s="18" t="str">
        <f>IF($B52="","",Paramètres!$C$28)</f>
        <v/>
      </c>
      <c r="I52" s="19"/>
      <c r="J52" s="19"/>
      <c r="K52" s="19"/>
      <c r="L52" s="18" t="str">
        <f>IF($B52="","",SUM(I52:K52))</f>
        <v/>
      </c>
      <c r="M52" s="18" t="str">
        <f>IF($B52="","",H52-L52)</f>
        <v/>
      </c>
      <c r="N52" s="18" t="str">
        <f>IF($B52="","",IF(R52="Ancien",0,Paramètres!$D$28))</f>
        <v/>
      </c>
      <c r="O52" s="19"/>
      <c r="P52" s="18" t="str">
        <f>IF($B52="","",N52-O52)</f>
        <v/>
      </c>
      <c r="Q52" s="21" t="str">
        <f>IF($B52="","",IF(AND(M52&lt;=0,P52&lt;=0),"Soldé","En retard"))</f>
        <v/>
      </c>
      <c r="R52" s="21"/>
    </row>
    <row r="53">
      <c r="A53" s="15"/>
      <c r="B53" s="15"/>
      <c r="C53" s="15"/>
      <c r="D53" s="8"/>
      <c r="E53" s="79"/>
      <c r="F53" s="15"/>
      <c r="G53" s="15"/>
      <c r="H53" s="18" t="str">
        <f>IF($B53="","",Paramètres!$C$28)</f>
        <v/>
      </c>
      <c r="I53" s="19"/>
      <c r="J53" s="19"/>
      <c r="K53" s="19"/>
      <c r="L53" s="18" t="str">
        <f>IF($B53="","",SUM(I53:K53))</f>
        <v/>
      </c>
      <c r="M53" s="18" t="str">
        <f>IF($B53="","",H53-L53)</f>
        <v/>
      </c>
      <c r="N53" s="18" t="str">
        <f>IF($B53="","",IF(R53="Ancien",0,Paramètres!$D$28))</f>
        <v/>
      </c>
      <c r="O53" s="19"/>
      <c r="P53" s="18" t="str">
        <f>IF($B53="","",N53-O53)</f>
        <v/>
      </c>
      <c r="Q53" s="8" t="str">
        <f>IF($B53="","",IF(AND(M53&lt;=0,P53&lt;=0),"Soldé","En retard"))</f>
        <v/>
      </c>
      <c r="R53" s="8"/>
    </row>
    <row r="54">
      <c r="A54" s="20"/>
      <c r="B54" s="20"/>
      <c r="C54" s="20"/>
      <c r="D54" s="21"/>
      <c r="E54" s="77"/>
      <c r="F54" s="20"/>
      <c r="G54" s="20"/>
      <c r="H54" s="18" t="str">
        <f>IF($B54="","",Paramètres!$C$28)</f>
        <v/>
      </c>
      <c r="I54" s="19"/>
      <c r="J54" s="19"/>
      <c r="K54" s="19"/>
      <c r="L54" s="18" t="str">
        <f>IF($B54="","",SUM(I54:K54))</f>
        <v/>
      </c>
      <c r="M54" s="18" t="str">
        <f>IF($B54="","",H54-L54)</f>
        <v/>
      </c>
      <c r="N54" s="18" t="str">
        <f>IF($B54="","",IF(R54="Ancien",0,Paramètres!$D$28))</f>
        <v/>
      </c>
      <c r="O54" s="19"/>
      <c r="P54" s="18" t="str">
        <f>IF($B54="","",N54-O54)</f>
        <v/>
      </c>
      <c r="Q54" s="21" t="str">
        <f>IF($B54="","",IF(AND(M54&lt;=0,P54&lt;=0),"Soldé","En retard"))</f>
        <v/>
      </c>
      <c r="R54" s="21"/>
    </row>
    <row r="55">
      <c r="A55" s="15"/>
      <c r="B55" s="15"/>
      <c r="C55" s="15"/>
      <c r="D55" s="8"/>
      <c r="E55" s="79"/>
      <c r="F55" s="15"/>
      <c r="G55" s="15"/>
      <c r="H55" s="18" t="str">
        <f>IF($B55="","",Paramètres!$C$28)</f>
        <v/>
      </c>
      <c r="I55" s="19"/>
      <c r="J55" s="19"/>
      <c r="K55" s="19"/>
      <c r="L55" s="18" t="str">
        <f>IF($B55="","",SUM(I55:K55))</f>
        <v/>
      </c>
      <c r="M55" s="18" t="str">
        <f>IF($B55="","",H55-L55)</f>
        <v/>
      </c>
      <c r="N55" s="18" t="str">
        <f>IF($B55="","",IF(R55="Ancien",0,Paramètres!$D$28))</f>
        <v/>
      </c>
      <c r="O55" s="19"/>
      <c r="P55" s="18" t="str">
        <f>IF($B55="","",N55-O55)</f>
        <v/>
      </c>
      <c r="Q55" s="8" t="str">
        <f>IF($B55="","",IF(AND(M55&lt;=0,P55&lt;=0),"Soldé","En retard"))</f>
        <v/>
      </c>
      <c r="R55" s="8"/>
    </row>
    <row r="56">
      <c r="A56" s="20"/>
      <c r="B56" s="20"/>
      <c r="C56" s="20"/>
      <c r="D56" s="21"/>
      <c r="E56" s="77"/>
      <c r="F56" s="20"/>
      <c r="G56" s="20"/>
      <c r="H56" s="18" t="str">
        <f>IF($B56="","",Paramètres!$C$28)</f>
        <v/>
      </c>
      <c r="I56" s="19"/>
      <c r="J56" s="19"/>
      <c r="K56" s="19"/>
      <c r="L56" s="18" t="str">
        <f>IF($B56="","",SUM(I56:K56))</f>
        <v/>
      </c>
      <c r="M56" s="18" t="str">
        <f>IF($B56="","",H56-L56)</f>
        <v/>
      </c>
      <c r="N56" s="18" t="str">
        <f>IF($B56="","",IF(R56="Ancien",0,Paramètres!$D$28))</f>
        <v/>
      </c>
      <c r="O56" s="19"/>
      <c r="P56" s="18" t="str">
        <f>IF($B56="","",N56-O56)</f>
        <v/>
      </c>
      <c r="Q56" s="21" t="str">
        <f>IF($B56="","",IF(AND(M56&lt;=0,P56&lt;=0),"Soldé","En retard"))</f>
        <v/>
      </c>
      <c r="R56" s="21"/>
    </row>
    <row r="57">
      <c r="A57" s="15"/>
      <c r="B57" s="15"/>
      <c r="C57" s="15"/>
      <c r="D57" s="8"/>
      <c r="E57" s="79"/>
      <c r="F57" s="15"/>
      <c r="G57" s="15"/>
      <c r="H57" s="18" t="str">
        <f>IF($B57="","",Paramètres!$C$28)</f>
        <v/>
      </c>
      <c r="I57" s="19"/>
      <c r="J57" s="19"/>
      <c r="K57" s="19"/>
      <c r="L57" s="18" t="str">
        <f>IF($B57="","",SUM(I57:K57))</f>
        <v/>
      </c>
      <c r="M57" s="18" t="str">
        <f>IF($B57="","",H57-L57)</f>
        <v/>
      </c>
      <c r="N57" s="18" t="str">
        <f>IF($B57="","",IF(R57="Ancien",0,Paramètres!$D$28))</f>
        <v/>
      </c>
      <c r="O57" s="19"/>
      <c r="P57" s="18" t="str">
        <f>IF($B57="","",N57-O57)</f>
        <v/>
      </c>
      <c r="Q57" s="8" t="str">
        <f>IF($B57="","",IF(AND(M57&lt;=0,P57&lt;=0),"Soldé","En retard"))</f>
        <v/>
      </c>
      <c r="R57" s="8"/>
    </row>
    <row r="58">
      <c r="A58" s="20"/>
      <c r="B58" s="20"/>
      <c r="C58" s="20"/>
      <c r="D58" s="21"/>
      <c r="E58" s="77"/>
      <c r="F58" s="20"/>
      <c r="G58" s="20"/>
      <c r="H58" s="18" t="str">
        <f>IF($B58="","",Paramètres!$C$28)</f>
        <v/>
      </c>
      <c r="I58" s="19"/>
      <c r="J58" s="19"/>
      <c r="K58" s="19"/>
      <c r="L58" s="18" t="str">
        <f>IF($B58="","",SUM(I58:K58))</f>
        <v/>
      </c>
      <c r="M58" s="18" t="str">
        <f>IF($B58="","",H58-L58)</f>
        <v/>
      </c>
      <c r="N58" s="18" t="str">
        <f>IF($B58="","",IF(R58="Ancien",0,Paramètres!$D$28))</f>
        <v/>
      </c>
      <c r="O58" s="19"/>
      <c r="P58" s="18" t="str">
        <f>IF($B58="","",N58-O58)</f>
        <v/>
      </c>
      <c r="Q58" s="21" t="str">
        <f>IF($B58="","",IF(AND(M58&lt;=0,P58&lt;=0),"Soldé","En retard"))</f>
        <v/>
      </c>
      <c r="R58" s="21"/>
    </row>
    <row r="59">
      <c r="A59" s="15"/>
      <c r="B59" s="15"/>
      <c r="C59" s="15"/>
      <c r="D59" s="8"/>
      <c r="E59" s="79"/>
      <c r="F59" s="15"/>
      <c r="G59" s="15"/>
      <c r="H59" s="18" t="str">
        <f>IF($B59="","",Paramètres!$C$28)</f>
        <v/>
      </c>
      <c r="I59" s="19"/>
      <c r="J59" s="19"/>
      <c r="K59" s="19"/>
      <c r="L59" s="18" t="str">
        <f>IF($B59="","",SUM(I59:K59))</f>
        <v/>
      </c>
      <c r="M59" s="18" t="str">
        <f>IF($B59="","",H59-L59)</f>
        <v/>
      </c>
      <c r="N59" s="18" t="str">
        <f>IF($B59="","",IF(R59="Ancien",0,Paramètres!$D$28))</f>
        <v/>
      </c>
      <c r="O59" s="19"/>
      <c r="P59" s="18" t="str">
        <f>IF($B59="","",N59-O59)</f>
        <v/>
      </c>
      <c r="Q59" s="8" t="str">
        <f>IF($B59="","",IF(AND(M59&lt;=0,P59&lt;=0),"Soldé","En retard"))</f>
        <v/>
      </c>
      <c r="R59" s="8"/>
    </row>
    <row r="60">
      <c r="A60" s="20"/>
      <c r="B60" s="20"/>
      <c r="C60" s="20"/>
      <c r="D60" s="21"/>
      <c r="E60" s="77"/>
      <c r="F60" s="20"/>
      <c r="G60" s="20"/>
      <c r="H60" s="18" t="str">
        <f>IF($B60="","",Paramètres!$C$28)</f>
        <v/>
      </c>
      <c r="I60" s="19"/>
      <c r="J60" s="19"/>
      <c r="K60" s="19"/>
      <c r="L60" s="18" t="str">
        <f>IF($B60="","",SUM(I60:K60))</f>
        <v/>
      </c>
      <c r="M60" s="18" t="str">
        <f>IF($B60="","",H60-L60)</f>
        <v/>
      </c>
      <c r="N60" s="18" t="str">
        <f>IF($B60="","",IF(R60="Ancien",0,Paramètres!$D$28))</f>
        <v/>
      </c>
      <c r="O60" s="19"/>
      <c r="P60" s="18" t="str">
        <f>IF($B60="","",N60-O60)</f>
        <v/>
      </c>
      <c r="Q60" s="21" t="str">
        <f>IF($B60="","",IF(AND(M60&lt;=0,P60&lt;=0),"Soldé","En retard"))</f>
        <v/>
      </c>
      <c r="R60" s="21"/>
    </row>
    <row r="61">
      <c r="A61" s="15"/>
      <c r="B61" s="15"/>
      <c r="C61" s="15"/>
      <c r="D61" s="8"/>
      <c r="E61" s="79"/>
      <c r="F61" s="15"/>
      <c r="G61" s="15"/>
      <c r="H61" s="18" t="str">
        <f>IF($B61="","",Paramètres!$C$28)</f>
        <v/>
      </c>
      <c r="I61" s="19"/>
      <c r="J61" s="19"/>
      <c r="K61" s="19"/>
      <c r="L61" s="18" t="str">
        <f>IF($B61="","",SUM(I61:K61))</f>
        <v/>
      </c>
      <c r="M61" s="18" t="str">
        <f>IF($B61="","",H61-L61)</f>
        <v/>
      </c>
      <c r="N61" s="18" t="str">
        <f>IF($B61="","",IF(R61="Ancien",0,Paramètres!$D$28))</f>
        <v/>
      </c>
      <c r="O61" s="19"/>
      <c r="P61" s="18" t="str">
        <f>IF($B61="","",N61-O61)</f>
        <v/>
      </c>
      <c r="Q61" s="8" t="str">
        <f>IF($B61="","",IF(AND(M61&lt;=0,P61&lt;=0),"Soldé","En retard"))</f>
        <v/>
      </c>
      <c r="R61" s="8"/>
    </row>
    <row r="62">
      <c r="A62" s="20"/>
      <c r="B62" s="20"/>
      <c r="C62" s="20"/>
      <c r="D62" s="21"/>
      <c r="E62" s="77"/>
      <c r="F62" s="20"/>
      <c r="G62" s="20"/>
      <c r="H62" s="18" t="str">
        <f>IF($B62="","",Paramètres!$C$28)</f>
        <v/>
      </c>
      <c r="I62" s="19"/>
      <c r="J62" s="19"/>
      <c r="K62" s="19"/>
      <c r="L62" s="18" t="str">
        <f>IF($B62="","",SUM(I62:K62))</f>
        <v/>
      </c>
      <c r="M62" s="18" t="str">
        <f>IF($B62="","",H62-L62)</f>
        <v/>
      </c>
      <c r="N62" s="18" t="str">
        <f>IF($B62="","",IF(R62="Ancien",0,Paramètres!$D$28))</f>
        <v/>
      </c>
      <c r="O62" s="19"/>
      <c r="P62" s="18" t="str">
        <f>IF($B62="","",N62-O62)</f>
        <v/>
      </c>
      <c r="Q62" s="21" t="str">
        <f>IF($B62="","",IF(AND(M62&lt;=0,P62&lt;=0),"Soldé","En retard"))</f>
        <v/>
      </c>
      <c r="R62" s="21"/>
    </row>
    <row r="63">
      <c r="A63" s="15"/>
      <c r="B63" s="15"/>
      <c r="C63" s="15"/>
      <c r="D63" s="8"/>
      <c r="E63" s="79"/>
      <c r="F63" s="15"/>
      <c r="G63" s="15"/>
      <c r="H63" s="18" t="str">
        <f>IF($B63="","",Paramètres!$C$28)</f>
        <v/>
      </c>
      <c r="I63" s="19"/>
      <c r="J63" s="19"/>
      <c r="K63" s="19"/>
      <c r="L63" s="18" t="str">
        <f>IF($B63="","",SUM(I63:K63))</f>
        <v/>
      </c>
      <c r="M63" s="18" t="str">
        <f>IF($B63="","",H63-L63)</f>
        <v/>
      </c>
      <c r="N63" s="18" t="str">
        <f>IF($B63="","",IF(R63="Ancien",0,Paramètres!$D$28))</f>
        <v/>
      </c>
      <c r="O63" s="19"/>
      <c r="P63" s="18" t="str">
        <f>IF($B63="","",N63-O63)</f>
        <v/>
      </c>
      <c r="Q63" s="8" t="str">
        <f>IF($B63="","",IF(AND(M63&lt;=0,P63&lt;=0),"Soldé","En retard"))</f>
        <v/>
      </c>
      <c r="R63" s="8"/>
    </row>
    <row r="64">
      <c r="A64" s="20"/>
      <c r="B64" s="20"/>
      <c r="C64" s="20"/>
      <c r="D64" s="21"/>
      <c r="E64" s="77"/>
      <c r="F64" s="20"/>
      <c r="G64" s="20"/>
      <c r="H64" s="18" t="str">
        <f>IF($B64="","",Paramètres!$C$28)</f>
        <v/>
      </c>
      <c r="I64" s="19"/>
      <c r="J64" s="19"/>
      <c r="K64" s="19"/>
      <c r="L64" s="18" t="str">
        <f>IF($B64="","",SUM(I64:K64))</f>
        <v/>
      </c>
      <c r="M64" s="18" t="str">
        <f>IF($B64="","",H64-L64)</f>
        <v/>
      </c>
      <c r="N64" s="18" t="str">
        <f>IF($B64="","",IF(R64="Ancien",0,Paramètres!$D$28))</f>
        <v/>
      </c>
      <c r="O64" s="19"/>
      <c r="P64" s="18" t="str">
        <f>IF($B64="","",N64-O64)</f>
        <v/>
      </c>
      <c r="Q64" s="21" t="str">
        <f>IF($B64="","",IF(AND(M64&lt;=0,P64&lt;=0),"Soldé","En retard"))</f>
        <v/>
      </c>
      <c r="R64" s="21"/>
    </row>
    <row r="65">
      <c r="A65" s="15"/>
      <c r="B65" s="15"/>
      <c r="C65" s="15"/>
      <c r="D65" s="8"/>
      <c r="E65" s="79"/>
      <c r="F65" s="15"/>
      <c r="G65" s="15"/>
      <c r="H65" s="18" t="str">
        <f>IF($B65="","",Paramètres!$C$28)</f>
        <v/>
      </c>
      <c r="I65" s="19"/>
      <c r="J65" s="19"/>
      <c r="K65" s="19"/>
      <c r="L65" s="18" t="str">
        <f>IF($B65="","",SUM(I65:K65))</f>
        <v/>
      </c>
      <c r="M65" s="18" t="str">
        <f>IF($B65="","",H65-L65)</f>
        <v/>
      </c>
      <c r="N65" s="18" t="str">
        <f>IF($B65="","",IF(R65="Ancien",0,Paramètres!$D$28))</f>
        <v/>
      </c>
      <c r="O65" s="19"/>
      <c r="P65" s="18" t="str">
        <f>IF($B65="","",N65-O65)</f>
        <v/>
      </c>
      <c r="Q65" s="8" t="str">
        <f>IF($B65="","",IF(AND(M65&lt;=0,P65&lt;=0),"Soldé","En retard"))</f>
        <v/>
      </c>
      <c r="R65" s="8"/>
    </row>
    <row r="66">
      <c r="A66" s="20"/>
      <c r="B66" s="20"/>
      <c r="C66" s="20"/>
      <c r="D66" s="21"/>
      <c r="E66" s="77"/>
      <c r="F66" s="20"/>
      <c r="G66" s="20"/>
      <c r="H66" s="18" t="str">
        <f>IF($B66="","",Paramètres!$C$28)</f>
        <v/>
      </c>
      <c r="I66" s="19"/>
      <c r="J66" s="19"/>
      <c r="K66" s="19"/>
      <c r="L66" s="18" t="str">
        <f>IF($B66="","",SUM(I66:K66))</f>
        <v/>
      </c>
      <c r="M66" s="18" t="str">
        <f>IF($B66="","",H66-L66)</f>
        <v/>
      </c>
      <c r="N66" s="18" t="str">
        <f>IF($B66="","",IF(R66="Ancien",0,Paramètres!$D$28))</f>
        <v/>
      </c>
      <c r="O66" s="19"/>
      <c r="P66" s="18" t="str">
        <f>IF($B66="","",N66-O66)</f>
        <v/>
      </c>
      <c r="Q66" s="21" t="str">
        <f>IF($B66="","",IF(AND(M66&lt;=0,P66&lt;=0),"Soldé","En retard"))</f>
        <v/>
      </c>
      <c r="R66" s="21"/>
    </row>
    <row r="67">
      <c r="A67" s="15"/>
      <c r="B67" s="15"/>
      <c r="C67" s="15"/>
      <c r="D67" s="8"/>
      <c r="E67" s="79"/>
      <c r="F67" s="15"/>
      <c r="G67" s="15"/>
      <c r="H67" s="18" t="str">
        <f>IF($B67="","",Paramètres!$C$28)</f>
        <v/>
      </c>
      <c r="I67" s="19"/>
      <c r="J67" s="19"/>
      <c r="K67" s="19"/>
      <c r="L67" s="18" t="str">
        <f>IF($B67="","",SUM(I67:K67))</f>
        <v/>
      </c>
      <c r="M67" s="18" t="str">
        <f>IF($B67="","",H67-L67)</f>
        <v/>
      </c>
      <c r="N67" s="18" t="str">
        <f>IF($B67="","",IF(R67="Ancien",0,Paramètres!$D$28))</f>
        <v/>
      </c>
      <c r="O67" s="19"/>
      <c r="P67" s="18" t="str">
        <f>IF($B67="","",N67-O67)</f>
        <v/>
      </c>
      <c r="Q67" s="8" t="str">
        <f>IF($B67="","",IF(AND(M67&lt;=0,P67&lt;=0),"Soldé","En retard"))</f>
        <v/>
      </c>
      <c r="R67" s="8"/>
    </row>
    <row r="68">
      <c r="A68" s="20"/>
      <c r="B68" s="20"/>
      <c r="C68" s="20"/>
      <c r="D68" s="21"/>
      <c r="E68" s="77"/>
      <c r="F68" s="20"/>
      <c r="G68" s="20"/>
      <c r="H68" s="18" t="str">
        <f>IF($B68="","",Paramètres!$C$28)</f>
        <v/>
      </c>
      <c r="I68" s="19"/>
      <c r="J68" s="19"/>
      <c r="K68" s="19"/>
      <c r="L68" s="18" t="str">
        <f>IF($B68="","",SUM(I68:K68))</f>
        <v/>
      </c>
      <c r="M68" s="18" t="str">
        <f>IF($B68="","",H68-L68)</f>
        <v/>
      </c>
      <c r="N68" s="18" t="str">
        <f>IF($B68="","",IF(R68="Ancien",0,Paramètres!$D$28))</f>
        <v/>
      </c>
      <c r="O68" s="19"/>
      <c r="P68" s="18" t="str">
        <f>IF($B68="","",N68-O68)</f>
        <v/>
      </c>
      <c r="Q68" s="21" t="str">
        <f>IF($B68="","",IF(AND(M68&lt;=0,P68&lt;=0),"Soldé","En retard"))</f>
        <v/>
      </c>
      <c r="R68" s="21"/>
    </row>
    <row r="69">
      <c r="A69" s="15"/>
      <c r="B69" s="15"/>
      <c r="C69" s="15"/>
      <c r="D69" s="8"/>
      <c r="E69" s="79"/>
      <c r="F69" s="15"/>
      <c r="G69" s="15"/>
      <c r="H69" s="18" t="str">
        <f>IF($B69="","",Paramètres!$C$28)</f>
        <v/>
      </c>
      <c r="I69" s="19"/>
      <c r="J69" s="19"/>
      <c r="K69" s="19"/>
      <c r="L69" s="18" t="str">
        <f>IF($B69="","",SUM(I69:K69))</f>
        <v/>
      </c>
      <c r="M69" s="18" t="str">
        <f>IF($B69="","",H69-L69)</f>
        <v/>
      </c>
      <c r="N69" s="18" t="str">
        <f>IF($B69="","",IF(R69="Ancien",0,Paramètres!$D$28))</f>
        <v/>
      </c>
      <c r="O69" s="19"/>
      <c r="P69" s="18" t="str">
        <f>IF($B69="","",N69-O69)</f>
        <v/>
      </c>
      <c r="Q69" s="8" t="str">
        <f>IF($B69="","",IF(AND(M69&lt;=0,P69&lt;=0),"Soldé","En retard"))</f>
        <v/>
      </c>
      <c r="R69" s="8"/>
    </row>
    <row r="70">
      <c r="A70" s="20"/>
      <c r="B70" s="20"/>
      <c r="C70" s="20"/>
      <c r="D70" s="21"/>
      <c r="E70" s="77"/>
      <c r="F70" s="20"/>
      <c r="G70" s="20"/>
      <c r="H70" s="18" t="str">
        <f>IF($B70="","",Paramètres!$C$28)</f>
        <v/>
      </c>
      <c r="I70" s="19"/>
      <c r="J70" s="19"/>
      <c r="K70" s="19"/>
      <c r="L70" s="18" t="str">
        <f>IF($B70="","",SUM(I70:K70))</f>
        <v/>
      </c>
      <c r="M70" s="18" t="str">
        <f>IF($B70="","",H70-L70)</f>
        <v/>
      </c>
      <c r="N70" s="18" t="str">
        <f>IF($B70="","",IF(R70="Ancien",0,Paramètres!$D$28))</f>
        <v/>
      </c>
      <c r="O70" s="19"/>
      <c r="P70" s="18" t="str">
        <f>IF($B70="","",N70-O70)</f>
        <v/>
      </c>
      <c r="Q70" s="21" t="str">
        <f>IF($B70="","",IF(AND(M70&lt;=0,P70&lt;=0),"Soldé","En retard"))</f>
        <v/>
      </c>
      <c r="R70" s="21"/>
    </row>
    <row r="71">
      <c r="A71" s="15"/>
      <c r="B71" s="15"/>
      <c r="C71" s="15"/>
      <c r="D71" s="8"/>
      <c r="E71" s="79"/>
      <c r="F71" s="15"/>
      <c r="G71" s="15"/>
      <c r="H71" s="18" t="str">
        <f>IF($B71="","",Paramètres!$C$28)</f>
        <v/>
      </c>
      <c r="I71" s="19"/>
      <c r="J71" s="19"/>
      <c r="K71" s="19"/>
      <c r="L71" s="18" t="str">
        <f>IF($B71="","",SUM(I71:K71))</f>
        <v/>
      </c>
      <c r="M71" s="18" t="str">
        <f>IF($B71="","",H71-L71)</f>
        <v/>
      </c>
      <c r="N71" s="18" t="str">
        <f>IF($B71="","",IF(R71="Ancien",0,Paramètres!$D$28))</f>
        <v/>
      </c>
      <c r="O71" s="19"/>
      <c r="P71" s="18" t="str">
        <f>IF($B71="","",N71-O71)</f>
        <v/>
      </c>
      <c r="Q71" s="8" t="str">
        <f>IF($B71="","",IF(AND(M71&lt;=0,P71&lt;=0),"Soldé","En retard"))</f>
        <v/>
      </c>
      <c r="R71" s="8"/>
    </row>
    <row r="72">
      <c r="A72" s="20"/>
      <c r="B72" s="20"/>
      <c r="C72" s="20"/>
      <c r="D72" s="21"/>
      <c r="E72" s="77"/>
      <c r="F72" s="20"/>
      <c r="G72" s="20"/>
      <c r="H72" s="18" t="str">
        <f>IF($B72="","",Paramètres!$C$28)</f>
        <v/>
      </c>
      <c r="I72" s="19"/>
      <c r="J72" s="19"/>
      <c r="K72" s="19"/>
      <c r="L72" s="18" t="str">
        <f>IF($B72="","",SUM(I72:K72))</f>
        <v/>
      </c>
      <c r="M72" s="18" t="str">
        <f>IF($B72="","",H72-L72)</f>
        <v/>
      </c>
      <c r="N72" s="18" t="str">
        <f>IF($B72="","",IF(R72="Ancien",0,Paramètres!$D$28))</f>
        <v/>
      </c>
      <c r="O72" s="19"/>
      <c r="P72" s="18" t="str">
        <f>IF($B72="","",N72-O72)</f>
        <v/>
      </c>
      <c r="Q72" s="21" t="str">
        <f>IF($B72="","",IF(AND(M72&lt;=0,P72&lt;=0),"Soldé","En retard"))</f>
        <v/>
      </c>
      <c r="R72" s="21"/>
    </row>
    <row r="73">
      <c r="A73" s="15"/>
      <c r="B73" s="15"/>
      <c r="C73" s="15"/>
      <c r="D73" s="8"/>
      <c r="E73" s="79"/>
      <c r="F73" s="15"/>
      <c r="G73" s="15"/>
      <c r="H73" s="18" t="str">
        <f>IF($B73="","",Paramètres!$C$28)</f>
        <v/>
      </c>
      <c r="I73" s="19"/>
      <c r="J73" s="19"/>
      <c r="K73" s="19"/>
      <c r="L73" s="18" t="str">
        <f>IF($B73="","",SUM(I73:K73))</f>
        <v/>
      </c>
      <c r="M73" s="18" t="str">
        <f>IF($B73="","",H73-L73)</f>
        <v/>
      </c>
      <c r="N73" s="18" t="str">
        <f>IF($B73="","",IF(R73="Ancien",0,Paramètres!$D$28))</f>
        <v/>
      </c>
      <c r="O73" s="19"/>
      <c r="P73" s="18" t="str">
        <f>IF($B73="","",N73-O73)</f>
        <v/>
      </c>
      <c r="Q73" s="8" t="str">
        <f>IF($B73="","",IF(AND(M73&lt;=0,P73&lt;=0),"Soldé","En retard"))</f>
        <v/>
      </c>
      <c r="R73" s="8"/>
    </row>
    <row r="74">
      <c r="A74" s="20"/>
      <c r="B74" s="20"/>
      <c r="C74" s="20"/>
      <c r="D74" s="21"/>
      <c r="E74" s="77"/>
      <c r="F74" s="20"/>
      <c r="G74" s="20"/>
      <c r="H74" s="18" t="str">
        <f>IF($B74="","",Paramètres!$C$28)</f>
        <v/>
      </c>
      <c r="I74" s="19"/>
      <c r="J74" s="19"/>
      <c r="K74" s="19"/>
      <c r="L74" s="18" t="str">
        <f>IF($B74="","",SUM(I74:K74))</f>
        <v/>
      </c>
      <c r="M74" s="18" t="str">
        <f>IF($B74="","",H74-L74)</f>
        <v/>
      </c>
      <c r="N74" s="18" t="str">
        <f>IF($B74="","",IF(R74="Ancien",0,Paramètres!$D$28))</f>
        <v/>
      </c>
      <c r="O74" s="19"/>
      <c r="P74" s="18" t="str">
        <f>IF($B74="","",N74-O74)</f>
        <v/>
      </c>
      <c r="Q74" s="21" t="str">
        <f>IF($B74="","",IF(AND(M74&lt;=0,P74&lt;=0),"Soldé","En retard"))</f>
        <v/>
      </c>
      <c r="R74" s="21"/>
    </row>
    <row r="75">
      <c r="A75" s="15"/>
      <c r="B75" s="15"/>
      <c r="C75" s="15"/>
      <c r="D75" s="8"/>
      <c r="E75" s="79"/>
      <c r="F75" s="15"/>
      <c r="G75" s="15"/>
      <c r="H75" s="18" t="str">
        <f>IF($B75="","",Paramètres!$C$28)</f>
        <v/>
      </c>
      <c r="I75" s="19"/>
      <c r="J75" s="19"/>
      <c r="K75" s="19"/>
      <c r="L75" s="18" t="str">
        <f>IF($B75="","",SUM(I75:K75))</f>
        <v/>
      </c>
      <c r="M75" s="18" t="str">
        <f>IF($B75="","",H75-L75)</f>
        <v/>
      </c>
      <c r="N75" s="18" t="str">
        <f>IF($B75="","",IF(R75="Ancien",0,Paramètres!$D$28))</f>
        <v/>
      </c>
      <c r="O75" s="19"/>
      <c r="P75" s="18" t="str">
        <f>IF($B75="","",N75-O75)</f>
        <v/>
      </c>
      <c r="Q75" s="8" t="str">
        <f>IF($B75="","",IF(AND(M75&lt;=0,P75&lt;=0),"Soldé","En retard"))</f>
        <v/>
      </c>
      <c r="R75" s="8"/>
    </row>
    <row r="76">
      <c r="A76" s="20"/>
      <c r="B76" s="20"/>
      <c r="C76" s="20"/>
      <c r="D76" s="21"/>
      <c r="E76" s="77"/>
      <c r="F76" s="20"/>
      <c r="G76" s="20"/>
      <c r="H76" s="18" t="str">
        <f>IF($B76="","",Paramètres!$C$28)</f>
        <v/>
      </c>
      <c r="I76" s="19"/>
      <c r="J76" s="19"/>
      <c r="K76" s="19"/>
      <c r="L76" s="18" t="str">
        <f>IF($B76="","",SUM(I76:K76))</f>
        <v/>
      </c>
      <c r="M76" s="18" t="str">
        <f>IF($B76="","",H76-L76)</f>
        <v/>
      </c>
      <c r="N76" s="18" t="str">
        <f>IF($B76="","",IF(R76="Ancien",0,Paramètres!$D$28))</f>
        <v/>
      </c>
      <c r="O76" s="19"/>
      <c r="P76" s="18" t="str">
        <f>IF($B76="","",N76-O76)</f>
        <v/>
      </c>
      <c r="Q76" s="21" t="str">
        <f>IF($B76="","",IF(AND(M76&lt;=0,P76&lt;=0),"Soldé","En retard"))</f>
        <v/>
      </c>
      <c r="R76" s="21"/>
    </row>
    <row r="77">
      <c r="A77" s="15"/>
      <c r="B77" s="15"/>
      <c r="C77" s="15"/>
      <c r="D77" s="8"/>
      <c r="E77" s="79"/>
      <c r="F77" s="15"/>
      <c r="G77" s="15"/>
      <c r="H77" s="18" t="str">
        <f>IF($B77="","",Paramètres!$C$28)</f>
        <v/>
      </c>
      <c r="I77" s="19"/>
      <c r="J77" s="19"/>
      <c r="K77" s="19"/>
      <c r="L77" s="18" t="str">
        <f>IF($B77="","",SUM(I77:K77))</f>
        <v/>
      </c>
      <c r="M77" s="18" t="str">
        <f>IF($B77="","",H77-L77)</f>
        <v/>
      </c>
      <c r="N77" s="18" t="str">
        <f>IF($B77="","",IF(R77="Ancien",0,Paramètres!$D$28))</f>
        <v/>
      </c>
      <c r="O77" s="19"/>
      <c r="P77" s="18" t="str">
        <f>IF($B77="","",N77-O77)</f>
        <v/>
      </c>
      <c r="Q77" s="8" t="str">
        <f>IF($B77="","",IF(AND(M77&lt;=0,P77&lt;=0),"Soldé","En retard"))</f>
        <v/>
      </c>
      <c r="R77" s="8"/>
    </row>
    <row r="78">
      <c r="A78" s="20"/>
      <c r="B78" s="20"/>
      <c r="C78" s="20"/>
      <c r="D78" s="21"/>
      <c r="E78" s="77"/>
      <c r="F78" s="20"/>
      <c r="G78" s="20"/>
      <c r="H78" s="18" t="str">
        <f>IF($B78="","",Paramètres!$C$28)</f>
        <v/>
      </c>
      <c r="I78" s="19"/>
      <c r="J78" s="19"/>
      <c r="K78" s="19"/>
      <c r="L78" s="18" t="str">
        <f>IF($B78="","",SUM(I78:K78))</f>
        <v/>
      </c>
      <c r="M78" s="18" t="str">
        <f>IF($B78="","",H78-L78)</f>
        <v/>
      </c>
      <c r="N78" s="18" t="str">
        <f>IF($B78="","",IF(R78="Ancien",0,Paramètres!$D$28))</f>
        <v/>
      </c>
      <c r="O78" s="19"/>
      <c r="P78" s="18" t="str">
        <f>IF($B78="","",N78-O78)</f>
        <v/>
      </c>
      <c r="Q78" s="21" t="str">
        <f>IF($B78="","",IF(AND(M78&lt;=0,P78&lt;=0),"Soldé","En retard"))</f>
        <v/>
      </c>
      <c r="R78" s="21"/>
    </row>
    <row r="79">
      <c r="A79" s="15"/>
      <c r="B79" s="15"/>
      <c r="C79" s="15"/>
      <c r="D79" s="8"/>
      <c r="E79" s="79"/>
      <c r="F79" s="15"/>
      <c r="G79" s="15"/>
      <c r="H79" s="18" t="str">
        <f>IF($B79="","",Paramètres!$C$28)</f>
        <v/>
      </c>
      <c r="I79" s="19"/>
      <c r="J79" s="19"/>
      <c r="K79" s="19"/>
      <c r="L79" s="18" t="str">
        <f>IF($B79="","",SUM(I79:K79))</f>
        <v/>
      </c>
      <c r="M79" s="18" t="str">
        <f>IF($B79="","",H79-L79)</f>
        <v/>
      </c>
      <c r="N79" s="18" t="str">
        <f>IF($B79="","",IF(R79="Ancien",0,Paramètres!$D$28))</f>
        <v/>
      </c>
      <c r="O79" s="19"/>
      <c r="P79" s="18" t="str">
        <f>IF($B79="","",N79-O79)</f>
        <v/>
      </c>
      <c r="Q79" s="8" t="str">
        <f>IF($B79="","",IF(AND(M79&lt;=0,P79&lt;=0),"Soldé","En retard"))</f>
        <v/>
      </c>
      <c r="R79" s="8"/>
    </row>
    <row r="80">
      <c r="A80" s="20"/>
      <c r="B80" s="20"/>
      <c r="C80" s="20"/>
      <c r="D80" s="21"/>
      <c r="E80" s="77"/>
      <c r="F80" s="20"/>
      <c r="G80" s="20"/>
      <c r="H80" s="18" t="str">
        <f>IF($B80="","",Paramètres!$C$28)</f>
        <v/>
      </c>
      <c r="I80" s="19"/>
      <c r="J80" s="19"/>
      <c r="K80" s="19"/>
      <c r="L80" s="18" t="str">
        <f>IF($B80="","",SUM(I80:K80))</f>
        <v/>
      </c>
      <c r="M80" s="18" t="str">
        <f>IF($B80="","",H80-L80)</f>
        <v/>
      </c>
      <c r="N80" s="18" t="str">
        <f>IF($B80="","",IF(R80="Ancien",0,Paramètres!$D$28))</f>
        <v/>
      </c>
      <c r="O80" s="19"/>
      <c r="P80" s="18" t="str">
        <f>IF($B80="","",N80-O80)</f>
        <v/>
      </c>
      <c r="Q80" s="21" t="str">
        <f>IF($B80="","",IF(AND(M80&lt;=0,P80&lt;=0),"Soldé","En retard"))</f>
        <v/>
      </c>
      <c r="R80" s="21"/>
    </row>
    <row r="81">
      <c r="A81" s="15"/>
      <c r="B81" s="15"/>
      <c r="C81" s="15"/>
      <c r="D81" s="8"/>
      <c r="E81" s="79"/>
      <c r="F81" s="15"/>
      <c r="G81" s="15"/>
      <c r="H81" s="18" t="str">
        <f>IF($B81="","",Paramètres!$C$28)</f>
        <v/>
      </c>
      <c r="I81" s="19"/>
      <c r="J81" s="19"/>
      <c r="K81" s="19"/>
      <c r="L81" s="18" t="str">
        <f>IF($B81="","",SUM(I81:K81))</f>
        <v/>
      </c>
      <c r="M81" s="18" t="str">
        <f>IF($B81="","",H81-L81)</f>
        <v/>
      </c>
      <c r="N81" s="18" t="str">
        <f>IF($B81="","",IF(R81="Ancien",0,Paramètres!$D$28))</f>
        <v/>
      </c>
      <c r="O81" s="19"/>
      <c r="P81" s="18" t="str">
        <f>IF($B81="","",N81-O81)</f>
        <v/>
      </c>
      <c r="Q81" s="8" t="str">
        <f>IF($B81="","",IF(AND(M81&lt;=0,P81&lt;=0),"Soldé","En retard"))</f>
        <v/>
      </c>
      <c r="R81" s="8"/>
    </row>
    <row r="82">
      <c r="A82" s="20"/>
      <c r="B82" s="20"/>
      <c r="C82" s="20"/>
      <c r="D82" s="21"/>
      <c r="E82" s="77"/>
      <c r="F82" s="20"/>
      <c r="G82" s="20"/>
      <c r="H82" s="18" t="str">
        <f>IF($B82="","",Paramètres!$C$28)</f>
        <v/>
      </c>
      <c r="I82" s="19"/>
      <c r="J82" s="19"/>
      <c r="K82" s="19"/>
      <c r="L82" s="18" t="str">
        <f>IF($B82="","",SUM(I82:K82))</f>
        <v/>
      </c>
      <c r="M82" s="18" t="str">
        <f>IF($B82="","",H82-L82)</f>
        <v/>
      </c>
      <c r="N82" s="18" t="str">
        <f>IF($B82="","",IF(R82="Ancien",0,Paramètres!$D$28))</f>
        <v/>
      </c>
      <c r="O82" s="19"/>
      <c r="P82" s="18" t="str">
        <f>IF($B82="","",N82-O82)</f>
        <v/>
      </c>
      <c r="Q82" s="21" t="str">
        <f>IF($B82="","",IF(AND(M82&lt;=0,P82&lt;=0),"Soldé","En retard"))</f>
        <v/>
      </c>
      <c r="R82" s="21"/>
    </row>
    <row r="83">
      <c r="A83" s="15"/>
      <c r="B83" s="15"/>
      <c r="C83" s="15"/>
      <c r="D83" s="8"/>
      <c r="E83" s="79"/>
      <c r="F83" s="15"/>
      <c r="G83" s="15"/>
      <c r="H83" s="18" t="str">
        <f>IF($B83="","",Paramètres!$C$28)</f>
        <v/>
      </c>
      <c r="I83" s="19"/>
      <c r="J83" s="19"/>
      <c r="K83" s="19"/>
      <c r="L83" s="18" t="str">
        <f>IF($B83="","",SUM(I83:K83))</f>
        <v/>
      </c>
      <c r="M83" s="18" t="str">
        <f>IF($B83="","",H83-L83)</f>
        <v/>
      </c>
      <c r="N83" s="18" t="str">
        <f>IF($B83="","",IF(R83="Ancien",0,Paramètres!$D$28))</f>
        <v/>
      </c>
      <c r="O83" s="19"/>
      <c r="P83" s="18" t="str">
        <f>IF($B83="","",N83-O83)</f>
        <v/>
      </c>
      <c r="Q83" s="8" t="str">
        <f>IF($B83="","",IF(AND(M83&lt;=0,P83&lt;=0),"Soldé","En retard"))</f>
        <v/>
      </c>
      <c r="R83" s="8"/>
    </row>
  </sheetData>
  <mergeCells count="2">
    <mergeCell ref="A1:R1"/>
    <mergeCell ref="A2:R2"/>
  </mergeCells>
  <conditionalFormatting sqref="M4:M83 P4:P83">
    <cfRule type="cellIs" dxfId="10" priority="3" operator="greaterThan">
      <formula>0</formula>
    </cfRule>
  </conditionalFormatting>
  <conditionalFormatting sqref="Q4:Q83">
    <cfRule type="cellIs" dxfId="9" priority="1" operator="equal">
      <formula>"Soldé"</formula>
    </cfRule>
    <cfRule type="cellIs" dxfId="8" priority="2" operator="equal">
      <formula>"En retard"</formula>
    </cfRule>
  </conditionalFormatting>
  <dataValidations count="2">
    <dataValidation type="list" allowBlank="1" showErrorMessage="1" errorTitle="Sexe non valide" error="Choisissez M ou F." sqref="D4:D83">
      <formula1>"M,F"</formula1>
    </dataValidation>
    <dataValidation type="list" allowBlank="1" showErrorMessage="1" errorTitle="Statut non valide" error="Choisissez Nouveau ou Ancien. Un élève marqué Ancien ne paie pas les frais d'inscription." sqref="R4:R83">
      <formula1>"Nouveau,Ancien"</formula1>
    </dataValidation>
  </dataValidations>
  <pageMargins left="0.5" right="0.5" top="0.75" bottom="0.75" header="0.3" footer="0.3"/>
  <pageSetup paperSize="9" orientation="landscape" fitToHeight="0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R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7" customWidth="1"/>
    <col min="5" max="5" width="14" customWidth="1"/>
    <col min="6" max="6" width="18" customWidth="1"/>
    <col min="7" max="7" width="16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3" customWidth="1"/>
    <col min="18" max="18" width="16" customWidth="1"/>
  </cols>
  <sheetData>
    <row r="1" ht="27.75" customHeight="1">
      <c r="A1" s="53" t="str">
        <f>"INSCRIPTIONS — "&amp;Paramètres!$A$29</f>
        <v>INSCRIPTIONS — 1ère D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ht="18" customHeight="1">
      <c r="A2" s="54" t="str">
        <f>"Année scolaire "&amp;Paramètres!$C$11&amp;"   •   Effectif : "&amp;COUNTIF($B$4:$B$83,"?*")&amp;"   •   Cellules jaunes = montants à saisir ; colonnes grises = calcul automatique"</f>
        <v>Année scolaire 2025-2026   •   Effectif : 0   •   Cellules jaunes = montants à saisir ; colonnes grises = calcul automatique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Sexe</t>
        </is>
      </c>
      <c r="E3" s="3" t="inlineStr">
        <is>
          <t>Date de naissance</t>
        </is>
      </c>
      <c r="F3" s="3" t="inlineStr">
        <is>
          <t>Nom du tuteur</t>
        </is>
      </c>
      <c r="G3" s="3" t="inlineStr">
        <is>
          <t>Téléphone</t>
        </is>
      </c>
      <c r="H3" s="3" t="inlineStr">
        <is>
          <t>Scolarité due</t>
        </is>
      </c>
      <c r="I3" s="3" t="inlineStr">
        <is>
          <t>Tranche 1</t>
        </is>
      </c>
      <c r="J3" s="3" t="inlineStr">
        <is>
          <t>Tranche 2</t>
        </is>
      </c>
      <c r="K3" s="3" t="inlineStr">
        <is>
          <t>Tranche 3</t>
        </is>
      </c>
      <c r="L3" s="3" t="inlineStr">
        <is>
          <t>Total payé</t>
        </is>
      </c>
      <c r="M3" s="3" t="inlineStr">
        <is>
          <t>Reste à payer</t>
        </is>
      </c>
      <c r="N3" s="3" t="inlineStr">
        <is>
          <t>Inscription due</t>
        </is>
      </c>
      <c r="O3" s="3" t="inlineStr">
        <is>
          <t>Inscription payée</t>
        </is>
      </c>
      <c r="P3" s="3" t="inlineStr">
        <is>
          <t>Reste inscription</t>
        </is>
      </c>
      <c r="Q3" s="3" t="inlineStr">
        <is>
          <t>Statut</t>
        </is>
      </c>
      <c r="R3" s="3" t="inlineStr">
        <is>
          <t>Nouveau / Ancien</t>
        </is>
      </c>
    </row>
    <row r="4">
      <c r="A4" s="20"/>
      <c r="B4" s="20"/>
      <c r="C4" s="20"/>
      <c r="D4" s="21"/>
      <c r="E4" s="77"/>
      <c r="F4" s="20"/>
      <c r="G4" s="20"/>
      <c r="H4" s="18" t="str">
        <f>IF($B4="","",Paramètres!$C$29)</f>
        <v/>
      </c>
      <c r="I4" s="19"/>
      <c r="J4" s="19"/>
      <c r="K4" s="19"/>
      <c r="L4" s="18" t="str">
        <f>IF($B4="","",SUM(I4:K4))</f>
        <v/>
      </c>
      <c r="M4" s="18" t="str">
        <f>IF($B4="","",H4-L4)</f>
        <v/>
      </c>
      <c r="N4" s="18" t="str">
        <f>IF($B4="","",IF(R4="Ancien",0,Paramètres!$D$29))</f>
        <v/>
      </c>
      <c r="O4" s="19"/>
      <c r="P4" s="18" t="str">
        <f>IF($B4="","",N4-O4)</f>
        <v/>
      </c>
      <c r="Q4" s="21" t="str">
        <f>IF($B4="","",IF(AND(M4&lt;=0,P4&lt;=0),"Soldé","En retard"))</f>
        <v/>
      </c>
      <c r="R4" s="21"/>
    </row>
    <row r="5">
      <c r="A5" s="15"/>
      <c r="B5" s="15"/>
      <c r="C5" s="15"/>
      <c r="D5" s="8"/>
      <c r="E5" s="79"/>
      <c r="F5" s="15"/>
      <c r="G5" s="15"/>
      <c r="H5" s="18" t="str">
        <f>IF($B5="","",Paramètres!$C$29)</f>
        <v/>
      </c>
      <c r="I5" s="19"/>
      <c r="J5" s="19"/>
      <c r="K5" s="19"/>
      <c r="L5" s="18" t="str">
        <f>IF($B5="","",SUM(I5:K5))</f>
        <v/>
      </c>
      <c r="M5" s="18" t="str">
        <f>IF($B5="","",H5-L5)</f>
        <v/>
      </c>
      <c r="N5" s="18" t="str">
        <f>IF($B5="","",IF(R5="Ancien",0,Paramètres!$D$29))</f>
        <v/>
      </c>
      <c r="O5" s="19"/>
      <c r="P5" s="18" t="str">
        <f>IF($B5="","",N5-O5)</f>
        <v/>
      </c>
      <c r="Q5" s="8" t="str">
        <f>IF($B5="","",IF(AND(M5&lt;=0,P5&lt;=0),"Soldé","En retard"))</f>
        <v/>
      </c>
      <c r="R5" s="8"/>
    </row>
    <row r="6">
      <c r="A6" s="20"/>
      <c r="B6" s="20"/>
      <c r="C6" s="20"/>
      <c r="D6" s="21"/>
      <c r="E6" s="77"/>
      <c r="F6" s="20"/>
      <c r="G6" s="20"/>
      <c r="H6" s="18" t="str">
        <f>IF($B6="","",Paramètres!$C$29)</f>
        <v/>
      </c>
      <c r="I6" s="19"/>
      <c r="J6" s="19"/>
      <c r="K6" s="19"/>
      <c r="L6" s="18" t="str">
        <f>IF($B6="","",SUM(I6:K6))</f>
        <v/>
      </c>
      <c r="M6" s="18" t="str">
        <f>IF($B6="","",H6-L6)</f>
        <v/>
      </c>
      <c r="N6" s="18" t="str">
        <f>IF($B6="","",IF(R6="Ancien",0,Paramètres!$D$29))</f>
        <v/>
      </c>
      <c r="O6" s="19"/>
      <c r="P6" s="18" t="str">
        <f>IF($B6="","",N6-O6)</f>
        <v/>
      </c>
      <c r="Q6" s="21" t="str">
        <f>IF($B6="","",IF(AND(M6&lt;=0,P6&lt;=0),"Soldé","En retard"))</f>
        <v/>
      </c>
      <c r="R6" s="21"/>
    </row>
    <row r="7">
      <c r="A7" s="15"/>
      <c r="B7" s="15"/>
      <c r="C7" s="15"/>
      <c r="D7" s="8"/>
      <c r="E7" s="79"/>
      <c r="F7" s="15"/>
      <c r="G7" s="15"/>
      <c r="H7" s="18" t="str">
        <f>IF($B7="","",Paramètres!$C$29)</f>
        <v/>
      </c>
      <c r="I7" s="19"/>
      <c r="J7" s="19"/>
      <c r="K7" s="19"/>
      <c r="L7" s="18" t="str">
        <f>IF($B7="","",SUM(I7:K7))</f>
        <v/>
      </c>
      <c r="M7" s="18" t="str">
        <f>IF($B7="","",H7-L7)</f>
        <v/>
      </c>
      <c r="N7" s="18" t="str">
        <f>IF($B7="","",IF(R7="Ancien",0,Paramètres!$D$29))</f>
        <v/>
      </c>
      <c r="O7" s="19"/>
      <c r="P7" s="18" t="str">
        <f>IF($B7="","",N7-O7)</f>
        <v/>
      </c>
      <c r="Q7" s="8" t="str">
        <f>IF($B7="","",IF(AND(M7&lt;=0,P7&lt;=0),"Soldé","En retard"))</f>
        <v/>
      </c>
      <c r="R7" s="8"/>
    </row>
    <row r="8">
      <c r="A8" s="20"/>
      <c r="B8" s="20"/>
      <c r="C8" s="20"/>
      <c r="D8" s="21"/>
      <c r="E8" s="77"/>
      <c r="F8" s="20"/>
      <c r="G8" s="20"/>
      <c r="H8" s="18" t="str">
        <f>IF($B8="","",Paramètres!$C$29)</f>
        <v/>
      </c>
      <c r="I8" s="19"/>
      <c r="J8" s="19"/>
      <c r="K8" s="19"/>
      <c r="L8" s="18" t="str">
        <f>IF($B8="","",SUM(I8:K8))</f>
        <v/>
      </c>
      <c r="M8" s="18" t="str">
        <f>IF($B8="","",H8-L8)</f>
        <v/>
      </c>
      <c r="N8" s="18" t="str">
        <f>IF($B8="","",IF(R8="Ancien",0,Paramètres!$D$29))</f>
        <v/>
      </c>
      <c r="O8" s="19"/>
      <c r="P8" s="18" t="str">
        <f>IF($B8="","",N8-O8)</f>
        <v/>
      </c>
      <c r="Q8" s="21" t="str">
        <f>IF($B8="","",IF(AND(M8&lt;=0,P8&lt;=0),"Soldé","En retard"))</f>
        <v/>
      </c>
      <c r="R8" s="21"/>
    </row>
    <row r="9">
      <c r="A9" s="15"/>
      <c r="B9" s="15"/>
      <c r="C9" s="15"/>
      <c r="D9" s="8"/>
      <c r="E9" s="79"/>
      <c r="F9" s="15"/>
      <c r="G9" s="15"/>
      <c r="H9" s="18" t="str">
        <f>IF($B9="","",Paramètres!$C$29)</f>
        <v/>
      </c>
      <c r="I9" s="19"/>
      <c r="J9" s="19"/>
      <c r="K9" s="19"/>
      <c r="L9" s="18" t="str">
        <f>IF($B9="","",SUM(I9:K9))</f>
        <v/>
      </c>
      <c r="M9" s="18" t="str">
        <f>IF($B9="","",H9-L9)</f>
        <v/>
      </c>
      <c r="N9" s="18" t="str">
        <f>IF($B9="","",IF(R9="Ancien",0,Paramètres!$D$29))</f>
        <v/>
      </c>
      <c r="O9" s="19"/>
      <c r="P9" s="18" t="str">
        <f>IF($B9="","",N9-O9)</f>
        <v/>
      </c>
      <c r="Q9" s="8" t="str">
        <f>IF($B9="","",IF(AND(M9&lt;=0,P9&lt;=0),"Soldé","En retard"))</f>
        <v/>
      </c>
      <c r="R9" s="8"/>
    </row>
    <row r="10">
      <c r="A10" s="20"/>
      <c r="B10" s="20"/>
      <c r="C10" s="20"/>
      <c r="D10" s="21"/>
      <c r="E10" s="77"/>
      <c r="F10" s="20"/>
      <c r="G10" s="20"/>
      <c r="H10" s="18" t="str">
        <f>IF($B10="","",Paramètres!$C$29)</f>
        <v/>
      </c>
      <c r="I10" s="19"/>
      <c r="J10" s="19"/>
      <c r="K10" s="19"/>
      <c r="L10" s="18" t="str">
        <f>IF($B10="","",SUM(I10:K10))</f>
        <v/>
      </c>
      <c r="M10" s="18" t="str">
        <f>IF($B10="","",H10-L10)</f>
        <v/>
      </c>
      <c r="N10" s="18" t="str">
        <f>IF($B10="","",IF(R10="Ancien",0,Paramètres!$D$29))</f>
        <v/>
      </c>
      <c r="O10" s="19"/>
      <c r="P10" s="18" t="str">
        <f>IF($B10="","",N10-O10)</f>
        <v/>
      </c>
      <c r="Q10" s="21" t="str">
        <f>IF($B10="","",IF(AND(M10&lt;=0,P10&lt;=0),"Soldé","En retard"))</f>
        <v/>
      </c>
      <c r="R10" s="21"/>
    </row>
    <row r="11">
      <c r="A11" s="15"/>
      <c r="B11" s="15"/>
      <c r="C11" s="15"/>
      <c r="D11" s="8"/>
      <c r="E11" s="79"/>
      <c r="F11" s="15"/>
      <c r="G11" s="15"/>
      <c r="H11" s="18" t="str">
        <f>IF($B11="","",Paramètres!$C$29)</f>
        <v/>
      </c>
      <c r="I11" s="19"/>
      <c r="J11" s="19"/>
      <c r="K11" s="19"/>
      <c r="L11" s="18" t="str">
        <f>IF($B11="","",SUM(I11:K11))</f>
        <v/>
      </c>
      <c r="M11" s="18" t="str">
        <f>IF($B11="","",H11-L11)</f>
        <v/>
      </c>
      <c r="N11" s="18" t="str">
        <f>IF($B11="","",IF(R11="Ancien",0,Paramètres!$D$29))</f>
        <v/>
      </c>
      <c r="O11" s="19"/>
      <c r="P11" s="18" t="str">
        <f>IF($B11="","",N11-O11)</f>
        <v/>
      </c>
      <c r="Q11" s="8" t="str">
        <f>IF($B11="","",IF(AND(M11&lt;=0,P11&lt;=0),"Soldé","En retard"))</f>
        <v/>
      </c>
      <c r="R11" s="8"/>
    </row>
    <row r="12">
      <c r="A12" s="20"/>
      <c r="B12" s="20"/>
      <c r="C12" s="20"/>
      <c r="D12" s="21"/>
      <c r="E12" s="77"/>
      <c r="F12" s="20"/>
      <c r="G12" s="20"/>
      <c r="H12" s="18" t="str">
        <f>IF($B12="","",Paramètres!$C$29)</f>
        <v/>
      </c>
      <c r="I12" s="19"/>
      <c r="J12" s="19"/>
      <c r="K12" s="19"/>
      <c r="L12" s="18" t="str">
        <f>IF($B12="","",SUM(I12:K12))</f>
        <v/>
      </c>
      <c r="M12" s="18" t="str">
        <f>IF($B12="","",H12-L12)</f>
        <v/>
      </c>
      <c r="N12" s="18" t="str">
        <f>IF($B12="","",IF(R12="Ancien",0,Paramètres!$D$29))</f>
        <v/>
      </c>
      <c r="O12" s="19"/>
      <c r="P12" s="18" t="str">
        <f>IF($B12="","",N12-O12)</f>
        <v/>
      </c>
      <c r="Q12" s="21" t="str">
        <f>IF($B12="","",IF(AND(M12&lt;=0,P12&lt;=0),"Soldé","En retard"))</f>
        <v/>
      </c>
      <c r="R12" s="21"/>
    </row>
    <row r="13">
      <c r="A13" s="15"/>
      <c r="B13" s="15"/>
      <c r="C13" s="15"/>
      <c r="D13" s="8"/>
      <c r="E13" s="79"/>
      <c r="F13" s="15"/>
      <c r="G13" s="15"/>
      <c r="H13" s="18" t="str">
        <f>IF($B13="","",Paramètres!$C$29)</f>
        <v/>
      </c>
      <c r="I13" s="19"/>
      <c r="J13" s="19"/>
      <c r="K13" s="19"/>
      <c r="L13" s="18" t="str">
        <f>IF($B13="","",SUM(I13:K13))</f>
        <v/>
      </c>
      <c r="M13" s="18" t="str">
        <f>IF($B13="","",H13-L13)</f>
        <v/>
      </c>
      <c r="N13" s="18" t="str">
        <f>IF($B13="","",IF(R13="Ancien",0,Paramètres!$D$29))</f>
        <v/>
      </c>
      <c r="O13" s="19"/>
      <c r="P13" s="18" t="str">
        <f>IF($B13="","",N13-O13)</f>
        <v/>
      </c>
      <c r="Q13" s="8" t="str">
        <f>IF($B13="","",IF(AND(M13&lt;=0,P13&lt;=0),"Soldé","En retard"))</f>
        <v/>
      </c>
      <c r="R13" s="8"/>
    </row>
    <row r="14">
      <c r="A14" s="20"/>
      <c r="B14" s="20"/>
      <c r="C14" s="20"/>
      <c r="D14" s="21"/>
      <c r="E14" s="77"/>
      <c r="F14" s="20"/>
      <c r="G14" s="20"/>
      <c r="H14" s="18" t="str">
        <f>IF($B14="","",Paramètres!$C$29)</f>
        <v/>
      </c>
      <c r="I14" s="19"/>
      <c r="J14" s="19"/>
      <c r="K14" s="19"/>
      <c r="L14" s="18" t="str">
        <f>IF($B14="","",SUM(I14:K14))</f>
        <v/>
      </c>
      <c r="M14" s="18" t="str">
        <f>IF($B14="","",H14-L14)</f>
        <v/>
      </c>
      <c r="N14" s="18" t="str">
        <f>IF($B14="","",IF(R14="Ancien",0,Paramètres!$D$29))</f>
        <v/>
      </c>
      <c r="O14" s="19"/>
      <c r="P14" s="18" t="str">
        <f>IF($B14="","",N14-O14)</f>
        <v/>
      </c>
      <c r="Q14" s="21" t="str">
        <f>IF($B14="","",IF(AND(M14&lt;=0,P14&lt;=0),"Soldé","En retard"))</f>
        <v/>
      </c>
      <c r="R14" s="21"/>
    </row>
    <row r="15">
      <c r="A15" s="15"/>
      <c r="B15" s="15"/>
      <c r="C15" s="15"/>
      <c r="D15" s="8"/>
      <c r="E15" s="79"/>
      <c r="F15" s="15"/>
      <c r="G15" s="15"/>
      <c r="H15" s="18" t="str">
        <f>IF($B15="","",Paramètres!$C$29)</f>
        <v/>
      </c>
      <c r="I15" s="19"/>
      <c r="J15" s="19"/>
      <c r="K15" s="19"/>
      <c r="L15" s="18" t="str">
        <f>IF($B15="","",SUM(I15:K15))</f>
        <v/>
      </c>
      <c r="M15" s="18" t="str">
        <f>IF($B15="","",H15-L15)</f>
        <v/>
      </c>
      <c r="N15" s="18" t="str">
        <f>IF($B15="","",IF(R15="Ancien",0,Paramètres!$D$29))</f>
        <v/>
      </c>
      <c r="O15" s="19"/>
      <c r="P15" s="18" t="str">
        <f>IF($B15="","",N15-O15)</f>
        <v/>
      </c>
      <c r="Q15" s="8" t="str">
        <f>IF($B15="","",IF(AND(M15&lt;=0,P15&lt;=0),"Soldé","En retard"))</f>
        <v/>
      </c>
      <c r="R15" s="8"/>
    </row>
    <row r="16">
      <c r="A16" s="20"/>
      <c r="B16" s="20"/>
      <c r="C16" s="20"/>
      <c r="D16" s="21"/>
      <c r="E16" s="77"/>
      <c r="F16" s="20"/>
      <c r="G16" s="20"/>
      <c r="H16" s="18" t="str">
        <f>IF($B16="","",Paramètres!$C$29)</f>
        <v/>
      </c>
      <c r="I16" s="19"/>
      <c r="J16" s="19"/>
      <c r="K16" s="19"/>
      <c r="L16" s="18" t="str">
        <f>IF($B16="","",SUM(I16:K16))</f>
        <v/>
      </c>
      <c r="M16" s="18" t="str">
        <f>IF($B16="","",H16-L16)</f>
        <v/>
      </c>
      <c r="N16" s="18" t="str">
        <f>IF($B16="","",IF(R16="Ancien",0,Paramètres!$D$29))</f>
        <v/>
      </c>
      <c r="O16" s="19"/>
      <c r="P16" s="18" t="str">
        <f>IF($B16="","",N16-O16)</f>
        <v/>
      </c>
      <c r="Q16" s="21" t="str">
        <f>IF($B16="","",IF(AND(M16&lt;=0,P16&lt;=0),"Soldé","En retard"))</f>
        <v/>
      </c>
      <c r="R16" s="21"/>
    </row>
    <row r="17">
      <c r="A17" s="15"/>
      <c r="B17" s="15"/>
      <c r="C17" s="15"/>
      <c r="D17" s="8"/>
      <c r="E17" s="79"/>
      <c r="F17" s="15"/>
      <c r="G17" s="15"/>
      <c r="H17" s="18" t="str">
        <f>IF($B17="","",Paramètres!$C$29)</f>
        <v/>
      </c>
      <c r="I17" s="19"/>
      <c r="J17" s="19"/>
      <c r="K17" s="19"/>
      <c r="L17" s="18" t="str">
        <f>IF($B17="","",SUM(I17:K17))</f>
        <v/>
      </c>
      <c r="M17" s="18" t="str">
        <f>IF($B17="","",H17-L17)</f>
        <v/>
      </c>
      <c r="N17" s="18" t="str">
        <f>IF($B17="","",IF(R17="Ancien",0,Paramètres!$D$29))</f>
        <v/>
      </c>
      <c r="O17" s="19"/>
      <c r="P17" s="18" t="str">
        <f>IF($B17="","",N17-O17)</f>
        <v/>
      </c>
      <c r="Q17" s="8" t="str">
        <f>IF($B17="","",IF(AND(M17&lt;=0,P17&lt;=0),"Soldé","En retard"))</f>
        <v/>
      </c>
      <c r="R17" s="8"/>
    </row>
    <row r="18">
      <c r="A18" s="20"/>
      <c r="B18" s="20"/>
      <c r="C18" s="20"/>
      <c r="D18" s="21"/>
      <c r="E18" s="77"/>
      <c r="F18" s="20"/>
      <c r="G18" s="20"/>
      <c r="H18" s="18" t="str">
        <f>IF($B18="","",Paramètres!$C$29)</f>
        <v/>
      </c>
      <c r="I18" s="19"/>
      <c r="J18" s="19"/>
      <c r="K18" s="19"/>
      <c r="L18" s="18" t="str">
        <f>IF($B18="","",SUM(I18:K18))</f>
        <v/>
      </c>
      <c r="M18" s="18" t="str">
        <f>IF($B18="","",H18-L18)</f>
        <v/>
      </c>
      <c r="N18" s="18" t="str">
        <f>IF($B18="","",IF(R18="Ancien",0,Paramètres!$D$29))</f>
        <v/>
      </c>
      <c r="O18" s="19"/>
      <c r="P18" s="18" t="str">
        <f>IF($B18="","",N18-O18)</f>
        <v/>
      </c>
      <c r="Q18" s="21" t="str">
        <f>IF($B18="","",IF(AND(M18&lt;=0,P18&lt;=0),"Soldé","En retard"))</f>
        <v/>
      </c>
      <c r="R18" s="21"/>
    </row>
    <row r="19">
      <c r="A19" s="15"/>
      <c r="B19" s="15"/>
      <c r="C19" s="15"/>
      <c r="D19" s="8"/>
      <c r="E19" s="79"/>
      <c r="F19" s="15"/>
      <c r="G19" s="15"/>
      <c r="H19" s="18" t="str">
        <f>IF($B19="","",Paramètres!$C$29)</f>
        <v/>
      </c>
      <c r="I19" s="19"/>
      <c r="J19" s="19"/>
      <c r="K19" s="19"/>
      <c r="L19" s="18" t="str">
        <f>IF($B19="","",SUM(I19:K19))</f>
        <v/>
      </c>
      <c r="M19" s="18" t="str">
        <f>IF($B19="","",H19-L19)</f>
        <v/>
      </c>
      <c r="N19" s="18" t="str">
        <f>IF($B19="","",IF(R19="Ancien",0,Paramètres!$D$29))</f>
        <v/>
      </c>
      <c r="O19" s="19"/>
      <c r="P19" s="18" t="str">
        <f>IF($B19="","",N19-O19)</f>
        <v/>
      </c>
      <c r="Q19" s="8" t="str">
        <f>IF($B19="","",IF(AND(M19&lt;=0,P19&lt;=0),"Soldé","En retard"))</f>
        <v/>
      </c>
      <c r="R19" s="8"/>
    </row>
    <row r="20">
      <c r="A20" s="20"/>
      <c r="B20" s="20"/>
      <c r="C20" s="20"/>
      <c r="D20" s="21"/>
      <c r="E20" s="77"/>
      <c r="F20" s="20"/>
      <c r="G20" s="20"/>
      <c r="H20" s="18" t="str">
        <f>IF($B20="","",Paramètres!$C$29)</f>
        <v/>
      </c>
      <c r="I20" s="19"/>
      <c r="J20" s="19"/>
      <c r="K20" s="19"/>
      <c r="L20" s="18" t="str">
        <f>IF($B20="","",SUM(I20:K20))</f>
        <v/>
      </c>
      <c r="M20" s="18" t="str">
        <f>IF($B20="","",H20-L20)</f>
        <v/>
      </c>
      <c r="N20" s="18" t="str">
        <f>IF($B20="","",IF(R20="Ancien",0,Paramètres!$D$29))</f>
        <v/>
      </c>
      <c r="O20" s="19"/>
      <c r="P20" s="18" t="str">
        <f>IF($B20="","",N20-O20)</f>
        <v/>
      </c>
      <c r="Q20" s="21" t="str">
        <f>IF($B20="","",IF(AND(M20&lt;=0,P20&lt;=0),"Soldé","En retard"))</f>
        <v/>
      </c>
      <c r="R20" s="21"/>
    </row>
    <row r="21">
      <c r="A21" s="15"/>
      <c r="B21" s="15"/>
      <c r="C21" s="15"/>
      <c r="D21" s="8"/>
      <c r="E21" s="79"/>
      <c r="F21" s="15"/>
      <c r="G21" s="15"/>
      <c r="H21" s="18" t="str">
        <f>IF($B21="","",Paramètres!$C$29)</f>
        <v/>
      </c>
      <c r="I21" s="19"/>
      <c r="J21" s="19"/>
      <c r="K21" s="19"/>
      <c r="L21" s="18" t="str">
        <f>IF($B21="","",SUM(I21:K21))</f>
        <v/>
      </c>
      <c r="M21" s="18" t="str">
        <f>IF($B21="","",H21-L21)</f>
        <v/>
      </c>
      <c r="N21" s="18" t="str">
        <f>IF($B21="","",IF(R21="Ancien",0,Paramètres!$D$29))</f>
        <v/>
      </c>
      <c r="O21" s="19"/>
      <c r="P21" s="18" t="str">
        <f>IF($B21="","",N21-O21)</f>
        <v/>
      </c>
      <c r="Q21" s="8" t="str">
        <f>IF($B21="","",IF(AND(M21&lt;=0,P21&lt;=0),"Soldé","En retard"))</f>
        <v/>
      </c>
      <c r="R21" s="8"/>
    </row>
    <row r="22">
      <c r="A22" s="20"/>
      <c r="B22" s="20"/>
      <c r="C22" s="20"/>
      <c r="D22" s="21"/>
      <c r="E22" s="77"/>
      <c r="F22" s="20"/>
      <c r="G22" s="20"/>
      <c r="H22" s="18" t="str">
        <f>IF($B22="","",Paramètres!$C$29)</f>
        <v/>
      </c>
      <c r="I22" s="19"/>
      <c r="J22" s="19"/>
      <c r="K22" s="19"/>
      <c r="L22" s="18" t="str">
        <f>IF($B22="","",SUM(I22:K22))</f>
        <v/>
      </c>
      <c r="M22" s="18" t="str">
        <f>IF($B22="","",H22-L22)</f>
        <v/>
      </c>
      <c r="N22" s="18" t="str">
        <f>IF($B22="","",IF(R22="Ancien",0,Paramètres!$D$29))</f>
        <v/>
      </c>
      <c r="O22" s="19"/>
      <c r="P22" s="18" t="str">
        <f>IF($B22="","",N22-O22)</f>
        <v/>
      </c>
      <c r="Q22" s="21" t="str">
        <f>IF($B22="","",IF(AND(M22&lt;=0,P22&lt;=0),"Soldé","En retard"))</f>
        <v/>
      </c>
      <c r="R22" s="21"/>
    </row>
    <row r="23">
      <c r="A23" s="15"/>
      <c r="B23" s="15"/>
      <c r="C23" s="15"/>
      <c r="D23" s="8"/>
      <c r="E23" s="79"/>
      <c r="F23" s="15"/>
      <c r="G23" s="15"/>
      <c r="H23" s="18" t="str">
        <f>IF($B23="","",Paramètres!$C$29)</f>
        <v/>
      </c>
      <c r="I23" s="19"/>
      <c r="J23" s="19"/>
      <c r="K23" s="19"/>
      <c r="L23" s="18" t="str">
        <f>IF($B23="","",SUM(I23:K23))</f>
        <v/>
      </c>
      <c r="M23" s="18" t="str">
        <f>IF($B23="","",H23-L23)</f>
        <v/>
      </c>
      <c r="N23" s="18" t="str">
        <f>IF($B23="","",IF(R23="Ancien",0,Paramètres!$D$29))</f>
        <v/>
      </c>
      <c r="O23" s="19"/>
      <c r="P23" s="18" t="str">
        <f>IF($B23="","",N23-O23)</f>
        <v/>
      </c>
      <c r="Q23" s="8" t="str">
        <f>IF($B23="","",IF(AND(M23&lt;=0,P23&lt;=0),"Soldé","En retard"))</f>
        <v/>
      </c>
      <c r="R23" s="8"/>
    </row>
    <row r="24">
      <c r="A24" s="20"/>
      <c r="B24" s="20"/>
      <c r="C24" s="20"/>
      <c r="D24" s="21"/>
      <c r="E24" s="77"/>
      <c r="F24" s="20"/>
      <c r="G24" s="20"/>
      <c r="H24" s="18" t="str">
        <f>IF($B24="","",Paramètres!$C$29)</f>
        <v/>
      </c>
      <c r="I24" s="19"/>
      <c r="J24" s="19"/>
      <c r="K24" s="19"/>
      <c r="L24" s="18" t="str">
        <f>IF($B24="","",SUM(I24:K24))</f>
        <v/>
      </c>
      <c r="M24" s="18" t="str">
        <f>IF($B24="","",H24-L24)</f>
        <v/>
      </c>
      <c r="N24" s="18" t="str">
        <f>IF($B24="","",IF(R24="Ancien",0,Paramètres!$D$29))</f>
        <v/>
      </c>
      <c r="O24" s="19"/>
      <c r="P24" s="18" t="str">
        <f>IF($B24="","",N24-O24)</f>
        <v/>
      </c>
      <c r="Q24" s="21" t="str">
        <f>IF($B24="","",IF(AND(M24&lt;=0,P24&lt;=0),"Soldé","En retard"))</f>
        <v/>
      </c>
      <c r="R24" s="21"/>
    </row>
    <row r="25">
      <c r="A25" s="15"/>
      <c r="B25" s="15"/>
      <c r="C25" s="15"/>
      <c r="D25" s="8"/>
      <c r="E25" s="79"/>
      <c r="F25" s="15"/>
      <c r="G25" s="15"/>
      <c r="H25" s="18" t="str">
        <f>IF($B25="","",Paramètres!$C$29)</f>
        <v/>
      </c>
      <c r="I25" s="19"/>
      <c r="J25" s="19"/>
      <c r="K25" s="19"/>
      <c r="L25" s="18" t="str">
        <f>IF($B25="","",SUM(I25:K25))</f>
        <v/>
      </c>
      <c r="M25" s="18" t="str">
        <f>IF($B25="","",H25-L25)</f>
        <v/>
      </c>
      <c r="N25" s="18" t="str">
        <f>IF($B25="","",IF(R25="Ancien",0,Paramètres!$D$29))</f>
        <v/>
      </c>
      <c r="O25" s="19"/>
      <c r="P25" s="18" t="str">
        <f>IF($B25="","",N25-O25)</f>
        <v/>
      </c>
      <c r="Q25" s="8" t="str">
        <f>IF($B25="","",IF(AND(M25&lt;=0,P25&lt;=0),"Soldé","En retard"))</f>
        <v/>
      </c>
      <c r="R25" s="8"/>
    </row>
    <row r="26">
      <c r="A26" s="20"/>
      <c r="B26" s="20"/>
      <c r="C26" s="20"/>
      <c r="D26" s="21"/>
      <c r="E26" s="77"/>
      <c r="F26" s="20"/>
      <c r="G26" s="20"/>
      <c r="H26" s="18" t="str">
        <f>IF($B26="","",Paramètres!$C$29)</f>
        <v/>
      </c>
      <c r="I26" s="19"/>
      <c r="J26" s="19"/>
      <c r="K26" s="19"/>
      <c r="L26" s="18" t="str">
        <f>IF($B26="","",SUM(I26:K26))</f>
        <v/>
      </c>
      <c r="M26" s="18" t="str">
        <f>IF($B26="","",H26-L26)</f>
        <v/>
      </c>
      <c r="N26" s="18" t="str">
        <f>IF($B26="","",IF(R26="Ancien",0,Paramètres!$D$29))</f>
        <v/>
      </c>
      <c r="O26" s="19"/>
      <c r="P26" s="18" t="str">
        <f>IF($B26="","",N26-O26)</f>
        <v/>
      </c>
      <c r="Q26" s="21" t="str">
        <f>IF($B26="","",IF(AND(M26&lt;=0,P26&lt;=0),"Soldé","En retard"))</f>
        <v/>
      </c>
      <c r="R26" s="21"/>
    </row>
    <row r="27">
      <c r="A27" s="15"/>
      <c r="B27" s="15"/>
      <c r="C27" s="15"/>
      <c r="D27" s="8"/>
      <c r="E27" s="79"/>
      <c r="F27" s="15"/>
      <c r="G27" s="15"/>
      <c r="H27" s="18" t="str">
        <f>IF($B27="","",Paramètres!$C$29)</f>
        <v/>
      </c>
      <c r="I27" s="19"/>
      <c r="J27" s="19"/>
      <c r="K27" s="19"/>
      <c r="L27" s="18" t="str">
        <f>IF($B27="","",SUM(I27:K27))</f>
        <v/>
      </c>
      <c r="M27" s="18" t="str">
        <f>IF($B27="","",H27-L27)</f>
        <v/>
      </c>
      <c r="N27" s="18" t="str">
        <f>IF($B27="","",IF(R27="Ancien",0,Paramètres!$D$29))</f>
        <v/>
      </c>
      <c r="O27" s="19"/>
      <c r="P27" s="18" t="str">
        <f>IF($B27="","",N27-O27)</f>
        <v/>
      </c>
      <c r="Q27" s="8" t="str">
        <f>IF($B27="","",IF(AND(M27&lt;=0,P27&lt;=0),"Soldé","En retard"))</f>
        <v/>
      </c>
      <c r="R27" s="8"/>
    </row>
    <row r="28">
      <c r="A28" s="20"/>
      <c r="B28" s="20"/>
      <c r="C28" s="20"/>
      <c r="D28" s="21"/>
      <c r="E28" s="77"/>
      <c r="F28" s="20"/>
      <c r="G28" s="20"/>
      <c r="H28" s="18" t="str">
        <f>IF($B28="","",Paramètres!$C$29)</f>
        <v/>
      </c>
      <c r="I28" s="19"/>
      <c r="J28" s="19"/>
      <c r="K28" s="19"/>
      <c r="L28" s="18" t="str">
        <f>IF($B28="","",SUM(I28:K28))</f>
        <v/>
      </c>
      <c r="M28" s="18" t="str">
        <f>IF($B28="","",H28-L28)</f>
        <v/>
      </c>
      <c r="N28" s="18" t="str">
        <f>IF($B28="","",IF(R28="Ancien",0,Paramètres!$D$29))</f>
        <v/>
      </c>
      <c r="O28" s="19"/>
      <c r="P28" s="18" t="str">
        <f>IF($B28="","",N28-O28)</f>
        <v/>
      </c>
      <c r="Q28" s="21" t="str">
        <f>IF($B28="","",IF(AND(M28&lt;=0,P28&lt;=0),"Soldé","En retard"))</f>
        <v/>
      </c>
      <c r="R28" s="21"/>
    </row>
    <row r="29">
      <c r="A29" s="15"/>
      <c r="B29" s="15"/>
      <c r="C29" s="15"/>
      <c r="D29" s="8"/>
      <c r="E29" s="79"/>
      <c r="F29" s="15"/>
      <c r="G29" s="15"/>
      <c r="H29" s="18" t="str">
        <f>IF($B29="","",Paramètres!$C$29)</f>
        <v/>
      </c>
      <c r="I29" s="19"/>
      <c r="J29" s="19"/>
      <c r="K29" s="19"/>
      <c r="L29" s="18" t="str">
        <f>IF($B29="","",SUM(I29:K29))</f>
        <v/>
      </c>
      <c r="M29" s="18" t="str">
        <f>IF($B29="","",H29-L29)</f>
        <v/>
      </c>
      <c r="N29" s="18" t="str">
        <f>IF($B29="","",IF(R29="Ancien",0,Paramètres!$D$29))</f>
        <v/>
      </c>
      <c r="O29" s="19"/>
      <c r="P29" s="18" t="str">
        <f>IF($B29="","",N29-O29)</f>
        <v/>
      </c>
      <c r="Q29" s="8" t="str">
        <f>IF($B29="","",IF(AND(M29&lt;=0,P29&lt;=0),"Soldé","En retard"))</f>
        <v/>
      </c>
      <c r="R29" s="8"/>
    </row>
    <row r="30">
      <c r="A30" s="20"/>
      <c r="B30" s="20"/>
      <c r="C30" s="20"/>
      <c r="D30" s="21"/>
      <c r="E30" s="77"/>
      <c r="F30" s="20"/>
      <c r="G30" s="20"/>
      <c r="H30" s="18" t="str">
        <f>IF($B30="","",Paramètres!$C$29)</f>
        <v/>
      </c>
      <c r="I30" s="19"/>
      <c r="J30" s="19"/>
      <c r="K30" s="19"/>
      <c r="L30" s="18" t="str">
        <f>IF($B30="","",SUM(I30:K30))</f>
        <v/>
      </c>
      <c r="M30" s="18" t="str">
        <f>IF($B30="","",H30-L30)</f>
        <v/>
      </c>
      <c r="N30" s="18" t="str">
        <f>IF($B30="","",IF(R30="Ancien",0,Paramètres!$D$29))</f>
        <v/>
      </c>
      <c r="O30" s="19"/>
      <c r="P30" s="18" t="str">
        <f>IF($B30="","",N30-O30)</f>
        <v/>
      </c>
      <c r="Q30" s="21" t="str">
        <f>IF($B30="","",IF(AND(M30&lt;=0,P30&lt;=0),"Soldé","En retard"))</f>
        <v/>
      </c>
      <c r="R30" s="21"/>
    </row>
    <row r="31">
      <c r="A31" s="15"/>
      <c r="B31" s="15"/>
      <c r="C31" s="15"/>
      <c r="D31" s="8"/>
      <c r="E31" s="79"/>
      <c r="F31" s="15"/>
      <c r="G31" s="15"/>
      <c r="H31" s="18" t="str">
        <f>IF($B31="","",Paramètres!$C$29)</f>
        <v/>
      </c>
      <c r="I31" s="19"/>
      <c r="J31" s="19"/>
      <c r="K31" s="19"/>
      <c r="L31" s="18" t="str">
        <f>IF($B31="","",SUM(I31:K31))</f>
        <v/>
      </c>
      <c r="M31" s="18" t="str">
        <f>IF($B31="","",H31-L31)</f>
        <v/>
      </c>
      <c r="N31" s="18" t="str">
        <f>IF($B31="","",IF(R31="Ancien",0,Paramètres!$D$29))</f>
        <v/>
      </c>
      <c r="O31" s="19"/>
      <c r="P31" s="18" t="str">
        <f>IF($B31="","",N31-O31)</f>
        <v/>
      </c>
      <c r="Q31" s="8" t="str">
        <f>IF($B31="","",IF(AND(M31&lt;=0,P31&lt;=0),"Soldé","En retard"))</f>
        <v/>
      </c>
      <c r="R31" s="8"/>
    </row>
    <row r="32">
      <c r="A32" s="20"/>
      <c r="B32" s="20"/>
      <c r="C32" s="20"/>
      <c r="D32" s="21"/>
      <c r="E32" s="77"/>
      <c r="F32" s="20"/>
      <c r="G32" s="20"/>
      <c r="H32" s="18" t="str">
        <f>IF($B32="","",Paramètres!$C$29)</f>
        <v/>
      </c>
      <c r="I32" s="19"/>
      <c r="J32" s="19"/>
      <c r="K32" s="19"/>
      <c r="L32" s="18" t="str">
        <f>IF($B32="","",SUM(I32:K32))</f>
        <v/>
      </c>
      <c r="M32" s="18" t="str">
        <f>IF($B32="","",H32-L32)</f>
        <v/>
      </c>
      <c r="N32" s="18" t="str">
        <f>IF($B32="","",IF(R32="Ancien",0,Paramètres!$D$29))</f>
        <v/>
      </c>
      <c r="O32" s="19"/>
      <c r="P32" s="18" t="str">
        <f>IF($B32="","",N32-O32)</f>
        <v/>
      </c>
      <c r="Q32" s="21" t="str">
        <f>IF($B32="","",IF(AND(M32&lt;=0,P32&lt;=0),"Soldé","En retard"))</f>
        <v/>
      </c>
      <c r="R32" s="21"/>
    </row>
    <row r="33">
      <c r="A33" s="15"/>
      <c r="B33" s="15"/>
      <c r="C33" s="15"/>
      <c r="D33" s="8"/>
      <c r="E33" s="79"/>
      <c r="F33" s="15"/>
      <c r="G33" s="15"/>
      <c r="H33" s="18" t="str">
        <f>IF($B33="","",Paramètres!$C$29)</f>
        <v/>
      </c>
      <c r="I33" s="19"/>
      <c r="J33" s="19"/>
      <c r="K33" s="19"/>
      <c r="L33" s="18" t="str">
        <f>IF($B33="","",SUM(I33:K33))</f>
        <v/>
      </c>
      <c r="M33" s="18" t="str">
        <f>IF($B33="","",H33-L33)</f>
        <v/>
      </c>
      <c r="N33" s="18" t="str">
        <f>IF($B33="","",IF(R33="Ancien",0,Paramètres!$D$29))</f>
        <v/>
      </c>
      <c r="O33" s="19"/>
      <c r="P33" s="18" t="str">
        <f>IF($B33="","",N33-O33)</f>
        <v/>
      </c>
      <c r="Q33" s="8" t="str">
        <f>IF($B33="","",IF(AND(M33&lt;=0,P33&lt;=0),"Soldé","En retard"))</f>
        <v/>
      </c>
      <c r="R33" s="8"/>
    </row>
    <row r="34">
      <c r="A34" s="20"/>
      <c r="B34" s="20"/>
      <c r="C34" s="20"/>
      <c r="D34" s="21"/>
      <c r="E34" s="77"/>
      <c r="F34" s="20"/>
      <c r="G34" s="20"/>
      <c r="H34" s="18" t="str">
        <f>IF($B34="","",Paramètres!$C$29)</f>
        <v/>
      </c>
      <c r="I34" s="19"/>
      <c r="J34" s="19"/>
      <c r="K34" s="19"/>
      <c r="L34" s="18" t="str">
        <f>IF($B34="","",SUM(I34:K34))</f>
        <v/>
      </c>
      <c r="M34" s="18" t="str">
        <f>IF($B34="","",H34-L34)</f>
        <v/>
      </c>
      <c r="N34" s="18" t="str">
        <f>IF($B34="","",IF(R34="Ancien",0,Paramètres!$D$29))</f>
        <v/>
      </c>
      <c r="O34" s="19"/>
      <c r="P34" s="18" t="str">
        <f>IF($B34="","",N34-O34)</f>
        <v/>
      </c>
      <c r="Q34" s="21" t="str">
        <f>IF($B34="","",IF(AND(M34&lt;=0,P34&lt;=0),"Soldé","En retard"))</f>
        <v/>
      </c>
      <c r="R34" s="21"/>
    </row>
    <row r="35">
      <c r="A35" s="15"/>
      <c r="B35" s="15"/>
      <c r="C35" s="15"/>
      <c r="D35" s="8"/>
      <c r="E35" s="79"/>
      <c r="F35" s="15"/>
      <c r="G35" s="15"/>
      <c r="H35" s="18" t="str">
        <f>IF($B35="","",Paramètres!$C$29)</f>
        <v/>
      </c>
      <c r="I35" s="19"/>
      <c r="J35" s="19"/>
      <c r="K35" s="19"/>
      <c r="L35" s="18" t="str">
        <f>IF($B35="","",SUM(I35:K35))</f>
        <v/>
      </c>
      <c r="M35" s="18" t="str">
        <f>IF($B35="","",H35-L35)</f>
        <v/>
      </c>
      <c r="N35" s="18" t="str">
        <f>IF($B35="","",IF(R35="Ancien",0,Paramètres!$D$29))</f>
        <v/>
      </c>
      <c r="O35" s="19"/>
      <c r="P35" s="18" t="str">
        <f>IF($B35="","",N35-O35)</f>
        <v/>
      </c>
      <c r="Q35" s="8" t="str">
        <f>IF($B35="","",IF(AND(M35&lt;=0,P35&lt;=0),"Soldé","En retard"))</f>
        <v/>
      </c>
      <c r="R35" s="8"/>
    </row>
    <row r="36">
      <c r="A36" s="20"/>
      <c r="B36" s="20"/>
      <c r="C36" s="20"/>
      <c r="D36" s="21"/>
      <c r="E36" s="77"/>
      <c r="F36" s="20"/>
      <c r="G36" s="20"/>
      <c r="H36" s="18" t="str">
        <f>IF($B36="","",Paramètres!$C$29)</f>
        <v/>
      </c>
      <c r="I36" s="19"/>
      <c r="J36" s="19"/>
      <c r="K36" s="19"/>
      <c r="L36" s="18" t="str">
        <f>IF($B36="","",SUM(I36:K36))</f>
        <v/>
      </c>
      <c r="M36" s="18" t="str">
        <f>IF($B36="","",H36-L36)</f>
        <v/>
      </c>
      <c r="N36" s="18" t="str">
        <f>IF($B36="","",IF(R36="Ancien",0,Paramètres!$D$29))</f>
        <v/>
      </c>
      <c r="O36" s="19"/>
      <c r="P36" s="18" t="str">
        <f>IF($B36="","",N36-O36)</f>
        <v/>
      </c>
      <c r="Q36" s="21" t="str">
        <f>IF($B36="","",IF(AND(M36&lt;=0,P36&lt;=0),"Soldé","En retard"))</f>
        <v/>
      </c>
      <c r="R36" s="21"/>
    </row>
    <row r="37">
      <c r="A37" s="15"/>
      <c r="B37" s="15"/>
      <c r="C37" s="15"/>
      <c r="D37" s="8"/>
      <c r="E37" s="79"/>
      <c r="F37" s="15"/>
      <c r="G37" s="15"/>
      <c r="H37" s="18" t="str">
        <f>IF($B37="","",Paramètres!$C$29)</f>
        <v/>
      </c>
      <c r="I37" s="19"/>
      <c r="J37" s="19"/>
      <c r="K37" s="19"/>
      <c r="L37" s="18" t="str">
        <f>IF($B37="","",SUM(I37:K37))</f>
        <v/>
      </c>
      <c r="M37" s="18" t="str">
        <f>IF($B37="","",H37-L37)</f>
        <v/>
      </c>
      <c r="N37" s="18" t="str">
        <f>IF($B37="","",IF(R37="Ancien",0,Paramètres!$D$29))</f>
        <v/>
      </c>
      <c r="O37" s="19"/>
      <c r="P37" s="18" t="str">
        <f>IF($B37="","",N37-O37)</f>
        <v/>
      </c>
      <c r="Q37" s="8" t="str">
        <f>IF($B37="","",IF(AND(M37&lt;=0,P37&lt;=0),"Soldé","En retard"))</f>
        <v/>
      </c>
      <c r="R37" s="8"/>
    </row>
    <row r="38">
      <c r="A38" s="20"/>
      <c r="B38" s="20"/>
      <c r="C38" s="20"/>
      <c r="D38" s="21"/>
      <c r="E38" s="77"/>
      <c r="F38" s="20"/>
      <c r="G38" s="20"/>
      <c r="H38" s="18" t="str">
        <f>IF($B38="","",Paramètres!$C$29)</f>
        <v/>
      </c>
      <c r="I38" s="19"/>
      <c r="J38" s="19"/>
      <c r="K38" s="19"/>
      <c r="L38" s="18" t="str">
        <f>IF($B38="","",SUM(I38:K38))</f>
        <v/>
      </c>
      <c r="M38" s="18" t="str">
        <f>IF($B38="","",H38-L38)</f>
        <v/>
      </c>
      <c r="N38" s="18" t="str">
        <f>IF($B38="","",IF(R38="Ancien",0,Paramètres!$D$29))</f>
        <v/>
      </c>
      <c r="O38" s="19"/>
      <c r="P38" s="18" t="str">
        <f>IF($B38="","",N38-O38)</f>
        <v/>
      </c>
      <c r="Q38" s="21" t="str">
        <f>IF($B38="","",IF(AND(M38&lt;=0,P38&lt;=0),"Soldé","En retard"))</f>
        <v/>
      </c>
      <c r="R38" s="21"/>
    </row>
    <row r="39">
      <c r="A39" s="15"/>
      <c r="B39" s="15"/>
      <c r="C39" s="15"/>
      <c r="D39" s="8"/>
      <c r="E39" s="79"/>
      <c r="F39" s="15"/>
      <c r="G39" s="15"/>
      <c r="H39" s="18" t="str">
        <f>IF($B39="","",Paramètres!$C$29)</f>
        <v/>
      </c>
      <c r="I39" s="19"/>
      <c r="J39" s="19"/>
      <c r="K39" s="19"/>
      <c r="L39" s="18" t="str">
        <f>IF($B39="","",SUM(I39:K39))</f>
        <v/>
      </c>
      <c r="M39" s="18" t="str">
        <f>IF($B39="","",H39-L39)</f>
        <v/>
      </c>
      <c r="N39" s="18" t="str">
        <f>IF($B39="","",IF(R39="Ancien",0,Paramètres!$D$29))</f>
        <v/>
      </c>
      <c r="O39" s="19"/>
      <c r="P39" s="18" t="str">
        <f>IF($B39="","",N39-O39)</f>
        <v/>
      </c>
      <c r="Q39" s="8" t="str">
        <f>IF($B39="","",IF(AND(M39&lt;=0,P39&lt;=0),"Soldé","En retard"))</f>
        <v/>
      </c>
      <c r="R39" s="8"/>
    </row>
    <row r="40">
      <c r="A40" s="20"/>
      <c r="B40" s="20"/>
      <c r="C40" s="20"/>
      <c r="D40" s="21"/>
      <c r="E40" s="77"/>
      <c r="F40" s="20"/>
      <c r="G40" s="20"/>
      <c r="H40" s="18" t="str">
        <f>IF($B40="","",Paramètres!$C$29)</f>
        <v/>
      </c>
      <c r="I40" s="19"/>
      <c r="J40" s="19"/>
      <c r="K40" s="19"/>
      <c r="L40" s="18" t="str">
        <f>IF($B40="","",SUM(I40:K40))</f>
        <v/>
      </c>
      <c r="M40" s="18" t="str">
        <f>IF($B40="","",H40-L40)</f>
        <v/>
      </c>
      <c r="N40" s="18" t="str">
        <f>IF($B40="","",IF(R40="Ancien",0,Paramètres!$D$29))</f>
        <v/>
      </c>
      <c r="O40" s="19"/>
      <c r="P40" s="18" t="str">
        <f>IF($B40="","",N40-O40)</f>
        <v/>
      </c>
      <c r="Q40" s="21" t="str">
        <f>IF($B40="","",IF(AND(M40&lt;=0,P40&lt;=0),"Soldé","En retard"))</f>
        <v/>
      </c>
      <c r="R40" s="21"/>
    </row>
    <row r="41">
      <c r="A41" s="15"/>
      <c r="B41" s="15"/>
      <c r="C41" s="15"/>
      <c r="D41" s="8"/>
      <c r="E41" s="79"/>
      <c r="F41" s="15"/>
      <c r="G41" s="15"/>
      <c r="H41" s="18" t="str">
        <f>IF($B41="","",Paramètres!$C$29)</f>
        <v/>
      </c>
      <c r="I41" s="19"/>
      <c r="J41" s="19"/>
      <c r="K41" s="19"/>
      <c r="L41" s="18" t="str">
        <f>IF($B41="","",SUM(I41:K41))</f>
        <v/>
      </c>
      <c r="M41" s="18" t="str">
        <f>IF($B41="","",H41-L41)</f>
        <v/>
      </c>
      <c r="N41" s="18" t="str">
        <f>IF($B41="","",IF(R41="Ancien",0,Paramètres!$D$29))</f>
        <v/>
      </c>
      <c r="O41" s="19"/>
      <c r="P41" s="18" t="str">
        <f>IF($B41="","",N41-O41)</f>
        <v/>
      </c>
      <c r="Q41" s="8" t="str">
        <f>IF($B41="","",IF(AND(M41&lt;=0,P41&lt;=0),"Soldé","En retard"))</f>
        <v/>
      </c>
      <c r="R41" s="8"/>
    </row>
    <row r="42">
      <c r="A42" s="20"/>
      <c r="B42" s="20"/>
      <c r="C42" s="20"/>
      <c r="D42" s="21"/>
      <c r="E42" s="77"/>
      <c r="F42" s="20"/>
      <c r="G42" s="20"/>
      <c r="H42" s="18" t="str">
        <f>IF($B42="","",Paramètres!$C$29)</f>
        <v/>
      </c>
      <c r="I42" s="19"/>
      <c r="J42" s="19"/>
      <c r="K42" s="19"/>
      <c r="L42" s="18" t="str">
        <f>IF($B42="","",SUM(I42:K42))</f>
        <v/>
      </c>
      <c r="M42" s="18" t="str">
        <f>IF($B42="","",H42-L42)</f>
        <v/>
      </c>
      <c r="N42" s="18" t="str">
        <f>IF($B42="","",IF(R42="Ancien",0,Paramètres!$D$29))</f>
        <v/>
      </c>
      <c r="O42" s="19"/>
      <c r="P42" s="18" t="str">
        <f>IF($B42="","",N42-O42)</f>
        <v/>
      </c>
      <c r="Q42" s="21" t="str">
        <f>IF($B42="","",IF(AND(M42&lt;=0,P42&lt;=0),"Soldé","En retard"))</f>
        <v/>
      </c>
      <c r="R42" s="21"/>
    </row>
    <row r="43">
      <c r="A43" s="15"/>
      <c r="B43" s="15"/>
      <c r="C43" s="15"/>
      <c r="D43" s="8"/>
      <c r="E43" s="79"/>
      <c r="F43" s="15"/>
      <c r="G43" s="15"/>
      <c r="H43" s="18" t="str">
        <f>IF($B43="","",Paramètres!$C$29)</f>
        <v/>
      </c>
      <c r="I43" s="19"/>
      <c r="J43" s="19"/>
      <c r="K43" s="19"/>
      <c r="L43" s="18" t="str">
        <f>IF($B43="","",SUM(I43:K43))</f>
        <v/>
      </c>
      <c r="M43" s="18" t="str">
        <f>IF($B43="","",H43-L43)</f>
        <v/>
      </c>
      <c r="N43" s="18" t="str">
        <f>IF($B43="","",IF(R43="Ancien",0,Paramètres!$D$29))</f>
        <v/>
      </c>
      <c r="O43" s="19"/>
      <c r="P43" s="18" t="str">
        <f>IF($B43="","",N43-O43)</f>
        <v/>
      </c>
      <c r="Q43" s="8" t="str">
        <f>IF($B43="","",IF(AND(M43&lt;=0,P43&lt;=0),"Soldé","En retard"))</f>
        <v/>
      </c>
      <c r="R43" s="8"/>
    </row>
    <row r="44">
      <c r="A44" s="20"/>
      <c r="B44" s="20"/>
      <c r="C44" s="20"/>
      <c r="D44" s="21"/>
      <c r="E44" s="77"/>
      <c r="F44" s="20"/>
      <c r="G44" s="20"/>
      <c r="H44" s="18" t="str">
        <f>IF($B44="","",Paramètres!$C$29)</f>
        <v/>
      </c>
      <c r="I44" s="19"/>
      <c r="J44" s="19"/>
      <c r="K44" s="19"/>
      <c r="L44" s="18" t="str">
        <f>IF($B44="","",SUM(I44:K44))</f>
        <v/>
      </c>
      <c r="M44" s="18" t="str">
        <f>IF($B44="","",H44-L44)</f>
        <v/>
      </c>
      <c r="N44" s="18" t="str">
        <f>IF($B44="","",IF(R44="Ancien",0,Paramètres!$D$29))</f>
        <v/>
      </c>
      <c r="O44" s="19"/>
      <c r="P44" s="18" t="str">
        <f>IF($B44="","",N44-O44)</f>
        <v/>
      </c>
      <c r="Q44" s="21" t="str">
        <f>IF($B44="","",IF(AND(M44&lt;=0,P44&lt;=0),"Soldé","En retard"))</f>
        <v/>
      </c>
      <c r="R44" s="21"/>
    </row>
    <row r="45">
      <c r="A45" s="15"/>
      <c r="B45" s="15"/>
      <c r="C45" s="15"/>
      <c r="D45" s="8"/>
      <c r="E45" s="79"/>
      <c r="F45" s="15"/>
      <c r="G45" s="15"/>
      <c r="H45" s="18" t="str">
        <f>IF($B45="","",Paramètres!$C$29)</f>
        <v/>
      </c>
      <c r="I45" s="19"/>
      <c r="J45" s="19"/>
      <c r="K45" s="19"/>
      <c r="L45" s="18" t="str">
        <f>IF($B45="","",SUM(I45:K45))</f>
        <v/>
      </c>
      <c r="M45" s="18" t="str">
        <f>IF($B45="","",H45-L45)</f>
        <v/>
      </c>
      <c r="N45" s="18" t="str">
        <f>IF($B45="","",IF(R45="Ancien",0,Paramètres!$D$29))</f>
        <v/>
      </c>
      <c r="O45" s="19"/>
      <c r="P45" s="18" t="str">
        <f>IF($B45="","",N45-O45)</f>
        <v/>
      </c>
      <c r="Q45" s="8" t="str">
        <f>IF($B45="","",IF(AND(M45&lt;=0,P45&lt;=0),"Soldé","En retard"))</f>
        <v/>
      </c>
      <c r="R45" s="8"/>
    </row>
    <row r="46">
      <c r="A46" s="20"/>
      <c r="B46" s="20"/>
      <c r="C46" s="20"/>
      <c r="D46" s="21"/>
      <c r="E46" s="77"/>
      <c r="F46" s="20"/>
      <c r="G46" s="20"/>
      <c r="H46" s="18" t="str">
        <f>IF($B46="","",Paramètres!$C$29)</f>
        <v/>
      </c>
      <c r="I46" s="19"/>
      <c r="J46" s="19"/>
      <c r="K46" s="19"/>
      <c r="L46" s="18" t="str">
        <f>IF($B46="","",SUM(I46:K46))</f>
        <v/>
      </c>
      <c r="M46" s="18" t="str">
        <f>IF($B46="","",H46-L46)</f>
        <v/>
      </c>
      <c r="N46" s="18" t="str">
        <f>IF($B46="","",IF(R46="Ancien",0,Paramètres!$D$29))</f>
        <v/>
      </c>
      <c r="O46" s="19"/>
      <c r="P46" s="18" t="str">
        <f>IF($B46="","",N46-O46)</f>
        <v/>
      </c>
      <c r="Q46" s="21" t="str">
        <f>IF($B46="","",IF(AND(M46&lt;=0,P46&lt;=0),"Soldé","En retard"))</f>
        <v/>
      </c>
      <c r="R46" s="21"/>
    </row>
    <row r="47">
      <c r="A47" s="15"/>
      <c r="B47" s="15"/>
      <c r="C47" s="15"/>
      <c r="D47" s="8"/>
      <c r="E47" s="79"/>
      <c r="F47" s="15"/>
      <c r="G47" s="15"/>
      <c r="H47" s="18" t="str">
        <f>IF($B47="","",Paramètres!$C$29)</f>
        <v/>
      </c>
      <c r="I47" s="19"/>
      <c r="J47" s="19"/>
      <c r="K47" s="19"/>
      <c r="L47" s="18" t="str">
        <f>IF($B47="","",SUM(I47:K47))</f>
        <v/>
      </c>
      <c r="M47" s="18" t="str">
        <f>IF($B47="","",H47-L47)</f>
        <v/>
      </c>
      <c r="N47" s="18" t="str">
        <f>IF($B47="","",IF(R47="Ancien",0,Paramètres!$D$29))</f>
        <v/>
      </c>
      <c r="O47" s="19"/>
      <c r="P47" s="18" t="str">
        <f>IF($B47="","",N47-O47)</f>
        <v/>
      </c>
      <c r="Q47" s="8" t="str">
        <f>IF($B47="","",IF(AND(M47&lt;=0,P47&lt;=0),"Soldé","En retard"))</f>
        <v/>
      </c>
      <c r="R47" s="8"/>
    </row>
    <row r="48">
      <c r="A48" s="20"/>
      <c r="B48" s="20"/>
      <c r="C48" s="20"/>
      <c r="D48" s="21"/>
      <c r="E48" s="77"/>
      <c r="F48" s="20"/>
      <c r="G48" s="20"/>
      <c r="H48" s="18" t="str">
        <f>IF($B48="","",Paramètres!$C$29)</f>
        <v/>
      </c>
      <c r="I48" s="19"/>
      <c r="J48" s="19"/>
      <c r="K48" s="19"/>
      <c r="L48" s="18" t="str">
        <f>IF($B48="","",SUM(I48:K48))</f>
        <v/>
      </c>
      <c r="M48" s="18" t="str">
        <f>IF($B48="","",H48-L48)</f>
        <v/>
      </c>
      <c r="N48" s="18" t="str">
        <f>IF($B48="","",IF(R48="Ancien",0,Paramètres!$D$29))</f>
        <v/>
      </c>
      <c r="O48" s="19"/>
      <c r="P48" s="18" t="str">
        <f>IF($B48="","",N48-O48)</f>
        <v/>
      </c>
      <c r="Q48" s="21" t="str">
        <f>IF($B48="","",IF(AND(M48&lt;=0,P48&lt;=0),"Soldé","En retard"))</f>
        <v/>
      </c>
      <c r="R48" s="21"/>
    </row>
    <row r="49">
      <c r="A49" s="15"/>
      <c r="B49" s="15"/>
      <c r="C49" s="15"/>
      <c r="D49" s="8"/>
      <c r="E49" s="79"/>
      <c r="F49" s="15"/>
      <c r="G49" s="15"/>
      <c r="H49" s="18" t="str">
        <f>IF($B49="","",Paramètres!$C$29)</f>
        <v/>
      </c>
      <c r="I49" s="19"/>
      <c r="J49" s="19"/>
      <c r="K49" s="19"/>
      <c r="L49" s="18" t="str">
        <f>IF($B49="","",SUM(I49:K49))</f>
        <v/>
      </c>
      <c r="M49" s="18" t="str">
        <f>IF($B49="","",H49-L49)</f>
        <v/>
      </c>
      <c r="N49" s="18" t="str">
        <f>IF($B49="","",IF(R49="Ancien",0,Paramètres!$D$29))</f>
        <v/>
      </c>
      <c r="O49" s="19"/>
      <c r="P49" s="18" t="str">
        <f>IF($B49="","",N49-O49)</f>
        <v/>
      </c>
      <c r="Q49" s="8" t="str">
        <f>IF($B49="","",IF(AND(M49&lt;=0,P49&lt;=0),"Soldé","En retard"))</f>
        <v/>
      </c>
      <c r="R49" s="8"/>
    </row>
    <row r="50">
      <c r="A50" s="20"/>
      <c r="B50" s="20"/>
      <c r="C50" s="20"/>
      <c r="D50" s="21"/>
      <c r="E50" s="77"/>
      <c r="F50" s="20"/>
      <c r="G50" s="20"/>
      <c r="H50" s="18" t="str">
        <f>IF($B50="","",Paramètres!$C$29)</f>
        <v/>
      </c>
      <c r="I50" s="19"/>
      <c r="J50" s="19"/>
      <c r="K50" s="19"/>
      <c r="L50" s="18" t="str">
        <f>IF($B50="","",SUM(I50:K50))</f>
        <v/>
      </c>
      <c r="M50" s="18" t="str">
        <f>IF($B50="","",H50-L50)</f>
        <v/>
      </c>
      <c r="N50" s="18" t="str">
        <f>IF($B50="","",IF(R50="Ancien",0,Paramètres!$D$29))</f>
        <v/>
      </c>
      <c r="O50" s="19"/>
      <c r="P50" s="18" t="str">
        <f>IF($B50="","",N50-O50)</f>
        <v/>
      </c>
      <c r="Q50" s="21" t="str">
        <f>IF($B50="","",IF(AND(M50&lt;=0,P50&lt;=0),"Soldé","En retard"))</f>
        <v/>
      </c>
      <c r="R50" s="21"/>
    </row>
    <row r="51">
      <c r="A51" s="15"/>
      <c r="B51" s="15"/>
      <c r="C51" s="15"/>
      <c r="D51" s="8"/>
      <c r="E51" s="79"/>
      <c r="F51" s="15"/>
      <c r="G51" s="15"/>
      <c r="H51" s="18" t="str">
        <f>IF($B51="","",Paramètres!$C$29)</f>
        <v/>
      </c>
      <c r="I51" s="19"/>
      <c r="J51" s="19"/>
      <c r="K51" s="19"/>
      <c r="L51" s="18" t="str">
        <f>IF($B51="","",SUM(I51:K51))</f>
        <v/>
      </c>
      <c r="M51" s="18" t="str">
        <f>IF($B51="","",H51-L51)</f>
        <v/>
      </c>
      <c r="N51" s="18" t="str">
        <f>IF($B51="","",IF(R51="Ancien",0,Paramètres!$D$29))</f>
        <v/>
      </c>
      <c r="O51" s="19"/>
      <c r="P51" s="18" t="str">
        <f>IF($B51="","",N51-O51)</f>
        <v/>
      </c>
      <c r="Q51" s="8" t="str">
        <f>IF($B51="","",IF(AND(M51&lt;=0,P51&lt;=0),"Soldé","En retard"))</f>
        <v/>
      </c>
      <c r="R51" s="8"/>
    </row>
    <row r="52">
      <c r="A52" s="20"/>
      <c r="B52" s="20"/>
      <c r="C52" s="20"/>
      <c r="D52" s="21"/>
      <c r="E52" s="77"/>
      <c r="F52" s="20"/>
      <c r="G52" s="20"/>
      <c r="H52" s="18" t="str">
        <f>IF($B52="","",Paramètres!$C$29)</f>
        <v/>
      </c>
      <c r="I52" s="19"/>
      <c r="J52" s="19"/>
      <c r="K52" s="19"/>
      <c r="L52" s="18" t="str">
        <f>IF($B52="","",SUM(I52:K52))</f>
        <v/>
      </c>
      <c r="M52" s="18" t="str">
        <f>IF($B52="","",H52-L52)</f>
        <v/>
      </c>
      <c r="N52" s="18" t="str">
        <f>IF($B52="","",IF(R52="Ancien",0,Paramètres!$D$29))</f>
        <v/>
      </c>
      <c r="O52" s="19"/>
      <c r="P52" s="18" t="str">
        <f>IF($B52="","",N52-O52)</f>
        <v/>
      </c>
      <c r="Q52" s="21" t="str">
        <f>IF($B52="","",IF(AND(M52&lt;=0,P52&lt;=0),"Soldé","En retard"))</f>
        <v/>
      </c>
      <c r="R52" s="21"/>
    </row>
    <row r="53">
      <c r="A53" s="15"/>
      <c r="B53" s="15"/>
      <c r="C53" s="15"/>
      <c r="D53" s="8"/>
      <c r="E53" s="79"/>
      <c r="F53" s="15"/>
      <c r="G53" s="15"/>
      <c r="H53" s="18" t="str">
        <f>IF($B53="","",Paramètres!$C$29)</f>
        <v/>
      </c>
      <c r="I53" s="19"/>
      <c r="J53" s="19"/>
      <c r="K53" s="19"/>
      <c r="L53" s="18" t="str">
        <f>IF($B53="","",SUM(I53:K53))</f>
        <v/>
      </c>
      <c r="M53" s="18" t="str">
        <f>IF($B53="","",H53-L53)</f>
        <v/>
      </c>
      <c r="N53" s="18" t="str">
        <f>IF($B53="","",IF(R53="Ancien",0,Paramètres!$D$29))</f>
        <v/>
      </c>
      <c r="O53" s="19"/>
      <c r="P53" s="18" t="str">
        <f>IF($B53="","",N53-O53)</f>
        <v/>
      </c>
      <c r="Q53" s="8" t="str">
        <f>IF($B53="","",IF(AND(M53&lt;=0,P53&lt;=0),"Soldé","En retard"))</f>
        <v/>
      </c>
      <c r="R53" s="8"/>
    </row>
    <row r="54">
      <c r="A54" s="20"/>
      <c r="B54" s="20"/>
      <c r="C54" s="20"/>
      <c r="D54" s="21"/>
      <c r="E54" s="77"/>
      <c r="F54" s="20"/>
      <c r="G54" s="20"/>
      <c r="H54" s="18" t="str">
        <f>IF($B54="","",Paramètres!$C$29)</f>
        <v/>
      </c>
      <c r="I54" s="19"/>
      <c r="J54" s="19"/>
      <c r="K54" s="19"/>
      <c r="L54" s="18" t="str">
        <f>IF($B54="","",SUM(I54:K54))</f>
        <v/>
      </c>
      <c r="M54" s="18" t="str">
        <f>IF($B54="","",H54-L54)</f>
        <v/>
      </c>
      <c r="N54" s="18" t="str">
        <f>IF($B54="","",IF(R54="Ancien",0,Paramètres!$D$29))</f>
        <v/>
      </c>
      <c r="O54" s="19"/>
      <c r="P54" s="18" t="str">
        <f>IF($B54="","",N54-O54)</f>
        <v/>
      </c>
      <c r="Q54" s="21" t="str">
        <f>IF($B54="","",IF(AND(M54&lt;=0,P54&lt;=0),"Soldé","En retard"))</f>
        <v/>
      </c>
      <c r="R54" s="21"/>
    </row>
    <row r="55">
      <c r="A55" s="15"/>
      <c r="B55" s="15"/>
      <c r="C55" s="15"/>
      <c r="D55" s="8"/>
      <c r="E55" s="79"/>
      <c r="F55" s="15"/>
      <c r="G55" s="15"/>
      <c r="H55" s="18" t="str">
        <f>IF($B55="","",Paramètres!$C$29)</f>
        <v/>
      </c>
      <c r="I55" s="19"/>
      <c r="J55" s="19"/>
      <c r="K55" s="19"/>
      <c r="L55" s="18" t="str">
        <f>IF($B55="","",SUM(I55:K55))</f>
        <v/>
      </c>
      <c r="M55" s="18" t="str">
        <f>IF($B55="","",H55-L55)</f>
        <v/>
      </c>
      <c r="N55" s="18" t="str">
        <f>IF($B55="","",IF(R55="Ancien",0,Paramètres!$D$29))</f>
        <v/>
      </c>
      <c r="O55" s="19"/>
      <c r="P55" s="18" t="str">
        <f>IF($B55="","",N55-O55)</f>
        <v/>
      </c>
      <c r="Q55" s="8" t="str">
        <f>IF($B55="","",IF(AND(M55&lt;=0,P55&lt;=0),"Soldé","En retard"))</f>
        <v/>
      </c>
      <c r="R55" s="8"/>
    </row>
    <row r="56">
      <c r="A56" s="20"/>
      <c r="B56" s="20"/>
      <c r="C56" s="20"/>
      <c r="D56" s="21"/>
      <c r="E56" s="77"/>
      <c r="F56" s="20"/>
      <c r="G56" s="20"/>
      <c r="H56" s="18" t="str">
        <f>IF($B56="","",Paramètres!$C$29)</f>
        <v/>
      </c>
      <c r="I56" s="19"/>
      <c r="J56" s="19"/>
      <c r="K56" s="19"/>
      <c r="L56" s="18" t="str">
        <f>IF($B56="","",SUM(I56:K56))</f>
        <v/>
      </c>
      <c r="M56" s="18" t="str">
        <f>IF($B56="","",H56-L56)</f>
        <v/>
      </c>
      <c r="N56" s="18" t="str">
        <f>IF($B56="","",IF(R56="Ancien",0,Paramètres!$D$29))</f>
        <v/>
      </c>
      <c r="O56" s="19"/>
      <c r="P56" s="18" t="str">
        <f>IF($B56="","",N56-O56)</f>
        <v/>
      </c>
      <c r="Q56" s="21" t="str">
        <f>IF($B56="","",IF(AND(M56&lt;=0,P56&lt;=0),"Soldé","En retard"))</f>
        <v/>
      </c>
      <c r="R56" s="21"/>
    </row>
    <row r="57">
      <c r="A57" s="15"/>
      <c r="B57" s="15"/>
      <c r="C57" s="15"/>
      <c r="D57" s="8"/>
      <c r="E57" s="79"/>
      <c r="F57" s="15"/>
      <c r="G57" s="15"/>
      <c r="H57" s="18" t="str">
        <f>IF($B57="","",Paramètres!$C$29)</f>
        <v/>
      </c>
      <c r="I57" s="19"/>
      <c r="J57" s="19"/>
      <c r="K57" s="19"/>
      <c r="L57" s="18" t="str">
        <f>IF($B57="","",SUM(I57:K57))</f>
        <v/>
      </c>
      <c r="M57" s="18" t="str">
        <f>IF($B57="","",H57-L57)</f>
        <v/>
      </c>
      <c r="N57" s="18" t="str">
        <f>IF($B57="","",IF(R57="Ancien",0,Paramètres!$D$29))</f>
        <v/>
      </c>
      <c r="O57" s="19"/>
      <c r="P57" s="18" t="str">
        <f>IF($B57="","",N57-O57)</f>
        <v/>
      </c>
      <c r="Q57" s="8" t="str">
        <f>IF($B57="","",IF(AND(M57&lt;=0,P57&lt;=0),"Soldé","En retard"))</f>
        <v/>
      </c>
      <c r="R57" s="8"/>
    </row>
    <row r="58">
      <c r="A58" s="20"/>
      <c r="B58" s="20"/>
      <c r="C58" s="20"/>
      <c r="D58" s="21"/>
      <c r="E58" s="77"/>
      <c r="F58" s="20"/>
      <c r="G58" s="20"/>
      <c r="H58" s="18" t="str">
        <f>IF($B58="","",Paramètres!$C$29)</f>
        <v/>
      </c>
      <c r="I58" s="19"/>
      <c r="J58" s="19"/>
      <c r="K58" s="19"/>
      <c r="L58" s="18" t="str">
        <f>IF($B58="","",SUM(I58:K58))</f>
        <v/>
      </c>
      <c r="M58" s="18" t="str">
        <f>IF($B58="","",H58-L58)</f>
        <v/>
      </c>
      <c r="N58" s="18" t="str">
        <f>IF($B58="","",IF(R58="Ancien",0,Paramètres!$D$29))</f>
        <v/>
      </c>
      <c r="O58" s="19"/>
      <c r="P58" s="18" t="str">
        <f>IF($B58="","",N58-O58)</f>
        <v/>
      </c>
      <c r="Q58" s="21" t="str">
        <f>IF($B58="","",IF(AND(M58&lt;=0,P58&lt;=0),"Soldé","En retard"))</f>
        <v/>
      </c>
      <c r="R58" s="21"/>
    </row>
    <row r="59">
      <c r="A59" s="15"/>
      <c r="B59" s="15"/>
      <c r="C59" s="15"/>
      <c r="D59" s="8"/>
      <c r="E59" s="79"/>
      <c r="F59" s="15"/>
      <c r="G59" s="15"/>
      <c r="H59" s="18" t="str">
        <f>IF($B59="","",Paramètres!$C$29)</f>
        <v/>
      </c>
      <c r="I59" s="19"/>
      <c r="J59" s="19"/>
      <c r="K59" s="19"/>
      <c r="L59" s="18" t="str">
        <f>IF($B59="","",SUM(I59:K59))</f>
        <v/>
      </c>
      <c r="M59" s="18" t="str">
        <f>IF($B59="","",H59-L59)</f>
        <v/>
      </c>
      <c r="N59" s="18" t="str">
        <f>IF($B59="","",IF(R59="Ancien",0,Paramètres!$D$29))</f>
        <v/>
      </c>
      <c r="O59" s="19"/>
      <c r="P59" s="18" t="str">
        <f>IF($B59="","",N59-O59)</f>
        <v/>
      </c>
      <c r="Q59" s="8" t="str">
        <f>IF($B59="","",IF(AND(M59&lt;=0,P59&lt;=0),"Soldé","En retard"))</f>
        <v/>
      </c>
      <c r="R59" s="8"/>
    </row>
    <row r="60">
      <c r="A60" s="20"/>
      <c r="B60" s="20"/>
      <c r="C60" s="20"/>
      <c r="D60" s="21"/>
      <c r="E60" s="77"/>
      <c r="F60" s="20"/>
      <c r="G60" s="20"/>
      <c r="H60" s="18" t="str">
        <f>IF($B60="","",Paramètres!$C$29)</f>
        <v/>
      </c>
      <c r="I60" s="19"/>
      <c r="J60" s="19"/>
      <c r="K60" s="19"/>
      <c r="L60" s="18" t="str">
        <f>IF($B60="","",SUM(I60:K60))</f>
        <v/>
      </c>
      <c r="M60" s="18" t="str">
        <f>IF($B60="","",H60-L60)</f>
        <v/>
      </c>
      <c r="N60" s="18" t="str">
        <f>IF($B60="","",IF(R60="Ancien",0,Paramètres!$D$29))</f>
        <v/>
      </c>
      <c r="O60" s="19"/>
      <c r="P60" s="18" t="str">
        <f>IF($B60="","",N60-O60)</f>
        <v/>
      </c>
      <c r="Q60" s="21" t="str">
        <f>IF($B60="","",IF(AND(M60&lt;=0,P60&lt;=0),"Soldé","En retard"))</f>
        <v/>
      </c>
      <c r="R60" s="21"/>
    </row>
    <row r="61">
      <c r="A61" s="15"/>
      <c r="B61" s="15"/>
      <c r="C61" s="15"/>
      <c r="D61" s="8"/>
      <c r="E61" s="79"/>
      <c r="F61" s="15"/>
      <c r="G61" s="15"/>
      <c r="H61" s="18" t="str">
        <f>IF($B61="","",Paramètres!$C$29)</f>
        <v/>
      </c>
      <c r="I61" s="19"/>
      <c r="J61" s="19"/>
      <c r="K61" s="19"/>
      <c r="L61" s="18" t="str">
        <f>IF($B61="","",SUM(I61:K61))</f>
        <v/>
      </c>
      <c r="M61" s="18" t="str">
        <f>IF($B61="","",H61-L61)</f>
        <v/>
      </c>
      <c r="N61" s="18" t="str">
        <f>IF($B61="","",IF(R61="Ancien",0,Paramètres!$D$29))</f>
        <v/>
      </c>
      <c r="O61" s="19"/>
      <c r="P61" s="18" t="str">
        <f>IF($B61="","",N61-O61)</f>
        <v/>
      </c>
      <c r="Q61" s="8" t="str">
        <f>IF($B61="","",IF(AND(M61&lt;=0,P61&lt;=0),"Soldé","En retard"))</f>
        <v/>
      </c>
      <c r="R61" s="8"/>
    </row>
    <row r="62">
      <c r="A62" s="20"/>
      <c r="B62" s="20"/>
      <c r="C62" s="20"/>
      <c r="D62" s="21"/>
      <c r="E62" s="77"/>
      <c r="F62" s="20"/>
      <c r="G62" s="20"/>
      <c r="H62" s="18" t="str">
        <f>IF($B62="","",Paramètres!$C$29)</f>
        <v/>
      </c>
      <c r="I62" s="19"/>
      <c r="J62" s="19"/>
      <c r="K62" s="19"/>
      <c r="L62" s="18" t="str">
        <f>IF($B62="","",SUM(I62:K62))</f>
        <v/>
      </c>
      <c r="M62" s="18" t="str">
        <f>IF($B62="","",H62-L62)</f>
        <v/>
      </c>
      <c r="N62" s="18" t="str">
        <f>IF($B62="","",IF(R62="Ancien",0,Paramètres!$D$29))</f>
        <v/>
      </c>
      <c r="O62" s="19"/>
      <c r="P62" s="18" t="str">
        <f>IF($B62="","",N62-O62)</f>
        <v/>
      </c>
      <c r="Q62" s="21" t="str">
        <f>IF($B62="","",IF(AND(M62&lt;=0,P62&lt;=0),"Soldé","En retard"))</f>
        <v/>
      </c>
      <c r="R62" s="21"/>
    </row>
    <row r="63">
      <c r="A63" s="15"/>
      <c r="B63" s="15"/>
      <c r="C63" s="15"/>
      <c r="D63" s="8"/>
      <c r="E63" s="79"/>
      <c r="F63" s="15"/>
      <c r="G63" s="15"/>
      <c r="H63" s="18" t="str">
        <f>IF($B63="","",Paramètres!$C$29)</f>
        <v/>
      </c>
      <c r="I63" s="19"/>
      <c r="J63" s="19"/>
      <c r="K63" s="19"/>
      <c r="L63" s="18" t="str">
        <f>IF($B63="","",SUM(I63:K63))</f>
        <v/>
      </c>
      <c r="M63" s="18" t="str">
        <f>IF($B63="","",H63-L63)</f>
        <v/>
      </c>
      <c r="N63" s="18" t="str">
        <f>IF($B63="","",IF(R63="Ancien",0,Paramètres!$D$29))</f>
        <v/>
      </c>
      <c r="O63" s="19"/>
      <c r="P63" s="18" t="str">
        <f>IF($B63="","",N63-O63)</f>
        <v/>
      </c>
      <c r="Q63" s="8" t="str">
        <f>IF($B63="","",IF(AND(M63&lt;=0,P63&lt;=0),"Soldé","En retard"))</f>
        <v/>
      </c>
      <c r="R63" s="8"/>
    </row>
    <row r="64">
      <c r="A64" s="20"/>
      <c r="B64" s="20"/>
      <c r="C64" s="20"/>
      <c r="D64" s="21"/>
      <c r="E64" s="77"/>
      <c r="F64" s="20"/>
      <c r="G64" s="20"/>
      <c r="H64" s="18" t="str">
        <f>IF($B64="","",Paramètres!$C$29)</f>
        <v/>
      </c>
      <c r="I64" s="19"/>
      <c r="J64" s="19"/>
      <c r="K64" s="19"/>
      <c r="L64" s="18" t="str">
        <f>IF($B64="","",SUM(I64:K64))</f>
        <v/>
      </c>
      <c r="M64" s="18" t="str">
        <f>IF($B64="","",H64-L64)</f>
        <v/>
      </c>
      <c r="N64" s="18" t="str">
        <f>IF($B64="","",IF(R64="Ancien",0,Paramètres!$D$29))</f>
        <v/>
      </c>
      <c r="O64" s="19"/>
      <c r="P64" s="18" t="str">
        <f>IF($B64="","",N64-O64)</f>
        <v/>
      </c>
      <c r="Q64" s="21" t="str">
        <f>IF($B64="","",IF(AND(M64&lt;=0,P64&lt;=0),"Soldé","En retard"))</f>
        <v/>
      </c>
      <c r="R64" s="21"/>
    </row>
    <row r="65">
      <c r="A65" s="15"/>
      <c r="B65" s="15"/>
      <c r="C65" s="15"/>
      <c r="D65" s="8"/>
      <c r="E65" s="79"/>
      <c r="F65" s="15"/>
      <c r="G65" s="15"/>
      <c r="H65" s="18" t="str">
        <f>IF($B65="","",Paramètres!$C$29)</f>
        <v/>
      </c>
      <c r="I65" s="19"/>
      <c r="J65" s="19"/>
      <c r="K65" s="19"/>
      <c r="L65" s="18" t="str">
        <f>IF($B65="","",SUM(I65:K65))</f>
        <v/>
      </c>
      <c r="M65" s="18" t="str">
        <f>IF($B65="","",H65-L65)</f>
        <v/>
      </c>
      <c r="N65" s="18" t="str">
        <f>IF($B65="","",IF(R65="Ancien",0,Paramètres!$D$29))</f>
        <v/>
      </c>
      <c r="O65" s="19"/>
      <c r="P65" s="18" t="str">
        <f>IF($B65="","",N65-O65)</f>
        <v/>
      </c>
      <c r="Q65" s="8" t="str">
        <f>IF($B65="","",IF(AND(M65&lt;=0,P65&lt;=0),"Soldé","En retard"))</f>
        <v/>
      </c>
      <c r="R65" s="8"/>
    </row>
    <row r="66">
      <c r="A66" s="20"/>
      <c r="B66" s="20"/>
      <c r="C66" s="20"/>
      <c r="D66" s="21"/>
      <c r="E66" s="77"/>
      <c r="F66" s="20"/>
      <c r="G66" s="20"/>
      <c r="H66" s="18" t="str">
        <f>IF($B66="","",Paramètres!$C$29)</f>
        <v/>
      </c>
      <c r="I66" s="19"/>
      <c r="J66" s="19"/>
      <c r="K66" s="19"/>
      <c r="L66" s="18" t="str">
        <f>IF($B66="","",SUM(I66:K66))</f>
        <v/>
      </c>
      <c r="M66" s="18" t="str">
        <f>IF($B66="","",H66-L66)</f>
        <v/>
      </c>
      <c r="N66" s="18" t="str">
        <f>IF($B66="","",IF(R66="Ancien",0,Paramètres!$D$29))</f>
        <v/>
      </c>
      <c r="O66" s="19"/>
      <c r="P66" s="18" t="str">
        <f>IF($B66="","",N66-O66)</f>
        <v/>
      </c>
      <c r="Q66" s="21" t="str">
        <f>IF($B66="","",IF(AND(M66&lt;=0,P66&lt;=0),"Soldé","En retard"))</f>
        <v/>
      </c>
      <c r="R66" s="21"/>
    </row>
    <row r="67">
      <c r="A67" s="15"/>
      <c r="B67" s="15"/>
      <c r="C67" s="15"/>
      <c r="D67" s="8"/>
      <c r="E67" s="79"/>
      <c r="F67" s="15"/>
      <c r="G67" s="15"/>
      <c r="H67" s="18" t="str">
        <f>IF($B67="","",Paramètres!$C$29)</f>
        <v/>
      </c>
      <c r="I67" s="19"/>
      <c r="J67" s="19"/>
      <c r="K67" s="19"/>
      <c r="L67" s="18" t="str">
        <f>IF($B67="","",SUM(I67:K67))</f>
        <v/>
      </c>
      <c r="M67" s="18" t="str">
        <f>IF($B67="","",H67-L67)</f>
        <v/>
      </c>
      <c r="N67" s="18" t="str">
        <f>IF($B67="","",IF(R67="Ancien",0,Paramètres!$D$29))</f>
        <v/>
      </c>
      <c r="O67" s="19"/>
      <c r="P67" s="18" t="str">
        <f>IF($B67="","",N67-O67)</f>
        <v/>
      </c>
      <c r="Q67" s="8" t="str">
        <f>IF($B67="","",IF(AND(M67&lt;=0,P67&lt;=0),"Soldé","En retard"))</f>
        <v/>
      </c>
      <c r="R67" s="8"/>
    </row>
    <row r="68">
      <c r="A68" s="20"/>
      <c r="B68" s="20"/>
      <c r="C68" s="20"/>
      <c r="D68" s="21"/>
      <c r="E68" s="77"/>
      <c r="F68" s="20"/>
      <c r="G68" s="20"/>
      <c r="H68" s="18" t="str">
        <f>IF($B68="","",Paramètres!$C$29)</f>
        <v/>
      </c>
      <c r="I68" s="19"/>
      <c r="J68" s="19"/>
      <c r="K68" s="19"/>
      <c r="L68" s="18" t="str">
        <f>IF($B68="","",SUM(I68:K68))</f>
        <v/>
      </c>
      <c r="M68" s="18" t="str">
        <f>IF($B68="","",H68-L68)</f>
        <v/>
      </c>
      <c r="N68" s="18" t="str">
        <f>IF($B68="","",IF(R68="Ancien",0,Paramètres!$D$29))</f>
        <v/>
      </c>
      <c r="O68" s="19"/>
      <c r="P68" s="18" t="str">
        <f>IF($B68="","",N68-O68)</f>
        <v/>
      </c>
      <c r="Q68" s="21" t="str">
        <f>IF($B68="","",IF(AND(M68&lt;=0,P68&lt;=0),"Soldé","En retard"))</f>
        <v/>
      </c>
      <c r="R68" s="21"/>
    </row>
    <row r="69">
      <c r="A69" s="15"/>
      <c r="B69" s="15"/>
      <c r="C69" s="15"/>
      <c r="D69" s="8"/>
      <c r="E69" s="79"/>
      <c r="F69" s="15"/>
      <c r="G69" s="15"/>
      <c r="H69" s="18" t="str">
        <f>IF($B69="","",Paramètres!$C$29)</f>
        <v/>
      </c>
      <c r="I69" s="19"/>
      <c r="J69" s="19"/>
      <c r="K69" s="19"/>
      <c r="L69" s="18" t="str">
        <f>IF($B69="","",SUM(I69:K69))</f>
        <v/>
      </c>
      <c r="M69" s="18" t="str">
        <f>IF($B69="","",H69-L69)</f>
        <v/>
      </c>
      <c r="N69" s="18" t="str">
        <f>IF($B69="","",IF(R69="Ancien",0,Paramètres!$D$29))</f>
        <v/>
      </c>
      <c r="O69" s="19"/>
      <c r="P69" s="18" t="str">
        <f>IF($B69="","",N69-O69)</f>
        <v/>
      </c>
      <c r="Q69" s="8" t="str">
        <f>IF($B69="","",IF(AND(M69&lt;=0,P69&lt;=0),"Soldé","En retard"))</f>
        <v/>
      </c>
      <c r="R69" s="8"/>
    </row>
    <row r="70">
      <c r="A70" s="20"/>
      <c r="B70" s="20"/>
      <c r="C70" s="20"/>
      <c r="D70" s="21"/>
      <c r="E70" s="77"/>
      <c r="F70" s="20"/>
      <c r="G70" s="20"/>
      <c r="H70" s="18" t="str">
        <f>IF($B70="","",Paramètres!$C$29)</f>
        <v/>
      </c>
      <c r="I70" s="19"/>
      <c r="J70" s="19"/>
      <c r="K70" s="19"/>
      <c r="L70" s="18" t="str">
        <f>IF($B70="","",SUM(I70:K70))</f>
        <v/>
      </c>
      <c r="M70" s="18" t="str">
        <f>IF($B70="","",H70-L70)</f>
        <v/>
      </c>
      <c r="N70" s="18" t="str">
        <f>IF($B70="","",IF(R70="Ancien",0,Paramètres!$D$29))</f>
        <v/>
      </c>
      <c r="O70" s="19"/>
      <c r="P70" s="18" t="str">
        <f>IF($B70="","",N70-O70)</f>
        <v/>
      </c>
      <c r="Q70" s="21" t="str">
        <f>IF($B70="","",IF(AND(M70&lt;=0,P70&lt;=0),"Soldé","En retard"))</f>
        <v/>
      </c>
      <c r="R70" s="21"/>
    </row>
    <row r="71">
      <c r="A71" s="15"/>
      <c r="B71" s="15"/>
      <c r="C71" s="15"/>
      <c r="D71" s="8"/>
      <c r="E71" s="79"/>
      <c r="F71" s="15"/>
      <c r="G71" s="15"/>
      <c r="H71" s="18" t="str">
        <f>IF($B71="","",Paramètres!$C$29)</f>
        <v/>
      </c>
      <c r="I71" s="19"/>
      <c r="J71" s="19"/>
      <c r="K71" s="19"/>
      <c r="L71" s="18" t="str">
        <f>IF($B71="","",SUM(I71:K71))</f>
        <v/>
      </c>
      <c r="M71" s="18" t="str">
        <f>IF($B71="","",H71-L71)</f>
        <v/>
      </c>
      <c r="N71" s="18" t="str">
        <f>IF($B71="","",IF(R71="Ancien",0,Paramètres!$D$29))</f>
        <v/>
      </c>
      <c r="O71" s="19"/>
      <c r="P71" s="18" t="str">
        <f>IF($B71="","",N71-O71)</f>
        <v/>
      </c>
      <c r="Q71" s="8" t="str">
        <f>IF($B71="","",IF(AND(M71&lt;=0,P71&lt;=0),"Soldé","En retard"))</f>
        <v/>
      </c>
      <c r="R71" s="8"/>
    </row>
    <row r="72">
      <c r="A72" s="20"/>
      <c r="B72" s="20"/>
      <c r="C72" s="20"/>
      <c r="D72" s="21"/>
      <c r="E72" s="77"/>
      <c r="F72" s="20"/>
      <c r="G72" s="20"/>
      <c r="H72" s="18" t="str">
        <f>IF($B72="","",Paramètres!$C$29)</f>
        <v/>
      </c>
      <c r="I72" s="19"/>
      <c r="J72" s="19"/>
      <c r="K72" s="19"/>
      <c r="L72" s="18" t="str">
        <f>IF($B72="","",SUM(I72:K72))</f>
        <v/>
      </c>
      <c r="M72" s="18" t="str">
        <f>IF($B72="","",H72-L72)</f>
        <v/>
      </c>
      <c r="N72" s="18" t="str">
        <f>IF($B72="","",IF(R72="Ancien",0,Paramètres!$D$29))</f>
        <v/>
      </c>
      <c r="O72" s="19"/>
      <c r="P72" s="18" t="str">
        <f>IF($B72="","",N72-O72)</f>
        <v/>
      </c>
      <c r="Q72" s="21" t="str">
        <f>IF($B72="","",IF(AND(M72&lt;=0,P72&lt;=0),"Soldé","En retard"))</f>
        <v/>
      </c>
      <c r="R72" s="21"/>
    </row>
    <row r="73">
      <c r="A73" s="15"/>
      <c r="B73" s="15"/>
      <c r="C73" s="15"/>
      <c r="D73" s="8"/>
      <c r="E73" s="79"/>
      <c r="F73" s="15"/>
      <c r="G73" s="15"/>
      <c r="H73" s="18" t="str">
        <f>IF($B73="","",Paramètres!$C$29)</f>
        <v/>
      </c>
      <c r="I73" s="19"/>
      <c r="J73" s="19"/>
      <c r="K73" s="19"/>
      <c r="L73" s="18" t="str">
        <f>IF($B73="","",SUM(I73:K73))</f>
        <v/>
      </c>
      <c r="M73" s="18" t="str">
        <f>IF($B73="","",H73-L73)</f>
        <v/>
      </c>
      <c r="N73" s="18" t="str">
        <f>IF($B73="","",IF(R73="Ancien",0,Paramètres!$D$29))</f>
        <v/>
      </c>
      <c r="O73" s="19"/>
      <c r="P73" s="18" t="str">
        <f>IF($B73="","",N73-O73)</f>
        <v/>
      </c>
      <c r="Q73" s="8" t="str">
        <f>IF($B73="","",IF(AND(M73&lt;=0,P73&lt;=0),"Soldé","En retard"))</f>
        <v/>
      </c>
      <c r="R73" s="8"/>
    </row>
    <row r="74">
      <c r="A74" s="20"/>
      <c r="B74" s="20"/>
      <c r="C74" s="20"/>
      <c r="D74" s="21"/>
      <c r="E74" s="77"/>
      <c r="F74" s="20"/>
      <c r="G74" s="20"/>
      <c r="H74" s="18" t="str">
        <f>IF($B74="","",Paramètres!$C$29)</f>
        <v/>
      </c>
      <c r="I74" s="19"/>
      <c r="J74" s="19"/>
      <c r="K74" s="19"/>
      <c r="L74" s="18" t="str">
        <f>IF($B74="","",SUM(I74:K74))</f>
        <v/>
      </c>
      <c r="M74" s="18" t="str">
        <f>IF($B74="","",H74-L74)</f>
        <v/>
      </c>
      <c r="N74" s="18" t="str">
        <f>IF($B74="","",IF(R74="Ancien",0,Paramètres!$D$29))</f>
        <v/>
      </c>
      <c r="O74" s="19"/>
      <c r="P74" s="18" t="str">
        <f>IF($B74="","",N74-O74)</f>
        <v/>
      </c>
      <c r="Q74" s="21" t="str">
        <f>IF($B74="","",IF(AND(M74&lt;=0,P74&lt;=0),"Soldé","En retard"))</f>
        <v/>
      </c>
      <c r="R74" s="21"/>
    </row>
    <row r="75">
      <c r="A75" s="15"/>
      <c r="B75" s="15"/>
      <c r="C75" s="15"/>
      <c r="D75" s="8"/>
      <c r="E75" s="79"/>
      <c r="F75" s="15"/>
      <c r="G75" s="15"/>
      <c r="H75" s="18" t="str">
        <f>IF($B75="","",Paramètres!$C$29)</f>
        <v/>
      </c>
      <c r="I75" s="19"/>
      <c r="J75" s="19"/>
      <c r="K75" s="19"/>
      <c r="L75" s="18" t="str">
        <f>IF($B75="","",SUM(I75:K75))</f>
        <v/>
      </c>
      <c r="M75" s="18" t="str">
        <f>IF($B75="","",H75-L75)</f>
        <v/>
      </c>
      <c r="N75" s="18" t="str">
        <f>IF($B75="","",IF(R75="Ancien",0,Paramètres!$D$29))</f>
        <v/>
      </c>
      <c r="O75" s="19"/>
      <c r="P75" s="18" t="str">
        <f>IF($B75="","",N75-O75)</f>
        <v/>
      </c>
      <c r="Q75" s="8" t="str">
        <f>IF($B75="","",IF(AND(M75&lt;=0,P75&lt;=0),"Soldé","En retard"))</f>
        <v/>
      </c>
      <c r="R75" s="8"/>
    </row>
    <row r="76">
      <c r="A76" s="20"/>
      <c r="B76" s="20"/>
      <c r="C76" s="20"/>
      <c r="D76" s="21"/>
      <c r="E76" s="77"/>
      <c r="F76" s="20"/>
      <c r="G76" s="20"/>
      <c r="H76" s="18" t="str">
        <f>IF($B76="","",Paramètres!$C$29)</f>
        <v/>
      </c>
      <c r="I76" s="19"/>
      <c r="J76" s="19"/>
      <c r="K76" s="19"/>
      <c r="L76" s="18" t="str">
        <f>IF($B76="","",SUM(I76:K76))</f>
        <v/>
      </c>
      <c r="M76" s="18" t="str">
        <f>IF($B76="","",H76-L76)</f>
        <v/>
      </c>
      <c r="N76" s="18" t="str">
        <f>IF($B76="","",IF(R76="Ancien",0,Paramètres!$D$29))</f>
        <v/>
      </c>
      <c r="O76" s="19"/>
      <c r="P76" s="18" t="str">
        <f>IF($B76="","",N76-O76)</f>
        <v/>
      </c>
      <c r="Q76" s="21" t="str">
        <f>IF($B76="","",IF(AND(M76&lt;=0,P76&lt;=0),"Soldé","En retard"))</f>
        <v/>
      </c>
      <c r="R76" s="21"/>
    </row>
    <row r="77">
      <c r="A77" s="15"/>
      <c r="B77" s="15"/>
      <c r="C77" s="15"/>
      <c r="D77" s="8"/>
      <c r="E77" s="79"/>
      <c r="F77" s="15"/>
      <c r="G77" s="15"/>
      <c r="H77" s="18" t="str">
        <f>IF($B77="","",Paramètres!$C$29)</f>
        <v/>
      </c>
      <c r="I77" s="19"/>
      <c r="J77" s="19"/>
      <c r="K77" s="19"/>
      <c r="L77" s="18" t="str">
        <f>IF($B77="","",SUM(I77:K77))</f>
        <v/>
      </c>
      <c r="M77" s="18" t="str">
        <f>IF($B77="","",H77-L77)</f>
        <v/>
      </c>
      <c r="N77" s="18" t="str">
        <f>IF($B77="","",IF(R77="Ancien",0,Paramètres!$D$29))</f>
        <v/>
      </c>
      <c r="O77" s="19"/>
      <c r="P77" s="18" t="str">
        <f>IF($B77="","",N77-O77)</f>
        <v/>
      </c>
      <c r="Q77" s="8" t="str">
        <f>IF($B77="","",IF(AND(M77&lt;=0,P77&lt;=0),"Soldé","En retard"))</f>
        <v/>
      </c>
      <c r="R77" s="8"/>
    </row>
    <row r="78">
      <c r="A78" s="20"/>
      <c r="B78" s="20"/>
      <c r="C78" s="20"/>
      <c r="D78" s="21"/>
      <c r="E78" s="77"/>
      <c r="F78" s="20"/>
      <c r="G78" s="20"/>
      <c r="H78" s="18" t="str">
        <f>IF($B78="","",Paramètres!$C$29)</f>
        <v/>
      </c>
      <c r="I78" s="19"/>
      <c r="J78" s="19"/>
      <c r="K78" s="19"/>
      <c r="L78" s="18" t="str">
        <f>IF($B78="","",SUM(I78:K78))</f>
        <v/>
      </c>
      <c r="M78" s="18" t="str">
        <f>IF($B78="","",H78-L78)</f>
        <v/>
      </c>
      <c r="N78" s="18" t="str">
        <f>IF($B78="","",IF(R78="Ancien",0,Paramètres!$D$29))</f>
        <v/>
      </c>
      <c r="O78" s="19"/>
      <c r="P78" s="18" t="str">
        <f>IF($B78="","",N78-O78)</f>
        <v/>
      </c>
      <c r="Q78" s="21" t="str">
        <f>IF($B78="","",IF(AND(M78&lt;=0,P78&lt;=0),"Soldé","En retard"))</f>
        <v/>
      </c>
      <c r="R78" s="21"/>
    </row>
    <row r="79">
      <c r="A79" s="15"/>
      <c r="B79" s="15"/>
      <c r="C79" s="15"/>
      <c r="D79" s="8"/>
      <c r="E79" s="79"/>
      <c r="F79" s="15"/>
      <c r="G79" s="15"/>
      <c r="H79" s="18" t="str">
        <f>IF($B79="","",Paramètres!$C$29)</f>
        <v/>
      </c>
      <c r="I79" s="19"/>
      <c r="J79" s="19"/>
      <c r="K79" s="19"/>
      <c r="L79" s="18" t="str">
        <f>IF($B79="","",SUM(I79:K79))</f>
        <v/>
      </c>
      <c r="M79" s="18" t="str">
        <f>IF($B79="","",H79-L79)</f>
        <v/>
      </c>
      <c r="N79" s="18" t="str">
        <f>IF($B79="","",IF(R79="Ancien",0,Paramètres!$D$29))</f>
        <v/>
      </c>
      <c r="O79" s="19"/>
      <c r="P79" s="18" t="str">
        <f>IF($B79="","",N79-O79)</f>
        <v/>
      </c>
      <c r="Q79" s="8" t="str">
        <f>IF($B79="","",IF(AND(M79&lt;=0,P79&lt;=0),"Soldé","En retard"))</f>
        <v/>
      </c>
      <c r="R79" s="8"/>
    </row>
    <row r="80">
      <c r="A80" s="20"/>
      <c r="B80" s="20"/>
      <c r="C80" s="20"/>
      <c r="D80" s="21"/>
      <c r="E80" s="77"/>
      <c r="F80" s="20"/>
      <c r="G80" s="20"/>
      <c r="H80" s="18" t="str">
        <f>IF($B80="","",Paramètres!$C$29)</f>
        <v/>
      </c>
      <c r="I80" s="19"/>
      <c r="J80" s="19"/>
      <c r="K80" s="19"/>
      <c r="L80" s="18" t="str">
        <f>IF($B80="","",SUM(I80:K80))</f>
        <v/>
      </c>
      <c r="M80" s="18" t="str">
        <f>IF($B80="","",H80-L80)</f>
        <v/>
      </c>
      <c r="N80" s="18" t="str">
        <f>IF($B80="","",IF(R80="Ancien",0,Paramètres!$D$29))</f>
        <v/>
      </c>
      <c r="O80" s="19"/>
      <c r="P80" s="18" t="str">
        <f>IF($B80="","",N80-O80)</f>
        <v/>
      </c>
      <c r="Q80" s="21" t="str">
        <f>IF($B80="","",IF(AND(M80&lt;=0,P80&lt;=0),"Soldé","En retard"))</f>
        <v/>
      </c>
      <c r="R80" s="21"/>
    </row>
    <row r="81">
      <c r="A81" s="15"/>
      <c r="B81" s="15"/>
      <c r="C81" s="15"/>
      <c r="D81" s="8"/>
      <c r="E81" s="79"/>
      <c r="F81" s="15"/>
      <c r="G81" s="15"/>
      <c r="H81" s="18" t="str">
        <f>IF($B81="","",Paramètres!$C$29)</f>
        <v/>
      </c>
      <c r="I81" s="19"/>
      <c r="J81" s="19"/>
      <c r="K81" s="19"/>
      <c r="L81" s="18" t="str">
        <f>IF($B81="","",SUM(I81:K81))</f>
        <v/>
      </c>
      <c r="M81" s="18" t="str">
        <f>IF($B81="","",H81-L81)</f>
        <v/>
      </c>
      <c r="N81" s="18" t="str">
        <f>IF($B81="","",IF(R81="Ancien",0,Paramètres!$D$29))</f>
        <v/>
      </c>
      <c r="O81" s="19"/>
      <c r="P81" s="18" t="str">
        <f>IF($B81="","",N81-O81)</f>
        <v/>
      </c>
      <c r="Q81" s="8" t="str">
        <f>IF($B81="","",IF(AND(M81&lt;=0,P81&lt;=0),"Soldé","En retard"))</f>
        <v/>
      </c>
      <c r="R81" s="8"/>
    </row>
    <row r="82">
      <c r="A82" s="20"/>
      <c r="B82" s="20"/>
      <c r="C82" s="20"/>
      <c r="D82" s="21"/>
      <c r="E82" s="77"/>
      <c r="F82" s="20"/>
      <c r="G82" s="20"/>
      <c r="H82" s="18" t="str">
        <f>IF($B82="","",Paramètres!$C$29)</f>
        <v/>
      </c>
      <c r="I82" s="19"/>
      <c r="J82" s="19"/>
      <c r="K82" s="19"/>
      <c r="L82" s="18" t="str">
        <f>IF($B82="","",SUM(I82:K82))</f>
        <v/>
      </c>
      <c r="M82" s="18" t="str">
        <f>IF($B82="","",H82-L82)</f>
        <v/>
      </c>
      <c r="N82" s="18" t="str">
        <f>IF($B82="","",IF(R82="Ancien",0,Paramètres!$D$29))</f>
        <v/>
      </c>
      <c r="O82" s="19"/>
      <c r="P82" s="18" t="str">
        <f>IF($B82="","",N82-O82)</f>
        <v/>
      </c>
      <c r="Q82" s="21" t="str">
        <f>IF($B82="","",IF(AND(M82&lt;=0,P82&lt;=0),"Soldé","En retard"))</f>
        <v/>
      </c>
      <c r="R82" s="21"/>
    </row>
    <row r="83">
      <c r="A83" s="15"/>
      <c r="B83" s="15"/>
      <c r="C83" s="15"/>
      <c r="D83" s="8"/>
      <c r="E83" s="79"/>
      <c r="F83" s="15"/>
      <c r="G83" s="15"/>
      <c r="H83" s="18" t="str">
        <f>IF($B83="","",Paramètres!$C$29)</f>
        <v/>
      </c>
      <c r="I83" s="19"/>
      <c r="J83" s="19"/>
      <c r="K83" s="19"/>
      <c r="L83" s="18" t="str">
        <f>IF($B83="","",SUM(I83:K83))</f>
        <v/>
      </c>
      <c r="M83" s="18" t="str">
        <f>IF($B83="","",H83-L83)</f>
        <v/>
      </c>
      <c r="N83" s="18" t="str">
        <f>IF($B83="","",IF(R83="Ancien",0,Paramètres!$D$29))</f>
        <v/>
      </c>
      <c r="O83" s="19"/>
      <c r="P83" s="18" t="str">
        <f>IF($B83="","",N83-O83)</f>
        <v/>
      </c>
      <c r="Q83" s="8" t="str">
        <f>IF($B83="","",IF(AND(M83&lt;=0,P83&lt;=0),"Soldé","En retard"))</f>
        <v/>
      </c>
      <c r="R83" s="8"/>
    </row>
  </sheetData>
  <mergeCells count="2">
    <mergeCell ref="A1:R1"/>
    <mergeCell ref="A2:R2"/>
  </mergeCells>
  <conditionalFormatting sqref="M4:M83 P4:P83">
    <cfRule type="cellIs" dxfId="10" priority="3" operator="greaterThan">
      <formula>0</formula>
    </cfRule>
  </conditionalFormatting>
  <conditionalFormatting sqref="Q4:Q83">
    <cfRule type="cellIs" dxfId="9" priority="1" operator="equal">
      <formula>"Soldé"</formula>
    </cfRule>
    <cfRule type="cellIs" dxfId="8" priority="2" operator="equal">
      <formula>"En retard"</formula>
    </cfRule>
  </conditionalFormatting>
  <dataValidations count="2">
    <dataValidation type="list" allowBlank="1" showErrorMessage="1" errorTitle="Sexe non valide" error="Choisissez M ou F." sqref="D4:D83">
      <formula1>"M,F"</formula1>
    </dataValidation>
    <dataValidation type="list" allowBlank="1" showErrorMessage="1" errorTitle="Statut non valide" error="Choisissez Nouveau ou Ancien. Un élève marqué Ancien ne paie pas les frais d'inscription." sqref="R4:R83">
      <formula1>"Nouveau,Ancien"</formula1>
    </dataValidation>
  </dataValidations>
  <pageMargins left="0.5" right="0.5" top="0.75" bottom="0.75" header="0.3" footer="0.3"/>
  <pageSetup paperSize="9" orientation="landscape" fitToHeight="0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R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7" customWidth="1"/>
    <col min="5" max="5" width="14" customWidth="1"/>
    <col min="6" max="6" width="18" customWidth="1"/>
    <col min="7" max="7" width="16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3" customWidth="1"/>
    <col min="18" max="18" width="16" customWidth="1"/>
  </cols>
  <sheetData>
    <row r="1" ht="27.75" customHeight="1">
      <c r="A1" s="53" t="str">
        <f>"INSCRIPTIONS — "&amp;Paramètres!$A$30</f>
        <v>INSCRIPTIONS — Terminale A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ht="18" customHeight="1">
      <c r="A2" s="54" t="str">
        <f>"Année scolaire "&amp;Paramètres!$C$11&amp;"   •   Effectif : "&amp;COUNTIF($B$4:$B$83,"?*")&amp;"   •   Cellules jaunes = montants à saisir ; colonnes grises = calcul automatique"</f>
        <v>Année scolaire 2025-2026   •   Effectif : 0   •   Cellules jaunes = montants à saisir ; colonnes grises = calcul automatique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Sexe</t>
        </is>
      </c>
      <c r="E3" s="3" t="inlineStr">
        <is>
          <t>Date de naissance</t>
        </is>
      </c>
      <c r="F3" s="3" t="inlineStr">
        <is>
          <t>Nom du tuteur</t>
        </is>
      </c>
      <c r="G3" s="3" t="inlineStr">
        <is>
          <t>Téléphone</t>
        </is>
      </c>
      <c r="H3" s="3" t="inlineStr">
        <is>
          <t>Scolarité due</t>
        </is>
      </c>
      <c r="I3" s="3" t="inlineStr">
        <is>
          <t>Tranche 1</t>
        </is>
      </c>
      <c r="J3" s="3" t="inlineStr">
        <is>
          <t>Tranche 2</t>
        </is>
      </c>
      <c r="K3" s="3" t="inlineStr">
        <is>
          <t>Tranche 3</t>
        </is>
      </c>
      <c r="L3" s="3" t="inlineStr">
        <is>
          <t>Total payé</t>
        </is>
      </c>
      <c r="M3" s="3" t="inlineStr">
        <is>
          <t>Reste à payer</t>
        </is>
      </c>
      <c r="N3" s="3" t="inlineStr">
        <is>
          <t>Inscription due</t>
        </is>
      </c>
      <c r="O3" s="3" t="inlineStr">
        <is>
          <t>Inscription payée</t>
        </is>
      </c>
      <c r="P3" s="3" t="inlineStr">
        <is>
          <t>Reste inscription</t>
        </is>
      </c>
      <c r="Q3" s="3" t="inlineStr">
        <is>
          <t>Statut</t>
        </is>
      </c>
      <c r="R3" s="3" t="inlineStr">
        <is>
          <t>Nouveau / Ancien</t>
        </is>
      </c>
    </row>
    <row r="4">
      <c r="A4" s="20"/>
      <c r="B4" s="20"/>
      <c r="C4" s="20"/>
      <c r="D4" s="21"/>
      <c r="E4" s="77"/>
      <c r="F4" s="20"/>
      <c r="G4" s="20"/>
      <c r="H4" s="18" t="str">
        <f>IF($B4="","",Paramètres!$C$30)</f>
        <v/>
      </c>
      <c r="I4" s="19"/>
      <c r="J4" s="19"/>
      <c r="K4" s="19"/>
      <c r="L4" s="18" t="str">
        <f>IF($B4="","",SUM(I4:K4))</f>
        <v/>
      </c>
      <c r="M4" s="18" t="str">
        <f>IF($B4="","",H4-L4)</f>
        <v/>
      </c>
      <c r="N4" s="18" t="str">
        <f>IF($B4="","",IF(R4="Ancien",0,Paramètres!$D$30))</f>
        <v/>
      </c>
      <c r="O4" s="19"/>
      <c r="P4" s="18" t="str">
        <f>IF($B4="","",N4-O4)</f>
        <v/>
      </c>
      <c r="Q4" s="21" t="str">
        <f>IF($B4="","",IF(AND(M4&lt;=0,P4&lt;=0),"Soldé","En retard"))</f>
        <v/>
      </c>
      <c r="R4" s="21"/>
    </row>
    <row r="5">
      <c r="A5" s="15"/>
      <c r="B5" s="15"/>
      <c r="C5" s="15"/>
      <c r="D5" s="8"/>
      <c r="E5" s="79"/>
      <c r="F5" s="15"/>
      <c r="G5" s="15"/>
      <c r="H5" s="18" t="str">
        <f>IF($B5="","",Paramètres!$C$30)</f>
        <v/>
      </c>
      <c r="I5" s="19"/>
      <c r="J5" s="19"/>
      <c r="K5" s="19"/>
      <c r="L5" s="18" t="str">
        <f>IF($B5="","",SUM(I5:K5))</f>
        <v/>
      </c>
      <c r="M5" s="18" t="str">
        <f>IF($B5="","",H5-L5)</f>
        <v/>
      </c>
      <c r="N5" s="18" t="str">
        <f>IF($B5="","",IF(R5="Ancien",0,Paramètres!$D$30))</f>
        <v/>
      </c>
      <c r="O5" s="19"/>
      <c r="P5" s="18" t="str">
        <f>IF($B5="","",N5-O5)</f>
        <v/>
      </c>
      <c r="Q5" s="8" t="str">
        <f>IF($B5="","",IF(AND(M5&lt;=0,P5&lt;=0),"Soldé","En retard"))</f>
        <v/>
      </c>
      <c r="R5" s="8"/>
    </row>
    <row r="6">
      <c r="A6" s="20"/>
      <c r="B6" s="20"/>
      <c r="C6" s="20"/>
      <c r="D6" s="21"/>
      <c r="E6" s="77"/>
      <c r="F6" s="20"/>
      <c r="G6" s="20"/>
      <c r="H6" s="18" t="str">
        <f>IF($B6="","",Paramètres!$C$30)</f>
        <v/>
      </c>
      <c r="I6" s="19"/>
      <c r="J6" s="19"/>
      <c r="K6" s="19"/>
      <c r="L6" s="18" t="str">
        <f>IF($B6="","",SUM(I6:K6))</f>
        <v/>
      </c>
      <c r="M6" s="18" t="str">
        <f>IF($B6="","",H6-L6)</f>
        <v/>
      </c>
      <c r="N6" s="18" t="str">
        <f>IF($B6="","",IF(R6="Ancien",0,Paramètres!$D$30))</f>
        <v/>
      </c>
      <c r="O6" s="19"/>
      <c r="P6" s="18" t="str">
        <f>IF($B6="","",N6-O6)</f>
        <v/>
      </c>
      <c r="Q6" s="21" t="str">
        <f>IF($B6="","",IF(AND(M6&lt;=0,P6&lt;=0),"Soldé","En retard"))</f>
        <v/>
      </c>
      <c r="R6" s="21"/>
    </row>
    <row r="7">
      <c r="A7" s="15"/>
      <c r="B7" s="15"/>
      <c r="C7" s="15"/>
      <c r="D7" s="8"/>
      <c r="E7" s="79"/>
      <c r="F7" s="15"/>
      <c r="G7" s="15"/>
      <c r="H7" s="18" t="str">
        <f>IF($B7="","",Paramètres!$C$30)</f>
        <v/>
      </c>
      <c r="I7" s="19"/>
      <c r="J7" s="19"/>
      <c r="K7" s="19"/>
      <c r="L7" s="18" t="str">
        <f>IF($B7="","",SUM(I7:K7))</f>
        <v/>
      </c>
      <c r="M7" s="18" t="str">
        <f>IF($B7="","",H7-L7)</f>
        <v/>
      </c>
      <c r="N7" s="18" t="str">
        <f>IF($B7="","",IF(R7="Ancien",0,Paramètres!$D$30))</f>
        <v/>
      </c>
      <c r="O7" s="19"/>
      <c r="P7" s="18" t="str">
        <f>IF($B7="","",N7-O7)</f>
        <v/>
      </c>
      <c r="Q7" s="8" t="str">
        <f>IF($B7="","",IF(AND(M7&lt;=0,P7&lt;=0),"Soldé","En retard"))</f>
        <v/>
      </c>
      <c r="R7" s="8"/>
    </row>
    <row r="8">
      <c r="A8" s="20"/>
      <c r="B8" s="20"/>
      <c r="C8" s="20"/>
      <c r="D8" s="21"/>
      <c r="E8" s="77"/>
      <c r="F8" s="20"/>
      <c r="G8" s="20"/>
      <c r="H8" s="18" t="str">
        <f>IF($B8="","",Paramètres!$C$30)</f>
        <v/>
      </c>
      <c r="I8" s="19"/>
      <c r="J8" s="19"/>
      <c r="K8" s="19"/>
      <c r="L8" s="18" t="str">
        <f>IF($B8="","",SUM(I8:K8))</f>
        <v/>
      </c>
      <c r="M8" s="18" t="str">
        <f>IF($B8="","",H8-L8)</f>
        <v/>
      </c>
      <c r="N8" s="18" t="str">
        <f>IF($B8="","",IF(R8="Ancien",0,Paramètres!$D$30))</f>
        <v/>
      </c>
      <c r="O8" s="19"/>
      <c r="P8" s="18" t="str">
        <f>IF($B8="","",N8-O8)</f>
        <v/>
      </c>
      <c r="Q8" s="21" t="str">
        <f>IF($B8="","",IF(AND(M8&lt;=0,P8&lt;=0),"Soldé","En retard"))</f>
        <v/>
      </c>
      <c r="R8" s="21"/>
    </row>
    <row r="9">
      <c r="A9" s="15"/>
      <c r="B9" s="15"/>
      <c r="C9" s="15"/>
      <c r="D9" s="8"/>
      <c r="E9" s="79"/>
      <c r="F9" s="15"/>
      <c r="G9" s="15"/>
      <c r="H9" s="18" t="str">
        <f>IF($B9="","",Paramètres!$C$30)</f>
        <v/>
      </c>
      <c r="I9" s="19"/>
      <c r="J9" s="19"/>
      <c r="K9" s="19"/>
      <c r="L9" s="18" t="str">
        <f>IF($B9="","",SUM(I9:K9))</f>
        <v/>
      </c>
      <c r="M9" s="18" t="str">
        <f>IF($B9="","",H9-L9)</f>
        <v/>
      </c>
      <c r="N9" s="18" t="str">
        <f>IF($B9="","",IF(R9="Ancien",0,Paramètres!$D$30))</f>
        <v/>
      </c>
      <c r="O9" s="19"/>
      <c r="P9" s="18" t="str">
        <f>IF($B9="","",N9-O9)</f>
        <v/>
      </c>
      <c r="Q9" s="8" t="str">
        <f>IF($B9="","",IF(AND(M9&lt;=0,P9&lt;=0),"Soldé","En retard"))</f>
        <v/>
      </c>
      <c r="R9" s="8"/>
    </row>
    <row r="10">
      <c r="A10" s="20"/>
      <c r="B10" s="20"/>
      <c r="C10" s="20"/>
      <c r="D10" s="21"/>
      <c r="E10" s="77"/>
      <c r="F10" s="20"/>
      <c r="G10" s="20"/>
      <c r="H10" s="18" t="str">
        <f>IF($B10="","",Paramètres!$C$30)</f>
        <v/>
      </c>
      <c r="I10" s="19"/>
      <c r="J10" s="19"/>
      <c r="K10" s="19"/>
      <c r="L10" s="18" t="str">
        <f>IF($B10="","",SUM(I10:K10))</f>
        <v/>
      </c>
      <c r="M10" s="18" t="str">
        <f>IF($B10="","",H10-L10)</f>
        <v/>
      </c>
      <c r="N10" s="18" t="str">
        <f>IF($B10="","",IF(R10="Ancien",0,Paramètres!$D$30))</f>
        <v/>
      </c>
      <c r="O10" s="19"/>
      <c r="P10" s="18" t="str">
        <f>IF($B10="","",N10-O10)</f>
        <v/>
      </c>
      <c r="Q10" s="21" t="str">
        <f>IF($B10="","",IF(AND(M10&lt;=0,P10&lt;=0),"Soldé","En retard"))</f>
        <v/>
      </c>
      <c r="R10" s="21"/>
    </row>
    <row r="11">
      <c r="A11" s="15"/>
      <c r="B11" s="15"/>
      <c r="C11" s="15"/>
      <c r="D11" s="8"/>
      <c r="E11" s="79"/>
      <c r="F11" s="15"/>
      <c r="G11" s="15"/>
      <c r="H11" s="18" t="str">
        <f>IF($B11="","",Paramètres!$C$30)</f>
        <v/>
      </c>
      <c r="I11" s="19"/>
      <c r="J11" s="19"/>
      <c r="K11" s="19"/>
      <c r="L11" s="18" t="str">
        <f>IF($B11="","",SUM(I11:K11))</f>
        <v/>
      </c>
      <c r="M11" s="18" t="str">
        <f>IF($B11="","",H11-L11)</f>
        <v/>
      </c>
      <c r="N11" s="18" t="str">
        <f>IF($B11="","",IF(R11="Ancien",0,Paramètres!$D$30))</f>
        <v/>
      </c>
      <c r="O11" s="19"/>
      <c r="P11" s="18" t="str">
        <f>IF($B11="","",N11-O11)</f>
        <v/>
      </c>
      <c r="Q11" s="8" t="str">
        <f>IF($B11="","",IF(AND(M11&lt;=0,P11&lt;=0),"Soldé","En retard"))</f>
        <v/>
      </c>
      <c r="R11" s="8"/>
    </row>
    <row r="12">
      <c r="A12" s="20"/>
      <c r="B12" s="20"/>
      <c r="C12" s="20"/>
      <c r="D12" s="21"/>
      <c r="E12" s="77"/>
      <c r="F12" s="20"/>
      <c r="G12" s="20"/>
      <c r="H12" s="18" t="str">
        <f>IF($B12="","",Paramètres!$C$30)</f>
        <v/>
      </c>
      <c r="I12" s="19"/>
      <c r="J12" s="19"/>
      <c r="K12" s="19"/>
      <c r="L12" s="18" t="str">
        <f>IF($B12="","",SUM(I12:K12))</f>
        <v/>
      </c>
      <c r="M12" s="18" t="str">
        <f>IF($B12="","",H12-L12)</f>
        <v/>
      </c>
      <c r="N12" s="18" t="str">
        <f>IF($B12="","",IF(R12="Ancien",0,Paramètres!$D$30))</f>
        <v/>
      </c>
      <c r="O12" s="19"/>
      <c r="P12" s="18" t="str">
        <f>IF($B12="","",N12-O12)</f>
        <v/>
      </c>
      <c r="Q12" s="21" t="str">
        <f>IF($B12="","",IF(AND(M12&lt;=0,P12&lt;=0),"Soldé","En retard"))</f>
        <v/>
      </c>
      <c r="R12" s="21"/>
    </row>
    <row r="13">
      <c r="A13" s="15"/>
      <c r="B13" s="15"/>
      <c r="C13" s="15"/>
      <c r="D13" s="8"/>
      <c r="E13" s="79"/>
      <c r="F13" s="15"/>
      <c r="G13" s="15"/>
      <c r="H13" s="18" t="str">
        <f>IF($B13="","",Paramètres!$C$30)</f>
        <v/>
      </c>
      <c r="I13" s="19"/>
      <c r="J13" s="19"/>
      <c r="K13" s="19"/>
      <c r="L13" s="18" t="str">
        <f>IF($B13="","",SUM(I13:K13))</f>
        <v/>
      </c>
      <c r="M13" s="18" t="str">
        <f>IF($B13="","",H13-L13)</f>
        <v/>
      </c>
      <c r="N13" s="18" t="str">
        <f>IF($B13="","",IF(R13="Ancien",0,Paramètres!$D$30))</f>
        <v/>
      </c>
      <c r="O13" s="19"/>
      <c r="P13" s="18" t="str">
        <f>IF($B13="","",N13-O13)</f>
        <v/>
      </c>
      <c r="Q13" s="8" t="str">
        <f>IF($B13="","",IF(AND(M13&lt;=0,P13&lt;=0),"Soldé","En retard"))</f>
        <v/>
      </c>
      <c r="R13" s="8"/>
    </row>
    <row r="14">
      <c r="A14" s="20"/>
      <c r="B14" s="20"/>
      <c r="C14" s="20"/>
      <c r="D14" s="21"/>
      <c r="E14" s="77"/>
      <c r="F14" s="20"/>
      <c r="G14" s="20"/>
      <c r="H14" s="18" t="str">
        <f>IF($B14="","",Paramètres!$C$30)</f>
        <v/>
      </c>
      <c r="I14" s="19"/>
      <c r="J14" s="19"/>
      <c r="K14" s="19"/>
      <c r="L14" s="18" t="str">
        <f>IF($B14="","",SUM(I14:K14))</f>
        <v/>
      </c>
      <c r="M14" s="18" t="str">
        <f>IF($B14="","",H14-L14)</f>
        <v/>
      </c>
      <c r="N14" s="18" t="str">
        <f>IF($B14="","",IF(R14="Ancien",0,Paramètres!$D$30))</f>
        <v/>
      </c>
      <c r="O14" s="19"/>
      <c r="P14" s="18" t="str">
        <f>IF($B14="","",N14-O14)</f>
        <v/>
      </c>
      <c r="Q14" s="21" t="str">
        <f>IF($B14="","",IF(AND(M14&lt;=0,P14&lt;=0),"Soldé","En retard"))</f>
        <v/>
      </c>
      <c r="R14" s="21"/>
    </row>
    <row r="15">
      <c r="A15" s="15"/>
      <c r="B15" s="15"/>
      <c r="C15" s="15"/>
      <c r="D15" s="8"/>
      <c r="E15" s="79"/>
      <c r="F15" s="15"/>
      <c r="G15" s="15"/>
      <c r="H15" s="18" t="str">
        <f>IF($B15="","",Paramètres!$C$30)</f>
        <v/>
      </c>
      <c r="I15" s="19"/>
      <c r="J15" s="19"/>
      <c r="K15" s="19"/>
      <c r="L15" s="18" t="str">
        <f>IF($B15="","",SUM(I15:K15))</f>
        <v/>
      </c>
      <c r="M15" s="18" t="str">
        <f>IF($B15="","",H15-L15)</f>
        <v/>
      </c>
      <c r="N15" s="18" t="str">
        <f>IF($B15="","",IF(R15="Ancien",0,Paramètres!$D$30))</f>
        <v/>
      </c>
      <c r="O15" s="19"/>
      <c r="P15" s="18" t="str">
        <f>IF($B15="","",N15-O15)</f>
        <v/>
      </c>
      <c r="Q15" s="8" t="str">
        <f>IF($B15="","",IF(AND(M15&lt;=0,P15&lt;=0),"Soldé","En retard"))</f>
        <v/>
      </c>
      <c r="R15" s="8"/>
    </row>
    <row r="16">
      <c r="A16" s="20"/>
      <c r="B16" s="20"/>
      <c r="C16" s="20"/>
      <c r="D16" s="21"/>
      <c r="E16" s="77"/>
      <c r="F16" s="20"/>
      <c r="G16" s="20"/>
      <c r="H16" s="18" t="str">
        <f>IF($B16="","",Paramètres!$C$30)</f>
        <v/>
      </c>
      <c r="I16" s="19"/>
      <c r="J16" s="19"/>
      <c r="K16" s="19"/>
      <c r="L16" s="18" t="str">
        <f>IF($B16="","",SUM(I16:K16))</f>
        <v/>
      </c>
      <c r="M16" s="18" t="str">
        <f>IF($B16="","",H16-L16)</f>
        <v/>
      </c>
      <c r="N16" s="18" t="str">
        <f>IF($B16="","",IF(R16="Ancien",0,Paramètres!$D$30))</f>
        <v/>
      </c>
      <c r="O16" s="19"/>
      <c r="P16" s="18" t="str">
        <f>IF($B16="","",N16-O16)</f>
        <v/>
      </c>
      <c r="Q16" s="21" t="str">
        <f>IF($B16="","",IF(AND(M16&lt;=0,P16&lt;=0),"Soldé","En retard"))</f>
        <v/>
      </c>
      <c r="R16" s="21"/>
    </row>
    <row r="17">
      <c r="A17" s="15"/>
      <c r="B17" s="15"/>
      <c r="C17" s="15"/>
      <c r="D17" s="8"/>
      <c r="E17" s="79"/>
      <c r="F17" s="15"/>
      <c r="G17" s="15"/>
      <c r="H17" s="18" t="str">
        <f>IF($B17="","",Paramètres!$C$30)</f>
        <v/>
      </c>
      <c r="I17" s="19"/>
      <c r="J17" s="19"/>
      <c r="K17" s="19"/>
      <c r="L17" s="18" t="str">
        <f>IF($B17="","",SUM(I17:K17))</f>
        <v/>
      </c>
      <c r="M17" s="18" t="str">
        <f>IF($B17="","",H17-L17)</f>
        <v/>
      </c>
      <c r="N17" s="18" t="str">
        <f>IF($B17="","",IF(R17="Ancien",0,Paramètres!$D$30))</f>
        <v/>
      </c>
      <c r="O17" s="19"/>
      <c r="P17" s="18" t="str">
        <f>IF($B17="","",N17-O17)</f>
        <v/>
      </c>
      <c r="Q17" s="8" t="str">
        <f>IF($B17="","",IF(AND(M17&lt;=0,P17&lt;=0),"Soldé","En retard"))</f>
        <v/>
      </c>
      <c r="R17" s="8"/>
    </row>
    <row r="18">
      <c r="A18" s="20"/>
      <c r="B18" s="20"/>
      <c r="C18" s="20"/>
      <c r="D18" s="21"/>
      <c r="E18" s="77"/>
      <c r="F18" s="20"/>
      <c r="G18" s="20"/>
      <c r="H18" s="18" t="str">
        <f>IF($B18="","",Paramètres!$C$30)</f>
        <v/>
      </c>
      <c r="I18" s="19"/>
      <c r="J18" s="19"/>
      <c r="K18" s="19"/>
      <c r="L18" s="18" t="str">
        <f>IF($B18="","",SUM(I18:K18))</f>
        <v/>
      </c>
      <c r="M18" s="18" t="str">
        <f>IF($B18="","",H18-L18)</f>
        <v/>
      </c>
      <c r="N18" s="18" t="str">
        <f>IF($B18="","",IF(R18="Ancien",0,Paramètres!$D$30))</f>
        <v/>
      </c>
      <c r="O18" s="19"/>
      <c r="P18" s="18" t="str">
        <f>IF($B18="","",N18-O18)</f>
        <v/>
      </c>
      <c r="Q18" s="21" t="str">
        <f>IF($B18="","",IF(AND(M18&lt;=0,P18&lt;=0),"Soldé","En retard"))</f>
        <v/>
      </c>
      <c r="R18" s="21"/>
    </row>
    <row r="19">
      <c r="A19" s="15"/>
      <c r="B19" s="15"/>
      <c r="C19" s="15"/>
      <c r="D19" s="8"/>
      <c r="E19" s="79"/>
      <c r="F19" s="15"/>
      <c r="G19" s="15"/>
      <c r="H19" s="18" t="str">
        <f>IF($B19="","",Paramètres!$C$30)</f>
        <v/>
      </c>
      <c r="I19" s="19"/>
      <c r="J19" s="19"/>
      <c r="K19" s="19"/>
      <c r="L19" s="18" t="str">
        <f>IF($B19="","",SUM(I19:K19))</f>
        <v/>
      </c>
      <c r="M19" s="18" t="str">
        <f>IF($B19="","",H19-L19)</f>
        <v/>
      </c>
      <c r="N19" s="18" t="str">
        <f>IF($B19="","",IF(R19="Ancien",0,Paramètres!$D$30))</f>
        <v/>
      </c>
      <c r="O19" s="19"/>
      <c r="P19" s="18" t="str">
        <f>IF($B19="","",N19-O19)</f>
        <v/>
      </c>
      <c r="Q19" s="8" t="str">
        <f>IF($B19="","",IF(AND(M19&lt;=0,P19&lt;=0),"Soldé","En retard"))</f>
        <v/>
      </c>
      <c r="R19" s="8"/>
    </row>
    <row r="20">
      <c r="A20" s="20"/>
      <c r="B20" s="20"/>
      <c r="C20" s="20"/>
      <c r="D20" s="21"/>
      <c r="E20" s="77"/>
      <c r="F20" s="20"/>
      <c r="G20" s="20"/>
      <c r="H20" s="18" t="str">
        <f>IF($B20="","",Paramètres!$C$30)</f>
        <v/>
      </c>
      <c r="I20" s="19"/>
      <c r="J20" s="19"/>
      <c r="K20" s="19"/>
      <c r="L20" s="18" t="str">
        <f>IF($B20="","",SUM(I20:K20))</f>
        <v/>
      </c>
      <c r="M20" s="18" t="str">
        <f>IF($B20="","",H20-L20)</f>
        <v/>
      </c>
      <c r="N20" s="18" t="str">
        <f>IF($B20="","",IF(R20="Ancien",0,Paramètres!$D$30))</f>
        <v/>
      </c>
      <c r="O20" s="19"/>
      <c r="P20" s="18" t="str">
        <f>IF($B20="","",N20-O20)</f>
        <v/>
      </c>
      <c r="Q20" s="21" t="str">
        <f>IF($B20="","",IF(AND(M20&lt;=0,P20&lt;=0),"Soldé","En retard"))</f>
        <v/>
      </c>
      <c r="R20" s="21"/>
    </row>
    <row r="21">
      <c r="A21" s="15"/>
      <c r="B21" s="15"/>
      <c r="C21" s="15"/>
      <c r="D21" s="8"/>
      <c r="E21" s="79"/>
      <c r="F21" s="15"/>
      <c r="G21" s="15"/>
      <c r="H21" s="18" t="str">
        <f>IF($B21="","",Paramètres!$C$30)</f>
        <v/>
      </c>
      <c r="I21" s="19"/>
      <c r="J21" s="19"/>
      <c r="K21" s="19"/>
      <c r="L21" s="18" t="str">
        <f>IF($B21="","",SUM(I21:K21))</f>
        <v/>
      </c>
      <c r="M21" s="18" t="str">
        <f>IF($B21="","",H21-L21)</f>
        <v/>
      </c>
      <c r="N21" s="18" t="str">
        <f>IF($B21="","",IF(R21="Ancien",0,Paramètres!$D$30))</f>
        <v/>
      </c>
      <c r="O21" s="19"/>
      <c r="P21" s="18" t="str">
        <f>IF($B21="","",N21-O21)</f>
        <v/>
      </c>
      <c r="Q21" s="8" t="str">
        <f>IF($B21="","",IF(AND(M21&lt;=0,P21&lt;=0),"Soldé","En retard"))</f>
        <v/>
      </c>
      <c r="R21" s="8"/>
    </row>
    <row r="22">
      <c r="A22" s="20"/>
      <c r="B22" s="20"/>
      <c r="C22" s="20"/>
      <c r="D22" s="21"/>
      <c r="E22" s="77"/>
      <c r="F22" s="20"/>
      <c r="G22" s="20"/>
      <c r="H22" s="18" t="str">
        <f>IF($B22="","",Paramètres!$C$30)</f>
        <v/>
      </c>
      <c r="I22" s="19"/>
      <c r="J22" s="19"/>
      <c r="K22" s="19"/>
      <c r="L22" s="18" t="str">
        <f>IF($B22="","",SUM(I22:K22))</f>
        <v/>
      </c>
      <c r="M22" s="18" t="str">
        <f>IF($B22="","",H22-L22)</f>
        <v/>
      </c>
      <c r="N22" s="18" t="str">
        <f>IF($B22="","",IF(R22="Ancien",0,Paramètres!$D$30))</f>
        <v/>
      </c>
      <c r="O22" s="19"/>
      <c r="P22" s="18" t="str">
        <f>IF($B22="","",N22-O22)</f>
        <v/>
      </c>
      <c r="Q22" s="21" t="str">
        <f>IF($B22="","",IF(AND(M22&lt;=0,P22&lt;=0),"Soldé","En retard"))</f>
        <v/>
      </c>
      <c r="R22" s="21"/>
    </row>
    <row r="23">
      <c r="A23" s="15"/>
      <c r="B23" s="15"/>
      <c r="C23" s="15"/>
      <c r="D23" s="8"/>
      <c r="E23" s="79"/>
      <c r="F23" s="15"/>
      <c r="G23" s="15"/>
      <c r="H23" s="18" t="str">
        <f>IF($B23="","",Paramètres!$C$30)</f>
        <v/>
      </c>
      <c r="I23" s="19"/>
      <c r="J23" s="19"/>
      <c r="K23" s="19"/>
      <c r="L23" s="18" t="str">
        <f>IF($B23="","",SUM(I23:K23))</f>
        <v/>
      </c>
      <c r="M23" s="18" t="str">
        <f>IF($B23="","",H23-L23)</f>
        <v/>
      </c>
      <c r="N23" s="18" t="str">
        <f>IF($B23="","",IF(R23="Ancien",0,Paramètres!$D$30))</f>
        <v/>
      </c>
      <c r="O23" s="19"/>
      <c r="P23" s="18" t="str">
        <f>IF($B23="","",N23-O23)</f>
        <v/>
      </c>
      <c r="Q23" s="8" t="str">
        <f>IF($B23="","",IF(AND(M23&lt;=0,P23&lt;=0),"Soldé","En retard"))</f>
        <v/>
      </c>
      <c r="R23" s="8"/>
    </row>
    <row r="24">
      <c r="A24" s="20"/>
      <c r="B24" s="20"/>
      <c r="C24" s="20"/>
      <c r="D24" s="21"/>
      <c r="E24" s="77"/>
      <c r="F24" s="20"/>
      <c r="G24" s="20"/>
      <c r="H24" s="18" t="str">
        <f>IF($B24="","",Paramètres!$C$30)</f>
        <v/>
      </c>
      <c r="I24" s="19"/>
      <c r="J24" s="19"/>
      <c r="K24" s="19"/>
      <c r="L24" s="18" t="str">
        <f>IF($B24="","",SUM(I24:K24))</f>
        <v/>
      </c>
      <c r="M24" s="18" t="str">
        <f>IF($B24="","",H24-L24)</f>
        <v/>
      </c>
      <c r="N24" s="18" t="str">
        <f>IF($B24="","",IF(R24="Ancien",0,Paramètres!$D$30))</f>
        <v/>
      </c>
      <c r="O24" s="19"/>
      <c r="P24" s="18" t="str">
        <f>IF($B24="","",N24-O24)</f>
        <v/>
      </c>
      <c r="Q24" s="21" t="str">
        <f>IF($B24="","",IF(AND(M24&lt;=0,P24&lt;=0),"Soldé","En retard"))</f>
        <v/>
      </c>
      <c r="R24" s="21"/>
    </row>
    <row r="25">
      <c r="A25" s="15"/>
      <c r="B25" s="15"/>
      <c r="C25" s="15"/>
      <c r="D25" s="8"/>
      <c r="E25" s="79"/>
      <c r="F25" s="15"/>
      <c r="G25" s="15"/>
      <c r="H25" s="18" t="str">
        <f>IF($B25="","",Paramètres!$C$30)</f>
        <v/>
      </c>
      <c r="I25" s="19"/>
      <c r="J25" s="19"/>
      <c r="K25" s="19"/>
      <c r="L25" s="18" t="str">
        <f>IF($B25="","",SUM(I25:K25))</f>
        <v/>
      </c>
      <c r="M25" s="18" t="str">
        <f>IF($B25="","",H25-L25)</f>
        <v/>
      </c>
      <c r="N25" s="18" t="str">
        <f>IF($B25="","",IF(R25="Ancien",0,Paramètres!$D$30))</f>
        <v/>
      </c>
      <c r="O25" s="19"/>
      <c r="P25" s="18" t="str">
        <f>IF($B25="","",N25-O25)</f>
        <v/>
      </c>
      <c r="Q25" s="8" t="str">
        <f>IF($B25="","",IF(AND(M25&lt;=0,P25&lt;=0),"Soldé","En retard"))</f>
        <v/>
      </c>
      <c r="R25" s="8"/>
    </row>
    <row r="26">
      <c r="A26" s="20"/>
      <c r="B26" s="20"/>
      <c r="C26" s="20"/>
      <c r="D26" s="21"/>
      <c r="E26" s="77"/>
      <c r="F26" s="20"/>
      <c r="G26" s="20"/>
      <c r="H26" s="18" t="str">
        <f>IF($B26="","",Paramètres!$C$30)</f>
        <v/>
      </c>
      <c r="I26" s="19"/>
      <c r="J26" s="19"/>
      <c r="K26" s="19"/>
      <c r="L26" s="18" t="str">
        <f>IF($B26="","",SUM(I26:K26))</f>
        <v/>
      </c>
      <c r="M26" s="18" t="str">
        <f>IF($B26="","",H26-L26)</f>
        <v/>
      </c>
      <c r="N26" s="18" t="str">
        <f>IF($B26="","",IF(R26="Ancien",0,Paramètres!$D$30))</f>
        <v/>
      </c>
      <c r="O26" s="19"/>
      <c r="P26" s="18" t="str">
        <f>IF($B26="","",N26-O26)</f>
        <v/>
      </c>
      <c r="Q26" s="21" t="str">
        <f>IF($B26="","",IF(AND(M26&lt;=0,P26&lt;=0),"Soldé","En retard"))</f>
        <v/>
      </c>
      <c r="R26" s="21"/>
    </row>
    <row r="27">
      <c r="A27" s="15"/>
      <c r="B27" s="15"/>
      <c r="C27" s="15"/>
      <c r="D27" s="8"/>
      <c r="E27" s="79"/>
      <c r="F27" s="15"/>
      <c r="G27" s="15"/>
      <c r="H27" s="18" t="str">
        <f>IF($B27="","",Paramètres!$C$30)</f>
        <v/>
      </c>
      <c r="I27" s="19"/>
      <c r="J27" s="19"/>
      <c r="K27" s="19"/>
      <c r="L27" s="18" t="str">
        <f>IF($B27="","",SUM(I27:K27))</f>
        <v/>
      </c>
      <c r="M27" s="18" t="str">
        <f>IF($B27="","",H27-L27)</f>
        <v/>
      </c>
      <c r="N27" s="18" t="str">
        <f>IF($B27="","",IF(R27="Ancien",0,Paramètres!$D$30))</f>
        <v/>
      </c>
      <c r="O27" s="19"/>
      <c r="P27" s="18" t="str">
        <f>IF($B27="","",N27-O27)</f>
        <v/>
      </c>
      <c r="Q27" s="8" t="str">
        <f>IF($B27="","",IF(AND(M27&lt;=0,P27&lt;=0),"Soldé","En retard"))</f>
        <v/>
      </c>
      <c r="R27" s="8"/>
    </row>
    <row r="28">
      <c r="A28" s="20"/>
      <c r="B28" s="20"/>
      <c r="C28" s="20"/>
      <c r="D28" s="21"/>
      <c r="E28" s="77"/>
      <c r="F28" s="20"/>
      <c r="G28" s="20"/>
      <c r="H28" s="18" t="str">
        <f>IF($B28="","",Paramètres!$C$30)</f>
        <v/>
      </c>
      <c r="I28" s="19"/>
      <c r="J28" s="19"/>
      <c r="K28" s="19"/>
      <c r="L28" s="18" t="str">
        <f>IF($B28="","",SUM(I28:K28))</f>
        <v/>
      </c>
      <c r="M28" s="18" t="str">
        <f>IF($B28="","",H28-L28)</f>
        <v/>
      </c>
      <c r="N28" s="18" t="str">
        <f>IF($B28="","",IF(R28="Ancien",0,Paramètres!$D$30))</f>
        <v/>
      </c>
      <c r="O28" s="19"/>
      <c r="P28" s="18" t="str">
        <f>IF($B28="","",N28-O28)</f>
        <v/>
      </c>
      <c r="Q28" s="21" t="str">
        <f>IF($B28="","",IF(AND(M28&lt;=0,P28&lt;=0),"Soldé","En retard"))</f>
        <v/>
      </c>
      <c r="R28" s="21"/>
    </row>
    <row r="29">
      <c r="A29" s="15"/>
      <c r="B29" s="15"/>
      <c r="C29" s="15"/>
      <c r="D29" s="8"/>
      <c r="E29" s="79"/>
      <c r="F29" s="15"/>
      <c r="G29" s="15"/>
      <c r="H29" s="18" t="str">
        <f>IF($B29="","",Paramètres!$C$30)</f>
        <v/>
      </c>
      <c r="I29" s="19"/>
      <c r="J29" s="19"/>
      <c r="K29" s="19"/>
      <c r="L29" s="18" t="str">
        <f>IF($B29="","",SUM(I29:K29))</f>
        <v/>
      </c>
      <c r="M29" s="18" t="str">
        <f>IF($B29="","",H29-L29)</f>
        <v/>
      </c>
      <c r="N29" s="18" t="str">
        <f>IF($B29="","",IF(R29="Ancien",0,Paramètres!$D$30))</f>
        <v/>
      </c>
      <c r="O29" s="19"/>
      <c r="P29" s="18" t="str">
        <f>IF($B29="","",N29-O29)</f>
        <v/>
      </c>
      <c r="Q29" s="8" t="str">
        <f>IF($B29="","",IF(AND(M29&lt;=0,P29&lt;=0),"Soldé","En retard"))</f>
        <v/>
      </c>
      <c r="R29" s="8"/>
    </row>
    <row r="30">
      <c r="A30" s="20"/>
      <c r="B30" s="20"/>
      <c r="C30" s="20"/>
      <c r="D30" s="21"/>
      <c r="E30" s="77"/>
      <c r="F30" s="20"/>
      <c r="G30" s="20"/>
      <c r="H30" s="18" t="str">
        <f>IF($B30="","",Paramètres!$C$30)</f>
        <v/>
      </c>
      <c r="I30" s="19"/>
      <c r="J30" s="19"/>
      <c r="K30" s="19"/>
      <c r="L30" s="18" t="str">
        <f>IF($B30="","",SUM(I30:K30))</f>
        <v/>
      </c>
      <c r="M30" s="18" t="str">
        <f>IF($B30="","",H30-L30)</f>
        <v/>
      </c>
      <c r="N30" s="18" t="str">
        <f>IF($B30="","",IF(R30="Ancien",0,Paramètres!$D$30))</f>
        <v/>
      </c>
      <c r="O30" s="19"/>
      <c r="P30" s="18" t="str">
        <f>IF($B30="","",N30-O30)</f>
        <v/>
      </c>
      <c r="Q30" s="21" t="str">
        <f>IF($B30="","",IF(AND(M30&lt;=0,P30&lt;=0),"Soldé","En retard"))</f>
        <v/>
      </c>
      <c r="R30" s="21"/>
    </row>
    <row r="31">
      <c r="A31" s="15"/>
      <c r="B31" s="15"/>
      <c r="C31" s="15"/>
      <c r="D31" s="8"/>
      <c r="E31" s="79"/>
      <c r="F31" s="15"/>
      <c r="G31" s="15"/>
      <c r="H31" s="18" t="str">
        <f>IF($B31="","",Paramètres!$C$30)</f>
        <v/>
      </c>
      <c r="I31" s="19"/>
      <c r="J31" s="19"/>
      <c r="K31" s="19"/>
      <c r="L31" s="18" t="str">
        <f>IF($B31="","",SUM(I31:K31))</f>
        <v/>
      </c>
      <c r="M31" s="18" t="str">
        <f>IF($B31="","",H31-L31)</f>
        <v/>
      </c>
      <c r="N31" s="18" t="str">
        <f>IF($B31="","",IF(R31="Ancien",0,Paramètres!$D$30))</f>
        <v/>
      </c>
      <c r="O31" s="19"/>
      <c r="P31" s="18" t="str">
        <f>IF($B31="","",N31-O31)</f>
        <v/>
      </c>
      <c r="Q31" s="8" t="str">
        <f>IF($B31="","",IF(AND(M31&lt;=0,P31&lt;=0),"Soldé","En retard"))</f>
        <v/>
      </c>
      <c r="R31" s="8"/>
    </row>
    <row r="32">
      <c r="A32" s="20"/>
      <c r="B32" s="20"/>
      <c r="C32" s="20"/>
      <c r="D32" s="21"/>
      <c r="E32" s="77"/>
      <c r="F32" s="20"/>
      <c r="G32" s="20"/>
      <c r="H32" s="18" t="str">
        <f>IF($B32="","",Paramètres!$C$30)</f>
        <v/>
      </c>
      <c r="I32" s="19"/>
      <c r="J32" s="19"/>
      <c r="K32" s="19"/>
      <c r="L32" s="18" t="str">
        <f>IF($B32="","",SUM(I32:K32))</f>
        <v/>
      </c>
      <c r="M32" s="18" t="str">
        <f>IF($B32="","",H32-L32)</f>
        <v/>
      </c>
      <c r="N32" s="18" t="str">
        <f>IF($B32="","",IF(R32="Ancien",0,Paramètres!$D$30))</f>
        <v/>
      </c>
      <c r="O32" s="19"/>
      <c r="P32" s="18" t="str">
        <f>IF($B32="","",N32-O32)</f>
        <v/>
      </c>
      <c r="Q32" s="21" t="str">
        <f>IF($B32="","",IF(AND(M32&lt;=0,P32&lt;=0),"Soldé","En retard"))</f>
        <v/>
      </c>
      <c r="R32" s="21"/>
    </row>
    <row r="33">
      <c r="A33" s="15"/>
      <c r="B33" s="15"/>
      <c r="C33" s="15"/>
      <c r="D33" s="8"/>
      <c r="E33" s="79"/>
      <c r="F33" s="15"/>
      <c r="G33" s="15"/>
      <c r="H33" s="18" t="str">
        <f>IF($B33="","",Paramètres!$C$30)</f>
        <v/>
      </c>
      <c r="I33" s="19"/>
      <c r="J33" s="19"/>
      <c r="K33" s="19"/>
      <c r="L33" s="18" t="str">
        <f>IF($B33="","",SUM(I33:K33))</f>
        <v/>
      </c>
      <c r="M33" s="18" t="str">
        <f>IF($B33="","",H33-L33)</f>
        <v/>
      </c>
      <c r="N33" s="18" t="str">
        <f>IF($B33="","",IF(R33="Ancien",0,Paramètres!$D$30))</f>
        <v/>
      </c>
      <c r="O33" s="19"/>
      <c r="P33" s="18" t="str">
        <f>IF($B33="","",N33-O33)</f>
        <v/>
      </c>
      <c r="Q33" s="8" t="str">
        <f>IF($B33="","",IF(AND(M33&lt;=0,P33&lt;=0),"Soldé","En retard"))</f>
        <v/>
      </c>
      <c r="R33" s="8"/>
    </row>
    <row r="34">
      <c r="A34" s="20"/>
      <c r="B34" s="20"/>
      <c r="C34" s="20"/>
      <c r="D34" s="21"/>
      <c r="E34" s="77"/>
      <c r="F34" s="20"/>
      <c r="G34" s="20"/>
      <c r="H34" s="18" t="str">
        <f>IF($B34="","",Paramètres!$C$30)</f>
        <v/>
      </c>
      <c r="I34" s="19"/>
      <c r="J34" s="19"/>
      <c r="K34" s="19"/>
      <c r="L34" s="18" t="str">
        <f>IF($B34="","",SUM(I34:K34))</f>
        <v/>
      </c>
      <c r="M34" s="18" t="str">
        <f>IF($B34="","",H34-L34)</f>
        <v/>
      </c>
      <c r="N34" s="18" t="str">
        <f>IF($B34="","",IF(R34="Ancien",0,Paramètres!$D$30))</f>
        <v/>
      </c>
      <c r="O34" s="19"/>
      <c r="P34" s="18" t="str">
        <f>IF($B34="","",N34-O34)</f>
        <v/>
      </c>
      <c r="Q34" s="21" t="str">
        <f>IF($B34="","",IF(AND(M34&lt;=0,P34&lt;=0),"Soldé","En retard"))</f>
        <v/>
      </c>
      <c r="R34" s="21"/>
    </row>
    <row r="35">
      <c r="A35" s="15"/>
      <c r="B35" s="15"/>
      <c r="C35" s="15"/>
      <c r="D35" s="8"/>
      <c r="E35" s="79"/>
      <c r="F35" s="15"/>
      <c r="G35" s="15"/>
      <c r="H35" s="18" t="str">
        <f>IF($B35="","",Paramètres!$C$30)</f>
        <v/>
      </c>
      <c r="I35" s="19"/>
      <c r="J35" s="19"/>
      <c r="K35" s="19"/>
      <c r="L35" s="18" t="str">
        <f>IF($B35="","",SUM(I35:K35))</f>
        <v/>
      </c>
      <c r="M35" s="18" t="str">
        <f>IF($B35="","",H35-L35)</f>
        <v/>
      </c>
      <c r="N35" s="18" t="str">
        <f>IF($B35="","",IF(R35="Ancien",0,Paramètres!$D$30))</f>
        <v/>
      </c>
      <c r="O35" s="19"/>
      <c r="P35" s="18" t="str">
        <f>IF($B35="","",N35-O35)</f>
        <v/>
      </c>
      <c r="Q35" s="8" t="str">
        <f>IF($B35="","",IF(AND(M35&lt;=0,P35&lt;=0),"Soldé","En retard"))</f>
        <v/>
      </c>
      <c r="R35" s="8"/>
    </row>
    <row r="36">
      <c r="A36" s="20"/>
      <c r="B36" s="20"/>
      <c r="C36" s="20"/>
      <c r="D36" s="21"/>
      <c r="E36" s="77"/>
      <c r="F36" s="20"/>
      <c r="G36" s="20"/>
      <c r="H36" s="18" t="str">
        <f>IF($B36="","",Paramètres!$C$30)</f>
        <v/>
      </c>
      <c r="I36" s="19"/>
      <c r="J36" s="19"/>
      <c r="K36" s="19"/>
      <c r="L36" s="18" t="str">
        <f>IF($B36="","",SUM(I36:K36))</f>
        <v/>
      </c>
      <c r="M36" s="18" t="str">
        <f>IF($B36="","",H36-L36)</f>
        <v/>
      </c>
      <c r="N36" s="18" t="str">
        <f>IF($B36="","",IF(R36="Ancien",0,Paramètres!$D$30))</f>
        <v/>
      </c>
      <c r="O36" s="19"/>
      <c r="P36" s="18" t="str">
        <f>IF($B36="","",N36-O36)</f>
        <v/>
      </c>
      <c r="Q36" s="21" t="str">
        <f>IF($B36="","",IF(AND(M36&lt;=0,P36&lt;=0),"Soldé","En retard"))</f>
        <v/>
      </c>
      <c r="R36" s="21"/>
    </row>
    <row r="37">
      <c r="A37" s="15"/>
      <c r="B37" s="15"/>
      <c r="C37" s="15"/>
      <c r="D37" s="8"/>
      <c r="E37" s="79"/>
      <c r="F37" s="15"/>
      <c r="G37" s="15"/>
      <c r="H37" s="18" t="str">
        <f>IF($B37="","",Paramètres!$C$30)</f>
        <v/>
      </c>
      <c r="I37" s="19"/>
      <c r="J37" s="19"/>
      <c r="K37" s="19"/>
      <c r="L37" s="18" t="str">
        <f>IF($B37="","",SUM(I37:K37))</f>
        <v/>
      </c>
      <c r="M37" s="18" t="str">
        <f>IF($B37="","",H37-L37)</f>
        <v/>
      </c>
      <c r="N37" s="18" t="str">
        <f>IF($B37="","",IF(R37="Ancien",0,Paramètres!$D$30))</f>
        <v/>
      </c>
      <c r="O37" s="19"/>
      <c r="P37" s="18" t="str">
        <f>IF($B37="","",N37-O37)</f>
        <v/>
      </c>
      <c r="Q37" s="8" t="str">
        <f>IF($B37="","",IF(AND(M37&lt;=0,P37&lt;=0),"Soldé","En retard"))</f>
        <v/>
      </c>
      <c r="R37" s="8"/>
    </row>
    <row r="38">
      <c r="A38" s="20"/>
      <c r="B38" s="20"/>
      <c r="C38" s="20"/>
      <c r="D38" s="21"/>
      <c r="E38" s="77"/>
      <c r="F38" s="20"/>
      <c r="G38" s="20"/>
      <c r="H38" s="18" t="str">
        <f>IF($B38="","",Paramètres!$C$30)</f>
        <v/>
      </c>
      <c r="I38" s="19"/>
      <c r="J38" s="19"/>
      <c r="K38" s="19"/>
      <c r="L38" s="18" t="str">
        <f>IF($B38="","",SUM(I38:K38))</f>
        <v/>
      </c>
      <c r="M38" s="18" t="str">
        <f>IF($B38="","",H38-L38)</f>
        <v/>
      </c>
      <c r="N38" s="18" t="str">
        <f>IF($B38="","",IF(R38="Ancien",0,Paramètres!$D$30))</f>
        <v/>
      </c>
      <c r="O38" s="19"/>
      <c r="P38" s="18" t="str">
        <f>IF($B38="","",N38-O38)</f>
        <v/>
      </c>
      <c r="Q38" s="21" t="str">
        <f>IF($B38="","",IF(AND(M38&lt;=0,P38&lt;=0),"Soldé","En retard"))</f>
        <v/>
      </c>
      <c r="R38" s="21"/>
    </row>
    <row r="39">
      <c r="A39" s="15"/>
      <c r="B39" s="15"/>
      <c r="C39" s="15"/>
      <c r="D39" s="8"/>
      <c r="E39" s="79"/>
      <c r="F39" s="15"/>
      <c r="G39" s="15"/>
      <c r="H39" s="18" t="str">
        <f>IF($B39="","",Paramètres!$C$30)</f>
        <v/>
      </c>
      <c r="I39" s="19"/>
      <c r="J39" s="19"/>
      <c r="K39" s="19"/>
      <c r="L39" s="18" t="str">
        <f>IF($B39="","",SUM(I39:K39))</f>
        <v/>
      </c>
      <c r="M39" s="18" t="str">
        <f>IF($B39="","",H39-L39)</f>
        <v/>
      </c>
      <c r="N39" s="18" t="str">
        <f>IF($B39="","",IF(R39="Ancien",0,Paramètres!$D$30))</f>
        <v/>
      </c>
      <c r="O39" s="19"/>
      <c r="P39" s="18" t="str">
        <f>IF($B39="","",N39-O39)</f>
        <v/>
      </c>
      <c r="Q39" s="8" t="str">
        <f>IF($B39="","",IF(AND(M39&lt;=0,P39&lt;=0),"Soldé","En retard"))</f>
        <v/>
      </c>
      <c r="R39" s="8"/>
    </row>
    <row r="40">
      <c r="A40" s="20"/>
      <c r="B40" s="20"/>
      <c r="C40" s="20"/>
      <c r="D40" s="21"/>
      <c r="E40" s="77"/>
      <c r="F40" s="20"/>
      <c r="G40" s="20"/>
      <c r="H40" s="18" t="str">
        <f>IF($B40="","",Paramètres!$C$30)</f>
        <v/>
      </c>
      <c r="I40" s="19"/>
      <c r="J40" s="19"/>
      <c r="K40" s="19"/>
      <c r="L40" s="18" t="str">
        <f>IF($B40="","",SUM(I40:K40))</f>
        <v/>
      </c>
      <c r="M40" s="18" t="str">
        <f>IF($B40="","",H40-L40)</f>
        <v/>
      </c>
      <c r="N40" s="18" t="str">
        <f>IF($B40="","",IF(R40="Ancien",0,Paramètres!$D$30))</f>
        <v/>
      </c>
      <c r="O40" s="19"/>
      <c r="P40" s="18" t="str">
        <f>IF($B40="","",N40-O40)</f>
        <v/>
      </c>
      <c r="Q40" s="21" t="str">
        <f>IF($B40="","",IF(AND(M40&lt;=0,P40&lt;=0),"Soldé","En retard"))</f>
        <v/>
      </c>
      <c r="R40" s="21"/>
    </row>
    <row r="41">
      <c r="A41" s="15"/>
      <c r="B41" s="15"/>
      <c r="C41" s="15"/>
      <c r="D41" s="8"/>
      <c r="E41" s="79"/>
      <c r="F41" s="15"/>
      <c r="G41" s="15"/>
      <c r="H41" s="18" t="str">
        <f>IF($B41="","",Paramètres!$C$30)</f>
        <v/>
      </c>
      <c r="I41" s="19"/>
      <c r="J41" s="19"/>
      <c r="K41" s="19"/>
      <c r="L41" s="18" t="str">
        <f>IF($B41="","",SUM(I41:K41))</f>
        <v/>
      </c>
      <c r="M41" s="18" t="str">
        <f>IF($B41="","",H41-L41)</f>
        <v/>
      </c>
      <c r="N41" s="18" t="str">
        <f>IF($B41="","",IF(R41="Ancien",0,Paramètres!$D$30))</f>
        <v/>
      </c>
      <c r="O41" s="19"/>
      <c r="P41" s="18" t="str">
        <f>IF($B41="","",N41-O41)</f>
        <v/>
      </c>
      <c r="Q41" s="8" t="str">
        <f>IF($B41="","",IF(AND(M41&lt;=0,P41&lt;=0),"Soldé","En retard"))</f>
        <v/>
      </c>
      <c r="R41" s="8"/>
    </row>
    <row r="42">
      <c r="A42" s="20"/>
      <c r="B42" s="20"/>
      <c r="C42" s="20"/>
      <c r="D42" s="21"/>
      <c r="E42" s="77"/>
      <c r="F42" s="20"/>
      <c r="G42" s="20"/>
      <c r="H42" s="18" t="str">
        <f>IF($B42="","",Paramètres!$C$30)</f>
        <v/>
      </c>
      <c r="I42" s="19"/>
      <c r="J42" s="19"/>
      <c r="K42" s="19"/>
      <c r="L42" s="18" t="str">
        <f>IF($B42="","",SUM(I42:K42))</f>
        <v/>
      </c>
      <c r="M42" s="18" t="str">
        <f>IF($B42="","",H42-L42)</f>
        <v/>
      </c>
      <c r="N42" s="18" t="str">
        <f>IF($B42="","",IF(R42="Ancien",0,Paramètres!$D$30))</f>
        <v/>
      </c>
      <c r="O42" s="19"/>
      <c r="P42" s="18" t="str">
        <f>IF($B42="","",N42-O42)</f>
        <v/>
      </c>
      <c r="Q42" s="21" t="str">
        <f>IF($B42="","",IF(AND(M42&lt;=0,P42&lt;=0),"Soldé","En retard"))</f>
        <v/>
      </c>
      <c r="R42" s="21"/>
    </row>
    <row r="43">
      <c r="A43" s="15"/>
      <c r="B43" s="15"/>
      <c r="C43" s="15"/>
      <c r="D43" s="8"/>
      <c r="E43" s="79"/>
      <c r="F43" s="15"/>
      <c r="G43" s="15"/>
      <c r="H43" s="18" t="str">
        <f>IF($B43="","",Paramètres!$C$30)</f>
        <v/>
      </c>
      <c r="I43" s="19"/>
      <c r="J43" s="19"/>
      <c r="K43" s="19"/>
      <c r="L43" s="18" t="str">
        <f>IF($B43="","",SUM(I43:K43))</f>
        <v/>
      </c>
      <c r="M43" s="18" t="str">
        <f>IF($B43="","",H43-L43)</f>
        <v/>
      </c>
      <c r="N43" s="18" t="str">
        <f>IF($B43="","",IF(R43="Ancien",0,Paramètres!$D$30))</f>
        <v/>
      </c>
      <c r="O43" s="19"/>
      <c r="P43" s="18" t="str">
        <f>IF($B43="","",N43-O43)</f>
        <v/>
      </c>
      <c r="Q43" s="8" t="str">
        <f>IF($B43="","",IF(AND(M43&lt;=0,P43&lt;=0),"Soldé","En retard"))</f>
        <v/>
      </c>
      <c r="R43" s="8"/>
    </row>
    <row r="44">
      <c r="A44" s="20"/>
      <c r="B44" s="20"/>
      <c r="C44" s="20"/>
      <c r="D44" s="21"/>
      <c r="E44" s="77"/>
      <c r="F44" s="20"/>
      <c r="G44" s="20"/>
      <c r="H44" s="18" t="str">
        <f>IF($B44="","",Paramètres!$C$30)</f>
        <v/>
      </c>
      <c r="I44" s="19"/>
      <c r="J44" s="19"/>
      <c r="K44" s="19"/>
      <c r="L44" s="18" t="str">
        <f>IF($B44="","",SUM(I44:K44))</f>
        <v/>
      </c>
      <c r="M44" s="18" t="str">
        <f>IF($B44="","",H44-L44)</f>
        <v/>
      </c>
      <c r="N44" s="18" t="str">
        <f>IF($B44="","",IF(R44="Ancien",0,Paramètres!$D$30))</f>
        <v/>
      </c>
      <c r="O44" s="19"/>
      <c r="P44" s="18" t="str">
        <f>IF($B44="","",N44-O44)</f>
        <v/>
      </c>
      <c r="Q44" s="21" t="str">
        <f>IF($B44="","",IF(AND(M44&lt;=0,P44&lt;=0),"Soldé","En retard"))</f>
        <v/>
      </c>
      <c r="R44" s="21"/>
    </row>
    <row r="45">
      <c r="A45" s="15"/>
      <c r="B45" s="15"/>
      <c r="C45" s="15"/>
      <c r="D45" s="8"/>
      <c r="E45" s="79"/>
      <c r="F45" s="15"/>
      <c r="G45" s="15"/>
      <c r="H45" s="18" t="str">
        <f>IF($B45="","",Paramètres!$C$30)</f>
        <v/>
      </c>
      <c r="I45" s="19"/>
      <c r="J45" s="19"/>
      <c r="K45" s="19"/>
      <c r="L45" s="18" t="str">
        <f>IF($B45="","",SUM(I45:K45))</f>
        <v/>
      </c>
      <c r="M45" s="18" t="str">
        <f>IF($B45="","",H45-L45)</f>
        <v/>
      </c>
      <c r="N45" s="18" t="str">
        <f>IF($B45="","",IF(R45="Ancien",0,Paramètres!$D$30))</f>
        <v/>
      </c>
      <c r="O45" s="19"/>
      <c r="P45" s="18" t="str">
        <f>IF($B45="","",N45-O45)</f>
        <v/>
      </c>
      <c r="Q45" s="8" t="str">
        <f>IF($B45="","",IF(AND(M45&lt;=0,P45&lt;=0),"Soldé","En retard"))</f>
        <v/>
      </c>
      <c r="R45" s="8"/>
    </row>
    <row r="46">
      <c r="A46" s="20"/>
      <c r="B46" s="20"/>
      <c r="C46" s="20"/>
      <c r="D46" s="21"/>
      <c r="E46" s="77"/>
      <c r="F46" s="20"/>
      <c r="G46" s="20"/>
      <c r="H46" s="18" t="str">
        <f>IF($B46="","",Paramètres!$C$30)</f>
        <v/>
      </c>
      <c r="I46" s="19"/>
      <c r="J46" s="19"/>
      <c r="K46" s="19"/>
      <c r="L46" s="18" t="str">
        <f>IF($B46="","",SUM(I46:K46))</f>
        <v/>
      </c>
      <c r="M46" s="18" t="str">
        <f>IF($B46="","",H46-L46)</f>
        <v/>
      </c>
      <c r="N46" s="18" t="str">
        <f>IF($B46="","",IF(R46="Ancien",0,Paramètres!$D$30))</f>
        <v/>
      </c>
      <c r="O46" s="19"/>
      <c r="P46" s="18" t="str">
        <f>IF($B46="","",N46-O46)</f>
        <v/>
      </c>
      <c r="Q46" s="21" t="str">
        <f>IF($B46="","",IF(AND(M46&lt;=0,P46&lt;=0),"Soldé","En retard"))</f>
        <v/>
      </c>
      <c r="R46" s="21"/>
    </row>
    <row r="47">
      <c r="A47" s="15"/>
      <c r="B47" s="15"/>
      <c r="C47" s="15"/>
      <c r="D47" s="8"/>
      <c r="E47" s="79"/>
      <c r="F47" s="15"/>
      <c r="G47" s="15"/>
      <c r="H47" s="18" t="str">
        <f>IF($B47="","",Paramètres!$C$30)</f>
        <v/>
      </c>
      <c r="I47" s="19"/>
      <c r="J47" s="19"/>
      <c r="K47" s="19"/>
      <c r="L47" s="18" t="str">
        <f>IF($B47="","",SUM(I47:K47))</f>
        <v/>
      </c>
      <c r="M47" s="18" t="str">
        <f>IF($B47="","",H47-L47)</f>
        <v/>
      </c>
      <c r="N47" s="18" t="str">
        <f>IF($B47="","",IF(R47="Ancien",0,Paramètres!$D$30))</f>
        <v/>
      </c>
      <c r="O47" s="19"/>
      <c r="P47" s="18" t="str">
        <f>IF($B47="","",N47-O47)</f>
        <v/>
      </c>
      <c r="Q47" s="8" t="str">
        <f>IF($B47="","",IF(AND(M47&lt;=0,P47&lt;=0),"Soldé","En retard"))</f>
        <v/>
      </c>
      <c r="R47" s="8"/>
    </row>
    <row r="48">
      <c r="A48" s="20"/>
      <c r="B48" s="20"/>
      <c r="C48" s="20"/>
      <c r="D48" s="21"/>
      <c r="E48" s="77"/>
      <c r="F48" s="20"/>
      <c r="G48" s="20"/>
      <c r="H48" s="18" t="str">
        <f>IF($B48="","",Paramètres!$C$30)</f>
        <v/>
      </c>
      <c r="I48" s="19"/>
      <c r="J48" s="19"/>
      <c r="K48" s="19"/>
      <c r="L48" s="18" t="str">
        <f>IF($B48="","",SUM(I48:K48))</f>
        <v/>
      </c>
      <c r="M48" s="18" t="str">
        <f>IF($B48="","",H48-L48)</f>
        <v/>
      </c>
      <c r="N48" s="18" t="str">
        <f>IF($B48="","",IF(R48="Ancien",0,Paramètres!$D$30))</f>
        <v/>
      </c>
      <c r="O48" s="19"/>
      <c r="P48" s="18" t="str">
        <f>IF($B48="","",N48-O48)</f>
        <v/>
      </c>
      <c r="Q48" s="21" t="str">
        <f>IF($B48="","",IF(AND(M48&lt;=0,P48&lt;=0),"Soldé","En retard"))</f>
        <v/>
      </c>
      <c r="R48" s="21"/>
    </row>
    <row r="49">
      <c r="A49" s="15"/>
      <c r="B49" s="15"/>
      <c r="C49" s="15"/>
      <c r="D49" s="8"/>
      <c r="E49" s="79"/>
      <c r="F49" s="15"/>
      <c r="G49" s="15"/>
      <c r="H49" s="18" t="str">
        <f>IF($B49="","",Paramètres!$C$30)</f>
        <v/>
      </c>
      <c r="I49" s="19"/>
      <c r="J49" s="19"/>
      <c r="K49" s="19"/>
      <c r="L49" s="18" t="str">
        <f>IF($B49="","",SUM(I49:K49))</f>
        <v/>
      </c>
      <c r="M49" s="18" t="str">
        <f>IF($B49="","",H49-L49)</f>
        <v/>
      </c>
      <c r="N49" s="18" t="str">
        <f>IF($B49="","",IF(R49="Ancien",0,Paramètres!$D$30))</f>
        <v/>
      </c>
      <c r="O49" s="19"/>
      <c r="P49" s="18" t="str">
        <f>IF($B49="","",N49-O49)</f>
        <v/>
      </c>
      <c r="Q49" s="8" t="str">
        <f>IF($B49="","",IF(AND(M49&lt;=0,P49&lt;=0),"Soldé","En retard"))</f>
        <v/>
      </c>
      <c r="R49" s="8"/>
    </row>
    <row r="50">
      <c r="A50" s="20"/>
      <c r="B50" s="20"/>
      <c r="C50" s="20"/>
      <c r="D50" s="21"/>
      <c r="E50" s="77"/>
      <c r="F50" s="20"/>
      <c r="G50" s="20"/>
      <c r="H50" s="18" t="str">
        <f>IF($B50="","",Paramètres!$C$30)</f>
        <v/>
      </c>
      <c r="I50" s="19"/>
      <c r="J50" s="19"/>
      <c r="K50" s="19"/>
      <c r="L50" s="18" t="str">
        <f>IF($B50="","",SUM(I50:K50))</f>
        <v/>
      </c>
      <c r="M50" s="18" t="str">
        <f>IF($B50="","",H50-L50)</f>
        <v/>
      </c>
      <c r="N50" s="18" t="str">
        <f>IF($B50="","",IF(R50="Ancien",0,Paramètres!$D$30))</f>
        <v/>
      </c>
      <c r="O50" s="19"/>
      <c r="P50" s="18" t="str">
        <f>IF($B50="","",N50-O50)</f>
        <v/>
      </c>
      <c r="Q50" s="21" t="str">
        <f>IF($B50="","",IF(AND(M50&lt;=0,P50&lt;=0),"Soldé","En retard"))</f>
        <v/>
      </c>
      <c r="R50" s="21"/>
    </row>
    <row r="51">
      <c r="A51" s="15"/>
      <c r="B51" s="15"/>
      <c r="C51" s="15"/>
      <c r="D51" s="8"/>
      <c r="E51" s="79"/>
      <c r="F51" s="15"/>
      <c r="G51" s="15"/>
      <c r="H51" s="18" t="str">
        <f>IF($B51="","",Paramètres!$C$30)</f>
        <v/>
      </c>
      <c r="I51" s="19"/>
      <c r="J51" s="19"/>
      <c r="K51" s="19"/>
      <c r="L51" s="18" t="str">
        <f>IF($B51="","",SUM(I51:K51))</f>
        <v/>
      </c>
      <c r="M51" s="18" t="str">
        <f>IF($B51="","",H51-L51)</f>
        <v/>
      </c>
      <c r="N51" s="18" t="str">
        <f>IF($B51="","",IF(R51="Ancien",0,Paramètres!$D$30))</f>
        <v/>
      </c>
      <c r="O51" s="19"/>
      <c r="P51" s="18" t="str">
        <f>IF($B51="","",N51-O51)</f>
        <v/>
      </c>
      <c r="Q51" s="8" t="str">
        <f>IF($B51="","",IF(AND(M51&lt;=0,P51&lt;=0),"Soldé","En retard"))</f>
        <v/>
      </c>
      <c r="R51" s="8"/>
    </row>
    <row r="52">
      <c r="A52" s="20"/>
      <c r="B52" s="20"/>
      <c r="C52" s="20"/>
      <c r="D52" s="21"/>
      <c r="E52" s="77"/>
      <c r="F52" s="20"/>
      <c r="G52" s="20"/>
      <c r="H52" s="18" t="str">
        <f>IF($B52="","",Paramètres!$C$30)</f>
        <v/>
      </c>
      <c r="I52" s="19"/>
      <c r="J52" s="19"/>
      <c r="K52" s="19"/>
      <c r="L52" s="18" t="str">
        <f>IF($B52="","",SUM(I52:K52))</f>
        <v/>
      </c>
      <c r="M52" s="18" t="str">
        <f>IF($B52="","",H52-L52)</f>
        <v/>
      </c>
      <c r="N52" s="18" t="str">
        <f>IF($B52="","",IF(R52="Ancien",0,Paramètres!$D$30))</f>
        <v/>
      </c>
      <c r="O52" s="19"/>
      <c r="P52" s="18" t="str">
        <f>IF($B52="","",N52-O52)</f>
        <v/>
      </c>
      <c r="Q52" s="21" t="str">
        <f>IF($B52="","",IF(AND(M52&lt;=0,P52&lt;=0),"Soldé","En retard"))</f>
        <v/>
      </c>
      <c r="R52" s="21"/>
    </row>
    <row r="53">
      <c r="A53" s="15"/>
      <c r="B53" s="15"/>
      <c r="C53" s="15"/>
      <c r="D53" s="8"/>
      <c r="E53" s="79"/>
      <c r="F53" s="15"/>
      <c r="G53" s="15"/>
      <c r="H53" s="18" t="str">
        <f>IF($B53="","",Paramètres!$C$30)</f>
        <v/>
      </c>
      <c r="I53" s="19"/>
      <c r="J53" s="19"/>
      <c r="K53" s="19"/>
      <c r="L53" s="18" t="str">
        <f>IF($B53="","",SUM(I53:K53))</f>
        <v/>
      </c>
      <c r="M53" s="18" t="str">
        <f>IF($B53="","",H53-L53)</f>
        <v/>
      </c>
      <c r="N53" s="18" t="str">
        <f>IF($B53="","",IF(R53="Ancien",0,Paramètres!$D$30))</f>
        <v/>
      </c>
      <c r="O53" s="19"/>
      <c r="P53" s="18" t="str">
        <f>IF($B53="","",N53-O53)</f>
        <v/>
      </c>
      <c r="Q53" s="8" t="str">
        <f>IF($B53="","",IF(AND(M53&lt;=0,P53&lt;=0),"Soldé","En retard"))</f>
        <v/>
      </c>
      <c r="R53" s="8"/>
    </row>
    <row r="54">
      <c r="A54" s="20"/>
      <c r="B54" s="20"/>
      <c r="C54" s="20"/>
      <c r="D54" s="21"/>
      <c r="E54" s="77"/>
      <c r="F54" s="20"/>
      <c r="G54" s="20"/>
      <c r="H54" s="18" t="str">
        <f>IF($B54="","",Paramètres!$C$30)</f>
        <v/>
      </c>
      <c r="I54" s="19"/>
      <c r="J54" s="19"/>
      <c r="K54" s="19"/>
      <c r="L54" s="18" t="str">
        <f>IF($B54="","",SUM(I54:K54))</f>
        <v/>
      </c>
      <c r="M54" s="18" t="str">
        <f>IF($B54="","",H54-L54)</f>
        <v/>
      </c>
      <c r="N54" s="18" t="str">
        <f>IF($B54="","",IF(R54="Ancien",0,Paramètres!$D$30))</f>
        <v/>
      </c>
      <c r="O54" s="19"/>
      <c r="P54" s="18" t="str">
        <f>IF($B54="","",N54-O54)</f>
        <v/>
      </c>
      <c r="Q54" s="21" t="str">
        <f>IF($B54="","",IF(AND(M54&lt;=0,P54&lt;=0),"Soldé","En retard"))</f>
        <v/>
      </c>
      <c r="R54" s="21"/>
    </row>
    <row r="55">
      <c r="A55" s="15"/>
      <c r="B55" s="15"/>
      <c r="C55" s="15"/>
      <c r="D55" s="8"/>
      <c r="E55" s="79"/>
      <c r="F55" s="15"/>
      <c r="G55" s="15"/>
      <c r="H55" s="18" t="str">
        <f>IF($B55="","",Paramètres!$C$30)</f>
        <v/>
      </c>
      <c r="I55" s="19"/>
      <c r="J55" s="19"/>
      <c r="K55" s="19"/>
      <c r="L55" s="18" t="str">
        <f>IF($B55="","",SUM(I55:K55))</f>
        <v/>
      </c>
      <c r="M55" s="18" t="str">
        <f>IF($B55="","",H55-L55)</f>
        <v/>
      </c>
      <c r="N55" s="18" t="str">
        <f>IF($B55="","",IF(R55="Ancien",0,Paramètres!$D$30))</f>
        <v/>
      </c>
      <c r="O55" s="19"/>
      <c r="P55" s="18" t="str">
        <f>IF($B55="","",N55-O55)</f>
        <v/>
      </c>
      <c r="Q55" s="8" t="str">
        <f>IF($B55="","",IF(AND(M55&lt;=0,P55&lt;=0),"Soldé","En retard"))</f>
        <v/>
      </c>
      <c r="R55" s="8"/>
    </row>
    <row r="56">
      <c r="A56" s="20"/>
      <c r="B56" s="20"/>
      <c r="C56" s="20"/>
      <c r="D56" s="21"/>
      <c r="E56" s="77"/>
      <c r="F56" s="20"/>
      <c r="G56" s="20"/>
      <c r="H56" s="18" t="str">
        <f>IF($B56="","",Paramètres!$C$30)</f>
        <v/>
      </c>
      <c r="I56" s="19"/>
      <c r="J56" s="19"/>
      <c r="K56" s="19"/>
      <c r="L56" s="18" t="str">
        <f>IF($B56="","",SUM(I56:K56))</f>
        <v/>
      </c>
      <c r="M56" s="18" t="str">
        <f>IF($B56="","",H56-L56)</f>
        <v/>
      </c>
      <c r="N56" s="18" t="str">
        <f>IF($B56="","",IF(R56="Ancien",0,Paramètres!$D$30))</f>
        <v/>
      </c>
      <c r="O56" s="19"/>
      <c r="P56" s="18" t="str">
        <f>IF($B56="","",N56-O56)</f>
        <v/>
      </c>
      <c r="Q56" s="21" t="str">
        <f>IF($B56="","",IF(AND(M56&lt;=0,P56&lt;=0),"Soldé","En retard"))</f>
        <v/>
      </c>
      <c r="R56" s="21"/>
    </row>
    <row r="57">
      <c r="A57" s="15"/>
      <c r="B57" s="15"/>
      <c r="C57" s="15"/>
      <c r="D57" s="8"/>
      <c r="E57" s="79"/>
      <c r="F57" s="15"/>
      <c r="G57" s="15"/>
      <c r="H57" s="18" t="str">
        <f>IF($B57="","",Paramètres!$C$30)</f>
        <v/>
      </c>
      <c r="I57" s="19"/>
      <c r="J57" s="19"/>
      <c r="K57" s="19"/>
      <c r="L57" s="18" t="str">
        <f>IF($B57="","",SUM(I57:K57))</f>
        <v/>
      </c>
      <c r="M57" s="18" t="str">
        <f>IF($B57="","",H57-L57)</f>
        <v/>
      </c>
      <c r="N57" s="18" t="str">
        <f>IF($B57="","",IF(R57="Ancien",0,Paramètres!$D$30))</f>
        <v/>
      </c>
      <c r="O57" s="19"/>
      <c r="P57" s="18" t="str">
        <f>IF($B57="","",N57-O57)</f>
        <v/>
      </c>
      <c r="Q57" s="8" t="str">
        <f>IF($B57="","",IF(AND(M57&lt;=0,P57&lt;=0),"Soldé","En retard"))</f>
        <v/>
      </c>
      <c r="R57" s="8"/>
    </row>
    <row r="58">
      <c r="A58" s="20"/>
      <c r="B58" s="20"/>
      <c r="C58" s="20"/>
      <c r="D58" s="21"/>
      <c r="E58" s="77"/>
      <c r="F58" s="20"/>
      <c r="G58" s="20"/>
      <c r="H58" s="18" t="str">
        <f>IF($B58="","",Paramètres!$C$30)</f>
        <v/>
      </c>
      <c r="I58" s="19"/>
      <c r="J58" s="19"/>
      <c r="K58" s="19"/>
      <c r="L58" s="18" t="str">
        <f>IF($B58="","",SUM(I58:K58))</f>
        <v/>
      </c>
      <c r="M58" s="18" t="str">
        <f>IF($B58="","",H58-L58)</f>
        <v/>
      </c>
      <c r="N58" s="18" t="str">
        <f>IF($B58="","",IF(R58="Ancien",0,Paramètres!$D$30))</f>
        <v/>
      </c>
      <c r="O58" s="19"/>
      <c r="P58" s="18" t="str">
        <f>IF($B58="","",N58-O58)</f>
        <v/>
      </c>
      <c r="Q58" s="21" t="str">
        <f>IF($B58="","",IF(AND(M58&lt;=0,P58&lt;=0),"Soldé","En retard"))</f>
        <v/>
      </c>
      <c r="R58" s="21"/>
    </row>
    <row r="59">
      <c r="A59" s="15"/>
      <c r="B59" s="15"/>
      <c r="C59" s="15"/>
      <c r="D59" s="8"/>
      <c r="E59" s="79"/>
      <c r="F59" s="15"/>
      <c r="G59" s="15"/>
      <c r="H59" s="18" t="str">
        <f>IF($B59="","",Paramètres!$C$30)</f>
        <v/>
      </c>
      <c r="I59" s="19"/>
      <c r="J59" s="19"/>
      <c r="K59" s="19"/>
      <c r="L59" s="18" t="str">
        <f>IF($B59="","",SUM(I59:K59))</f>
        <v/>
      </c>
      <c r="M59" s="18" t="str">
        <f>IF($B59="","",H59-L59)</f>
        <v/>
      </c>
      <c r="N59" s="18" t="str">
        <f>IF($B59="","",IF(R59="Ancien",0,Paramètres!$D$30))</f>
        <v/>
      </c>
      <c r="O59" s="19"/>
      <c r="P59" s="18" t="str">
        <f>IF($B59="","",N59-O59)</f>
        <v/>
      </c>
      <c r="Q59" s="8" t="str">
        <f>IF($B59="","",IF(AND(M59&lt;=0,P59&lt;=0),"Soldé","En retard"))</f>
        <v/>
      </c>
      <c r="R59" s="8"/>
    </row>
    <row r="60">
      <c r="A60" s="20"/>
      <c r="B60" s="20"/>
      <c r="C60" s="20"/>
      <c r="D60" s="21"/>
      <c r="E60" s="77"/>
      <c r="F60" s="20"/>
      <c r="G60" s="20"/>
      <c r="H60" s="18" t="str">
        <f>IF($B60="","",Paramètres!$C$30)</f>
        <v/>
      </c>
      <c r="I60" s="19"/>
      <c r="J60" s="19"/>
      <c r="K60" s="19"/>
      <c r="L60" s="18" t="str">
        <f>IF($B60="","",SUM(I60:K60))</f>
        <v/>
      </c>
      <c r="M60" s="18" t="str">
        <f>IF($B60="","",H60-L60)</f>
        <v/>
      </c>
      <c r="N60" s="18" t="str">
        <f>IF($B60="","",IF(R60="Ancien",0,Paramètres!$D$30))</f>
        <v/>
      </c>
      <c r="O60" s="19"/>
      <c r="P60" s="18" t="str">
        <f>IF($B60="","",N60-O60)</f>
        <v/>
      </c>
      <c r="Q60" s="21" t="str">
        <f>IF($B60="","",IF(AND(M60&lt;=0,P60&lt;=0),"Soldé","En retard"))</f>
        <v/>
      </c>
      <c r="R60" s="21"/>
    </row>
    <row r="61">
      <c r="A61" s="15"/>
      <c r="B61" s="15"/>
      <c r="C61" s="15"/>
      <c r="D61" s="8"/>
      <c r="E61" s="79"/>
      <c r="F61" s="15"/>
      <c r="G61" s="15"/>
      <c r="H61" s="18" t="str">
        <f>IF($B61="","",Paramètres!$C$30)</f>
        <v/>
      </c>
      <c r="I61" s="19"/>
      <c r="J61" s="19"/>
      <c r="K61" s="19"/>
      <c r="L61" s="18" t="str">
        <f>IF($B61="","",SUM(I61:K61))</f>
        <v/>
      </c>
      <c r="M61" s="18" t="str">
        <f>IF($B61="","",H61-L61)</f>
        <v/>
      </c>
      <c r="N61" s="18" t="str">
        <f>IF($B61="","",IF(R61="Ancien",0,Paramètres!$D$30))</f>
        <v/>
      </c>
      <c r="O61" s="19"/>
      <c r="P61" s="18" t="str">
        <f>IF($B61="","",N61-O61)</f>
        <v/>
      </c>
      <c r="Q61" s="8" t="str">
        <f>IF($B61="","",IF(AND(M61&lt;=0,P61&lt;=0),"Soldé","En retard"))</f>
        <v/>
      </c>
      <c r="R61" s="8"/>
    </row>
    <row r="62">
      <c r="A62" s="20"/>
      <c r="B62" s="20"/>
      <c r="C62" s="20"/>
      <c r="D62" s="21"/>
      <c r="E62" s="77"/>
      <c r="F62" s="20"/>
      <c r="G62" s="20"/>
      <c r="H62" s="18" t="str">
        <f>IF($B62="","",Paramètres!$C$30)</f>
        <v/>
      </c>
      <c r="I62" s="19"/>
      <c r="J62" s="19"/>
      <c r="K62" s="19"/>
      <c r="L62" s="18" t="str">
        <f>IF($B62="","",SUM(I62:K62))</f>
        <v/>
      </c>
      <c r="M62" s="18" t="str">
        <f>IF($B62="","",H62-L62)</f>
        <v/>
      </c>
      <c r="N62" s="18" t="str">
        <f>IF($B62="","",IF(R62="Ancien",0,Paramètres!$D$30))</f>
        <v/>
      </c>
      <c r="O62" s="19"/>
      <c r="P62" s="18" t="str">
        <f>IF($B62="","",N62-O62)</f>
        <v/>
      </c>
      <c r="Q62" s="21" t="str">
        <f>IF($B62="","",IF(AND(M62&lt;=0,P62&lt;=0),"Soldé","En retard"))</f>
        <v/>
      </c>
      <c r="R62" s="21"/>
    </row>
    <row r="63">
      <c r="A63" s="15"/>
      <c r="B63" s="15"/>
      <c r="C63" s="15"/>
      <c r="D63" s="8"/>
      <c r="E63" s="79"/>
      <c r="F63" s="15"/>
      <c r="G63" s="15"/>
      <c r="H63" s="18" t="str">
        <f>IF($B63="","",Paramètres!$C$30)</f>
        <v/>
      </c>
      <c r="I63" s="19"/>
      <c r="J63" s="19"/>
      <c r="K63" s="19"/>
      <c r="L63" s="18" t="str">
        <f>IF($B63="","",SUM(I63:K63))</f>
        <v/>
      </c>
      <c r="M63" s="18" t="str">
        <f>IF($B63="","",H63-L63)</f>
        <v/>
      </c>
      <c r="N63" s="18" t="str">
        <f>IF($B63="","",IF(R63="Ancien",0,Paramètres!$D$30))</f>
        <v/>
      </c>
      <c r="O63" s="19"/>
      <c r="P63" s="18" t="str">
        <f>IF($B63="","",N63-O63)</f>
        <v/>
      </c>
      <c r="Q63" s="8" t="str">
        <f>IF($B63="","",IF(AND(M63&lt;=0,P63&lt;=0),"Soldé","En retard"))</f>
        <v/>
      </c>
      <c r="R63" s="8"/>
    </row>
    <row r="64">
      <c r="A64" s="20"/>
      <c r="B64" s="20"/>
      <c r="C64" s="20"/>
      <c r="D64" s="21"/>
      <c r="E64" s="77"/>
      <c r="F64" s="20"/>
      <c r="G64" s="20"/>
      <c r="H64" s="18" t="str">
        <f>IF($B64="","",Paramètres!$C$30)</f>
        <v/>
      </c>
      <c r="I64" s="19"/>
      <c r="J64" s="19"/>
      <c r="K64" s="19"/>
      <c r="L64" s="18" t="str">
        <f>IF($B64="","",SUM(I64:K64))</f>
        <v/>
      </c>
      <c r="M64" s="18" t="str">
        <f>IF($B64="","",H64-L64)</f>
        <v/>
      </c>
      <c r="N64" s="18" t="str">
        <f>IF($B64="","",IF(R64="Ancien",0,Paramètres!$D$30))</f>
        <v/>
      </c>
      <c r="O64" s="19"/>
      <c r="P64" s="18" t="str">
        <f>IF($B64="","",N64-O64)</f>
        <v/>
      </c>
      <c r="Q64" s="21" t="str">
        <f>IF($B64="","",IF(AND(M64&lt;=0,P64&lt;=0),"Soldé","En retard"))</f>
        <v/>
      </c>
      <c r="R64" s="21"/>
    </row>
    <row r="65">
      <c r="A65" s="15"/>
      <c r="B65" s="15"/>
      <c r="C65" s="15"/>
      <c r="D65" s="8"/>
      <c r="E65" s="79"/>
      <c r="F65" s="15"/>
      <c r="G65" s="15"/>
      <c r="H65" s="18" t="str">
        <f>IF($B65="","",Paramètres!$C$30)</f>
        <v/>
      </c>
      <c r="I65" s="19"/>
      <c r="J65" s="19"/>
      <c r="K65" s="19"/>
      <c r="L65" s="18" t="str">
        <f>IF($B65="","",SUM(I65:K65))</f>
        <v/>
      </c>
      <c r="M65" s="18" t="str">
        <f>IF($B65="","",H65-L65)</f>
        <v/>
      </c>
      <c r="N65" s="18" t="str">
        <f>IF($B65="","",IF(R65="Ancien",0,Paramètres!$D$30))</f>
        <v/>
      </c>
      <c r="O65" s="19"/>
      <c r="P65" s="18" t="str">
        <f>IF($B65="","",N65-O65)</f>
        <v/>
      </c>
      <c r="Q65" s="8" t="str">
        <f>IF($B65="","",IF(AND(M65&lt;=0,P65&lt;=0),"Soldé","En retard"))</f>
        <v/>
      </c>
      <c r="R65" s="8"/>
    </row>
    <row r="66">
      <c r="A66" s="20"/>
      <c r="B66" s="20"/>
      <c r="C66" s="20"/>
      <c r="D66" s="21"/>
      <c r="E66" s="77"/>
      <c r="F66" s="20"/>
      <c r="G66" s="20"/>
      <c r="H66" s="18" t="str">
        <f>IF($B66="","",Paramètres!$C$30)</f>
        <v/>
      </c>
      <c r="I66" s="19"/>
      <c r="J66" s="19"/>
      <c r="K66" s="19"/>
      <c r="L66" s="18" t="str">
        <f>IF($B66="","",SUM(I66:K66))</f>
        <v/>
      </c>
      <c r="M66" s="18" t="str">
        <f>IF($B66="","",H66-L66)</f>
        <v/>
      </c>
      <c r="N66" s="18" t="str">
        <f>IF($B66="","",IF(R66="Ancien",0,Paramètres!$D$30))</f>
        <v/>
      </c>
      <c r="O66" s="19"/>
      <c r="P66" s="18" t="str">
        <f>IF($B66="","",N66-O66)</f>
        <v/>
      </c>
      <c r="Q66" s="21" t="str">
        <f>IF($B66="","",IF(AND(M66&lt;=0,P66&lt;=0),"Soldé","En retard"))</f>
        <v/>
      </c>
      <c r="R66" s="21"/>
    </row>
    <row r="67">
      <c r="A67" s="15"/>
      <c r="B67" s="15"/>
      <c r="C67" s="15"/>
      <c r="D67" s="8"/>
      <c r="E67" s="79"/>
      <c r="F67" s="15"/>
      <c r="G67" s="15"/>
      <c r="H67" s="18" t="str">
        <f>IF($B67="","",Paramètres!$C$30)</f>
        <v/>
      </c>
      <c r="I67" s="19"/>
      <c r="J67" s="19"/>
      <c r="K67" s="19"/>
      <c r="L67" s="18" t="str">
        <f>IF($B67="","",SUM(I67:K67))</f>
        <v/>
      </c>
      <c r="M67" s="18" t="str">
        <f>IF($B67="","",H67-L67)</f>
        <v/>
      </c>
      <c r="N67" s="18" t="str">
        <f>IF($B67="","",IF(R67="Ancien",0,Paramètres!$D$30))</f>
        <v/>
      </c>
      <c r="O67" s="19"/>
      <c r="P67" s="18" t="str">
        <f>IF($B67="","",N67-O67)</f>
        <v/>
      </c>
      <c r="Q67" s="8" t="str">
        <f>IF($B67="","",IF(AND(M67&lt;=0,P67&lt;=0),"Soldé","En retard"))</f>
        <v/>
      </c>
      <c r="R67" s="8"/>
    </row>
    <row r="68">
      <c r="A68" s="20"/>
      <c r="B68" s="20"/>
      <c r="C68" s="20"/>
      <c r="D68" s="21"/>
      <c r="E68" s="77"/>
      <c r="F68" s="20"/>
      <c r="G68" s="20"/>
      <c r="H68" s="18" t="str">
        <f>IF($B68="","",Paramètres!$C$30)</f>
        <v/>
      </c>
      <c r="I68" s="19"/>
      <c r="J68" s="19"/>
      <c r="K68" s="19"/>
      <c r="L68" s="18" t="str">
        <f>IF($B68="","",SUM(I68:K68))</f>
        <v/>
      </c>
      <c r="M68" s="18" t="str">
        <f>IF($B68="","",H68-L68)</f>
        <v/>
      </c>
      <c r="N68" s="18" t="str">
        <f>IF($B68="","",IF(R68="Ancien",0,Paramètres!$D$30))</f>
        <v/>
      </c>
      <c r="O68" s="19"/>
      <c r="P68" s="18" t="str">
        <f>IF($B68="","",N68-O68)</f>
        <v/>
      </c>
      <c r="Q68" s="21" t="str">
        <f>IF($B68="","",IF(AND(M68&lt;=0,P68&lt;=0),"Soldé","En retard"))</f>
        <v/>
      </c>
      <c r="R68" s="21"/>
    </row>
    <row r="69">
      <c r="A69" s="15"/>
      <c r="B69" s="15"/>
      <c r="C69" s="15"/>
      <c r="D69" s="8"/>
      <c r="E69" s="79"/>
      <c r="F69" s="15"/>
      <c r="G69" s="15"/>
      <c r="H69" s="18" t="str">
        <f>IF($B69="","",Paramètres!$C$30)</f>
        <v/>
      </c>
      <c r="I69" s="19"/>
      <c r="J69" s="19"/>
      <c r="K69" s="19"/>
      <c r="L69" s="18" t="str">
        <f>IF($B69="","",SUM(I69:K69))</f>
        <v/>
      </c>
      <c r="M69" s="18" t="str">
        <f>IF($B69="","",H69-L69)</f>
        <v/>
      </c>
      <c r="N69" s="18" t="str">
        <f>IF($B69="","",IF(R69="Ancien",0,Paramètres!$D$30))</f>
        <v/>
      </c>
      <c r="O69" s="19"/>
      <c r="P69" s="18" t="str">
        <f>IF($B69="","",N69-O69)</f>
        <v/>
      </c>
      <c r="Q69" s="8" t="str">
        <f>IF($B69="","",IF(AND(M69&lt;=0,P69&lt;=0),"Soldé","En retard"))</f>
        <v/>
      </c>
      <c r="R69" s="8"/>
    </row>
    <row r="70">
      <c r="A70" s="20"/>
      <c r="B70" s="20"/>
      <c r="C70" s="20"/>
      <c r="D70" s="21"/>
      <c r="E70" s="77"/>
      <c r="F70" s="20"/>
      <c r="G70" s="20"/>
      <c r="H70" s="18" t="str">
        <f>IF($B70="","",Paramètres!$C$30)</f>
        <v/>
      </c>
      <c r="I70" s="19"/>
      <c r="J70" s="19"/>
      <c r="K70" s="19"/>
      <c r="L70" s="18" t="str">
        <f>IF($B70="","",SUM(I70:K70))</f>
        <v/>
      </c>
      <c r="M70" s="18" t="str">
        <f>IF($B70="","",H70-L70)</f>
        <v/>
      </c>
      <c r="N70" s="18" t="str">
        <f>IF($B70="","",IF(R70="Ancien",0,Paramètres!$D$30))</f>
        <v/>
      </c>
      <c r="O70" s="19"/>
      <c r="P70" s="18" t="str">
        <f>IF($B70="","",N70-O70)</f>
        <v/>
      </c>
      <c r="Q70" s="21" t="str">
        <f>IF($B70="","",IF(AND(M70&lt;=0,P70&lt;=0),"Soldé","En retard"))</f>
        <v/>
      </c>
      <c r="R70" s="21"/>
    </row>
    <row r="71">
      <c r="A71" s="15"/>
      <c r="B71" s="15"/>
      <c r="C71" s="15"/>
      <c r="D71" s="8"/>
      <c r="E71" s="79"/>
      <c r="F71" s="15"/>
      <c r="G71" s="15"/>
      <c r="H71" s="18" t="str">
        <f>IF($B71="","",Paramètres!$C$30)</f>
        <v/>
      </c>
      <c r="I71" s="19"/>
      <c r="J71" s="19"/>
      <c r="K71" s="19"/>
      <c r="L71" s="18" t="str">
        <f>IF($B71="","",SUM(I71:K71))</f>
        <v/>
      </c>
      <c r="M71" s="18" t="str">
        <f>IF($B71="","",H71-L71)</f>
        <v/>
      </c>
      <c r="N71" s="18" t="str">
        <f>IF($B71="","",IF(R71="Ancien",0,Paramètres!$D$30))</f>
        <v/>
      </c>
      <c r="O71" s="19"/>
      <c r="P71" s="18" t="str">
        <f>IF($B71="","",N71-O71)</f>
        <v/>
      </c>
      <c r="Q71" s="8" t="str">
        <f>IF($B71="","",IF(AND(M71&lt;=0,P71&lt;=0),"Soldé","En retard"))</f>
        <v/>
      </c>
      <c r="R71" s="8"/>
    </row>
    <row r="72">
      <c r="A72" s="20"/>
      <c r="B72" s="20"/>
      <c r="C72" s="20"/>
      <c r="D72" s="21"/>
      <c r="E72" s="77"/>
      <c r="F72" s="20"/>
      <c r="G72" s="20"/>
      <c r="H72" s="18" t="str">
        <f>IF($B72="","",Paramètres!$C$30)</f>
        <v/>
      </c>
      <c r="I72" s="19"/>
      <c r="J72" s="19"/>
      <c r="K72" s="19"/>
      <c r="L72" s="18" t="str">
        <f>IF($B72="","",SUM(I72:K72))</f>
        <v/>
      </c>
      <c r="M72" s="18" t="str">
        <f>IF($B72="","",H72-L72)</f>
        <v/>
      </c>
      <c r="N72" s="18" t="str">
        <f>IF($B72="","",IF(R72="Ancien",0,Paramètres!$D$30))</f>
        <v/>
      </c>
      <c r="O72" s="19"/>
      <c r="P72" s="18" t="str">
        <f>IF($B72="","",N72-O72)</f>
        <v/>
      </c>
      <c r="Q72" s="21" t="str">
        <f>IF($B72="","",IF(AND(M72&lt;=0,P72&lt;=0),"Soldé","En retard"))</f>
        <v/>
      </c>
      <c r="R72" s="21"/>
    </row>
    <row r="73">
      <c r="A73" s="15"/>
      <c r="B73" s="15"/>
      <c r="C73" s="15"/>
      <c r="D73" s="8"/>
      <c r="E73" s="79"/>
      <c r="F73" s="15"/>
      <c r="G73" s="15"/>
      <c r="H73" s="18" t="str">
        <f>IF($B73="","",Paramètres!$C$30)</f>
        <v/>
      </c>
      <c r="I73" s="19"/>
      <c r="J73" s="19"/>
      <c r="K73" s="19"/>
      <c r="L73" s="18" t="str">
        <f>IF($B73="","",SUM(I73:K73))</f>
        <v/>
      </c>
      <c r="M73" s="18" t="str">
        <f>IF($B73="","",H73-L73)</f>
        <v/>
      </c>
      <c r="N73" s="18" t="str">
        <f>IF($B73="","",IF(R73="Ancien",0,Paramètres!$D$30))</f>
        <v/>
      </c>
      <c r="O73" s="19"/>
      <c r="P73" s="18" t="str">
        <f>IF($B73="","",N73-O73)</f>
        <v/>
      </c>
      <c r="Q73" s="8" t="str">
        <f>IF($B73="","",IF(AND(M73&lt;=0,P73&lt;=0),"Soldé","En retard"))</f>
        <v/>
      </c>
      <c r="R73" s="8"/>
    </row>
    <row r="74">
      <c r="A74" s="20"/>
      <c r="B74" s="20"/>
      <c r="C74" s="20"/>
      <c r="D74" s="21"/>
      <c r="E74" s="77"/>
      <c r="F74" s="20"/>
      <c r="G74" s="20"/>
      <c r="H74" s="18" t="str">
        <f>IF($B74="","",Paramètres!$C$30)</f>
        <v/>
      </c>
      <c r="I74" s="19"/>
      <c r="J74" s="19"/>
      <c r="K74" s="19"/>
      <c r="L74" s="18" t="str">
        <f>IF($B74="","",SUM(I74:K74))</f>
        <v/>
      </c>
      <c r="M74" s="18" t="str">
        <f>IF($B74="","",H74-L74)</f>
        <v/>
      </c>
      <c r="N74" s="18" t="str">
        <f>IF($B74="","",IF(R74="Ancien",0,Paramètres!$D$30))</f>
        <v/>
      </c>
      <c r="O74" s="19"/>
      <c r="P74" s="18" t="str">
        <f>IF($B74="","",N74-O74)</f>
        <v/>
      </c>
      <c r="Q74" s="21" t="str">
        <f>IF($B74="","",IF(AND(M74&lt;=0,P74&lt;=0),"Soldé","En retard"))</f>
        <v/>
      </c>
      <c r="R74" s="21"/>
    </row>
    <row r="75">
      <c r="A75" s="15"/>
      <c r="B75" s="15"/>
      <c r="C75" s="15"/>
      <c r="D75" s="8"/>
      <c r="E75" s="79"/>
      <c r="F75" s="15"/>
      <c r="G75" s="15"/>
      <c r="H75" s="18" t="str">
        <f>IF($B75="","",Paramètres!$C$30)</f>
        <v/>
      </c>
      <c r="I75" s="19"/>
      <c r="J75" s="19"/>
      <c r="K75" s="19"/>
      <c r="L75" s="18" t="str">
        <f>IF($B75="","",SUM(I75:K75))</f>
        <v/>
      </c>
      <c r="M75" s="18" t="str">
        <f>IF($B75="","",H75-L75)</f>
        <v/>
      </c>
      <c r="N75" s="18" t="str">
        <f>IF($B75="","",IF(R75="Ancien",0,Paramètres!$D$30))</f>
        <v/>
      </c>
      <c r="O75" s="19"/>
      <c r="P75" s="18" t="str">
        <f>IF($B75="","",N75-O75)</f>
        <v/>
      </c>
      <c r="Q75" s="8" t="str">
        <f>IF($B75="","",IF(AND(M75&lt;=0,P75&lt;=0),"Soldé","En retard"))</f>
        <v/>
      </c>
      <c r="R75" s="8"/>
    </row>
    <row r="76">
      <c r="A76" s="20"/>
      <c r="B76" s="20"/>
      <c r="C76" s="20"/>
      <c r="D76" s="21"/>
      <c r="E76" s="77"/>
      <c r="F76" s="20"/>
      <c r="G76" s="20"/>
      <c r="H76" s="18" t="str">
        <f>IF($B76="","",Paramètres!$C$30)</f>
        <v/>
      </c>
      <c r="I76" s="19"/>
      <c r="J76" s="19"/>
      <c r="K76" s="19"/>
      <c r="L76" s="18" t="str">
        <f>IF($B76="","",SUM(I76:K76))</f>
        <v/>
      </c>
      <c r="M76" s="18" t="str">
        <f>IF($B76="","",H76-L76)</f>
        <v/>
      </c>
      <c r="N76" s="18" t="str">
        <f>IF($B76="","",IF(R76="Ancien",0,Paramètres!$D$30))</f>
        <v/>
      </c>
      <c r="O76" s="19"/>
      <c r="P76" s="18" t="str">
        <f>IF($B76="","",N76-O76)</f>
        <v/>
      </c>
      <c r="Q76" s="21" t="str">
        <f>IF($B76="","",IF(AND(M76&lt;=0,P76&lt;=0),"Soldé","En retard"))</f>
        <v/>
      </c>
      <c r="R76" s="21"/>
    </row>
    <row r="77">
      <c r="A77" s="15"/>
      <c r="B77" s="15"/>
      <c r="C77" s="15"/>
      <c r="D77" s="8"/>
      <c r="E77" s="79"/>
      <c r="F77" s="15"/>
      <c r="G77" s="15"/>
      <c r="H77" s="18" t="str">
        <f>IF($B77="","",Paramètres!$C$30)</f>
        <v/>
      </c>
      <c r="I77" s="19"/>
      <c r="J77" s="19"/>
      <c r="K77" s="19"/>
      <c r="L77" s="18" t="str">
        <f>IF($B77="","",SUM(I77:K77))</f>
        <v/>
      </c>
      <c r="M77" s="18" t="str">
        <f>IF($B77="","",H77-L77)</f>
        <v/>
      </c>
      <c r="N77" s="18" t="str">
        <f>IF($B77="","",IF(R77="Ancien",0,Paramètres!$D$30))</f>
        <v/>
      </c>
      <c r="O77" s="19"/>
      <c r="P77" s="18" t="str">
        <f>IF($B77="","",N77-O77)</f>
        <v/>
      </c>
      <c r="Q77" s="8" t="str">
        <f>IF($B77="","",IF(AND(M77&lt;=0,P77&lt;=0),"Soldé","En retard"))</f>
        <v/>
      </c>
      <c r="R77" s="8"/>
    </row>
    <row r="78">
      <c r="A78" s="20"/>
      <c r="B78" s="20"/>
      <c r="C78" s="20"/>
      <c r="D78" s="21"/>
      <c r="E78" s="77"/>
      <c r="F78" s="20"/>
      <c r="G78" s="20"/>
      <c r="H78" s="18" t="str">
        <f>IF($B78="","",Paramètres!$C$30)</f>
        <v/>
      </c>
      <c r="I78" s="19"/>
      <c r="J78" s="19"/>
      <c r="K78" s="19"/>
      <c r="L78" s="18" t="str">
        <f>IF($B78="","",SUM(I78:K78))</f>
        <v/>
      </c>
      <c r="M78" s="18" t="str">
        <f>IF($B78="","",H78-L78)</f>
        <v/>
      </c>
      <c r="N78" s="18" t="str">
        <f>IF($B78="","",IF(R78="Ancien",0,Paramètres!$D$30))</f>
        <v/>
      </c>
      <c r="O78" s="19"/>
      <c r="P78" s="18" t="str">
        <f>IF($B78="","",N78-O78)</f>
        <v/>
      </c>
      <c r="Q78" s="21" t="str">
        <f>IF($B78="","",IF(AND(M78&lt;=0,P78&lt;=0),"Soldé","En retard"))</f>
        <v/>
      </c>
      <c r="R78" s="21"/>
    </row>
    <row r="79">
      <c r="A79" s="15"/>
      <c r="B79" s="15"/>
      <c r="C79" s="15"/>
      <c r="D79" s="8"/>
      <c r="E79" s="79"/>
      <c r="F79" s="15"/>
      <c r="G79" s="15"/>
      <c r="H79" s="18" t="str">
        <f>IF($B79="","",Paramètres!$C$30)</f>
        <v/>
      </c>
      <c r="I79" s="19"/>
      <c r="J79" s="19"/>
      <c r="K79" s="19"/>
      <c r="L79" s="18" t="str">
        <f>IF($B79="","",SUM(I79:K79))</f>
        <v/>
      </c>
      <c r="M79" s="18" t="str">
        <f>IF($B79="","",H79-L79)</f>
        <v/>
      </c>
      <c r="N79" s="18" t="str">
        <f>IF($B79="","",IF(R79="Ancien",0,Paramètres!$D$30))</f>
        <v/>
      </c>
      <c r="O79" s="19"/>
      <c r="P79" s="18" t="str">
        <f>IF($B79="","",N79-O79)</f>
        <v/>
      </c>
      <c r="Q79" s="8" t="str">
        <f>IF($B79="","",IF(AND(M79&lt;=0,P79&lt;=0),"Soldé","En retard"))</f>
        <v/>
      </c>
      <c r="R79" s="8"/>
    </row>
    <row r="80">
      <c r="A80" s="20"/>
      <c r="B80" s="20"/>
      <c r="C80" s="20"/>
      <c r="D80" s="21"/>
      <c r="E80" s="77"/>
      <c r="F80" s="20"/>
      <c r="G80" s="20"/>
      <c r="H80" s="18" t="str">
        <f>IF($B80="","",Paramètres!$C$30)</f>
        <v/>
      </c>
      <c r="I80" s="19"/>
      <c r="J80" s="19"/>
      <c r="K80" s="19"/>
      <c r="L80" s="18" t="str">
        <f>IF($B80="","",SUM(I80:K80))</f>
        <v/>
      </c>
      <c r="M80" s="18" t="str">
        <f>IF($B80="","",H80-L80)</f>
        <v/>
      </c>
      <c r="N80" s="18" t="str">
        <f>IF($B80="","",IF(R80="Ancien",0,Paramètres!$D$30))</f>
        <v/>
      </c>
      <c r="O80" s="19"/>
      <c r="P80" s="18" t="str">
        <f>IF($B80="","",N80-O80)</f>
        <v/>
      </c>
      <c r="Q80" s="21" t="str">
        <f>IF($B80="","",IF(AND(M80&lt;=0,P80&lt;=0),"Soldé","En retard"))</f>
        <v/>
      </c>
      <c r="R80" s="21"/>
    </row>
    <row r="81">
      <c r="A81" s="15"/>
      <c r="B81" s="15"/>
      <c r="C81" s="15"/>
      <c r="D81" s="8"/>
      <c r="E81" s="79"/>
      <c r="F81" s="15"/>
      <c r="G81" s="15"/>
      <c r="H81" s="18" t="str">
        <f>IF($B81="","",Paramètres!$C$30)</f>
        <v/>
      </c>
      <c r="I81" s="19"/>
      <c r="J81" s="19"/>
      <c r="K81" s="19"/>
      <c r="L81" s="18" t="str">
        <f>IF($B81="","",SUM(I81:K81))</f>
        <v/>
      </c>
      <c r="M81" s="18" t="str">
        <f>IF($B81="","",H81-L81)</f>
        <v/>
      </c>
      <c r="N81" s="18" t="str">
        <f>IF($B81="","",IF(R81="Ancien",0,Paramètres!$D$30))</f>
        <v/>
      </c>
      <c r="O81" s="19"/>
      <c r="P81" s="18" t="str">
        <f>IF($B81="","",N81-O81)</f>
        <v/>
      </c>
      <c r="Q81" s="8" t="str">
        <f>IF($B81="","",IF(AND(M81&lt;=0,P81&lt;=0),"Soldé","En retard"))</f>
        <v/>
      </c>
      <c r="R81" s="8"/>
    </row>
    <row r="82">
      <c r="A82" s="20"/>
      <c r="B82" s="20"/>
      <c r="C82" s="20"/>
      <c r="D82" s="21"/>
      <c r="E82" s="77"/>
      <c r="F82" s="20"/>
      <c r="G82" s="20"/>
      <c r="H82" s="18" t="str">
        <f>IF($B82="","",Paramètres!$C$30)</f>
        <v/>
      </c>
      <c r="I82" s="19"/>
      <c r="J82" s="19"/>
      <c r="K82" s="19"/>
      <c r="L82" s="18" t="str">
        <f>IF($B82="","",SUM(I82:K82))</f>
        <v/>
      </c>
      <c r="M82" s="18" t="str">
        <f>IF($B82="","",H82-L82)</f>
        <v/>
      </c>
      <c r="N82" s="18" t="str">
        <f>IF($B82="","",IF(R82="Ancien",0,Paramètres!$D$30))</f>
        <v/>
      </c>
      <c r="O82" s="19"/>
      <c r="P82" s="18" t="str">
        <f>IF($B82="","",N82-O82)</f>
        <v/>
      </c>
      <c r="Q82" s="21" t="str">
        <f>IF($B82="","",IF(AND(M82&lt;=0,P82&lt;=0),"Soldé","En retard"))</f>
        <v/>
      </c>
      <c r="R82" s="21"/>
    </row>
    <row r="83">
      <c r="A83" s="15"/>
      <c r="B83" s="15"/>
      <c r="C83" s="15"/>
      <c r="D83" s="8"/>
      <c r="E83" s="79"/>
      <c r="F83" s="15"/>
      <c r="G83" s="15"/>
      <c r="H83" s="18" t="str">
        <f>IF($B83="","",Paramètres!$C$30)</f>
        <v/>
      </c>
      <c r="I83" s="19"/>
      <c r="J83" s="19"/>
      <c r="K83" s="19"/>
      <c r="L83" s="18" t="str">
        <f>IF($B83="","",SUM(I83:K83))</f>
        <v/>
      </c>
      <c r="M83" s="18" t="str">
        <f>IF($B83="","",H83-L83)</f>
        <v/>
      </c>
      <c r="N83" s="18" t="str">
        <f>IF($B83="","",IF(R83="Ancien",0,Paramètres!$D$30))</f>
        <v/>
      </c>
      <c r="O83" s="19"/>
      <c r="P83" s="18" t="str">
        <f>IF($B83="","",N83-O83)</f>
        <v/>
      </c>
      <c r="Q83" s="8" t="str">
        <f>IF($B83="","",IF(AND(M83&lt;=0,P83&lt;=0),"Soldé","En retard"))</f>
        <v/>
      </c>
      <c r="R83" s="8"/>
    </row>
  </sheetData>
  <mergeCells count="2">
    <mergeCell ref="A1:R1"/>
    <mergeCell ref="A2:R2"/>
  </mergeCells>
  <conditionalFormatting sqref="M4:M83 P4:P83">
    <cfRule type="cellIs" dxfId="10" priority="3" operator="greaterThan">
      <formula>0</formula>
    </cfRule>
  </conditionalFormatting>
  <conditionalFormatting sqref="Q4:Q83">
    <cfRule type="cellIs" dxfId="9" priority="1" operator="equal">
      <formula>"Soldé"</formula>
    </cfRule>
    <cfRule type="cellIs" dxfId="8" priority="2" operator="equal">
      <formula>"En retard"</formula>
    </cfRule>
  </conditionalFormatting>
  <dataValidations count="2">
    <dataValidation type="list" allowBlank="1" showErrorMessage="1" errorTitle="Sexe non valide" error="Choisissez M ou F." sqref="D4:D83">
      <formula1>"M,F"</formula1>
    </dataValidation>
    <dataValidation type="list" allowBlank="1" showErrorMessage="1" errorTitle="Statut non valide" error="Choisissez Nouveau ou Ancien. Un élève marqué Ancien ne paie pas les frais d'inscription." sqref="R4:R83">
      <formula1>"Nouveau,Ancien"</formula1>
    </dataValidation>
  </dataValidations>
  <pageMargins left="0.5" right="0.5" top="0.75" bottom="0.75" header="0.3" footer="0.3"/>
  <pageSetup paperSize="9" orientation="landscape" fitToHeight="0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R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RowHeight="14.5"/>
  <cols>
    <col min="1" max="1" width="12" customWidth="1"/>
    <col min="2" max="2" width="15" customWidth="1"/>
    <col min="3" max="3" width="16" customWidth="1"/>
    <col min="4" max="4" width="7" customWidth="1"/>
    <col min="5" max="5" width="14" customWidth="1"/>
    <col min="6" max="6" width="18" customWidth="1"/>
    <col min="7" max="7" width="16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3" customWidth="1"/>
    <col min="18" max="18" width="16" customWidth="1"/>
  </cols>
  <sheetData>
    <row r="1" ht="27.75" customHeight="1">
      <c r="A1" s="53" t="str">
        <f>"INSCRIPTIONS — "&amp;Paramètres!$A$31</f>
        <v>INSCRIPTIONS — Terminale D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ht="18" customHeight="1">
      <c r="A2" s="54" t="str">
        <f>"Année scolaire "&amp;Paramètres!$C$11&amp;"   •   Effectif : "&amp;COUNTIF($B$4:$B$83,"?*")&amp;"   •   Cellules jaunes = montants à saisir ; colonnes grises = calcul automatique"</f>
        <v>Année scolaire 2025-2026   •   Effectif : 0   •   Cellules jaunes = montants à saisir ; colonnes grises = calcul automatique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ht="30" customHeight="1">
      <c r="A3" s="3" t="inlineStr">
        <is>
          <t>Matricule</t>
        </is>
      </c>
      <c r="B3" s="3" t="inlineStr">
        <is>
          <t>Nom</t>
        </is>
      </c>
      <c r="C3" s="3" t="inlineStr">
        <is>
          <t>Prénom(s)</t>
        </is>
      </c>
      <c r="D3" s="3" t="inlineStr">
        <is>
          <t>Sexe</t>
        </is>
      </c>
      <c r="E3" s="3" t="inlineStr">
        <is>
          <t>Date de naissance</t>
        </is>
      </c>
      <c r="F3" s="3" t="inlineStr">
        <is>
          <t>Nom du tuteur</t>
        </is>
      </c>
      <c r="G3" s="3" t="inlineStr">
        <is>
          <t>Téléphone</t>
        </is>
      </c>
      <c r="H3" s="3" t="inlineStr">
        <is>
          <t>Scolarité due</t>
        </is>
      </c>
      <c r="I3" s="3" t="inlineStr">
        <is>
          <t>Tranche 1</t>
        </is>
      </c>
      <c r="J3" s="3" t="inlineStr">
        <is>
          <t>Tranche 2</t>
        </is>
      </c>
      <c r="K3" s="3" t="inlineStr">
        <is>
          <t>Tranche 3</t>
        </is>
      </c>
      <c r="L3" s="3" t="inlineStr">
        <is>
          <t>Total payé</t>
        </is>
      </c>
      <c r="M3" s="3" t="inlineStr">
        <is>
          <t>Reste à payer</t>
        </is>
      </c>
      <c r="N3" s="3" t="inlineStr">
        <is>
          <t>Inscription due</t>
        </is>
      </c>
      <c r="O3" s="3" t="inlineStr">
        <is>
          <t>Inscription payée</t>
        </is>
      </c>
      <c r="P3" s="3" t="inlineStr">
        <is>
          <t>Reste inscription</t>
        </is>
      </c>
      <c r="Q3" s="3" t="inlineStr">
        <is>
          <t>Statut</t>
        </is>
      </c>
      <c r="R3" s="3" t="inlineStr">
        <is>
          <t>Nouveau / Ancien</t>
        </is>
      </c>
    </row>
    <row r="4">
      <c r="A4" s="20"/>
      <c r="B4" s="20"/>
      <c r="C4" s="20"/>
      <c r="D4" s="21"/>
      <c r="E4" s="77"/>
      <c r="F4" s="20"/>
      <c r="G4" s="20"/>
      <c r="H4" s="18" t="str">
        <f>IF($B4="","",Paramètres!$C$31)</f>
        <v/>
      </c>
      <c r="I4" s="19"/>
      <c r="J4" s="19"/>
      <c r="K4" s="19"/>
      <c r="L4" s="18" t="str">
        <f>IF($B4="","",SUM(I4:K4))</f>
        <v/>
      </c>
      <c r="M4" s="18" t="str">
        <f>IF($B4="","",H4-L4)</f>
        <v/>
      </c>
      <c r="N4" s="18" t="str">
        <f>IF($B4="","",IF(R4="Ancien",0,Paramètres!$D$31))</f>
        <v/>
      </c>
      <c r="O4" s="19"/>
      <c r="P4" s="18" t="str">
        <f>IF($B4="","",N4-O4)</f>
        <v/>
      </c>
      <c r="Q4" s="21" t="str">
        <f>IF($B4="","",IF(AND(M4&lt;=0,P4&lt;=0),"Soldé","En retard"))</f>
        <v/>
      </c>
      <c r="R4" s="21"/>
    </row>
    <row r="5">
      <c r="A5" s="15"/>
      <c r="B5" s="15"/>
      <c r="C5" s="15"/>
      <c r="D5" s="8"/>
      <c r="E5" s="79"/>
      <c r="F5" s="15"/>
      <c r="G5" s="15"/>
      <c r="H5" s="18" t="str">
        <f>IF($B5="","",Paramètres!$C$31)</f>
        <v/>
      </c>
      <c r="I5" s="19"/>
      <c r="J5" s="19"/>
      <c r="K5" s="19"/>
      <c r="L5" s="18" t="str">
        <f>IF($B5="","",SUM(I5:K5))</f>
        <v/>
      </c>
      <c r="M5" s="18" t="str">
        <f>IF($B5="","",H5-L5)</f>
        <v/>
      </c>
      <c r="N5" s="18" t="str">
        <f>IF($B5="","",IF(R5="Ancien",0,Paramètres!$D$31))</f>
        <v/>
      </c>
      <c r="O5" s="19"/>
      <c r="P5" s="18" t="str">
        <f>IF($B5="","",N5-O5)</f>
        <v/>
      </c>
      <c r="Q5" s="8" t="str">
        <f>IF($B5="","",IF(AND(M5&lt;=0,P5&lt;=0),"Soldé","En retard"))</f>
        <v/>
      </c>
      <c r="R5" s="8"/>
    </row>
    <row r="6">
      <c r="A6" s="20"/>
      <c r="B6" s="20"/>
      <c r="C6" s="20"/>
      <c r="D6" s="21"/>
      <c r="E6" s="77"/>
      <c r="F6" s="20"/>
      <c r="G6" s="20"/>
      <c r="H6" s="18" t="str">
        <f>IF($B6="","",Paramètres!$C$31)</f>
        <v/>
      </c>
      <c r="I6" s="19"/>
      <c r="J6" s="19"/>
      <c r="K6" s="19"/>
      <c r="L6" s="18" t="str">
        <f>IF($B6="","",SUM(I6:K6))</f>
        <v/>
      </c>
      <c r="M6" s="18" t="str">
        <f>IF($B6="","",H6-L6)</f>
        <v/>
      </c>
      <c r="N6" s="18" t="str">
        <f>IF($B6="","",IF(R6="Ancien",0,Paramètres!$D$31))</f>
        <v/>
      </c>
      <c r="O6" s="19"/>
      <c r="P6" s="18" t="str">
        <f>IF($B6="","",N6-O6)</f>
        <v/>
      </c>
      <c r="Q6" s="21" t="str">
        <f>IF($B6="","",IF(AND(M6&lt;=0,P6&lt;=0),"Soldé","En retard"))</f>
        <v/>
      </c>
      <c r="R6" s="21"/>
    </row>
    <row r="7">
      <c r="A7" s="15"/>
      <c r="B7" s="15"/>
      <c r="C7" s="15"/>
      <c r="D7" s="8"/>
      <c r="E7" s="79"/>
      <c r="F7" s="15"/>
      <c r="G7" s="15"/>
      <c r="H7" s="18" t="str">
        <f>IF($B7="","",Paramètres!$C$31)</f>
        <v/>
      </c>
      <c r="I7" s="19"/>
      <c r="J7" s="19"/>
      <c r="K7" s="19"/>
      <c r="L7" s="18" t="str">
        <f>IF($B7="","",SUM(I7:K7))</f>
        <v/>
      </c>
      <c r="M7" s="18" t="str">
        <f>IF($B7="","",H7-L7)</f>
        <v/>
      </c>
      <c r="N7" s="18" t="str">
        <f>IF($B7="","",IF(R7="Ancien",0,Paramètres!$D$31))</f>
        <v/>
      </c>
      <c r="O7" s="19"/>
      <c r="P7" s="18" t="str">
        <f>IF($B7="","",N7-O7)</f>
        <v/>
      </c>
      <c r="Q7" s="8" t="str">
        <f>IF($B7="","",IF(AND(M7&lt;=0,P7&lt;=0),"Soldé","En retard"))</f>
        <v/>
      </c>
      <c r="R7" s="8"/>
    </row>
    <row r="8">
      <c r="A8" s="20"/>
      <c r="B8" s="20"/>
      <c r="C8" s="20"/>
      <c r="D8" s="21"/>
      <c r="E8" s="77"/>
      <c r="F8" s="20"/>
      <c r="G8" s="20"/>
      <c r="H8" s="18" t="str">
        <f>IF($B8="","",Paramètres!$C$31)</f>
        <v/>
      </c>
      <c r="I8" s="19"/>
      <c r="J8" s="19"/>
      <c r="K8" s="19"/>
      <c r="L8" s="18" t="str">
        <f>IF($B8="","",SUM(I8:K8))</f>
        <v/>
      </c>
      <c r="M8" s="18" t="str">
        <f>IF($B8="","",H8-L8)</f>
        <v/>
      </c>
      <c r="N8" s="18" t="str">
        <f>IF($B8="","",IF(R8="Ancien",0,Paramètres!$D$31))</f>
        <v/>
      </c>
      <c r="O8" s="19"/>
      <c r="P8" s="18" t="str">
        <f>IF($B8="","",N8-O8)</f>
        <v/>
      </c>
      <c r="Q8" s="21" t="str">
        <f>IF($B8="","",IF(AND(M8&lt;=0,P8&lt;=0),"Soldé","En retard"))</f>
        <v/>
      </c>
      <c r="R8" s="21"/>
    </row>
    <row r="9">
      <c r="A9" s="15"/>
      <c r="B9" s="15"/>
      <c r="C9" s="15"/>
      <c r="D9" s="8"/>
      <c r="E9" s="79"/>
      <c r="F9" s="15"/>
      <c r="G9" s="15"/>
      <c r="H9" s="18" t="str">
        <f>IF($B9="","",Paramètres!$C$31)</f>
        <v/>
      </c>
      <c r="I9" s="19"/>
      <c r="J9" s="19"/>
      <c r="K9" s="19"/>
      <c r="L9" s="18" t="str">
        <f>IF($B9="","",SUM(I9:K9))</f>
        <v/>
      </c>
      <c r="M9" s="18" t="str">
        <f>IF($B9="","",H9-L9)</f>
        <v/>
      </c>
      <c r="N9" s="18" t="str">
        <f>IF($B9="","",IF(R9="Ancien",0,Paramètres!$D$31))</f>
        <v/>
      </c>
      <c r="O9" s="19"/>
      <c r="P9" s="18" t="str">
        <f>IF($B9="","",N9-O9)</f>
        <v/>
      </c>
      <c r="Q9" s="8" t="str">
        <f>IF($B9="","",IF(AND(M9&lt;=0,P9&lt;=0),"Soldé","En retard"))</f>
        <v/>
      </c>
      <c r="R9" s="8"/>
    </row>
    <row r="10">
      <c r="A10" s="20"/>
      <c r="B10" s="20"/>
      <c r="C10" s="20"/>
      <c r="D10" s="21"/>
      <c r="E10" s="77"/>
      <c r="F10" s="20"/>
      <c r="G10" s="20"/>
      <c r="H10" s="18" t="str">
        <f>IF($B10="","",Paramètres!$C$31)</f>
        <v/>
      </c>
      <c r="I10" s="19"/>
      <c r="J10" s="19"/>
      <c r="K10" s="19"/>
      <c r="L10" s="18" t="str">
        <f>IF($B10="","",SUM(I10:K10))</f>
        <v/>
      </c>
      <c r="M10" s="18" t="str">
        <f>IF($B10="","",H10-L10)</f>
        <v/>
      </c>
      <c r="N10" s="18" t="str">
        <f>IF($B10="","",IF(R10="Ancien",0,Paramètres!$D$31))</f>
        <v/>
      </c>
      <c r="O10" s="19"/>
      <c r="P10" s="18" t="str">
        <f>IF($B10="","",N10-O10)</f>
        <v/>
      </c>
      <c r="Q10" s="21" t="str">
        <f>IF($B10="","",IF(AND(M10&lt;=0,P10&lt;=0),"Soldé","En retard"))</f>
        <v/>
      </c>
      <c r="R10" s="21"/>
    </row>
    <row r="11">
      <c r="A11" s="15"/>
      <c r="B11" s="15"/>
      <c r="C11" s="15"/>
      <c r="D11" s="8"/>
      <c r="E11" s="79"/>
      <c r="F11" s="15"/>
      <c r="G11" s="15"/>
      <c r="H11" s="18" t="str">
        <f>IF($B11="","",Paramètres!$C$31)</f>
        <v/>
      </c>
      <c r="I11" s="19"/>
      <c r="J11" s="19"/>
      <c r="K11" s="19"/>
      <c r="L11" s="18" t="str">
        <f>IF($B11="","",SUM(I11:K11))</f>
        <v/>
      </c>
      <c r="M11" s="18" t="str">
        <f>IF($B11="","",H11-L11)</f>
        <v/>
      </c>
      <c r="N11" s="18" t="str">
        <f>IF($B11="","",IF(R11="Ancien",0,Paramètres!$D$31))</f>
        <v/>
      </c>
      <c r="O11" s="19"/>
      <c r="P11" s="18" t="str">
        <f>IF($B11="","",N11-O11)</f>
        <v/>
      </c>
      <c r="Q11" s="8" t="str">
        <f>IF($B11="","",IF(AND(M11&lt;=0,P11&lt;=0),"Soldé","En retard"))</f>
        <v/>
      </c>
      <c r="R11" s="8"/>
    </row>
    <row r="12">
      <c r="A12" s="20"/>
      <c r="B12" s="20"/>
      <c r="C12" s="20"/>
      <c r="D12" s="21"/>
      <c r="E12" s="77"/>
      <c r="F12" s="20"/>
      <c r="G12" s="20"/>
      <c r="H12" s="18" t="str">
        <f>IF($B12="","",Paramètres!$C$31)</f>
        <v/>
      </c>
      <c r="I12" s="19"/>
      <c r="J12" s="19"/>
      <c r="K12" s="19"/>
      <c r="L12" s="18" t="str">
        <f>IF($B12="","",SUM(I12:K12))</f>
        <v/>
      </c>
      <c r="M12" s="18" t="str">
        <f>IF($B12="","",H12-L12)</f>
        <v/>
      </c>
      <c r="N12" s="18" t="str">
        <f>IF($B12="","",IF(R12="Ancien",0,Paramètres!$D$31))</f>
        <v/>
      </c>
      <c r="O12" s="19"/>
      <c r="P12" s="18" t="str">
        <f>IF($B12="","",N12-O12)</f>
        <v/>
      </c>
      <c r="Q12" s="21" t="str">
        <f>IF($B12="","",IF(AND(M12&lt;=0,P12&lt;=0),"Soldé","En retard"))</f>
        <v/>
      </c>
      <c r="R12" s="21"/>
    </row>
    <row r="13">
      <c r="A13" s="15"/>
      <c r="B13" s="15"/>
      <c r="C13" s="15"/>
      <c r="D13" s="8"/>
      <c r="E13" s="79"/>
      <c r="F13" s="15"/>
      <c r="G13" s="15"/>
      <c r="H13" s="18" t="str">
        <f>IF($B13="","",Paramètres!$C$31)</f>
        <v/>
      </c>
      <c r="I13" s="19"/>
      <c r="J13" s="19"/>
      <c r="K13" s="19"/>
      <c r="L13" s="18" t="str">
        <f>IF($B13="","",SUM(I13:K13))</f>
        <v/>
      </c>
      <c r="M13" s="18" t="str">
        <f>IF($B13="","",H13-L13)</f>
        <v/>
      </c>
      <c r="N13" s="18" t="str">
        <f>IF($B13="","",IF(R13="Ancien",0,Paramètres!$D$31))</f>
        <v/>
      </c>
      <c r="O13" s="19"/>
      <c r="P13" s="18" t="str">
        <f>IF($B13="","",N13-O13)</f>
        <v/>
      </c>
      <c r="Q13" s="8" t="str">
        <f>IF($B13="","",IF(AND(M13&lt;=0,P13&lt;=0),"Soldé","En retard"))</f>
        <v/>
      </c>
      <c r="R13" s="8"/>
    </row>
    <row r="14">
      <c r="A14" s="20"/>
      <c r="B14" s="20"/>
      <c r="C14" s="20"/>
      <c r="D14" s="21"/>
      <c r="E14" s="77"/>
      <c r="F14" s="20"/>
      <c r="G14" s="20"/>
      <c r="H14" s="18" t="str">
        <f>IF($B14="","",Paramètres!$C$31)</f>
        <v/>
      </c>
      <c r="I14" s="19"/>
      <c r="J14" s="19"/>
      <c r="K14" s="19"/>
      <c r="L14" s="18" t="str">
        <f>IF($B14="","",SUM(I14:K14))</f>
        <v/>
      </c>
      <c r="M14" s="18" t="str">
        <f>IF($B14="","",H14-L14)</f>
        <v/>
      </c>
      <c r="N14" s="18" t="str">
        <f>IF($B14="","",IF(R14="Ancien",0,Paramètres!$D$31))</f>
        <v/>
      </c>
      <c r="O14" s="19"/>
      <c r="P14" s="18" t="str">
        <f>IF($B14="","",N14-O14)</f>
        <v/>
      </c>
      <c r="Q14" s="21" t="str">
        <f>IF($B14="","",IF(AND(M14&lt;=0,P14&lt;=0),"Soldé","En retard"))</f>
        <v/>
      </c>
      <c r="R14" s="21"/>
    </row>
    <row r="15">
      <c r="A15" s="15"/>
      <c r="B15" s="15"/>
      <c r="C15" s="15"/>
      <c r="D15" s="8"/>
      <c r="E15" s="79"/>
      <c r="F15" s="15"/>
      <c r="G15" s="15"/>
      <c r="H15" s="18" t="str">
        <f>IF($B15="","",Paramètres!$C$31)</f>
        <v/>
      </c>
      <c r="I15" s="19"/>
      <c r="J15" s="19"/>
      <c r="K15" s="19"/>
      <c r="L15" s="18" t="str">
        <f>IF($B15="","",SUM(I15:K15))</f>
        <v/>
      </c>
      <c r="M15" s="18" t="str">
        <f>IF($B15="","",H15-L15)</f>
        <v/>
      </c>
      <c r="N15" s="18" t="str">
        <f>IF($B15="","",IF(R15="Ancien",0,Paramètres!$D$31))</f>
        <v/>
      </c>
      <c r="O15" s="19"/>
      <c r="P15" s="18" t="str">
        <f>IF($B15="","",N15-O15)</f>
        <v/>
      </c>
      <c r="Q15" s="8" t="str">
        <f>IF($B15="","",IF(AND(M15&lt;=0,P15&lt;=0),"Soldé","En retard"))</f>
        <v/>
      </c>
      <c r="R15" s="8"/>
    </row>
    <row r="16">
      <c r="A16" s="20"/>
      <c r="B16" s="20"/>
      <c r="C16" s="20"/>
      <c r="D16" s="21"/>
      <c r="E16" s="77"/>
      <c r="F16" s="20"/>
      <c r="G16" s="20"/>
      <c r="H16" s="18" t="str">
        <f>IF($B16="","",Paramètres!$C$31)</f>
        <v/>
      </c>
      <c r="I16" s="19"/>
      <c r="J16" s="19"/>
      <c r="K16" s="19"/>
      <c r="L16" s="18" t="str">
        <f>IF($B16="","",SUM(I16:K16))</f>
        <v/>
      </c>
      <c r="M16" s="18" t="str">
        <f>IF($B16="","",H16-L16)</f>
        <v/>
      </c>
      <c r="N16" s="18" t="str">
        <f>IF($B16="","",IF(R16="Ancien",0,Paramètres!$D$31))</f>
        <v/>
      </c>
      <c r="O16" s="19"/>
      <c r="P16" s="18" t="str">
        <f>IF($B16="","",N16-O16)</f>
        <v/>
      </c>
      <c r="Q16" s="21" t="str">
        <f>IF($B16="","",IF(AND(M16&lt;=0,P16&lt;=0),"Soldé","En retard"))</f>
        <v/>
      </c>
      <c r="R16" s="21"/>
    </row>
    <row r="17">
      <c r="A17" s="15"/>
      <c r="B17" s="15"/>
      <c r="C17" s="15"/>
      <c r="D17" s="8"/>
      <c r="E17" s="79"/>
      <c r="F17" s="15"/>
      <c r="G17" s="15"/>
      <c r="H17" s="18" t="str">
        <f>IF($B17="","",Paramètres!$C$31)</f>
        <v/>
      </c>
      <c r="I17" s="19"/>
      <c r="J17" s="19"/>
      <c r="K17" s="19"/>
      <c r="L17" s="18" t="str">
        <f>IF($B17="","",SUM(I17:K17))</f>
        <v/>
      </c>
      <c r="M17" s="18" t="str">
        <f>IF($B17="","",H17-L17)</f>
        <v/>
      </c>
      <c r="N17" s="18" t="str">
        <f>IF($B17="","",IF(R17="Ancien",0,Paramètres!$D$31))</f>
        <v/>
      </c>
      <c r="O17" s="19"/>
      <c r="P17" s="18" t="str">
        <f>IF($B17="","",N17-O17)</f>
        <v/>
      </c>
      <c r="Q17" s="8" t="str">
        <f>IF($B17="","",IF(AND(M17&lt;=0,P17&lt;=0),"Soldé","En retard"))</f>
        <v/>
      </c>
      <c r="R17" s="8"/>
    </row>
    <row r="18">
      <c r="A18" s="20"/>
      <c r="B18" s="20"/>
      <c r="C18" s="20"/>
      <c r="D18" s="21"/>
      <c r="E18" s="77"/>
      <c r="F18" s="20"/>
      <c r="G18" s="20"/>
      <c r="H18" s="18" t="str">
        <f>IF($B18="","",Paramètres!$C$31)</f>
        <v/>
      </c>
      <c r="I18" s="19"/>
      <c r="J18" s="19"/>
      <c r="K18" s="19"/>
      <c r="L18" s="18" t="str">
        <f>IF($B18="","",SUM(I18:K18))</f>
        <v/>
      </c>
      <c r="M18" s="18" t="str">
        <f>IF($B18="","",H18-L18)</f>
        <v/>
      </c>
      <c r="N18" s="18" t="str">
        <f>IF($B18="","",IF(R18="Ancien",0,Paramètres!$D$31))</f>
        <v/>
      </c>
      <c r="O18" s="19"/>
      <c r="P18" s="18" t="str">
        <f>IF($B18="","",N18-O18)</f>
        <v/>
      </c>
      <c r="Q18" s="21" t="str">
        <f>IF($B18="","",IF(AND(M18&lt;=0,P18&lt;=0),"Soldé","En retard"))</f>
        <v/>
      </c>
      <c r="R18" s="21"/>
    </row>
    <row r="19">
      <c r="A19" s="15"/>
      <c r="B19" s="15"/>
      <c r="C19" s="15"/>
      <c r="D19" s="8"/>
      <c r="E19" s="79"/>
      <c r="F19" s="15"/>
      <c r="G19" s="15"/>
      <c r="H19" s="18" t="str">
        <f>IF($B19="","",Paramètres!$C$31)</f>
        <v/>
      </c>
      <c r="I19" s="19"/>
      <c r="J19" s="19"/>
      <c r="K19" s="19"/>
      <c r="L19" s="18" t="str">
        <f>IF($B19="","",SUM(I19:K19))</f>
        <v/>
      </c>
      <c r="M19" s="18" t="str">
        <f>IF($B19="","",H19-L19)</f>
        <v/>
      </c>
      <c r="N19" s="18" t="str">
        <f>IF($B19="","",IF(R19="Ancien",0,Paramètres!$D$31))</f>
        <v/>
      </c>
      <c r="O19" s="19"/>
      <c r="P19" s="18" t="str">
        <f>IF($B19="","",N19-O19)</f>
        <v/>
      </c>
      <c r="Q19" s="8" t="str">
        <f>IF($B19="","",IF(AND(M19&lt;=0,P19&lt;=0),"Soldé","En retard"))</f>
        <v/>
      </c>
      <c r="R19" s="8"/>
    </row>
    <row r="20">
      <c r="A20" s="20"/>
      <c r="B20" s="20"/>
      <c r="C20" s="20"/>
      <c r="D20" s="21"/>
      <c r="E20" s="77"/>
      <c r="F20" s="20"/>
      <c r="G20" s="20"/>
      <c r="H20" s="18" t="str">
        <f>IF($B20="","",Paramètres!$C$31)</f>
        <v/>
      </c>
      <c r="I20" s="19"/>
      <c r="J20" s="19"/>
      <c r="K20" s="19"/>
      <c r="L20" s="18" t="str">
        <f>IF($B20="","",SUM(I20:K20))</f>
        <v/>
      </c>
      <c r="M20" s="18" t="str">
        <f>IF($B20="","",H20-L20)</f>
        <v/>
      </c>
      <c r="N20" s="18" t="str">
        <f>IF($B20="","",IF(R20="Ancien",0,Paramètres!$D$31))</f>
        <v/>
      </c>
      <c r="O20" s="19"/>
      <c r="P20" s="18" t="str">
        <f>IF($B20="","",N20-O20)</f>
        <v/>
      </c>
      <c r="Q20" s="21" t="str">
        <f>IF($B20="","",IF(AND(M20&lt;=0,P20&lt;=0),"Soldé","En retard"))</f>
        <v/>
      </c>
      <c r="R20" s="21"/>
    </row>
    <row r="21">
      <c r="A21" s="15"/>
      <c r="B21" s="15"/>
      <c r="C21" s="15"/>
      <c r="D21" s="8"/>
      <c r="E21" s="79"/>
      <c r="F21" s="15"/>
      <c r="G21" s="15"/>
      <c r="H21" s="18" t="str">
        <f>IF($B21="","",Paramètres!$C$31)</f>
        <v/>
      </c>
      <c r="I21" s="19"/>
      <c r="J21" s="19"/>
      <c r="K21" s="19"/>
      <c r="L21" s="18" t="str">
        <f>IF($B21="","",SUM(I21:K21))</f>
        <v/>
      </c>
      <c r="M21" s="18" t="str">
        <f>IF($B21="","",H21-L21)</f>
        <v/>
      </c>
      <c r="N21" s="18" t="str">
        <f>IF($B21="","",IF(R21="Ancien",0,Paramètres!$D$31))</f>
        <v/>
      </c>
      <c r="O21" s="19"/>
      <c r="P21" s="18" t="str">
        <f>IF($B21="","",N21-O21)</f>
        <v/>
      </c>
      <c r="Q21" s="8" t="str">
        <f>IF($B21="","",IF(AND(M21&lt;=0,P21&lt;=0),"Soldé","En retard"))</f>
        <v/>
      </c>
      <c r="R21" s="8"/>
    </row>
    <row r="22">
      <c r="A22" s="20"/>
      <c r="B22" s="20"/>
      <c r="C22" s="20"/>
      <c r="D22" s="21"/>
      <c r="E22" s="77"/>
      <c r="F22" s="20"/>
      <c r="G22" s="20"/>
      <c r="H22" s="18" t="str">
        <f>IF($B22="","",Paramètres!$C$31)</f>
        <v/>
      </c>
      <c r="I22" s="19"/>
      <c r="J22" s="19"/>
      <c r="K22" s="19"/>
      <c r="L22" s="18" t="str">
        <f>IF($B22="","",SUM(I22:K22))</f>
        <v/>
      </c>
      <c r="M22" s="18" t="str">
        <f>IF($B22="","",H22-L22)</f>
        <v/>
      </c>
      <c r="N22" s="18" t="str">
        <f>IF($B22="","",IF(R22="Ancien",0,Paramètres!$D$31))</f>
        <v/>
      </c>
      <c r="O22" s="19"/>
      <c r="P22" s="18" t="str">
        <f>IF($B22="","",N22-O22)</f>
        <v/>
      </c>
      <c r="Q22" s="21" t="str">
        <f>IF($B22="","",IF(AND(M22&lt;=0,P22&lt;=0),"Soldé","En retard"))</f>
        <v/>
      </c>
      <c r="R22" s="21"/>
    </row>
    <row r="23">
      <c r="A23" s="15"/>
      <c r="B23" s="15"/>
      <c r="C23" s="15"/>
      <c r="D23" s="8"/>
      <c r="E23" s="79"/>
      <c r="F23" s="15"/>
      <c r="G23" s="15"/>
      <c r="H23" s="18" t="str">
        <f>IF($B23="","",Paramètres!$C$31)</f>
        <v/>
      </c>
      <c r="I23" s="19"/>
      <c r="J23" s="19"/>
      <c r="K23" s="19"/>
      <c r="L23" s="18" t="str">
        <f>IF($B23="","",SUM(I23:K23))</f>
        <v/>
      </c>
      <c r="M23" s="18" t="str">
        <f>IF($B23="","",H23-L23)</f>
        <v/>
      </c>
      <c r="N23" s="18" t="str">
        <f>IF($B23="","",IF(R23="Ancien",0,Paramètres!$D$31))</f>
        <v/>
      </c>
      <c r="O23" s="19"/>
      <c r="P23" s="18" t="str">
        <f>IF($B23="","",N23-O23)</f>
        <v/>
      </c>
      <c r="Q23" s="8" t="str">
        <f>IF($B23="","",IF(AND(M23&lt;=0,P23&lt;=0),"Soldé","En retard"))</f>
        <v/>
      </c>
      <c r="R23" s="8"/>
    </row>
    <row r="24">
      <c r="A24" s="20"/>
      <c r="B24" s="20"/>
      <c r="C24" s="20"/>
      <c r="D24" s="21"/>
      <c r="E24" s="77"/>
      <c r="F24" s="20"/>
      <c r="G24" s="20"/>
      <c r="H24" s="18" t="str">
        <f>IF($B24="","",Paramètres!$C$31)</f>
        <v/>
      </c>
      <c r="I24" s="19"/>
      <c r="J24" s="19"/>
      <c r="K24" s="19"/>
      <c r="L24" s="18" t="str">
        <f>IF($B24="","",SUM(I24:K24))</f>
        <v/>
      </c>
      <c r="M24" s="18" t="str">
        <f>IF($B24="","",H24-L24)</f>
        <v/>
      </c>
      <c r="N24" s="18" t="str">
        <f>IF($B24="","",IF(R24="Ancien",0,Paramètres!$D$31))</f>
        <v/>
      </c>
      <c r="O24" s="19"/>
      <c r="P24" s="18" t="str">
        <f>IF($B24="","",N24-O24)</f>
        <v/>
      </c>
      <c r="Q24" s="21" t="str">
        <f>IF($B24="","",IF(AND(M24&lt;=0,P24&lt;=0),"Soldé","En retard"))</f>
        <v/>
      </c>
      <c r="R24" s="21"/>
    </row>
    <row r="25">
      <c r="A25" s="15"/>
      <c r="B25" s="15"/>
      <c r="C25" s="15"/>
      <c r="D25" s="8"/>
      <c r="E25" s="79"/>
      <c r="F25" s="15"/>
      <c r="G25" s="15"/>
      <c r="H25" s="18" t="str">
        <f>IF($B25="","",Paramètres!$C$31)</f>
        <v/>
      </c>
      <c r="I25" s="19"/>
      <c r="J25" s="19"/>
      <c r="K25" s="19"/>
      <c r="L25" s="18" t="str">
        <f>IF($B25="","",SUM(I25:K25))</f>
        <v/>
      </c>
      <c r="M25" s="18" t="str">
        <f>IF($B25="","",H25-L25)</f>
        <v/>
      </c>
      <c r="N25" s="18" t="str">
        <f>IF($B25="","",IF(R25="Ancien",0,Paramètres!$D$31))</f>
        <v/>
      </c>
      <c r="O25" s="19"/>
      <c r="P25" s="18" t="str">
        <f>IF($B25="","",N25-O25)</f>
        <v/>
      </c>
      <c r="Q25" s="8" t="str">
        <f>IF($B25="","",IF(AND(M25&lt;=0,P25&lt;=0),"Soldé","En retard"))</f>
        <v/>
      </c>
      <c r="R25" s="8"/>
    </row>
    <row r="26">
      <c r="A26" s="20"/>
      <c r="B26" s="20"/>
      <c r="C26" s="20"/>
      <c r="D26" s="21"/>
      <c r="E26" s="77"/>
      <c r="F26" s="20"/>
      <c r="G26" s="20"/>
      <c r="H26" s="18" t="str">
        <f>IF($B26="","",Paramètres!$C$31)</f>
        <v/>
      </c>
      <c r="I26" s="19"/>
      <c r="J26" s="19"/>
      <c r="K26" s="19"/>
      <c r="L26" s="18" t="str">
        <f>IF($B26="","",SUM(I26:K26))</f>
        <v/>
      </c>
      <c r="M26" s="18" t="str">
        <f>IF($B26="","",H26-L26)</f>
        <v/>
      </c>
      <c r="N26" s="18" t="str">
        <f>IF($B26="","",IF(R26="Ancien",0,Paramètres!$D$31))</f>
        <v/>
      </c>
      <c r="O26" s="19"/>
      <c r="P26" s="18" t="str">
        <f>IF($B26="","",N26-O26)</f>
        <v/>
      </c>
      <c r="Q26" s="21" t="str">
        <f>IF($B26="","",IF(AND(M26&lt;=0,P26&lt;=0),"Soldé","En retard"))</f>
        <v/>
      </c>
      <c r="R26" s="21"/>
    </row>
    <row r="27">
      <c r="A27" s="15"/>
      <c r="B27" s="15"/>
      <c r="C27" s="15"/>
      <c r="D27" s="8"/>
      <c r="E27" s="79"/>
      <c r="F27" s="15"/>
      <c r="G27" s="15"/>
      <c r="H27" s="18" t="str">
        <f>IF($B27="","",Paramètres!$C$31)</f>
        <v/>
      </c>
      <c r="I27" s="19"/>
      <c r="J27" s="19"/>
      <c r="K27" s="19"/>
      <c r="L27" s="18" t="str">
        <f>IF($B27="","",SUM(I27:K27))</f>
        <v/>
      </c>
      <c r="M27" s="18" t="str">
        <f>IF($B27="","",H27-L27)</f>
        <v/>
      </c>
      <c r="N27" s="18" t="str">
        <f>IF($B27="","",IF(R27="Ancien",0,Paramètres!$D$31))</f>
        <v/>
      </c>
      <c r="O27" s="19"/>
      <c r="P27" s="18" t="str">
        <f>IF($B27="","",N27-O27)</f>
        <v/>
      </c>
      <c r="Q27" s="8" t="str">
        <f>IF($B27="","",IF(AND(M27&lt;=0,P27&lt;=0),"Soldé","En retard"))</f>
        <v/>
      </c>
      <c r="R27" s="8"/>
    </row>
    <row r="28">
      <c r="A28" s="20"/>
      <c r="B28" s="20"/>
      <c r="C28" s="20"/>
      <c r="D28" s="21"/>
      <c r="E28" s="77"/>
      <c r="F28" s="20"/>
      <c r="G28" s="20"/>
      <c r="H28" s="18" t="str">
        <f>IF($B28="","",Paramètres!$C$31)</f>
        <v/>
      </c>
      <c r="I28" s="19"/>
      <c r="J28" s="19"/>
      <c r="K28" s="19"/>
      <c r="L28" s="18" t="str">
        <f>IF($B28="","",SUM(I28:K28))</f>
        <v/>
      </c>
      <c r="M28" s="18" t="str">
        <f>IF($B28="","",H28-L28)</f>
        <v/>
      </c>
      <c r="N28" s="18" t="str">
        <f>IF($B28="","",IF(R28="Ancien",0,Paramètres!$D$31))</f>
        <v/>
      </c>
      <c r="O28" s="19"/>
      <c r="P28" s="18" t="str">
        <f>IF($B28="","",N28-O28)</f>
        <v/>
      </c>
      <c r="Q28" s="21" t="str">
        <f>IF($B28="","",IF(AND(M28&lt;=0,P28&lt;=0),"Soldé","En retard"))</f>
        <v/>
      </c>
      <c r="R28" s="21"/>
    </row>
    <row r="29">
      <c r="A29" s="15"/>
      <c r="B29" s="15"/>
      <c r="C29" s="15"/>
      <c r="D29" s="8"/>
      <c r="E29" s="79"/>
      <c r="F29" s="15"/>
      <c r="G29" s="15"/>
      <c r="H29" s="18" t="str">
        <f>IF($B29="","",Paramètres!$C$31)</f>
        <v/>
      </c>
      <c r="I29" s="19"/>
      <c r="J29" s="19"/>
      <c r="K29" s="19"/>
      <c r="L29" s="18" t="str">
        <f>IF($B29="","",SUM(I29:K29))</f>
        <v/>
      </c>
      <c r="M29" s="18" t="str">
        <f>IF($B29="","",H29-L29)</f>
        <v/>
      </c>
      <c r="N29" s="18" t="str">
        <f>IF($B29="","",IF(R29="Ancien",0,Paramètres!$D$31))</f>
        <v/>
      </c>
      <c r="O29" s="19"/>
      <c r="P29" s="18" t="str">
        <f>IF($B29="","",N29-O29)</f>
        <v/>
      </c>
      <c r="Q29" s="8" t="str">
        <f>IF($B29="","",IF(AND(M29&lt;=0,P29&lt;=0),"Soldé","En retard"))</f>
        <v/>
      </c>
      <c r="R29" s="8"/>
    </row>
    <row r="30">
      <c r="A30" s="20"/>
      <c r="B30" s="20"/>
      <c r="C30" s="20"/>
      <c r="D30" s="21"/>
      <c r="E30" s="77"/>
      <c r="F30" s="20"/>
      <c r="G30" s="20"/>
      <c r="H30" s="18" t="str">
        <f>IF($B30="","",Paramètres!$C$31)</f>
        <v/>
      </c>
      <c r="I30" s="19"/>
      <c r="J30" s="19"/>
      <c r="K30" s="19"/>
      <c r="L30" s="18" t="str">
        <f>IF($B30="","",SUM(I30:K30))</f>
        <v/>
      </c>
      <c r="M30" s="18" t="str">
        <f>IF($B30="","",H30-L30)</f>
        <v/>
      </c>
      <c r="N30" s="18" t="str">
        <f>IF($B30="","",IF(R30="Ancien",0,Paramètres!$D$31))</f>
        <v/>
      </c>
      <c r="O30" s="19"/>
      <c r="P30" s="18" t="str">
        <f>IF($B30="","",N30-O30)</f>
        <v/>
      </c>
      <c r="Q30" s="21" t="str">
        <f>IF($B30="","",IF(AND(M30&lt;=0,P30&lt;=0),"Soldé","En retard"))</f>
        <v/>
      </c>
      <c r="R30" s="21"/>
    </row>
    <row r="31">
      <c r="A31" s="15"/>
      <c r="B31" s="15"/>
      <c r="C31" s="15"/>
      <c r="D31" s="8"/>
      <c r="E31" s="79"/>
      <c r="F31" s="15"/>
      <c r="G31" s="15"/>
      <c r="H31" s="18" t="str">
        <f>IF($B31="","",Paramètres!$C$31)</f>
        <v/>
      </c>
      <c r="I31" s="19"/>
      <c r="J31" s="19"/>
      <c r="K31" s="19"/>
      <c r="L31" s="18" t="str">
        <f>IF($B31="","",SUM(I31:K31))</f>
        <v/>
      </c>
      <c r="M31" s="18" t="str">
        <f>IF($B31="","",H31-L31)</f>
        <v/>
      </c>
      <c r="N31" s="18" t="str">
        <f>IF($B31="","",IF(R31="Ancien",0,Paramètres!$D$31))</f>
        <v/>
      </c>
      <c r="O31" s="19"/>
      <c r="P31" s="18" t="str">
        <f>IF($B31="","",N31-O31)</f>
        <v/>
      </c>
      <c r="Q31" s="8" t="str">
        <f>IF($B31="","",IF(AND(M31&lt;=0,P31&lt;=0),"Soldé","En retard"))</f>
        <v/>
      </c>
      <c r="R31" s="8"/>
    </row>
    <row r="32">
      <c r="A32" s="20"/>
      <c r="B32" s="20"/>
      <c r="C32" s="20"/>
      <c r="D32" s="21"/>
      <c r="E32" s="77"/>
      <c r="F32" s="20"/>
      <c r="G32" s="20"/>
      <c r="H32" s="18" t="str">
        <f>IF($B32="","",Paramètres!$C$31)</f>
        <v/>
      </c>
      <c r="I32" s="19"/>
      <c r="J32" s="19"/>
      <c r="K32" s="19"/>
      <c r="L32" s="18" t="str">
        <f>IF($B32="","",SUM(I32:K32))</f>
        <v/>
      </c>
      <c r="M32" s="18" t="str">
        <f>IF($B32="","",H32-L32)</f>
        <v/>
      </c>
      <c r="N32" s="18" t="str">
        <f>IF($B32="","",IF(R32="Ancien",0,Paramètres!$D$31))</f>
        <v/>
      </c>
      <c r="O32" s="19"/>
      <c r="P32" s="18" t="str">
        <f>IF($B32="","",N32-O32)</f>
        <v/>
      </c>
      <c r="Q32" s="21" t="str">
        <f>IF($B32="","",IF(AND(M32&lt;=0,P32&lt;=0),"Soldé","En retard"))</f>
        <v/>
      </c>
      <c r="R32" s="21"/>
    </row>
    <row r="33">
      <c r="A33" s="15"/>
      <c r="B33" s="15"/>
      <c r="C33" s="15"/>
      <c r="D33" s="8"/>
      <c r="E33" s="79"/>
      <c r="F33" s="15"/>
      <c r="G33" s="15"/>
      <c r="H33" s="18" t="str">
        <f>IF($B33="","",Paramètres!$C$31)</f>
        <v/>
      </c>
      <c r="I33" s="19"/>
      <c r="J33" s="19"/>
      <c r="K33" s="19"/>
      <c r="L33" s="18" t="str">
        <f>IF($B33="","",SUM(I33:K33))</f>
        <v/>
      </c>
      <c r="M33" s="18" t="str">
        <f>IF($B33="","",H33-L33)</f>
        <v/>
      </c>
      <c r="N33" s="18" t="str">
        <f>IF($B33="","",IF(R33="Ancien",0,Paramètres!$D$31))</f>
        <v/>
      </c>
      <c r="O33" s="19"/>
      <c r="P33" s="18" t="str">
        <f>IF($B33="","",N33-O33)</f>
        <v/>
      </c>
      <c r="Q33" s="8" t="str">
        <f>IF($B33="","",IF(AND(M33&lt;=0,P33&lt;=0),"Soldé","En retard"))</f>
        <v/>
      </c>
      <c r="R33" s="8"/>
    </row>
    <row r="34">
      <c r="A34" s="20"/>
      <c r="B34" s="20"/>
      <c r="C34" s="20"/>
      <c r="D34" s="21"/>
      <c r="E34" s="77"/>
      <c r="F34" s="20"/>
      <c r="G34" s="20"/>
      <c r="H34" s="18" t="str">
        <f>IF($B34="","",Paramètres!$C$31)</f>
        <v/>
      </c>
      <c r="I34" s="19"/>
      <c r="J34" s="19"/>
      <c r="K34" s="19"/>
      <c r="L34" s="18" t="str">
        <f>IF($B34="","",SUM(I34:K34))</f>
        <v/>
      </c>
      <c r="M34" s="18" t="str">
        <f>IF($B34="","",H34-L34)</f>
        <v/>
      </c>
      <c r="N34" s="18" t="str">
        <f>IF($B34="","",IF(R34="Ancien",0,Paramètres!$D$31))</f>
        <v/>
      </c>
      <c r="O34" s="19"/>
      <c r="P34" s="18" t="str">
        <f>IF($B34="","",N34-O34)</f>
        <v/>
      </c>
      <c r="Q34" s="21" t="str">
        <f>IF($B34="","",IF(AND(M34&lt;=0,P34&lt;=0),"Soldé","En retard"))</f>
        <v/>
      </c>
      <c r="R34" s="21"/>
    </row>
    <row r="35">
      <c r="A35" s="15"/>
      <c r="B35" s="15"/>
      <c r="C35" s="15"/>
      <c r="D35" s="8"/>
      <c r="E35" s="79"/>
      <c r="F35" s="15"/>
      <c r="G35" s="15"/>
      <c r="H35" s="18" t="str">
        <f>IF($B35="","",Paramètres!$C$31)</f>
        <v/>
      </c>
      <c r="I35" s="19"/>
      <c r="J35" s="19"/>
      <c r="K35" s="19"/>
      <c r="L35" s="18" t="str">
        <f>IF($B35="","",SUM(I35:K35))</f>
        <v/>
      </c>
      <c r="M35" s="18" t="str">
        <f>IF($B35="","",H35-L35)</f>
        <v/>
      </c>
      <c r="N35" s="18" t="str">
        <f>IF($B35="","",IF(R35="Ancien",0,Paramètres!$D$31))</f>
        <v/>
      </c>
      <c r="O35" s="19"/>
      <c r="P35" s="18" t="str">
        <f>IF($B35="","",N35-O35)</f>
        <v/>
      </c>
      <c r="Q35" s="8" t="str">
        <f>IF($B35="","",IF(AND(M35&lt;=0,P35&lt;=0),"Soldé","En retard"))</f>
        <v/>
      </c>
      <c r="R35" s="8"/>
    </row>
    <row r="36">
      <c r="A36" s="20"/>
      <c r="B36" s="20"/>
      <c r="C36" s="20"/>
      <c r="D36" s="21"/>
      <c r="E36" s="77"/>
      <c r="F36" s="20"/>
      <c r="G36" s="20"/>
      <c r="H36" s="18" t="str">
        <f>IF($B36="","",Paramètres!$C$31)</f>
        <v/>
      </c>
      <c r="I36" s="19"/>
      <c r="J36" s="19"/>
      <c r="K36" s="19"/>
      <c r="L36" s="18" t="str">
        <f>IF($B36="","",SUM(I36:K36))</f>
        <v/>
      </c>
      <c r="M36" s="18" t="str">
        <f>IF($B36="","",H36-L36)</f>
        <v/>
      </c>
      <c r="N36" s="18" t="str">
        <f>IF($B36="","",IF(R36="Ancien",0,Paramètres!$D$31))</f>
        <v/>
      </c>
      <c r="O36" s="19"/>
      <c r="P36" s="18" t="str">
        <f>IF($B36="","",N36-O36)</f>
        <v/>
      </c>
      <c r="Q36" s="21" t="str">
        <f>IF($B36="","",IF(AND(M36&lt;=0,P36&lt;=0),"Soldé","En retard"))</f>
        <v/>
      </c>
      <c r="R36" s="21"/>
    </row>
    <row r="37">
      <c r="A37" s="15"/>
      <c r="B37" s="15"/>
      <c r="C37" s="15"/>
      <c r="D37" s="8"/>
      <c r="E37" s="79"/>
      <c r="F37" s="15"/>
      <c r="G37" s="15"/>
      <c r="H37" s="18" t="str">
        <f>IF($B37="","",Paramètres!$C$31)</f>
        <v/>
      </c>
      <c r="I37" s="19"/>
      <c r="J37" s="19"/>
      <c r="K37" s="19"/>
      <c r="L37" s="18" t="str">
        <f>IF($B37="","",SUM(I37:K37))</f>
        <v/>
      </c>
      <c r="M37" s="18" t="str">
        <f>IF($B37="","",H37-L37)</f>
        <v/>
      </c>
      <c r="N37" s="18" t="str">
        <f>IF($B37="","",IF(R37="Ancien",0,Paramètres!$D$31))</f>
        <v/>
      </c>
      <c r="O37" s="19"/>
      <c r="P37" s="18" t="str">
        <f>IF($B37="","",N37-O37)</f>
        <v/>
      </c>
      <c r="Q37" s="8" t="str">
        <f>IF($B37="","",IF(AND(M37&lt;=0,P37&lt;=0),"Soldé","En retard"))</f>
        <v/>
      </c>
      <c r="R37" s="8"/>
    </row>
    <row r="38">
      <c r="A38" s="20"/>
      <c r="B38" s="20"/>
      <c r="C38" s="20"/>
      <c r="D38" s="21"/>
      <c r="E38" s="77"/>
      <c r="F38" s="20"/>
      <c r="G38" s="20"/>
      <c r="H38" s="18" t="str">
        <f>IF($B38="","",Paramètres!$C$31)</f>
        <v/>
      </c>
      <c r="I38" s="19"/>
      <c r="J38" s="19"/>
      <c r="K38" s="19"/>
      <c r="L38" s="18" t="str">
        <f>IF($B38="","",SUM(I38:K38))</f>
        <v/>
      </c>
      <c r="M38" s="18" t="str">
        <f>IF($B38="","",H38-L38)</f>
        <v/>
      </c>
      <c r="N38" s="18" t="str">
        <f>IF($B38="","",IF(R38="Ancien",0,Paramètres!$D$31))</f>
        <v/>
      </c>
      <c r="O38" s="19"/>
      <c r="P38" s="18" t="str">
        <f>IF($B38="","",N38-O38)</f>
        <v/>
      </c>
      <c r="Q38" s="21" t="str">
        <f>IF($B38="","",IF(AND(M38&lt;=0,P38&lt;=0),"Soldé","En retard"))</f>
        <v/>
      </c>
      <c r="R38" s="21"/>
    </row>
    <row r="39">
      <c r="A39" s="15"/>
      <c r="B39" s="15"/>
      <c r="C39" s="15"/>
      <c r="D39" s="8"/>
      <c r="E39" s="79"/>
      <c r="F39" s="15"/>
      <c r="G39" s="15"/>
      <c r="H39" s="18" t="str">
        <f>IF($B39="","",Paramètres!$C$31)</f>
        <v/>
      </c>
      <c r="I39" s="19"/>
      <c r="J39" s="19"/>
      <c r="K39" s="19"/>
      <c r="L39" s="18" t="str">
        <f>IF($B39="","",SUM(I39:K39))</f>
        <v/>
      </c>
      <c r="M39" s="18" t="str">
        <f>IF($B39="","",H39-L39)</f>
        <v/>
      </c>
      <c r="N39" s="18" t="str">
        <f>IF($B39="","",IF(R39="Ancien",0,Paramètres!$D$31))</f>
        <v/>
      </c>
      <c r="O39" s="19"/>
      <c r="P39" s="18" t="str">
        <f>IF($B39="","",N39-O39)</f>
        <v/>
      </c>
      <c r="Q39" s="8" t="str">
        <f>IF($B39="","",IF(AND(M39&lt;=0,P39&lt;=0),"Soldé","En retard"))</f>
        <v/>
      </c>
      <c r="R39" s="8"/>
    </row>
    <row r="40">
      <c r="A40" s="20"/>
      <c r="B40" s="20"/>
      <c r="C40" s="20"/>
      <c r="D40" s="21"/>
      <c r="E40" s="77"/>
      <c r="F40" s="20"/>
      <c r="G40" s="20"/>
      <c r="H40" s="18" t="str">
        <f>IF($B40="","",Paramètres!$C$31)</f>
        <v/>
      </c>
      <c r="I40" s="19"/>
      <c r="J40" s="19"/>
      <c r="K40" s="19"/>
      <c r="L40" s="18" t="str">
        <f>IF($B40="","",SUM(I40:K40))</f>
        <v/>
      </c>
      <c r="M40" s="18" t="str">
        <f>IF($B40="","",H40-L40)</f>
        <v/>
      </c>
      <c r="N40" s="18" t="str">
        <f>IF($B40="","",IF(R40="Ancien",0,Paramètres!$D$31))</f>
        <v/>
      </c>
      <c r="O40" s="19"/>
      <c r="P40" s="18" t="str">
        <f>IF($B40="","",N40-O40)</f>
        <v/>
      </c>
      <c r="Q40" s="21" t="str">
        <f>IF($B40="","",IF(AND(M40&lt;=0,P40&lt;=0),"Soldé","En retard"))</f>
        <v/>
      </c>
      <c r="R40" s="21"/>
    </row>
    <row r="41">
      <c r="A41" s="15"/>
      <c r="B41" s="15"/>
      <c r="C41" s="15"/>
      <c r="D41" s="8"/>
      <c r="E41" s="79"/>
      <c r="F41" s="15"/>
      <c r="G41" s="15"/>
      <c r="H41" s="18" t="str">
        <f>IF($B41="","",Paramètres!$C$31)</f>
        <v/>
      </c>
      <c r="I41" s="19"/>
      <c r="J41" s="19"/>
      <c r="K41" s="19"/>
      <c r="L41" s="18" t="str">
        <f>IF($B41="","",SUM(I41:K41))</f>
        <v/>
      </c>
      <c r="M41" s="18" t="str">
        <f>IF($B41="","",H41-L41)</f>
        <v/>
      </c>
      <c r="N41" s="18" t="str">
        <f>IF($B41="","",IF(R41="Ancien",0,Paramètres!$D$31))</f>
        <v/>
      </c>
      <c r="O41" s="19"/>
      <c r="P41" s="18" t="str">
        <f>IF($B41="","",N41-O41)</f>
        <v/>
      </c>
      <c r="Q41" s="8" t="str">
        <f>IF($B41="","",IF(AND(M41&lt;=0,P41&lt;=0),"Soldé","En retard"))</f>
        <v/>
      </c>
      <c r="R41" s="8"/>
    </row>
    <row r="42">
      <c r="A42" s="20"/>
      <c r="B42" s="20"/>
      <c r="C42" s="20"/>
      <c r="D42" s="21"/>
      <c r="E42" s="77"/>
      <c r="F42" s="20"/>
      <c r="G42" s="20"/>
      <c r="H42" s="18" t="str">
        <f>IF($B42="","",Paramètres!$C$31)</f>
        <v/>
      </c>
      <c r="I42" s="19"/>
      <c r="J42" s="19"/>
      <c r="K42" s="19"/>
      <c r="L42" s="18" t="str">
        <f>IF($B42="","",SUM(I42:K42))</f>
        <v/>
      </c>
      <c r="M42" s="18" t="str">
        <f>IF($B42="","",H42-L42)</f>
        <v/>
      </c>
      <c r="N42" s="18" t="str">
        <f>IF($B42="","",IF(R42="Ancien",0,Paramètres!$D$31))</f>
        <v/>
      </c>
      <c r="O42" s="19"/>
      <c r="P42" s="18" t="str">
        <f>IF($B42="","",N42-O42)</f>
        <v/>
      </c>
      <c r="Q42" s="21" t="str">
        <f>IF($B42="","",IF(AND(M42&lt;=0,P42&lt;=0),"Soldé","En retard"))</f>
        <v/>
      </c>
      <c r="R42" s="21"/>
    </row>
    <row r="43">
      <c r="A43" s="15"/>
      <c r="B43" s="15"/>
      <c r="C43" s="15"/>
      <c r="D43" s="8"/>
      <c r="E43" s="79"/>
      <c r="F43" s="15"/>
      <c r="G43" s="15"/>
      <c r="H43" s="18" t="str">
        <f>IF($B43="","",Paramètres!$C$31)</f>
        <v/>
      </c>
      <c r="I43" s="19"/>
      <c r="J43" s="19"/>
      <c r="K43" s="19"/>
      <c r="L43" s="18" t="str">
        <f>IF($B43="","",SUM(I43:K43))</f>
        <v/>
      </c>
      <c r="M43" s="18" t="str">
        <f>IF($B43="","",H43-L43)</f>
        <v/>
      </c>
      <c r="N43" s="18" t="str">
        <f>IF($B43="","",IF(R43="Ancien",0,Paramètres!$D$31))</f>
        <v/>
      </c>
      <c r="O43" s="19"/>
      <c r="P43" s="18" t="str">
        <f>IF($B43="","",N43-O43)</f>
        <v/>
      </c>
      <c r="Q43" s="8" t="str">
        <f>IF($B43="","",IF(AND(M43&lt;=0,P43&lt;=0),"Soldé","En retard"))</f>
        <v/>
      </c>
      <c r="R43" s="8"/>
    </row>
    <row r="44">
      <c r="A44" s="20"/>
      <c r="B44" s="20"/>
      <c r="C44" s="20"/>
      <c r="D44" s="21"/>
      <c r="E44" s="77"/>
      <c r="F44" s="20"/>
      <c r="G44" s="20"/>
      <c r="H44" s="18" t="str">
        <f>IF($B44="","",Paramètres!$C$31)</f>
        <v/>
      </c>
      <c r="I44" s="19"/>
      <c r="J44" s="19"/>
      <c r="K44" s="19"/>
      <c r="L44" s="18" t="str">
        <f>IF($B44="","",SUM(I44:K44))</f>
        <v/>
      </c>
      <c r="M44" s="18" t="str">
        <f>IF($B44="","",H44-L44)</f>
        <v/>
      </c>
      <c r="N44" s="18" t="str">
        <f>IF($B44="","",IF(R44="Ancien",0,Paramètres!$D$31))</f>
        <v/>
      </c>
      <c r="O44" s="19"/>
      <c r="P44" s="18" t="str">
        <f>IF($B44="","",N44-O44)</f>
        <v/>
      </c>
      <c r="Q44" s="21" t="str">
        <f>IF($B44="","",IF(AND(M44&lt;=0,P44&lt;=0),"Soldé","En retard"))</f>
        <v/>
      </c>
      <c r="R44" s="21"/>
    </row>
    <row r="45">
      <c r="A45" s="15"/>
      <c r="B45" s="15"/>
      <c r="C45" s="15"/>
      <c r="D45" s="8"/>
      <c r="E45" s="79"/>
      <c r="F45" s="15"/>
      <c r="G45" s="15"/>
      <c r="H45" s="18" t="str">
        <f>IF($B45="","",Paramètres!$C$31)</f>
        <v/>
      </c>
      <c r="I45" s="19"/>
      <c r="J45" s="19"/>
      <c r="K45" s="19"/>
      <c r="L45" s="18" t="str">
        <f>IF($B45="","",SUM(I45:K45))</f>
        <v/>
      </c>
      <c r="M45" s="18" t="str">
        <f>IF($B45="","",H45-L45)</f>
        <v/>
      </c>
      <c r="N45" s="18" t="str">
        <f>IF($B45="","",IF(R45="Ancien",0,Paramètres!$D$31))</f>
        <v/>
      </c>
      <c r="O45" s="19"/>
      <c r="P45" s="18" t="str">
        <f>IF($B45="","",N45-O45)</f>
        <v/>
      </c>
      <c r="Q45" s="8" t="str">
        <f>IF($B45="","",IF(AND(M45&lt;=0,P45&lt;=0),"Soldé","En retard"))</f>
        <v/>
      </c>
      <c r="R45" s="8"/>
    </row>
    <row r="46">
      <c r="A46" s="20"/>
      <c r="B46" s="20"/>
      <c r="C46" s="20"/>
      <c r="D46" s="21"/>
      <c r="E46" s="77"/>
      <c r="F46" s="20"/>
      <c r="G46" s="20"/>
      <c r="H46" s="18" t="str">
        <f>IF($B46="","",Paramètres!$C$31)</f>
        <v/>
      </c>
      <c r="I46" s="19"/>
      <c r="J46" s="19"/>
      <c r="K46" s="19"/>
      <c r="L46" s="18" t="str">
        <f>IF($B46="","",SUM(I46:K46))</f>
        <v/>
      </c>
      <c r="M46" s="18" t="str">
        <f>IF($B46="","",H46-L46)</f>
        <v/>
      </c>
      <c r="N46" s="18" t="str">
        <f>IF($B46="","",IF(R46="Ancien",0,Paramètres!$D$31))</f>
        <v/>
      </c>
      <c r="O46" s="19"/>
      <c r="P46" s="18" t="str">
        <f>IF($B46="","",N46-O46)</f>
        <v/>
      </c>
      <c r="Q46" s="21" t="str">
        <f>IF($B46="","",IF(AND(M46&lt;=0,P46&lt;=0),"Soldé","En retard"))</f>
        <v/>
      </c>
      <c r="R46" s="21"/>
    </row>
    <row r="47">
      <c r="A47" s="15"/>
      <c r="B47" s="15"/>
      <c r="C47" s="15"/>
      <c r="D47" s="8"/>
      <c r="E47" s="79"/>
      <c r="F47" s="15"/>
      <c r="G47" s="15"/>
      <c r="H47" s="18" t="str">
        <f>IF($B47="","",Paramètres!$C$31)</f>
        <v/>
      </c>
      <c r="I47" s="19"/>
      <c r="J47" s="19"/>
      <c r="K47" s="19"/>
      <c r="L47" s="18" t="str">
        <f>IF($B47="","",SUM(I47:K47))</f>
        <v/>
      </c>
      <c r="M47" s="18" t="str">
        <f>IF($B47="","",H47-L47)</f>
        <v/>
      </c>
      <c r="N47" s="18" t="str">
        <f>IF($B47="","",IF(R47="Ancien",0,Paramètres!$D$31))</f>
        <v/>
      </c>
      <c r="O47" s="19"/>
      <c r="P47" s="18" t="str">
        <f>IF($B47="","",N47-O47)</f>
        <v/>
      </c>
      <c r="Q47" s="8" t="str">
        <f>IF($B47="","",IF(AND(M47&lt;=0,P47&lt;=0),"Soldé","En retard"))</f>
        <v/>
      </c>
      <c r="R47" s="8"/>
    </row>
    <row r="48">
      <c r="A48" s="20"/>
      <c r="B48" s="20"/>
      <c r="C48" s="20"/>
      <c r="D48" s="21"/>
      <c r="E48" s="77"/>
      <c r="F48" s="20"/>
      <c r="G48" s="20"/>
      <c r="H48" s="18" t="str">
        <f>IF($B48="","",Paramètres!$C$31)</f>
        <v/>
      </c>
      <c r="I48" s="19"/>
      <c r="J48" s="19"/>
      <c r="K48" s="19"/>
      <c r="L48" s="18" t="str">
        <f>IF($B48="","",SUM(I48:K48))</f>
        <v/>
      </c>
      <c r="M48" s="18" t="str">
        <f>IF($B48="","",H48-L48)</f>
        <v/>
      </c>
      <c r="N48" s="18" t="str">
        <f>IF($B48="","",IF(R48="Ancien",0,Paramètres!$D$31))</f>
        <v/>
      </c>
      <c r="O48" s="19"/>
      <c r="P48" s="18" t="str">
        <f>IF($B48="","",N48-O48)</f>
        <v/>
      </c>
      <c r="Q48" s="21" t="str">
        <f>IF($B48="","",IF(AND(M48&lt;=0,P48&lt;=0),"Soldé","En retard"))</f>
        <v/>
      </c>
      <c r="R48" s="21"/>
    </row>
    <row r="49">
      <c r="A49" s="15"/>
      <c r="B49" s="15"/>
      <c r="C49" s="15"/>
      <c r="D49" s="8"/>
      <c r="E49" s="79"/>
      <c r="F49" s="15"/>
      <c r="G49" s="15"/>
      <c r="H49" s="18" t="str">
        <f>IF($B49="","",Paramètres!$C$31)</f>
        <v/>
      </c>
      <c r="I49" s="19"/>
      <c r="J49" s="19"/>
      <c r="K49" s="19"/>
      <c r="L49" s="18" t="str">
        <f>IF($B49="","",SUM(I49:K49))</f>
        <v/>
      </c>
      <c r="M49" s="18" t="str">
        <f>IF($B49="","",H49-L49)</f>
        <v/>
      </c>
      <c r="N49" s="18" t="str">
        <f>IF($B49="","",IF(R49="Ancien",0,Paramètres!$D$31))</f>
        <v/>
      </c>
      <c r="O49" s="19"/>
      <c r="P49" s="18" t="str">
        <f>IF($B49="","",N49-O49)</f>
        <v/>
      </c>
      <c r="Q49" s="8" t="str">
        <f>IF($B49="","",IF(AND(M49&lt;=0,P49&lt;=0),"Soldé","En retard"))</f>
        <v/>
      </c>
      <c r="R49" s="8"/>
    </row>
    <row r="50">
      <c r="A50" s="20"/>
      <c r="B50" s="20"/>
      <c r="C50" s="20"/>
      <c r="D50" s="21"/>
      <c r="E50" s="77"/>
      <c r="F50" s="20"/>
      <c r="G50" s="20"/>
      <c r="H50" s="18" t="str">
        <f>IF($B50="","",Paramètres!$C$31)</f>
        <v/>
      </c>
      <c r="I50" s="19"/>
      <c r="J50" s="19"/>
      <c r="K50" s="19"/>
      <c r="L50" s="18" t="str">
        <f>IF($B50="","",SUM(I50:K50))</f>
        <v/>
      </c>
      <c r="M50" s="18" t="str">
        <f>IF($B50="","",H50-L50)</f>
        <v/>
      </c>
      <c r="N50" s="18" t="str">
        <f>IF($B50="","",IF(R50="Ancien",0,Paramètres!$D$31))</f>
        <v/>
      </c>
      <c r="O50" s="19"/>
      <c r="P50" s="18" t="str">
        <f>IF($B50="","",N50-O50)</f>
        <v/>
      </c>
      <c r="Q50" s="21" t="str">
        <f>IF($B50="","",IF(AND(M50&lt;=0,P50&lt;=0),"Soldé","En retard"))</f>
        <v/>
      </c>
      <c r="R50" s="21"/>
    </row>
    <row r="51">
      <c r="A51" s="15"/>
      <c r="B51" s="15"/>
      <c r="C51" s="15"/>
      <c r="D51" s="8"/>
      <c r="E51" s="79"/>
      <c r="F51" s="15"/>
      <c r="G51" s="15"/>
      <c r="H51" s="18" t="str">
        <f>IF($B51="","",Paramètres!$C$31)</f>
        <v/>
      </c>
      <c r="I51" s="19"/>
      <c r="J51" s="19"/>
      <c r="K51" s="19"/>
      <c r="L51" s="18" t="str">
        <f>IF($B51="","",SUM(I51:K51))</f>
        <v/>
      </c>
      <c r="M51" s="18" t="str">
        <f>IF($B51="","",H51-L51)</f>
        <v/>
      </c>
      <c r="N51" s="18" t="str">
        <f>IF($B51="","",IF(R51="Ancien",0,Paramètres!$D$31))</f>
        <v/>
      </c>
      <c r="O51" s="19"/>
      <c r="P51" s="18" t="str">
        <f>IF($B51="","",N51-O51)</f>
        <v/>
      </c>
      <c r="Q51" s="8" t="str">
        <f>IF($B51="","",IF(AND(M51&lt;=0,P51&lt;=0),"Soldé","En retard"))</f>
        <v/>
      </c>
      <c r="R51" s="8"/>
    </row>
    <row r="52">
      <c r="A52" s="20"/>
      <c r="B52" s="20"/>
      <c r="C52" s="20"/>
      <c r="D52" s="21"/>
      <c r="E52" s="77"/>
      <c r="F52" s="20"/>
      <c r="G52" s="20"/>
      <c r="H52" s="18" t="str">
        <f>IF($B52="","",Paramètres!$C$31)</f>
        <v/>
      </c>
      <c r="I52" s="19"/>
      <c r="J52" s="19"/>
      <c r="K52" s="19"/>
      <c r="L52" s="18" t="str">
        <f>IF($B52="","",SUM(I52:K52))</f>
        <v/>
      </c>
      <c r="M52" s="18" t="str">
        <f>IF($B52="","",H52-L52)</f>
        <v/>
      </c>
      <c r="N52" s="18" t="str">
        <f>IF($B52="","",IF(R52="Ancien",0,Paramètres!$D$31))</f>
        <v/>
      </c>
      <c r="O52" s="19"/>
      <c r="P52" s="18" t="str">
        <f>IF($B52="","",N52-O52)</f>
        <v/>
      </c>
      <c r="Q52" s="21" t="str">
        <f>IF($B52="","",IF(AND(M52&lt;=0,P52&lt;=0),"Soldé","En retard"))</f>
        <v/>
      </c>
      <c r="R52" s="21"/>
    </row>
    <row r="53">
      <c r="A53" s="15"/>
      <c r="B53" s="15"/>
      <c r="C53" s="15"/>
      <c r="D53" s="8"/>
      <c r="E53" s="79"/>
      <c r="F53" s="15"/>
      <c r="G53" s="15"/>
      <c r="H53" s="18" t="str">
        <f>IF($B53="","",Paramètres!$C$31)</f>
        <v/>
      </c>
      <c r="I53" s="19"/>
      <c r="J53" s="19"/>
      <c r="K53" s="19"/>
      <c r="L53" s="18" t="str">
        <f>IF($B53="","",SUM(I53:K53))</f>
        <v/>
      </c>
      <c r="M53" s="18" t="str">
        <f>IF($B53="","",H53-L53)</f>
        <v/>
      </c>
      <c r="N53" s="18" t="str">
        <f>IF($B53="","",IF(R53="Ancien",0,Paramètres!$D$31))</f>
        <v/>
      </c>
      <c r="O53" s="19"/>
      <c r="P53" s="18" t="str">
        <f>IF($B53="","",N53-O53)</f>
        <v/>
      </c>
      <c r="Q53" s="8" t="str">
        <f>IF($B53="","",IF(AND(M53&lt;=0,P53&lt;=0),"Soldé","En retard"))</f>
        <v/>
      </c>
      <c r="R53" s="8"/>
    </row>
    <row r="54">
      <c r="A54" s="20"/>
      <c r="B54" s="20"/>
      <c r="C54" s="20"/>
      <c r="D54" s="21"/>
      <c r="E54" s="77"/>
      <c r="F54" s="20"/>
      <c r="G54" s="20"/>
      <c r="H54" s="18" t="str">
        <f>IF($B54="","",Paramètres!$C$31)</f>
        <v/>
      </c>
      <c r="I54" s="19"/>
      <c r="J54" s="19"/>
      <c r="K54" s="19"/>
      <c r="L54" s="18" t="str">
        <f>IF($B54="","",SUM(I54:K54))</f>
        <v/>
      </c>
      <c r="M54" s="18" t="str">
        <f>IF($B54="","",H54-L54)</f>
        <v/>
      </c>
      <c r="N54" s="18" t="str">
        <f>IF($B54="","",IF(R54="Ancien",0,Paramètres!$D$31))</f>
        <v/>
      </c>
      <c r="O54" s="19"/>
      <c r="P54" s="18" t="str">
        <f>IF($B54="","",N54-O54)</f>
        <v/>
      </c>
      <c r="Q54" s="21" t="str">
        <f>IF($B54="","",IF(AND(M54&lt;=0,P54&lt;=0),"Soldé","En retard"))</f>
        <v/>
      </c>
      <c r="R54" s="21"/>
    </row>
    <row r="55">
      <c r="A55" s="15"/>
      <c r="B55" s="15"/>
      <c r="C55" s="15"/>
      <c r="D55" s="8"/>
      <c r="E55" s="79"/>
      <c r="F55" s="15"/>
      <c r="G55" s="15"/>
      <c r="H55" s="18" t="str">
        <f>IF($B55="","",Paramètres!$C$31)</f>
        <v/>
      </c>
      <c r="I55" s="19"/>
      <c r="J55" s="19"/>
      <c r="K55" s="19"/>
      <c r="L55" s="18" t="str">
        <f>IF($B55="","",SUM(I55:K55))</f>
        <v/>
      </c>
      <c r="M55" s="18" t="str">
        <f>IF($B55="","",H55-L55)</f>
        <v/>
      </c>
      <c r="N55" s="18" t="str">
        <f>IF($B55="","",IF(R55="Ancien",0,Paramètres!$D$31))</f>
        <v/>
      </c>
      <c r="O55" s="19"/>
      <c r="P55" s="18" t="str">
        <f>IF($B55="","",N55-O55)</f>
        <v/>
      </c>
      <c r="Q55" s="8" t="str">
        <f>IF($B55="","",IF(AND(M55&lt;=0,P55&lt;=0),"Soldé","En retard"))</f>
        <v/>
      </c>
      <c r="R55" s="8"/>
    </row>
    <row r="56">
      <c r="A56" s="20"/>
      <c r="B56" s="20"/>
      <c r="C56" s="20"/>
      <c r="D56" s="21"/>
      <c r="E56" s="77"/>
      <c r="F56" s="20"/>
      <c r="G56" s="20"/>
      <c r="H56" s="18" t="str">
        <f>IF($B56="","",Paramètres!$C$31)</f>
        <v/>
      </c>
      <c r="I56" s="19"/>
      <c r="J56" s="19"/>
      <c r="K56" s="19"/>
      <c r="L56" s="18" t="str">
        <f>IF($B56="","",SUM(I56:K56))</f>
        <v/>
      </c>
      <c r="M56" s="18" t="str">
        <f>IF($B56="","",H56-L56)</f>
        <v/>
      </c>
      <c r="N56" s="18" t="str">
        <f>IF($B56="","",IF(R56="Ancien",0,Paramètres!$D$31))</f>
        <v/>
      </c>
      <c r="O56" s="19"/>
      <c r="P56" s="18" t="str">
        <f>IF($B56="","",N56-O56)</f>
        <v/>
      </c>
      <c r="Q56" s="21" t="str">
        <f>IF($B56="","",IF(AND(M56&lt;=0,P56&lt;=0),"Soldé","En retard"))</f>
        <v/>
      </c>
      <c r="R56" s="21"/>
    </row>
    <row r="57">
      <c r="A57" s="15"/>
      <c r="B57" s="15"/>
      <c r="C57" s="15"/>
      <c r="D57" s="8"/>
      <c r="E57" s="79"/>
      <c r="F57" s="15"/>
      <c r="G57" s="15"/>
      <c r="H57" s="18" t="str">
        <f>IF($B57="","",Paramètres!$C$31)</f>
        <v/>
      </c>
      <c r="I57" s="19"/>
      <c r="J57" s="19"/>
      <c r="K57" s="19"/>
      <c r="L57" s="18" t="str">
        <f>IF($B57="","",SUM(I57:K57))</f>
        <v/>
      </c>
      <c r="M57" s="18" t="str">
        <f>IF($B57="","",H57-L57)</f>
        <v/>
      </c>
      <c r="N57" s="18" t="str">
        <f>IF($B57="","",IF(R57="Ancien",0,Paramètres!$D$31))</f>
        <v/>
      </c>
      <c r="O57" s="19"/>
      <c r="P57" s="18" t="str">
        <f>IF($B57="","",N57-O57)</f>
        <v/>
      </c>
      <c r="Q57" s="8" t="str">
        <f>IF($B57="","",IF(AND(M57&lt;=0,P57&lt;=0),"Soldé","En retard"))</f>
        <v/>
      </c>
      <c r="R57" s="8"/>
    </row>
    <row r="58">
      <c r="A58" s="20"/>
      <c r="B58" s="20"/>
      <c r="C58" s="20"/>
      <c r="D58" s="21"/>
      <c r="E58" s="77"/>
      <c r="F58" s="20"/>
      <c r="G58" s="20"/>
      <c r="H58" s="18" t="str">
        <f>IF($B58="","",Paramètres!$C$31)</f>
        <v/>
      </c>
      <c r="I58" s="19"/>
      <c r="J58" s="19"/>
      <c r="K58" s="19"/>
      <c r="L58" s="18" t="str">
        <f>IF($B58="","",SUM(I58:K58))</f>
        <v/>
      </c>
      <c r="M58" s="18" t="str">
        <f>IF($B58="","",H58-L58)</f>
        <v/>
      </c>
      <c r="N58" s="18" t="str">
        <f>IF($B58="","",IF(R58="Ancien",0,Paramètres!$D$31))</f>
        <v/>
      </c>
      <c r="O58" s="19"/>
      <c r="P58" s="18" t="str">
        <f>IF($B58="","",N58-O58)</f>
        <v/>
      </c>
      <c r="Q58" s="21" t="str">
        <f>IF($B58="","",IF(AND(M58&lt;=0,P58&lt;=0),"Soldé","En retard"))</f>
        <v/>
      </c>
      <c r="R58" s="21"/>
    </row>
    <row r="59">
      <c r="A59" s="15"/>
      <c r="B59" s="15"/>
      <c r="C59" s="15"/>
      <c r="D59" s="8"/>
      <c r="E59" s="79"/>
      <c r="F59" s="15"/>
      <c r="G59" s="15"/>
      <c r="H59" s="18" t="str">
        <f>IF($B59="","",Paramètres!$C$31)</f>
        <v/>
      </c>
      <c r="I59" s="19"/>
      <c r="J59" s="19"/>
      <c r="K59" s="19"/>
      <c r="L59" s="18" t="str">
        <f>IF($B59="","",SUM(I59:K59))</f>
        <v/>
      </c>
      <c r="M59" s="18" t="str">
        <f>IF($B59="","",H59-L59)</f>
        <v/>
      </c>
      <c r="N59" s="18" t="str">
        <f>IF($B59="","",IF(R59="Ancien",0,Paramètres!$D$31))</f>
        <v/>
      </c>
      <c r="O59" s="19"/>
      <c r="P59" s="18" t="str">
        <f>IF($B59="","",N59-O59)</f>
        <v/>
      </c>
      <c r="Q59" s="8" t="str">
        <f>IF($B59="","",IF(AND(M59&lt;=0,P59&lt;=0),"Soldé","En retard"))</f>
        <v/>
      </c>
      <c r="R59" s="8"/>
    </row>
    <row r="60">
      <c r="A60" s="20"/>
      <c r="B60" s="20"/>
      <c r="C60" s="20"/>
      <c r="D60" s="21"/>
      <c r="E60" s="77"/>
      <c r="F60" s="20"/>
      <c r="G60" s="20"/>
      <c r="H60" s="18" t="str">
        <f>IF($B60="","",Paramètres!$C$31)</f>
        <v/>
      </c>
      <c r="I60" s="19"/>
      <c r="J60" s="19"/>
      <c r="K60" s="19"/>
      <c r="L60" s="18" t="str">
        <f>IF($B60="","",SUM(I60:K60))</f>
        <v/>
      </c>
      <c r="M60" s="18" t="str">
        <f>IF($B60="","",H60-L60)</f>
        <v/>
      </c>
      <c r="N60" s="18" t="str">
        <f>IF($B60="","",IF(R60="Ancien",0,Paramètres!$D$31))</f>
        <v/>
      </c>
      <c r="O60" s="19"/>
      <c r="P60" s="18" t="str">
        <f>IF($B60="","",N60-O60)</f>
        <v/>
      </c>
      <c r="Q60" s="21" t="str">
        <f>IF($B60="","",IF(AND(M60&lt;=0,P60&lt;=0),"Soldé","En retard"))</f>
        <v/>
      </c>
      <c r="R60" s="21"/>
    </row>
    <row r="61">
      <c r="A61" s="15"/>
      <c r="B61" s="15"/>
      <c r="C61" s="15"/>
      <c r="D61" s="8"/>
      <c r="E61" s="79"/>
      <c r="F61" s="15"/>
      <c r="G61" s="15"/>
      <c r="H61" s="18" t="str">
        <f>IF($B61="","",Paramètres!$C$31)</f>
        <v/>
      </c>
      <c r="I61" s="19"/>
      <c r="J61" s="19"/>
      <c r="K61" s="19"/>
      <c r="L61" s="18" t="str">
        <f>IF($B61="","",SUM(I61:K61))</f>
        <v/>
      </c>
      <c r="M61" s="18" t="str">
        <f>IF($B61="","",H61-L61)</f>
        <v/>
      </c>
      <c r="N61" s="18" t="str">
        <f>IF($B61="","",IF(R61="Ancien",0,Paramètres!$D$31))</f>
        <v/>
      </c>
      <c r="O61" s="19"/>
      <c r="P61" s="18" t="str">
        <f>IF($B61="","",N61-O61)</f>
        <v/>
      </c>
      <c r="Q61" s="8" t="str">
        <f>IF($B61="","",IF(AND(M61&lt;=0,P61&lt;=0),"Soldé","En retard"))</f>
        <v/>
      </c>
      <c r="R61" s="8"/>
    </row>
    <row r="62">
      <c r="A62" s="20"/>
      <c r="B62" s="20"/>
      <c r="C62" s="20"/>
      <c r="D62" s="21"/>
      <c r="E62" s="77"/>
      <c r="F62" s="20"/>
      <c r="G62" s="20"/>
      <c r="H62" s="18" t="str">
        <f>IF($B62="","",Paramètres!$C$31)</f>
        <v/>
      </c>
      <c r="I62" s="19"/>
      <c r="J62" s="19"/>
      <c r="K62" s="19"/>
      <c r="L62" s="18" t="str">
        <f>IF($B62="","",SUM(I62:K62))</f>
        <v/>
      </c>
      <c r="M62" s="18" t="str">
        <f>IF($B62="","",H62-L62)</f>
        <v/>
      </c>
      <c r="N62" s="18" t="str">
        <f>IF($B62="","",IF(R62="Ancien",0,Paramètres!$D$31))</f>
        <v/>
      </c>
      <c r="O62" s="19"/>
      <c r="P62" s="18" t="str">
        <f>IF($B62="","",N62-O62)</f>
        <v/>
      </c>
      <c r="Q62" s="21" t="str">
        <f>IF($B62="","",IF(AND(M62&lt;=0,P62&lt;=0),"Soldé","En retard"))</f>
        <v/>
      </c>
      <c r="R62" s="21"/>
    </row>
    <row r="63">
      <c r="A63" s="15"/>
      <c r="B63" s="15"/>
      <c r="C63" s="15"/>
      <c r="D63" s="8"/>
      <c r="E63" s="79"/>
      <c r="F63" s="15"/>
      <c r="G63" s="15"/>
      <c r="H63" s="18" t="str">
        <f>IF($B63="","",Paramètres!$C$31)</f>
        <v/>
      </c>
      <c r="I63" s="19"/>
      <c r="J63" s="19"/>
      <c r="K63" s="19"/>
      <c r="L63" s="18" t="str">
        <f>IF($B63="","",SUM(I63:K63))</f>
        <v/>
      </c>
      <c r="M63" s="18" t="str">
        <f>IF($B63="","",H63-L63)</f>
        <v/>
      </c>
      <c r="N63" s="18" t="str">
        <f>IF($B63="","",IF(R63="Ancien",0,Paramètres!$D$31))</f>
        <v/>
      </c>
      <c r="O63" s="19"/>
      <c r="P63" s="18" t="str">
        <f>IF($B63="","",N63-O63)</f>
        <v/>
      </c>
      <c r="Q63" s="8" t="str">
        <f>IF($B63="","",IF(AND(M63&lt;=0,P63&lt;=0),"Soldé","En retard"))</f>
        <v/>
      </c>
      <c r="R63" s="8"/>
    </row>
    <row r="64">
      <c r="A64" s="20"/>
      <c r="B64" s="20"/>
      <c r="C64" s="20"/>
      <c r="D64" s="21"/>
      <c r="E64" s="77"/>
      <c r="F64" s="20"/>
      <c r="G64" s="20"/>
      <c r="H64" s="18" t="str">
        <f>IF($B64="","",Paramètres!$C$31)</f>
        <v/>
      </c>
      <c r="I64" s="19"/>
      <c r="J64" s="19"/>
      <c r="K64" s="19"/>
      <c r="L64" s="18" t="str">
        <f>IF($B64="","",SUM(I64:K64))</f>
        <v/>
      </c>
      <c r="M64" s="18" t="str">
        <f>IF($B64="","",H64-L64)</f>
        <v/>
      </c>
      <c r="N64" s="18" t="str">
        <f>IF($B64="","",IF(R64="Ancien",0,Paramètres!$D$31))</f>
        <v/>
      </c>
      <c r="O64" s="19"/>
      <c r="P64" s="18" t="str">
        <f>IF($B64="","",N64-O64)</f>
        <v/>
      </c>
      <c r="Q64" s="21" t="str">
        <f>IF($B64="","",IF(AND(M64&lt;=0,P64&lt;=0),"Soldé","En retard"))</f>
        <v/>
      </c>
      <c r="R64" s="21"/>
    </row>
    <row r="65">
      <c r="A65" s="15"/>
      <c r="B65" s="15"/>
      <c r="C65" s="15"/>
      <c r="D65" s="8"/>
      <c r="E65" s="79"/>
      <c r="F65" s="15"/>
      <c r="G65" s="15"/>
      <c r="H65" s="18" t="str">
        <f>IF($B65="","",Paramètres!$C$31)</f>
        <v/>
      </c>
      <c r="I65" s="19"/>
      <c r="J65" s="19"/>
      <c r="K65" s="19"/>
      <c r="L65" s="18" t="str">
        <f>IF($B65="","",SUM(I65:K65))</f>
        <v/>
      </c>
      <c r="M65" s="18" t="str">
        <f>IF($B65="","",H65-L65)</f>
        <v/>
      </c>
      <c r="N65" s="18" t="str">
        <f>IF($B65="","",IF(R65="Ancien",0,Paramètres!$D$31))</f>
        <v/>
      </c>
      <c r="O65" s="19"/>
      <c r="P65" s="18" t="str">
        <f>IF($B65="","",N65-O65)</f>
        <v/>
      </c>
      <c r="Q65" s="8" t="str">
        <f>IF($B65="","",IF(AND(M65&lt;=0,P65&lt;=0),"Soldé","En retard"))</f>
        <v/>
      </c>
      <c r="R65" s="8"/>
    </row>
    <row r="66">
      <c r="A66" s="20"/>
      <c r="B66" s="20"/>
      <c r="C66" s="20"/>
      <c r="D66" s="21"/>
      <c r="E66" s="77"/>
      <c r="F66" s="20"/>
      <c r="G66" s="20"/>
      <c r="H66" s="18" t="str">
        <f>IF($B66="","",Paramètres!$C$31)</f>
        <v/>
      </c>
      <c r="I66" s="19"/>
      <c r="J66" s="19"/>
      <c r="K66" s="19"/>
      <c r="L66" s="18" t="str">
        <f>IF($B66="","",SUM(I66:K66))</f>
        <v/>
      </c>
      <c r="M66" s="18" t="str">
        <f>IF($B66="","",H66-L66)</f>
        <v/>
      </c>
      <c r="N66" s="18" t="str">
        <f>IF($B66="","",IF(R66="Ancien",0,Paramètres!$D$31))</f>
        <v/>
      </c>
      <c r="O66" s="19"/>
      <c r="P66" s="18" t="str">
        <f>IF($B66="","",N66-O66)</f>
        <v/>
      </c>
      <c r="Q66" s="21" t="str">
        <f>IF($B66="","",IF(AND(M66&lt;=0,P66&lt;=0),"Soldé","En retard"))</f>
        <v/>
      </c>
      <c r="R66" s="21"/>
    </row>
    <row r="67">
      <c r="A67" s="15"/>
      <c r="B67" s="15"/>
      <c r="C67" s="15"/>
      <c r="D67" s="8"/>
      <c r="E67" s="79"/>
      <c r="F67" s="15"/>
      <c r="G67" s="15"/>
      <c r="H67" s="18" t="str">
        <f>IF($B67="","",Paramètres!$C$31)</f>
        <v/>
      </c>
      <c r="I67" s="19"/>
      <c r="J67" s="19"/>
      <c r="K67" s="19"/>
      <c r="L67" s="18" t="str">
        <f>IF($B67="","",SUM(I67:K67))</f>
        <v/>
      </c>
      <c r="M67" s="18" t="str">
        <f>IF($B67="","",H67-L67)</f>
        <v/>
      </c>
      <c r="N67" s="18" t="str">
        <f>IF($B67="","",IF(R67="Ancien",0,Paramètres!$D$31))</f>
        <v/>
      </c>
      <c r="O67" s="19"/>
      <c r="P67" s="18" t="str">
        <f>IF($B67="","",N67-O67)</f>
        <v/>
      </c>
      <c r="Q67" s="8" t="str">
        <f>IF($B67="","",IF(AND(M67&lt;=0,P67&lt;=0),"Soldé","En retard"))</f>
        <v/>
      </c>
      <c r="R67" s="8"/>
    </row>
    <row r="68">
      <c r="A68" s="20"/>
      <c r="B68" s="20"/>
      <c r="C68" s="20"/>
      <c r="D68" s="21"/>
      <c r="E68" s="77"/>
      <c r="F68" s="20"/>
      <c r="G68" s="20"/>
      <c r="H68" s="18" t="str">
        <f>IF($B68="","",Paramètres!$C$31)</f>
        <v/>
      </c>
      <c r="I68" s="19"/>
      <c r="J68" s="19"/>
      <c r="K68" s="19"/>
      <c r="L68" s="18" t="str">
        <f>IF($B68="","",SUM(I68:K68))</f>
        <v/>
      </c>
      <c r="M68" s="18" t="str">
        <f>IF($B68="","",H68-L68)</f>
        <v/>
      </c>
      <c r="N68" s="18" t="str">
        <f>IF($B68="","",IF(R68="Ancien",0,Paramètres!$D$31))</f>
        <v/>
      </c>
      <c r="O68" s="19"/>
      <c r="P68" s="18" t="str">
        <f>IF($B68="","",N68-O68)</f>
        <v/>
      </c>
      <c r="Q68" s="21" t="str">
        <f>IF($B68="","",IF(AND(M68&lt;=0,P68&lt;=0),"Soldé","En retard"))</f>
        <v/>
      </c>
      <c r="R68" s="21"/>
    </row>
    <row r="69">
      <c r="A69" s="15"/>
      <c r="B69" s="15"/>
      <c r="C69" s="15"/>
      <c r="D69" s="8"/>
      <c r="E69" s="79"/>
      <c r="F69" s="15"/>
      <c r="G69" s="15"/>
      <c r="H69" s="18" t="str">
        <f>IF($B69="","",Paramètres!$C$31)</f>
        <v/>
      </c>
      <c r="I69" s="19"/>
      <c r="J69" s="19"/>
      <c r="K69" s="19"/>
      <c r="L69" s="18" t="str">
        <f>IF($B69="","",SUM(I69:K69))</f>
        <v/>
      </c>
      <c r="M69" s="18" t="str">
        <f>IF($B69="","",H69-L69)</f>
        <v/>
      </c>
      <c r="N69" s="18" t="str">
        <f>IF($B69="","",IF(R69="Ancien",0,Paramètres!$D$31))</f>
        <v/>
      </c>
      <c r="O69" s="19"/>
      <c r="P69" s="18" t="str">
        <f>IF($B69="","",N69-O69)</f>
        <v/>
      </c>
      <c r="Q69" s="8" t="str">
        <f>IF($B69="","",IF(AND(M69&lt;=0,P69&lt;=0),"Soldé","En retard"))</f>
        <v/>
      </c>
      <c r="R69" s="8"/>
    </row>
    <row r="70">
      <c r="A70" s="20"/>
      <c r="B70" s="20"/>
      <c r="C70" s="20"/>
      <c r="D70" s="21"/>
      <c r="E70" s="77"/>
      <c r="F70" s="20"/>
      <c r="G70" s="20"/>
      <c r="H70" s="18" t="str">
        <f>IF($B70="","",Paramètres!$C$31)</f>
        <v/>
      </c>
      <c r="I70" s="19"/>
      <c r="J70" s="19"/>
      <c r="K70" s="19"/>
      <c r="L70" s="18" t="str">
        <f>IF($B70="","",SUM(I70:K70))</f>
        <v/>
      </c>
      <c r="M70" s="18" t="str">
        <f>IF($B70="","",H70-L70)</f>
        <v/>
      </c>
      <c r="N70" s="18" t="str">
        <f>IF($B70="","",IF(R70="Ancien",0,Paramètres!$D$31))</f>
        <v/>
      </c>
      <c r="O70" s="19"/>
      <c r="P70" s="18" t="str">
        <f>IF($B70="","",N70-O70)</f>
        <v/>
      </c>
      <c r="Q70" s="21" t="str">
        <f>IF($B70="","",IF(AND(M70&lt;=0,P70&lt;=0),"Soldé","En retard"))</f>
        <v/>
      </c>
      <c r="R70" s="21"/>
    </row>
    <row r="71">
      <c r="A71" s="15"/>
      <c r="B71" s="15"/>
      <c r="C71" s="15"/>
      <c r="D71" s="8"/>
      <c r="E71" s="79"/>
      <c r="F71" s="15"/>
      <c r="G71" s="15"/>
      <c r="H71" s="18" t="str">
        <f>IF($B71="","",Paramètres!$C$31)</f>
        <v/>
      </c>
      <c r="I71" s="19"/>
      <c r="J71" s="19"/>
      <c r="K71" s="19"/>
      <c r="L71" s="18" t="str">
        <f>IF($B71="","",SUM(I71:K71))</f>
        <v/>
      </c>
      <c r="M71" s="18" t="str">
        <f>IF($B71="","",H71-L71)</f>
        <v/>
      </c>
      <c r="N71" s="18" t="str">
        <f>IF($B71="","",IF(R71="Ancien",0,Paramètres!$D$31))</f>
        <v/>
      </c>
      <c r="O71" s="19"/>
      <c r="P71" s="18" t="str">
        <f>IF($B71="","",N71-O71)</f>
        <v/>
      </c>
      <c r="Q71" s="8" t="str">
        <f>IF($B71="","",IF(AND(M71&lt;=0,P71&lt;=0),"Soldé","En retard"))</f>
        <v/>
      </c>
      <c r="R71" s="8"/>
    </row>
    <row r="72">
      <c r="A72" s="20"/>
      <c r="B72" s="20"/>
      <c r="C72" s="20"/>
      <c r="D72" s="21"/>
      <c r="E72" s="77"/>
      <c r="F72" s="20"/>
      <c r="G72" s="20"/>
      <c r="H72" s="18" t="str">
        <f>IF($B72="","",Paramètres!$C$31)</f>
        <v/>
      </c>
      <c r="I72" s="19"/>
      <c r="J72" s="19"/>
      <c r="K72" s="19"/>
      <c r="L72" s="18" t="str">
        <f>IF($B72="","",SUM(I72:K72))</f>
        <v/>
      </c>
      <c r="M72" s="18" t="str">
        <f>IF($B72="","",H72-L72)</f>
        <v/>
      </c>
      <c r="N72" s="18" t="str">
        <f>IF($B72="","",IF(R72="Ancien",0,Paramètres!$D$31))</f>
        <v/>
      </c>
      <c r="O72" s="19"/>
      <c r="P72" s="18" t="str">
        <f>IF($B72="","",N72-O72)</f>
        <v/>
      </c>
      <c r="Q72" s="21" t="str">
        <f>IF($B72="","",IF(AND(M72&lt;=0,P72&lt;=0),"Soldé","En retard"))</f>
        <v/>
      </c>
      <c r="R72" s="21"/>
    </row>
    <row r="73">
      <c r="A73" s="15"/>
      <c r="B73" s="15"/>
      <c r="C73" s="15"/>
      <c r="D73" s="8"/>
      <c r="E73" s="79"/>
      <c r="F73" s="15"/>
      <c r="G73" s="15"/>
      <c r="H73" s="18" t="str">
        <f>IF($B73="","",Paramètres!$C$31)</f>
        <v/>
      </c>
      <c r="I73" s="19"/>
      <c r="J73" s="19"/>
      <c r="K73" s="19"/>
      <c r="L73" s="18" t="str">
        <f>IF($B73="","",SUM(I73:K73))</f>
        <v/>
      </c>
      <c r="M73" s="18" t="str">
        <f>IF($B73="","",H73-L73)</f>
        <v/>
      </c>
      <c r="N73" s="18" t="str">
        <f>IF($B73="","",IF(R73="Ancien",0,Paramètres!$D$31))</f>
        <v/>
      </c>
      <c r="O73" s="19"/>
      <c r="P73" s="18" t="str">
        <f>IF($B73="","",N73-O73)</f>
        <v/>
      </c>
      <c r="Q73" s="8" t="str">
        <f>IF($B73="","",IF(AND(M73&lt;=0,P73&lt;=0),"Soldé","En retard"))</f>
        <v/>
      </c>
      <c r="R73" s="8"/>
    </row>
    <row r="74">
      <c r="A74" s="20"/>
      <c r="B74" s="20"/>
      <c r="C74" s="20"/>
      <c r="D74" s="21"/>
      <c r="E74" s="77"/>
      <c r="F74" s="20"/>
      <c r="G74" s="20"/>
      <c r="H74" s="18" t="str">
        <f>IF($B74="","",Paramètres!$C$31)</f>
        <v/>
      </c>
      <c r="I74" s="19"/>
      <c r="J74" s="19"/>
      <c r="K74" s="19"/>
      <c r="L74" s="18" t="str">
        <f>IF($B74="","",SUM(I74:K74))</f>
        <v/>
      </c>
      <c r="M74" s="18" t="str">
        <f>IF($B74="","",H74-L74)</f>
        <v/>
      </c>
      <c r="N74" s="18" t="str">
        <f>IF($B74="","",IF(R74="Ancien",0,Paramètres!$D$31))</f>
        <v/>
      </c>
      <c r="O74" s="19"/>
      <c r="P74" s="18" t="str">
        <f>IF($B74="","",N74-O74)</f>
        <v/>
      </c>
      <c r="Q74" s="21" t="str">
        <f>IF($B74="","",IF(AND(M74&lt;=0,P74&lt;=0),"Soldé","En retard"))</f>
        <v/>
      </c>
      <c r="R74" s="21"/>
    </row>
    <row r="75">
      <c r="A75" s="15"/>
      <c r="B75" s="15"/>
      <c r="C75" s="15"/>
      <c r="D75" s="8"/>
      <c r="E75" s="79"/>
      <c r="F75" s="15"/>
      <c r="G75" s="15"/>
      <c r="H75" s="18" t="str">
        <f>IF($B75="","",Paramètres!$C$31)</f>
        <v/>
      </c>
      <c r="I75" s="19"/>
      <c r="J75" s="19"/>
      <c r="K75" s="19"/>
      <c r="L75" s="18" t="str">
        <f>IF($B75="","",SUM(I75:K75))</f>
        <v/>
      </c>
      <c r="M75" s="18" t="str">
        <f>IF($B75="","",H75-L75)</f>
        <v/>
      </c>
      <c r="N75" s="18" t="str">
        <f>IF($B75="","",IF(R75="Ancien",0,Paramètres!$D$31))</f>
        <v/>
      </c>
      <c r="O75" s="19"/>
      <c r="P75" s="18" t="str">
        <f>IF($B75="","",N75-O75)</f>
        <v/>
      </c>
      <c r="Q75" s="8" t="str">
        <f>IF($B75="","",IF(AND(M75&lt;=0,P75&lt;=0),"Soldé","En retard"))</f>
        <v/>
      </c>
      <c r="R75" s="8"/>
    </row>
    <row r="76">
      <c r="A76" s="20"/>
      <c r="B76" s="20"/>
      <c r="C76" s="20"/>
      <c r="D76" s="21"/>
      <c r="E76" s="77"/>
      <c r="F76" s="20"/>
      <c r="G76" s="20"/>
      <c r="H76" s="18" t="str">
        <f>IF($B76="","",Paramètres!$C$31)</f>
        <v/>
      </c>
      <c r="I76" s="19"/>
      <c r="J76" s="19"/>
      <c r="K76" s="19"/>
      <c r="L76" s="18" t="str">
        <f>IF($B76="","",SUM(I76:K76))</f>
        <v/>
      </c>
      <c r="M76" s="18" t="str">
        <f>IF($B76="","",H76-L76)</f>
        <v/>
      </c>
      <c r="N76" s="18" t="str">
        <f>IF($B76="","",IF(R76="Ancien",0,Paramètres!$D$31))</f>
        <v/>
      </c>
      <c r="O76" s="19"/>
      <c r="P76" s="18" t="str">
        <f>IF($B76="","",N76-O76)</f>
        <v/>
      </c>
      <c r="Q76" s="21" t="str">
        <f>IF($B76="","",IF(AND(M76&lt;=0,P76&lt;=0),"Soldé","En retard"))</f>
        <v/>
      </c>
      <c r="R76" s="21"/>
    </row>
    <row r="77">
      <c r="A77" s="15"/>
      <c r="B77" s="15"/>
      <c r="C77" s="15"/>
      <c r="D77" s="8"/>
      <c r="E77" s="79"/>
      <c r="F77" s="15"/>
      <c r="G77" s="15"/>
      <c r="H77" s="18" t="str">
        <f>IF($B77="","",Paramètres!$C$31)</f>
        <v/>
      </c>
      <c r="I77" s="19"/>
      <c r="J77" s="19"/>
      <c r="K77" s="19"/>
      <c r="L77" s="18" t="str">
        <f>IF($B77="","",SUM(I77:K77))</f>
        <v/>
      </c>
      <c r="M77" s="18" t="str">
        <f>IF($B77="","",H77-L77)</f>
        <v/>
      </c>
      <c r="N77" s="18" t="str">
        <f>IF($B77="","",IF(R77="Ancien",0,Paramètres!$D$31))</f>
        <v/>
      </c>
      <c r="O77" s="19"/>
      <c r="P77" s="18" t="str">
        <f>IF($B77="","",N77-O77)</f>
        <v/>
      </c>
      <c r="Q77" s="8" t="str">
        <f>IF($B77="","",IF(AND(M77&lt;=0,P77&lt;=0),"Soldé","En retard"))</f>
        <v/>
      </c>
      <c r="R77" s="8"/>
    </row>
    <row r="78">
      <c r="A78" s="20"/>
      <c r="B78" s="20"/>
      <c r="C78" s="20"/>
      <c r="D78" s="21"/>
      <c r="E78" s="77"/>
      <c r="F78" s="20"/>
      <c r="G78" s="20"/>
      <c r="H78" s="18" t="str">
        <f>IF($B78="","",Paramètres!$C$31)</f>
        <v/>
      </c>
      <c r="I78" s="19"/>
      <c r="J78" s="19"/>
      <c r="K78" s="19"/>
      <c r="L78" s="18" t="str">
        <f>IF($B78="","",SUM(I78:K78))</f>
        <v/>
      </c>
      <c r="M78" s="18" t="str">
        <f>IF($B78="","",H78-L78)</f>
        <v/>
      </c>
      <c r="N78" s="18" t="str">
        <f>IF($B78="","",IF(R78="Ancien",0,Paramètres!$D$31))</f>
        <v/>
      </c>
      <c r="O78" s="19"/>
      <c r="P78" s="18" t="str">
        <f>IF($B78="","",N78-O78)</f>
        <v/>
      </c>
      <c r="Q78" s="21" t="str">
        <f>IF($B78="","",IF(AND(M78&lt;=0,P78&lt;=0),"Soldé","En retard"))</f>
        <v/>
      </c>
      <c r="R78" s="21"/>
    </row>
    <row r="79">
      <c r="A79" s="15"/>
      <c r="B79" s="15"/>
      <c r="C79" s="15"/>
      <c r="D79" s="8"/>
      <c r="E79" s="79"/>
      <c r="F79" s="15"/>
      <c r="G79" s="15"/>
      <c r="H79" s="18" t="str">
        <f>IF($B79="","",Paramètres!$C$31)</f>
        <v/>
      </c>
      <c r="I79" s="19"/>
      <c r="J79" s="19"/>
      <c r="K79" s="19"/>
      <c r="L79" s="18" t="str">
        <f>IF($B79="","",SUM(I79:K79))</f>
        <v/>
      </c>
      <c r="M79" s="18" t="str">
        <f>IF($B79="","",H79-L79)</f>
        <v/>
      </c>
      <c r="N79" s="18" t="str">
        <f>IF($B79="","",IF(R79="Ancien",0,Paramètres!$D$31))</f>
        <v/>
      </c>
      <c r="O79" s="19"/>
      <c r="P79" s="18" t="str">
        <f>IF($B79="","",N79-O79)</f>
        <v/>
      </c>
      <c r="Q79" s="8" t="str">
        <f>IF($B79="","",IF(AND(M79&lt;=0,P79&lt;=0),"Soldé","En retard"))</f>
        <v/>
      </c>
      <c r="R79" s="8"/>
    </row>
    <row r="80">
      <c r="A80" s="20"/>
      <c r="B80" s="20"/>
      <c r="C80" s="20"/>
      <c r="D80" s="21"/>
      <c r="E80" s="77"/>
      <c r="F80" s="20"/>
      <c r="G80" s="20"/>
      <c r="H80" s="18" t="str">
        <f>IF($B80="","",Paramètres!$C$31)</f>
        <v/>
      </c>
      <c r="I80" s="19"/>
      <c r="J80" s="19"/>
      <c r="K80" s="19"/>
      <c r="L80" s="18" t="str">
        <f>IF($B80="","",SUM(I80:K80))</f>
        <v/>
      </c>
      <c r="M80" s="18" t="str">
        <f>IF($B80="","",H80-L80)</f>
        <v/>
      </c>
      <c r="N80" s="18" t="str">
        <f>IF($B80="","",IF(R80="Ancien",0,Paramètres!$D$31))</f>
        <v/>
      </c>
      <c r="O80" s="19"/>
      <c r="P80" s="18" t="str">
        <f>IF($B80="","",N80-O80)</f>
        <v/>
      </c>
      <c r="Q80" s="21" t="str">
        <f>IF($B80="","",IF(AND(M80&lt;=0,P80&lt;=0),"Soldé","En retard"))</f>
        <v/>
      </c>
      <c r="R80" s="21"/>
    </row>
    <row r="81">
      <c r="A81" s="15"/>
      <c r="B81" s="15"/>
      <c r="C81" s="15"/>
      <c r="D81" s="8"/>
      <c r="E81" s="79"/>
      <c r="F81" s="15"/>
      <c r="G81" s="15"/>
      <c r="H81" s="18" t="str">
        <f>IF($B81="","",Paramètres!$C$31)</f>
        <v/>
      </c>
      <c r="I81" s="19"/>
      <c r="J81" s="19"/>
      <c r="K81" s="19"/>
      <c r="L81" s="18" t="str">
        <f>IF($B81="","",SUM(I81:K81))</f>
        <v/>
      </c>
      <c r="M81" s="18" t="str">
        <f>IF($B81="","",H81-L81)</f>
        <v/>
      </c>
      <c r="N81" s="18" t="str">
        <f>IF($B81="","",IF(R81="Ancien",0,Paramètres!$D$31))</f>
        <v/>
      </c>
      <c r="O81" s="19"/>
      <c r="P81" s="18" t="str">
        <f>IF($B81="","",N81-O81)</f>
        <v/>
      </c>
      <c r="Q81" s="8" t="str">
        <f>IF($B81="","",IF(AND(M81&lt;=0,P81&lt;=0),"Soldé","En retard"))</f>
        <v/>
      </c>
      <c r="R81" s="8"/>
    </row>
    <row r="82">
      <c r="A82" s="20"/>
      <c r="B82" s="20"/>
      <c r="C82" s="20"/>
      <c r="D82" s="21"/>
      <c r="E82" s="77"/>
      <c r="F82" s="20"/>
      <c r="G82" s="20"/>
      <c r="H82" s="18" t="str">
        <f>IF($B82="","",Paramètres!$C$31)</f>
        <v/>
      </c>
      <c r="I82" s="19"/>
      <c r="J82" s="19"/>
      <c r="K82" s="19"/>
      <c r="L82" s="18" t="str">
        <f>IF($B82="","",SUM(I82:K82))</f>
        <v/>
      </c>
      <c r="M82" s="18" t="str">
        <f>IF($B82="","",H82-L82)</f>
        <v/>
      </c>
      <c r="N82" s="18" t="str">
        <f>IF($B82="","",IF(R82="Ancien",0,Paramètres!$D$31))</f>
        <v/>
      </c>
      <c r="O82" s="19"/>
      <c r="P82" s="18" t="str">
        <f>IF($B82="","",N82-O82)</f>
        <v/>
      </c>
      <c r="Q82" s="21" t="str">
        <f>IF($B82="","",IF(AND(M82&lt;=0,P82&lt;=0),"Soldé","En retard"))</f>
        <v/>
      </c>
      <c r="R82" s="21"/>
    </row>
    <row r="83">
      <c r="A83" s="15"/>
      <c r="B83" s="15"/>
      <c r="C83" s="15"/>
      <c r="D83" s="8"/>
      <c r="E83" s="79"/>
      <c r="F83" s="15"/>
      <c r="G83" s="15"/>
      <c r="H83" s="18" t="str">
        <f>IF($B83="","",Paramètres!$C$31)</f>
        <v/>
      </c>
      <c r="I83" s="19"/>
      <c r="J83" s="19"/>
      <c r="K83" s="19"/>
      <c r="L83" s="18" t="str">
        <f>IF($B83="","",SUM(I83:K83))</f>
        <v/>
      </c>
      <c r="M83" s="18" t="str">
        <f>IF($B83="","",H83-L83)</f>
        <v/>
      </c>
      <c r="N83" s="18" t="str">
        <f>IF($B83="","",IF(R83="Ancien",0,Paramètres!$D$31))</f>
        <v/>
      </c>
      <c r="O83" s="19"/>
      <c r="P83" s="18" t="str">
        <f>IF($B83="","",N83-O83)</f>
        <v/>
      </c>
      <c r="Q83" s="8" t="str">
        <f>IF($B83="","",IF(AND(M83&lt;=0,P83&lt;=0),"Soldé","En retard"))</f>
        <v/>
      </c>
      <c r="R83" s="8"/>
    </row>
  </sheetData>
  <mergeCells count="2">
    <mergeCell ref="A1:R1"/>
    <mergeCell ref="A2:R2"/>
  </mergeCells>
  <conditionalFormatting sqref="M4:M83 P4:P83">
    <cfRule type="cellIs" dxfId="10" priority="3" operator="greaterThan">
      <formula>0</formula>
    </cfRule>
  </conditionalFormatting>
  <conditionalFormatting sqref="Q4:Q83">
    <cfRule type="cellIs" dxfId="9" priority="1" operator="equal">
      <formula>"Soldé"</formula>
    </cfRule>
    <cfRule type="cellIs" dxfId="8" priority="2" operator="equal">
      <formula>"En retard"</formula>
    </cfRule>
  </conditionalFormatting>
  <dataValidations count="2">
    <dataValidation type="list" allowBlank="1" showErrorMessage="1" errorTitle="Sexe non valide" error="Choisissez M ou F." sqref="D4:D83">
      <formula1>"M,F"</formula1>
    </dataValidation>
    <dataValidation type="list" allowBlank="1" showErrorMessage="1" errorTitle="Statut non valide" error="Choisissez Nouveau ou Ancien. Un élève marqué Ancien ne paie pas les frais d'inscription." sqref="R4:R83">
      <formula1>"Nouveau,Ancien"</formula1>
    </dataValidation>
  </dataValidations>
  <pageMargins left="0.5" right="0.5" top="0.75" bottom="0.75" header="0.3" footer="0.3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FALMATA MARTHE</cp:lastModifiedBy>
  <cp:revision>1</cp:revision>
  <cp:lastPrinted>2026-07-20T22:45:46Z</cp:lastPrinted>
  <dcterms:created xsi:type="dcterms:W3CDTF">2026-07-20T22:26:42Z</dcterms:created>
  <dcterms:modified xsi:type="dcterms:W3CDTF">2026-07-21T19:27:37Z</dcterms:modified>
  <dc:language>en-US</dc:language>
</cp:coreProperties>
</file>